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NCIONES" sheetId="1" r:id="rId5"/>
    <sheet state="visible" name="GESTIÓN " sheetId="2" r:id="rId6"/>
    <sheet state="visible" name="SEGUIMIENTO MESAS DE TRABAJO" sheetId="3" r:id="rId7"/>
    <sheet state="visible" name="ESTADO MESAS DE TRABAJO CORTE 2" sheetId="4" r:id="rId8"/>
    <sheet state="visible" name="Estado Mesas" sheetId="5" r:id="rId9"/>
    <sheet state="visible" name="ASISTENCIA IGLESIAS" sheetId="6" r:id="rId10"/>
    <sheet state="visible" name="BASE DE GESTIÓN" sheetId="7" r:id="rId11"/>
    <sheet state="visible" name="INTERVENCIONES" sheetId="8" r:id="rId12"/>
    <sheet state="visible" name="PROYECTOS DE ACUERDO" sheetId="9" r:id="rId13"/>
    <sheet state="visible" name="PONENCIAS" sheetId="10" r:id="rId14"/>
    <sheet state="visible" name="DEBATES " sheetId="11" r:id="rId15"/>
    <sheet state="visible" name="COMUNICACIONES" sheetId="12" r:id="rId16"/>
    <sheet state="visible" name="GRAFICO" sheetId="13" r:id="rId17"/>
  </sheets>
  <definedNames>
    <definedName hidden="1" localSheetId="1" name="_xlnm._FilterDatabase">'GESTIÓN '!$A$1:$AN$155</definedName>
    <definedName hidden="1" localSheetId="2" name="_xlnm._FilterDatabase">'SEGUIMIENTO MESAS DE TRABAJO'!$A$1:$AM$97</definedName>
    <definedName hidden="1" localSheetId="6" name="_xlnm._FilterDatabase">'BASE DE GESTIÓN'!$A$1:$R$252</definedName>
    <definedName hidden="1" localSheetId="7" name="_xlnm._FilterDatabase">INTERVENCIONES!$A$1:$Q$74</definedName>
  </definedNames>
  <calcPr/>
  <pivotCaches>
    <pivotCache cacheId="0" r:id="rId18"/>
  </pivotCaches>
</workbook>
</file>

<file path=xl/sharedStrings.xml><?xml version="1.0" encoding="utf-8"?>
<sst xmlns="http://schemas.openxmlformats.org/spreadsheetml/2006/main" count="17811" uniqueCount="3253">
  <si>
    <t xml:space="preserve"> </t>
  </si>
  <si>
    <t>Descripción</t>
  </si>
  <si>
    <t>Apoyo Ciudadano</t>
  </si>
  <si>
    <t>Gestiones Individuales de salud, cupo estudiantil, impuesto predial, subsidios</t>
  </si>
  <si>
    <t>Derecho de Petición</t>
  </si>
  <si>
    <t>Solicitud de Información tecnica frente a un caso  ejemplo Malla Vial, casos de abuso sexual infantil</t>
  </si>
  <si>
    <t>Mesa de Trabajo</t>
  </si>
  <si>
    <r>
      <rPr>
        <rFont val="Arial"/>
        <color theme="1"/>
      </rPr>
      <t xml:space="preserve">Gestión territorial de un tema en especifico que se beneficia a varias personas de la comunidad, donde se citan a las entidades. </t>
    </r>
    <r>
      <rPr>
        <rFont val="Arial"/>
        <b/>
        <color theme="1"/>
      </rPr>
      <t>(Si hay intervención de la entidad, ejemplo derecho de petición firmas pavimentación)</t>
    </r>
  </si>
  <si>
    <t>Mesa Tecnica</t>
  </si>
  <si>
    <t>Reunión con las entidades donde se aborda un tema tecnico en especificio ejemplo: ASI</t>
  </si>
  <si>
    <t>Gestión Comunidades</t>
  </si>
  <si>
    <r>
      <rPr>
        <rFont val="Arial"/>
        <color theme="1"/>
      </rPr>
      <t xml:space="preserve">Son gestiones para varias personas, asi como socialización de la gestion y agradecimientos "Gestíon para varias personas", ejemplo visita a barrios ,recorridos, reuniones de agradecimiento. </t>
    </r>
    <r>
      <rPr>
        <rFont val="Arial"/>
        <b/>
        <color theme="1"/>
      </rPr>
      <t>(no hay intervención de entidad)</t>
    </r>
  </si>
  <si>
    <t>Invitaciones Institucionales</t>
  </si>
  <si>
    <t>Invitación entrega de obras o de lanzamientos de programas de entidades publicas</t>
  </si>
  <si>
    <t>Apoyo a Bancada</t>
  </si>
  <si>
    <t>Apoyo a la gestión de la bancada</t>
  </si>
  <si>
    <t>Relacionamiento Público</t>
  </si>
  <si>
    <t>Invitaciones realizadas para foros, eventos de caracter publico y/o privado</t>
  </si>
  <si>
    <t xml:space="preserve"> AÑO</t>
  </si>
  <si>
    <t>COD MES</t>
  </si>
  <si>
    <t xml:space="preserve">MES </t>
  </si>
  <si>
    <t>CODIGO DE RADICADO</t>
  </si>
  <si>
    <t>TIPO DE ACTIVIDAD</t>
  </si>
  <si>
    <t xml:space="preserve">TEMA
</t>
  </si>
  <si>
    <t>DESCRIPCIÓN</t>
  </si>
  <si>
    <t>ALERTA DE VENCIMIENTO</t>
  </si>
  <si>
    <t>ENTIDAD CONTACTADA</t>
  </si>
  <si>
    <t xml:space="preserve">BARRIO </t>
  </si>
  <si>
    <t>ZONA</t>
  </si>
  <si>
    <t>LOCALIDAD</t>
  </si>
  <si>
    <t>IGLESIA</t>
  </si>
  <si>
    <t>TIPO DE GESTIÓN</t>
  </si>
  <si>
    <t xml:space="preserve">NOMBRE DEL BENEFICIARIO </t>
  </si>
  <si>
    <t xml:space="preserve">CÉDULA </t>
  </si>
  <si>
    <t xml:space="preserve">DIRECCIÓN </t>
  </si>
  <si>
    <t xml:space="preserve">CORREO </t>
  </si>
  <si>
    <t xml:space="preserve">TELEFONO </t>
  </si>
  <si>
    <t>PRIORIZACIÓN</t>
  </si>
  <si>
    <t>BENEFICIADO</t>
  </si>
  <si>
    <t xml:space="preserve">ESTADO ACTUAL DEL TRÁMITE </t>
  </si>
  <si>
    <t>RESULTADOS DE LA GESTIÓN</t>
  </si>
  <si>
    <t>observaciones</t>
  </si>
  <si>
    <t>FECHA DE INICIO</t>
  </si>
  <si>
    <t xml:space="preserve">FECHA DE CIERRE </t>
  </si>
  <si>
    <t>NUMERO DE RADICADO ENTIDAD</t>
  </si>
  <si>
    <t>NUMERO VERIFICACION RADICADO</t>
  </si>
  <si>
    <t>ENCARGADO</t>
  </si>
  <si>
    <t>APOYO ASESOR</t>
  </si>
  <si>
    <t>COORDENADAS</t>
  </si>
  <si>
    <t>CIUDAD</t>
  </si>
  <si>
    <t>DEPARTAMENTO</t>
  </si>
  <si>
    <t>LINK DE EVIDENCIA</t>
  </si>
  <si>
    <t>SEGUIMIENTO</t>
  </si>
  <si>
    <t>¿YA SE REALIZARON?</t>
  </si>
  <si>
    <t>Enero</t>
  </si>
  <si>
    <t>Ambiente</t>
  </si>
  <si>
    <t>Atención a Hn Mauricio, se sugiere transmitir a Ps. sobre intención de participar en el concejo de Padres, y quedo atenta a las indicaciones</t>
  </si>
  <si>
    <t>N/A</t>
  </si>
  <si>
    <t>Sur</t>
  </si>
  <si>
    <t>08.Kennedy</t>
  </si>
  <si>
    <t xml:space="preserve">08.Kennedy Central </t>
  </si>
  <si>
    <t>Gestión 2024</t>
  </si>
  <si>
    <t>Mauricio Tovar</t>
  </si>
  <si>
    <t>Tramites</t>
  </si>
  <si>
    <t>Interno (hermanos)</t>
  </si>
  <si>
    <t>Finalizado</t>
  </si>
  <si>
    <t>Edil</t>
  </si>
  <si>
    <t>No se solicita ayuda</t>
  </si>
  <si>
    <t>Bogotá</t>
  </si>
  <si>
    <t>Cundinamarca</t>
  </si>
  <si>
    <t>NO TIENE PENDIENTES</t>
  </si>
  <si>
    <t>Gestión comunidades</t>
  </si>
  <si>
    <t>Planeación</t>
  </si>
  <si>
    <t>Actuación estratégica chucua. Líderes del barrio Villa Nelly</t>
  </si>
  <si>
    <t>Secretaría Distrital de Planeación</t>
  </si>
  <si>
    <t>Villa Nelly</t>
  </si>
  <si>
    <t xml:space="preserve">Carmen </t>
  </si>
  <si>
    <t>Calle 42 f bis sur</t>
  </si>
  <si>
    <t>Positivo</t>
  </si>
  <si>
    <t>Se realizó mesa técnica en el concejo para preguntar al SDP sobre avance de la estrategia chucua la vaca, por el momento no hay operador, está en la segunda fase. 30/10 /24 , se va a realizar mesa tecnica de seguimientos conjunta  para saber estado actual de la estrategia, con el folio 202400120</t>
  </si>
  <si>
    <t>Angie Benitez</t>
  </si>
  <si>
    <t>4.627949760210047, -74.16904100611555</t>
  </si>
  <si>
    <t>Movilidad</t>
  </si>
  <si>
    <t>Líderes del barrio Villa Nelly, nos comunican sobre problematica de pavimentación se les da las recomendaciones - lider carmen</t>
  </si>
  <si>
    <t>Alcaldias Locales</t>
  </si>
  <si>
    <t>Carmen</t>
  </si>
  <si>
    <t>Fue Alcaldía Local con el compromiso de incluir las siguientes vias en el banco de iniciativas Cra. 81 A con Calle 42 F hasta Av.Calle 43 Sur,</t>
  </si>
  <si>
    <t>CONFIRMAR APELLIDO, NÚMERO Y OFICIO A ALCALDIA PARA GARANTIZAR QUE VÍA ESTÉ INCLUÍDA EN BANCO, PREGUNTAR A CONCEJO SOBRE AVANCE</t>
  </si>
  <si>
    <t>Agradecimiento y Rendición de Cuentas</t>
  </si>
  <si>
    <t>Reunión Maximino para hablar sobre reunion familiares y visita JAL con vecinos, queda pendiente definir por el lider definir fechas</t>
  </si>
  <si>
    <t>Roma</t>
  </si>
  <si>
    <t>Compromisos de campaña 2023</t>
  </si>
  <si>
    <t>Maximino Leal</t>
  </si>
  <si>
    <t xml:space="preserve">Calle 56# 79- 40 sur </t>
  </si>
  <si>
    <t>Conforme a la solicitud se realizó visita con el Concejal, el 9 de marzo. Se realizo visita al familiar , pero no estaba, sin embargo se le compartio los pasos a seguir para las solicitudes, recoger firmas de la comunidad</t>
  </si>
  <si>
    <t>4.612157, -74.173565</t>
  </si>
  <si>
    <t>pendiente que la comunidad recoja firmas  y  con esto se hara nuevo folio</t>
  </si>
  <si>
    <t>Atención solicitud don Segundo sobre vías gestionadas con Concejal Fabián</t>
  </si>
  <si>
    <t>Patio Bonito</t>
  </si>
  <si>
    <t>08.Patio Bonito</t>
  </si>
  <si>
    <t>Segundo Salamanca</t>
  </si>
  <si>
    <t>Carrera 98 bis # 42 A - 27 sur</t>
  </si>
  <si>
    <t>Se solicitó información a infraestructura y está en estudios y diseños una de las vias, se hará seguimiento con mesa de trabajo con la comunidad. se etssa trabajando con otros folios 202400072, 202400094, 202400113</t>
  </si>
  <si>
    <t>4.638142824927312, -74.16274539441196</t>
  </si>
  <si>
    <t>Mesa de trabajo de vía que ya le están haciendo, estudios y solicitar las otras vías si ya están incluidas en el banco</t>
  </si>
  <si>
    <t>Derecho de petición</t>
  </si>
  <si>
    <t>Traslado: Avance en información sobre datos para translado problemática centro de reciclaje</t>
  </si>
  <si>
    <t>Secretaría Distrital de Ambiente</t>
  </si>
  <si>
    <t>Sinaí</t>
  </si>
  <si>
    <t>victor Hugo Arias</t>
  </si>
  <si>
    <t>Transversal 78H Bis A No. 44a - 30 sur</t>
  </si>
  <si>
    <t>Se realizó traslado a secretaria de ambiente, policia. Secretaria de mobilidad dice que 
adoptará un protocolo de seguridad que incluya entre otros elementos:
señalización, dispositivos canalizadores y el apoyo de personal capacitado para
las funciones de banderero.</t>
  </si>
  <si>
    <t>2024ER20719 (secretaria ambiente)</t>
  </si>
  <si>
    <t>4.616028670159256, -74.16206179235087</t>
  </si>
  <si>
    <t>Lider veronica y mireya sobre espacios de participación ambientales</t>
  </si>
  <si>
    <t>Riveras de Occidente</t>
  </si>
  <si>
    <t>Veronica Avila</t>
  </si>
  <si>
    <t>Se convocó mesa de trabajo para conocer oferta</t>
  </si>
  <si>
    <t>4.647128011706129, -74.16657220496528</t>
  </si>
  <si>
    <t>Emprendimiento y empleo</t>
  </si>
  <si>
    <t>Atender preguntas sobre apoyo a emprendimiento, tener presente para enviar ferias de emprendimiento o programas</t>
  </si>
  <si>
    <t>Otras</t>
  </si>
  <si>
    <t>juan Liborio Caro</t>
  </si>
  <si>
    <t>Se compartirá conforme indicación de Pastores oferta de ferias para que participe y jornadas OPAM</t>
  </si>
  <si>
    <t>Educación</t>
  </si>
  <si>
    <t>Casos de cupos y traslados a colegios</t>
  </si>
  <si>
    <t>Eloisa Peralta</t>
  </si>
  <si>
    <t>Carrera 88 a #41 sur 22</t>
  </si>
  <si>
    <t>Niñez</t>
  </si>
  <si>
    <t>Externos</t>
  </si>
  <si>
    <t>Cupo para hija Eloisa Peralta, persona externa</t>
  </si>
  <si>
    <t>4.638505480038175, -74.16997797357004</t>
  </si>
  <si>
    <t>Mesas de trabajo</t>
  </si>
  <si>
    <t>Seguridad</t>
  </si>
  <si>
    <t>Convocó mesa de trabajo sobre frente de seguridad barrio Roma</t>
  </si>
  <si>
    <t>Policía Nacional</t>
  </si>
  <si>
    <t>08.Class</t>
  </si>
  <si>
    <t>Miguel</t>
  </si>
  <si>
    <t>Cra 78f # 56b - 40 sur</t>
  </si>
  <si>
    <t>Ademas se convoco a secreteria de seguridad, conforme la mesa realizaron patrulajes mixtos, y segun dp ambiente en la JAC mejoró. ya se hizo seguimiento con folio 202400086</t>
  </si>
  <si>
    <t>01/14/2024</t>
  </si>
  <si>
    <t>2-2024-9836 (SCJ)</t>
  </si>
  <si>
    <t>4.612146506788469, -74.17360836378569</t>
  </si>
  <si>
    <t>Febrero</t>
  </si>
  <si>
    <t>Se convoca recorrido para evaluar posibilidad de instalar reductores de velocidad</t>
  </si>
  <si>
    <t>Secretaría Distrital de Movilidad</t>
  </si>
  <si>
    <t>Ciudad Galán</t>
  </si>
  <si>
    <t>Iglesia</t>
  </si>
  <si>
    <t>CRA 95 A # 38 C 39 SUR</t>
  </si>
  <si>
    <t>Negativo</t>
  </si>
  <si>
    <t>Secretaria de movilidad hizo mención sobre carros parqueados al frente de a Iglesia, por lo cual por recomendación de Pastor y Concejal no se insitira en la solicitud</t>
  </si>
  <si>
    <t>. 202461200741222</t>
  </si>
  <si>
    <t>Fernando Zamora</t>
  </si>
  <si>
    <t>4.646433488216628, -74.17292545265244</t>
  </si>
  <si>
    <t>Servicios públicos</t>
  </si>
  <si>
    <t xml:space="preserve">Solicitud de respuesta sobre acciones adelantadas en puntos críticos de basura
</t>
  </si>
  <si>
    <t>Tierra Buena y Villa Hermosa</t>
  </si>
  <si>
    <t>Carmen Pito</t>
  </si>
  <si>
    <t>40c Sur66 Cra. 87f</t>
  </si>
  <si>
    <t>Se recibió reporte de lo que se ha realizado en residuos. haran mesa de trabajo el 27 /02/24.  En el mes de noviembre  se realiza una mesa de trabajo con la UAESP para ver estrategias para prevenir este punto critco , se envia # de folio 202400138</t>
  </si>
  <si>
    <t>4.63276675239012, -74.17277477728052</t>
  </si>
  <si>
    <t>PENDIENTE SOLUCIÓN POR EL LÍDER</t>
  </si>
  <si>
    <t>Recorrido con Alcaldía para evidenciar problemáticas vías sin Pavimentar</t>
  </si>
  <si>
    <t>Villa Hermosa</t>
  </si>
  <si>
    <t>Cra. 87f #40-28</t>
  </si>
  <si>
    <t>Fue Alcaldía Local con el compromiso de incluir las siguientes vias en el banco de iniciativas, 31/10/2024 se confirma que via esta priorizada</t>
  </si>
  <si>
    <t>4.635117126576531, -74.16840727728048</t>
  </si>
  <si>
    <t>se confirma que la via esta PRIORIZAda</t>
  </si>
  <si>
    <t>Fue Alcaldía Local con el compromiso de incluir las siguientes vias en el banco de iniciativas. se nevia nuevo folio  202400122 para averiguar si la via esta priorizada</t>
  </si>
  <si>
    <t>Mesa de trabajo para solucionar punto crítico de basura, y una posibilidad de un zona de basura, señalización, marque mal estado, aguas estancadas en canal Castilla</t>
  </si>
  <si>
    <t>Secretaría Distrital de Gobierno</t>
  </si>
  <si>
    <t>Tintal</t>
  </si>
  <si>
    <t>Luz Helena Garzón/Liliana Suaréz</t>
  </si>
  <si>
    <t>Carrera 94 # 6c-30</t>
  </si>
  <si>
    <t>314 4359628</t>
  </si>
  <si>
    <t>Se convocó a movilidad, ciudad limpia, uaesp, IDRD, Gobierno, en compromisos movilidad va a mirar señalización de cicovia, uaesp sencibilización a vendedores informales.  hay un radicado por parte de la secretaria de gobierno se verifica el dia 21/06/24 y  no hay respuesta por parte de la entidad. tambien dice que el caso ha sido archivao y cerrado. se continuara con otro folio y  a movilidad  y UAESP y aguas de Bogota</t>
  </si>
  <si>
    <t>4.652754945402261, -74.16021270796064</t>
  </si>
  <si>
    <t>https://app.gobiernobogota.gov.co/ventanilla_virtual/consulta o</t>
  </si>
  <si>
    <t xml:space="preserve">1. ENVIAR LA SOLICITUD A LA UAESP, SOBRE COMPROMISO QUE HICIERON DE HACER SENSIBLIZACION A LOS VENDEDORES INFORMALES SOBRE LA DISPOSICION CORRECTA DE LOS RESIDUOS, ENVIAR CON COPIA A LA ALCALDIA Y SECRETARIA DE GOBIERNO202461201005692ENDIENTE  SOBRE RESPUESTA DE CANECA AL PIE DEL CANAL QUE ESTA DAÑADA , ¡QUE RESPUESTA LE DAN?
2. OFICIO SOLICITANDO RTA A LOS COMPROMISOS DE MOVILIDAD  SOBRE SEÑALIZACION DE CICLOVIA Y VIA ANEXA A LA MISMA QUE REQUIERE SERÑALIZACION VERTICAL.
3. SOLICITAD A ALCALDIA MANTENIMIENTO DEL PARQUE DEL TINTAL
4.  SOLICITAR A AGUAS DE BGOTA SOBRE  ULTIMAS ACTIVIDdes de mantenimiento del cana de castilla  XON COPIA A SECRETARIA DE GOBIERNO 5. PENDIENTE  DATO DELLIDER DEL SECTOR
</t>
  </si>
  <si>
    <t>Marzo</t>
  </si>
  <si>
    <t>Subsidios</t>
  </si>
  <si>
    <t>Tenía subsidio de adulto mayor y se lo quitaron por que le subieron el puntaje del sisben, preguntar a integración sobre este caso</t>
  </si>
  <si>
    <t>Secretaría Distrital de Integración Social</t>
  </si>
  <si>
    <t>Carvajal</t>
  </si>
  <si>
    <t>08.Carvajal</t>
  </si>
  <si>
    <t>Nora Neyda Franco Torres</t>
  </si>
  <si>
    <t>Entidad expresa que porcentaje de sisben es mayor al que aplica el subsidio</t>
  </si>
  <si>
    <t>4.615168400322546, -74.13792449321458</t>
  </si>
  <si>
    <t>Información sobre oferta alcaldía</t>
  </si>
  <si>
    <t>Kennedy</t>
  </si>
  <si>
    <t>Mesa de trabajo obras inconclusas Colegio Kennedy
sede Los Héroes Confirmación de día y hora, persones mesa de  de trabajo con la UAESP, y persona día y hora mesa de trabajo seguridad</t>
  </si>
  <si>
    <t>Secretaría de Educación del Distrito</t>
  </si>
  <si>
    <t>Finalizaron las obras por las cuales se citó mesa técnica con entidades</t>
  </si>
  <si>
    <t>Traslado derecho de petición destapar caja de alcantarillado en la avenida barrio sinaí lider Dairo Garcia</t>
  </si>
  <si>
    <t>Empresa de Acueducto y Alcantarillado de Bogotá -ESP</t>
  </si>
  <si>
    <t>Dairo García</t>
  </si>
  <si>
    <t>calle 43 con transversal 78 i - 09 sur,</t>
  </si>
  <si>
    <t>Enviaron respuesta de que hicieron revisión, y ya se había arreglado - 12/03/2024 10:46 a. m.</t>
  </si>
  <si>
    <t>E-2024-026279</t>
  </si>
  <si>
    <t>4.615945, -74.163841</t>
  </si>
  <si>
    <t>Abril</t>
  </si>
  <si>
    <t>Buscar el arreglo de losas en mal estado en los alrededores de la Iglesia</t>
  </si>
  <si>
    <t>Instituto de Desarrollo Urbano - IDU</t>
  </si>
  <si>
    <t>Av. Boyacá #25 Sur NO 35</t>
  </si>
  <si>
    <t>Pendiente</t>
  </si>
  <si>
    <t>Tras la visita IDU expresa que acueducto tiene reservado el segmento, por lo cual no puede intervenir, se envio respuesta a acueducto sobre reserva expresa que va hasta junio, pero que posiblemente haga prorroga, queda en proceso con oficina concejo para hacer seguimiento al caso ( trta acueducto  pide proooga  de 3 meses  inicio 02 /06/24 hacer seguimiento) vencimienteo de porroga 02/09/2024. se hizo seguimiento con el folio 202400116</t>
  </si>
  <si>
    <t>4.6164285938814045, -74.14044300611559</t>
  </si>
  <si>
    <t>PENDIENTE GESTIONAR POR PARTE  DE LA OFICNA DEL CONCEJO LA CITA  CON EL ACUEDUCTO SOBRE EL CASO en vencimiento de la porroga fue el 02 /09/2024</t>
  </si>
  <si>
    <t>Vias sin señalización, luminarias y residuos</t>
  </si>
  <si>
    <t>Americas</t>
  </si>
  <si>
    <t>Gloria Rincon</t>
  </si>
  <si>
    <t>calle 35 a sur con carrera 72 n</t>
  </si>
  <si>
    <t>No se realizpo por falta de confirmación de las enrtidades, se citan nuevamente con el radicado no 202400030</t>
  </si>
  <si>
    <t>202461201005692 y  20247000145422</t>
  </si>
  <si>
    <t>11 de Marzo de 2024</t>
  </si>
  <si>
    <t>4.618604279365198, -74.1433844750379</t>
  </si>
  <si>
    <t>Ayuda sobre agua, está llegando amarilla</t>
  </si>
  <si>
    <t>Palenque</t>
  </si>
  <si>
    <t>Luz Genig</t>
  </si>
  <si>
    <t>320 4244269</t>
  </si>
  <si>
    <t>Acueducto envio recomendaciones y por</t>
  </si>
  <si>
    <t>4.613161605680571, -74.15993369217718</t>
  </si>
  <si>
    <t>ASI</t>
  </si>
  <si>
    <t>Acompañamiento jurídico, psicologico a familia</t>
  </si>
  <si>
    <t>Rosa Cristina Saldaña Saavedra</t>
  </si>
  <si>
    <t>cristinasaldaña205@gmail.com</t>
  </si>
  <si>
    <t>En proceso</t>
  </si>
  <si>
    <t>caso enviado por edilesa andry. Hay una hermana que trabaja en un colegio y sobre el posible caso de una estudiante hace esta respectiva solictud , pendeinte enviar nuevo folio</t>
  </si>
  <si>
    <t>PENDIENTE CONFIORMAR CON LA LIDER SI LE DIERON RTA, pendeinte enviar  nuevo folio</t>
  </si>
  <si>
    <t>Solicitud de información sobre contenedores de residuos</t>
  </si>
  <si>
    <t>Unidad Administrativa Especial de Servicios Públicos - UAESP</t>
  </si>
  <si>
    <t>residentes localidad de Kennedy</t>
  </si>
  <si>
    <t>no se ha obtenido respuestaa de la entidad, segun UAESP falta rta ,demora 166 dias en responder ( 02/09/24) se envio nuevo folio  con el #  202400081</t>
  </si>
  <si>
    <t>20247000156472 (UAESP)</t>
  </si>
  <si>
    <t>https://gdocumental.uaesp.gov.co/pqrs/consultaWeb/</t>
  </si>
  <si>
    <t>no tiene pendientes</t>
  </si>
  <si>
    <t>Solicitar información por que la vía está reservada</t>
  </si>
  <si>
    <t>La tiene reservada el IDU</t>
  </si>
  <si>
    <t>Enviar al IDU Pregunta sobre por qué está reservada por el IDU, revisar caso con Fernando</t>
  </si>
  <si>
    <t>Mesas técnicas</t>
  </si>
  <si>
    <t>Hábitat</t>
  </si>
  <si>
    <t>Instituto de bienestar animal</t>
  </si>
  <si>
    <t>Instituto Distrital de Protección y Bienestar Animal - IDPYBA</t>
  </si>
  <si>
    <t>No se obtuvo respuesta de la entidad</t>
  </si>
  <si>
    <t>PENDIENTE QUE NOS DEN A CONOCER LA OFERTA DE LA ENTIDAD , NO RESPONDIERON A LA MESA TECNICA</t>
  </si>
  <si>
    <t xml:space="preserve">Rutas del SITP </t>
  </si>
  <si>
    <t>Empresa de Transporte del Tercer Milenio Transmilenio S.A.</t>
  </si>
  <si>
    <t>Moises Niño</t>
  </si>
  <si>
    <t xml:space="preserve">Posibilidad de colocar lumbrera en cuadra </t>
  </si>
  <si>
    <t xml:space="preserve">UAESP no fue a la mesa, hizo visita tomo fotos y expresó que no se requiere, por lo cual se insistirá en solicitud, ya que los residentes expresan que genera inseguridad, </t>
  </si>
  <si>
    <t>1-2024-12978</t>
  </si>
  <si>
    <t>SE NEVIO SOLICITUD SOLICITUD POR MEDIO DEL CONCEJO , PENDIENTE RTA</t>
  </si>
  <si>
    <t>Carmen Garzón</t>
  </si>
  <si>
    <t xml:space="preserve">calle 35 a sur con carrera 72 n </t>
  </si>
  <si>
    <t>se verifica que ya arreglaron el pare y la cajade vanti</t>
  </si>
  <si>
    <t>20247000188922 - 20247000174102 (UAESP) 202461201216152 (movilidad) 2-2024-18344. (habitad, no arrroja resultados el radicado)</t>
  </si>
  <si>
    <t>a84fa (UAESP) 26 DE MARZO 2024 (movilidad)</t>
  </si>
  <si>
    <t>4.618380, -74.143438</t>
  </si>
  <si>
    <t xml:space="preserve">1. ENVIAR OFICIO A LA ALCADIA PARA QUE PRIOORICEN VIAS 
2. Queda pendiente como compromisos cambio de pare, señalizacion
</t>
  </si>
  <si>
    <t>Participación</t>
  </si>
  <si>
    <t>Pregunta sobre postulación para beneficio a jac, se expresa a la líder recomendacióndel Partido de no ejecutar, solo propone r y comentarle también al predicador. Además suguiere revisar 2 problemáticas para ayudar a gestionar desde la JAL</t>
  </si>
  <si>
    <t>Luis Gaitan</t>
  </si>
  <si>
    <t>Cra. 78d Bis A #41g Sur-15</t>
  </si>
  <si>
    <t>1. se envia folio 202400084 para priorizar via
2. PREGUNTA A IRD O INTEGRACION SOCIAL SOBRE ACTIVIDADES PARA ADULTO MAYOR</t>
  </si>
  <si>
    <t>Sobre valvula de gas que no está tapada</t>
  </si>
  <si>
    <t>VANTI</t>
  </si>
  <si>
    <t>Parque Maracaná, Cra. 72n</t>
  </si>
  <si>
    <t>entidad hizo el arreglo</t>
  </si>
  <si>
    <t>4.620346430600986, -74.14489389158207</t>
  </si>
  <si>
    <t>NO TIENE PENDEINTES</t>
  </si>
  <si>
    <t>Vía sin pavimentar Unir 1</t>
  </si>
  <si>
    <t>Unidad de mantenimiento vial - UMV</t>
  </si>
  <si>
    <t>Unir 1</t>
  </si>
  <si>
    <t>Tito</t>
  </si>
  <si>
    <t>Calle 26 sur # 89d - 61</t>
  </si>
  <si>
    <t>Tuvo que ser reprogramada porque por salud no pude atender la primera confirmada</t>
  </si>
  <si>
    <t>4.642905649051636, -74.16390210037586</t>
  </si>
  <si>
    <t>Vía sin pavimentar sector comercial roma</t>
  </si>
  <si>
    <t>Paula Velasquez</t>
  </si>
  <si>
    <t>Calle 57 a con carrera 78m sur</t>
  </si>
  <si>
    <t>Mesa de trabajo que acompaño alcaldia local, y Concejal Samir, en donde solicitó a UMV revisar para priorización de fresado</t>
  </si>
  <si>
    <t>4.610289454338436, -74.17363013495067</t>
  </si>
  <si>
    <t>1. GESTIONAR CON NUEVA ALCALDESA LOCAL o IDU</t>
  </si>
  <si>
    <t>Problemas de movilidad</t>
  </si>
  <si>
    <t>Avenida calle # 71 a - 11</t>
  </si>
  <si>
    <t>Entidad no asistió por lo cual se reprogramó</t>
  </si>
  <si>
    <t>4.627562308334658, -74.13486643178433</t>
  </si>
  <si>
    <t>Atención referido Concejal Fabian queda pendiente información de referido</t>
  </si>
  <si>
    <t>PENDIETE RTA DEL REFERIDO, SE VOLVIA A PREGUNTA EL 02/07/24 AL REFERIDO</t>
  </si>
  <si>
    <t>Vivienda</t>
  </si>
  <si>
    <t>Persona externa si conocía beneficios de arreglos de viviendas, subsidios</t>
  </si>
  <si>
    <t>NO TIENE PENDEINTEES</t>
  </si>
  <si>
    <t>Cupo escolar enviado por edilesa Andry, de referido en Kennedy de hermana</t>
  </si>
  <si>
    <t>ciudad Tintal</t>
  </si>
  <si>
    <t>calle 8C # 92- 72</t>
  </si>
  <si>
    <t xml:space="preserve">Respuesta de la sec de educación no había cupo en el colegio solciitado. Solicitud de información en relación a  ¿Hay déficit de cupos escolares para el grado TERCERO (3) de primaria en la UPZ Tintal de la localidad de Kennedy? </t>
  </si>
  <si>
    <t>4.652275395887933, -74.13974142628248</t>
  </si>
  <si>
    <t>Visita de especilaista para fresado</t>
  </si>
  <si>
    <t>Se reprogramó por reunión con Bancada</t>
  </si>
  <si>
    <t>4.609132301632403, -74.17313740528013</t>
  </si>
  <si>
    <t>Solicitud de señalizacion</t>
  </si>
  <si>
    <t>realizarán campañas de sensibilización y evaluaran posibilidad de colocar otra señalización</t>
  </si>
  <si>
    <t xml:space="preserve">1. PREGUNTA A LA LIDER SOBRE CAMPAÑAS DE SENSIBILIZACION </t>
  </si>
  <si>
    <t>Solicitud arreglo pare dañado</t>
  </si>
  <si>
    <t>SEe arreglo el pare</t>
  </si>
  <si>
    <t>4.617961969526088, -74.14416465001891</t>
  </si>
  <si>
    <t>https://gestiondocumental.movilidadbogota.gov.co/orfeo-api/</t>
  </si>
  <si>
    <t>Vendedor informal hermano Juan David</t>
  </si>
  <si>
    <t>La Igualdad</t>
  </si>
  <si>
    <t>Juan David</t>
  </si>
  <si>
    <t>Carrera 69 #2b 36</t>
  </si>
  <si>
    <t>4.624494167450061, -74.12861967700121</t>
  </si>
  <si>
    <t>Mayo</t>
  </si>
  <si>
    <t>Obras inconclusas colegios</t>
  </si>
  <si>
    <t>comunidad educativa</t>
  </si>
  <si>
    <t>Cra. 73 #26 Sur-81</t>
  </si>
  <si>
    <t xml:space="preserve">se reprogramó por solicitud de gobbierno por fallas de orfeo no se agendaron las entidades </t>
  </si>
  <si>
    <t>4.621147849873051, -74.1451909</t>
  </si>
  <si>
    <t>Traslado de colegio- solicitud recibida por el edil Julian Cortes Rafael Uribe Uribe</t>
  </si>
  <si>
    <t>Pio XII</t>
  </si>
  <si>
    <t>Javier Armando Cifuentes</t>
  </si>
  <si>
    <t>CALLE 6A SUR #79B - 05</t>
  </si>
  <si>
    <t>No había cupo en el colegio solicitado</t>
  </si>
  <si>
    <t>4.637239351514703, -74.1518069554311</t>
  </si>
  <si>
    <t>Cupo colegio hija hermana Johana, Paula quien tiene discapacidad</t>
  </si>
  <si>
    <t>Casablanca</t>
  </si>
  <si>
    <t>Johana Tellez</t>
  </si>
  <si>
    <t>carrera 79f #46-16</t>
  </si>
  <si>
    <t>Enviaron respuesta y asiganron cupo</t>
  </si>
  <si>
    <t>4.618428487369471, -74.16790814816491</t>
  </si>
  <si>
    <t>NO TIENE PENDEIENTES</t>
  </si>
  <si>
    <t xml:space="preserve">Cupo colegio   </t>
  </si>
  <si>
    <t>Class</t>
  </si>
  <si>
    <t>Mayelli Abonia Camacho</t>
  </si>
  <si>
    <t>29.507.889</t>
  </si>
  <si>
    <t>colegio debora arango</t>
  </si>
  <si>
    <t>enviaron respuesta e hicieron traslado a colegio solciitado</t>
  </si>
  <si>
    <t>4.61819360541582, -74.18322207700125</t>
  </si>
  <si>
    <t>Barrio Americas</t>
  </si>
  <si>
    <t>Carrera 71c # 5c - 84</t>
  </si>
  <si>
    <t>UMV pendiente de enviar informe para posoble prorización</t>
  </si>
  <si>
    <t>4.629750834940051, -74.13532713652766</t>
  </si>
  <si>
    <t>PENDIENTE QUE UMV ENVIE INFORME DE LAS VIAS VISITADAS , HASTA EL DIA 02/07&gt;/24 NO HA SIDO ENVIADAS</t>
  </si>
  <si>
    <t>Barrio Villa Claudia contenedores-lider Jimmy</t>
  </si>
  <si>
    <t>Villa Claudia</t>
  </si>
  <si>
    <t>Jimmy Gutierrez</t>
  </si>
  <si>
    <t xml:space="preserve"> KR 69 # 17 - 04 sur</t>
  </si>
  <si>
    <t>ciudad limpia sa RTA que no e sposible retirar los contenedores porque cim´len con los requisitos</t>
  </si>
  <si>
    <t>4.616169875846756, -74.12843434695166</t>
  </si>
  <si>
    <t>Mesa de trabajo malla vial afectada - barrio Unir</t>
  </si>
  <si>
    <t>Se realizó la mesa, pero quedó pendiente el envío de información por parte de la alcaldía y la UMV</t>
  </si>
  <si>
    <t>4.643423800681527, -74.16480233602965</t>
  </si>
  <si>
    <t>PENDEINTE HABLAR CON LA COMUNIDAD SOBRE USO DE LA VIA, QUE ES PEATONAL</t>
  </si>
  <si>
    <t>Traslado de colegio - familiar Hna Mary Preciado</t>
  </si>
  <si>
    <t>Giovanni Gonzalo Balcarcel</t>
  </si>
  <si>
    <t>Carrera 87 d # 6-30 sur</t>
  </si>
  <si>
    <t>gusmanandrea71@gmail.com</t>
  </si>
  <si>
    <t>No había cupos en el colegio solicitado. Persona encontró otro colegio</t>
  </si>
  <si>
    <t>Cultura, recreación, turismo y deporte</t>
  </si>
  <si>
    <t>Mantenimiento de parque Proximidad- Hna Vilma</t>
  </si>
  <si>
    <t>Ciudad Kennedy Sur</t>
  </si>
  <si>
    <t>Vilma Triana</t>
  </si>
  <si>
    <t>Transversal 78 k #41 b sur - 45</t>
  </si>
  <si>
    <t>Se comprometieron enviarlo al banco de inciativas</t>
  </si>
  <si>
    <t>4.619493890027248, -74.15869685343758</t>
  </si>
  <si>
    <t>Reprogramacion mesa de trabajo visita Ing UMV</t>
  </si>
  <si>
    <t>UMV Responde que no tiene la competencia ya que la vía requiere construcción y ellos no lo hacen</t>
  </si>
  <si>
    <t>Mesa tecnica obras inconclusas colegio Kennedy sede los Heroes y colegio Isabel II</t>
  </si>
  <si>
    <t>Comunidad educativa</t>
  </si>
  <si>
    <t>Está pendiente que se envíe por parte de las entidades el cronograma de obra</t>
  </si>
  <si>
    <t>20244211565752 (S. GOBIERNO)</t>
  </si>
  <si>
    <t>NO ENVIARON CRONOGRAMA</t>
  </si>
  <si>
    <t>Solicitud de información sobre Plaza de mercado</t>
  </si>
  <si>
    <t>Secretaría Distrital de Salud</t>
  </si>
  <si>
    <t>Luz Mary</t>
  </si>
  <si>
    <t>Calle 42 No 78M-50 Sur.</t>
  </si>
  <si>
    <t>2024-ER-18420 (S SALUD)
2024ER0007923(desarrollo economico)
2024ER0007923
(se. dx economico)</t>
  </si>
  <si>
    <t>vM2lvmLGfg(1er radicado)
Código de seguridad: 314779 (3er radicado&gt;)</t>
  </si>
  <si>
    <t>4.6194428917865284, -74.1602941385405</t>
  </si>
  <si>
    <r>
      <rPr>
        <rFont val="Arial"/>
        <color rgb="FF1155CC"/>
        <sz val="10.0"/>
        <u/>
      </rPr>
      <t xml:space="preserve">https://vuvsgdaprod.azurewebsites.net/Publico/FindIndexWeb.aspx.
</t>
    </r>
    <r>
      <rPr>
        <rFont val="Arial"/>
        <color rgb="FF1155CC"/>
        <sz val="10.0"/>
        <u/>
      </rPr>
      <t>https://gesdoc.desarrolloeconomico.gov.co/SGD_WEB/www/viewDocumentImageS.jsp?id=ACwZJOTy%2FSKT9EmSAwVrzg%3D%3D</t>
    </r>
    <r>
      <rPr>
        <rFont val="Arial"/>
        <color rgb="FF1155CC"/>
        <sz val="10.0"/>
        <u/>
      </rPr>
      <t xml:space="preserve">
https://gesdoc.desarrolloeconomico.gov.co/SGD_WEB/www/pqr.sdde.jsp</t>
    </r>
  </si>
  <si>
    <t xml:space="preserve">volver a enviar ofico a secretaria de salud con copia a secretaria de go ierno PORQUE AUN NO HAY RTA </t>
  </si>
  <si>
    <t>Salud</t>
  </si>
  <si>
    <t>Traslado derecho de peticion Hayder Alfonso Ramirez</t>
  </si>
  <si>
    <t xml:space="preserve">Hayder Alfonso Ramirez </t>
  </si>
  <si>
    <t>NA</t>
  </si>
  <si>
    <t>hayder.insuasty@gmail.com</t>
  </si>
  <si>
    <t>No hubo respuesta de la persona y falleció la persona</t>
  </si>
  <si>
    <t>2024-ER-18606</t>
  </si>
  <si>
    <t>6ehd4W4s2P</t>
  </si>
  <si>
    <t>https://vuvsgdaprod.azurewebsites.net/Publico/FindIndexWeb.aspx.</t>
  </si>
  <si>
    <t xml:space="preserve">volver a enviar ofico a secretaria de salud con copia a secretaria de gobierno PORQUE AUN NO HAY RTA </t>
  </si>
  <si>
    <t>Derecho de peticion informacion</t>
  </si>
  <si>
    <t>Recopilación de datos para intervenciones</t>
  </si>
  <si>
    <t>reprogramación por reunión con Bancada - Mantenimiento de parque Proximidad -Hna Vilma</t>
  </si>
  <si>
    <t>PENDIENTE HACER UN TRASLADO DE PETICION  A NOMBRE DE LA HNA VILMA</t>
  </si>
  <si>
    <t>Ruta circular, reductores Marsella (se programo par el viernes 14 de junio)</t>
  </si>
  <si>
    <t>Marsella</t>
  </si>
  <si>
    <t>Henry Quiroga</t>
  </si>
  <si>
    <t xml:space="preserve">Calle 5 #9C-14 - Salon del Edificio brandenburgo III
</t>
  </si>
  <si>
    <t>4.627013885046934, -74.12984203411614</t>
  </si>
  <si>
    <t>PENDIENTE ENVIAR NUEVO OFICIO, YA QUE NO HUBO RT DE TRANSMILENIO
1. AMPLIAR RECORRIDOS DE RUTA CIORCULAR  Y MOVER PARADAS  DE RUTAS DEL SITP SOBRE LAS AMERICAS</t>
  </si>
  <si>
    <t>Instalacion de reductores de velocidad- reprogramacion porque entidad no fue 202400035</t>
  </si>
  <si>
    <t>Gloria Rincón</t>
  </si>
  <si>
    <t xml:space="preserve">Se hizo la mesa de trabajo con la entidad y vecinos residentes del sector y se llegó a acuerdos de evaluar la posibilidad de poner una de las vías en doble sentido para evitar la problemática y de hacer jornadas de sensibilización referente al mal parqueo. </t>
  </si>
  <si>
    <t>202461201818022 (movilidad)c</t>
  </si>
  <si>
    <t>16 de Mayo de 2024,</t>
  </si>
  <si>
    <t>4.630302796517393, -74.13340519597884</t>
  </si>
  <si>
    <t>PRNDEINTE POSIBLE SOLUCION LIDER JIMMY</t>
  </si>
  <si>
    <t>Mesa de gestion territorial, contenedores de residuos y roedores- Unir 1</t>
  </si>
  <si>
    <t>Dora Zapata</t>
  </si>
  <si>
    <t>Carrera 89 c # 35- 19 sur</t>
  </si>
  <si>
    <t>UAESP tomó registro de la problemática y se comprometió en redactar un oficio para evaluar con el operador la posibilidad del retiro del contenedor, además de realizar una campaña de sensibilización con el buen uso de los contenedores en el sector.</t>
  </si>
  <si>
    <t>4.642420457273123, -74.16654999463763</t>
  </si>
  <si>
    <t>PENDIENTE UAESP ENVIAR INFORME SOBRE SITUACION DE LOS CONTENEDORES</t>
  </si>
  <si>
    <t>Traslado colegio Hno Ricardo Gutierrez</t>
  </si>
  <si>
    <t>Johana Urbano Marín</t>
  </si>
  <si>
    <t>ricardogutierrezcastano@gmail.com</t>
  </si>
  <si>
    <t>No hay respuesta por parte de la secretaría de educación. No hay cupo para el curso solicitado, sin embargo el niño ya tenía un cupo.</t>
  </si>
  <si>
    <t>Destapar alcantarilla y nivelar alcantarilla</t>
  </si>
  <si>
    <t>Cra. 71c #5b24</t>
  </si>
  <si>
    <t>alcaltarillado da RTA que se hara los arreglos al haber presupeusta destinado en la zona</t>
  </si>
  <si>
    <t>E-2024-053237</t>
  </si>
  <si>
    <t>4.628887535298376, -74.1352475187714</t>
  </si>
  <si>
    <r>
      <rPr>
        <rFont val="Arial"/>
        <color rgb="FF1155CC"/>
        <u/>
      </rPr>
      <t>https://www.acueducto.com.co/wps/portal/EAB2/Home/atencion-al-usuario/pqrsd/consulta_el_estado_de_una_pqrsd/</t>
    </r>
  </si>
  <si>
    <t>no hubo rta por acueducto</t>
  </si>
  <si>
    <t>Junio</t>
  </si>
  <si>
    <t>Mesa de gestion territorial preservacion de espacio perimetral salon comunal Villa Adriana</t>
  </si>
  <si>
    <t>Villa Adriana</t>
  </si>
  <si>
    <t>Calle 20 Sur # 68d-36</t>
  </si>
  <si>
    <t>se realizo mesa de trabajo</t>
  </si>
  <si>
    <t>4.613174394736542, -74.1290108341056</t>
  </si>
  <si>
    <t>PENDIETE REALIZAR POSIBLE SOLUCION CON LIDER JIMMY</t>
  </si>
  <si>
    <t>Solicitud de tapas de alcantarillas Tierra Buena</t>
  </si>
  <si>
    <t>Tierra Buena</t>
  </si>
  <si>
    <t>Residentes Tierra Buena</t>
  </si>
  <si>
    <t>Cl. 34 Bis Sur #95A-70</t>
  </si>
  <si>
    <t>acueducto  dice que va  apriorizar las tapas de alcantarillado</t>
  </si>
  <si>
    <t>E-2024-059660 (radicado entrada)
	S-2024-197646(radicado Salida)</t>
  </si>
  <si>
    <t>4.649711172367381, -74.17107417644371</t>
  </si>
  <si>
    <t>https://www.acueducto.com.co/wps/portal/EAB2/Home/atencion-al-usuario/pqrsd/consulta_el_estado_de_una_pqrsd/</t>
  </si>
  <si>
    <t>PENDIENTE  HACERLE SEGUIMIENTO con lider , acueducto se compromete desde el 25/06/2024</t>
  </si>
  <si>
    <t>Mesa de Gestión Territorial por problemáticas con árboles, alumbrado y</t>
  </si>
  <si>
    <t>Carmelo</t>
  </si>
  <si>
    <t>Mary Mendez</t>
  </si>
  <si>
    <t xml:space="preserve">calle 53 sur #81H - 06 </t>
  </si>
  <si>
    <t>secretria de ambiente envia re aporte de cada arbol  a AUESP y ENNEL</t>
  </si>
  <si>
    <t>1202480002093 (ENEL)
2024ER121155(ambiente)</t>
  </si>
  <si>
    <t>06/06/2024 (ENEL)
07/06/2024 (ambiente)</t>
  </si>
  <si>
    <t>4.626549048458026, -74.18079114817041</t>
  </si>
  <si>
    <t xml:space="preserve"> pendiente enviar a ENNEl ofico para que de repuesta alo ue s. ambiente envio</t>
  </si>
  <si>
    <t>202400066-1</t>
  </si>
  <si>
    <t>poste de cables.</t>
  </si>
  <si>
    <t>la Llanura</t>
  </si>
  <si>
    <t>Olga Torres</t>
  </si>
  <si>
    <t>calle 21 sur # 68 G -04</t>
  </si>
  <si>
    <t>olgatorres0971@hotmail.com</t>
  </si>
  <si>
    <t>el UAESP responde que es te poste es competencia de ENEL, eelos remiten a ENel , ENnel rta que ven elposte en buenas vondiciones</t>
  </si>
  <si>
    <t>20247000325372 - 20247000328052</t>
  </si>
  <si>
    <t>4.613297, -74.129780</t>
  </si>
  <si>
    <t>202400066- 2</t>
  </si>
  <si>
    <t>Solicitud cupo escolar</t>
  </si>
  <si>
    <t>Tibabuyes Suba</t>
  </si>
  <si>
    <t>Lizeth Lopéz Orozco</t>
  </si>
  <si>
    <t>Calle 143 a #128 - 51</t>
  </si>
  <si>
    <t>lizethlorozco@gmail.com</t>
  </si>
  <si>
    <t>e realiza el traslad a otro colegio preo no al que solicito la persona, se envia nuevo derecho de peticion</t>
  </si>
  <si>
    <t>E-2024-100372</t>
  </si>
  <si>
    <t>AKZYB</t>
  </si>
  <si>
    <t>4.750007184850797, -74.11068337626202</t>
  </si>
  <si>
    <t>Las Villas de Kennedy</t>
  </si>
  <si>
    <t>Yudy Andrade</t>
  </si>
  <si>
    <t>carrera 79 d #38c sur - 34</t>
  </si>
  <si>
    <t>andradeyudy91@gmail.com</t>
  </si>
  <si>
    <t>Se realizo el traslado, se avisa a la madre del menor</t>
  </si>
  <si>
    <t>4.628946770722478, -74.15407505599603</t>
  </si>
  <si>
    <t>Solicitud a VANTI sobre arreglo que hicieron y ya se daño en Carvajal</t>
  </si>
  <si>
    <t>calle 37 sur con carrera 72 n parque Maracaná</t>
  </si>
  <si>
    <t>se verifica con la lider y  se evidencia el arreglo de la tapa</t>
  </si>
  <si>
    <t>4.616121346088404, -74.14463168426973</t>
  </si>
  <si>
    <t>se verifica con lider  y esta el arreglo hecho</t>
  </si>
  <si>
    <t>Julio</t>
  </si>
  <si>
    <t>Solicitud silla de ruedas electrica</t>
  </si>
  <si>
    <t>Capital Salud EPS-S SAS</t>
  </si>
  <si>
    <t>Los Almendros</t>
  </si>
  <si>
    <t>Jesus Horacio Gutierrez Baquero</t>
  </si>
  <si>
    <t>carrera 98 # 40 a - 46 sur</t>
  </si>
  <si>
    <t>yuddyyolimaro@gmail.com</t>
  </si>
  <si>
    <t xml:space="preserve">  piden concepto por ortopedia  para que EPS haga junta medica del caso, se nvia nuevo folio para solicitud de cita con # 202400084</t>
  </si>
  <si>
    <t>20249300402981732 ( superintendencia)</t>
  </si>
  <si>
    <t>4.647434082461411, -74.17534973455865</t>
  </si>
  <si>
    <t>se envia nuevo folio  202400084 para solicitud de cita con ortopedia</t>
  </si>
  <si>
    <t>Solicitud de traslado de colegio</t>
  </si>
  <si>
    <t>se obtuvo el traslado</t>
  </si>
  <si>
    <t>10/ 07/2024</t>
  </si>
  <si>
    <t>E-2024-109319</t>
  </si>
  <si>
    <t>HZ334</t>
  </si>
  <si>
    <t>http://fut.redp.edu.co/FUT-web/#/consulta_web_detalle</t>
  </si>
  <si>
    <t>Subsidio adulto mayor</t>
  </si>
  <si>
    <t>Las brisas</t>
  </si>
  <si>
    <t>Hernando Medina Castro</t>
  </si>
  <si>
    <t>cra 90 C # 41-34 sur</t>
  </si>
  <si>
    <t>el adulto mayor debe dirigier a el fondo en la dirección Centro comercial Mall plaza piso 6 Av.
calle 19 No 58-80</t>
  </si>
  <si>
    <t>4.640097619424594, -74.17200153447324</t>
  </si>
  <si>
    <t>pendiente preguntar al usiario si se dirigio a la dirrecion indicada</t>
  </si>
  <si>
    <t>Mesa de trabajo Líder Segundo vía que está en proceso de estudios y diseños</t>
  </si>
  <si>
    <t>La Rivera 1 sector</t>
  </si>
  <si>
    <t>pendiente realizar una nueva mesa de trabajo el 15/10/2024 dado que entidad dse compromete a entregar estudios sobre esa fecha. (ya se realizo segunda mesa de trabajo ver folio 202400113)</t>
  </si>
  <si>
    <t>4.649051872649059, -74.17798372150027</t>
  </si>
  <si>
    <t>pendiente realizar una segunda mesa de trabajo despues del 15 de octubre de 2024 porque se quedo con el compromiso de entregar los estudios de diseño , pendiente programar mesa de trabajo de seguimiento y la alcadia quedo de enviar si hay alguna novedad y pendiente enviar derecho de peticion para pavimentacion de vias con las firmas recolectdas. enviar  nuevo  a fin de noviembre folio a alcaldia  sobre avance de estuduios y deseños</t>
  </si>
  <si>
    <t>Subsidio adulto mayor conocida líder Ruby</t>
  </si>
  <si>
    <t>Casa Blanca</t>
  </si>
  <si>
    <t>Flor de Maria Ardila de Lopez</t>
  </si>
  <si>
    <t>cra 79F # 49- 12 Sur bloque 6 interior 3 apt 402</t>
  </si>
  <si>
    <t>la adulta mayor ya esta recibiendo un subsidio</t>
  </si>
  <si>
    <t>4.618265121863871, -74.16912952996348</t>
  </si>
  <si>
    <t>Solicitud de informe de revisión de una vía pavimentada hace 5 años, lider Kennedy Central Luz</t>
  </si>
  <si>
    <t>Luz Gening</t>
  </si>
  <si>
    <t>calle 42 f #78 d - 81 sur</t>
  </si>
  <si>
    <t>el contratista da rta a alcaldia que Se realizarán actividades de sello de juntas, Sello de fisuras y reparación de acabados en pozos. También se señala
que estas actividades se programaron para ser ejecutadas entre el 24 de julio al 30 de septiembre de 2024. pendiente revisar si estos arrglos se hicieron</t>
  </si>
  <si>
    <t>20245810117712 (ALCALDIA loCAL KENNEDY)</t>
  </si>
  <si>
    <t>4.613266530235175, -74.16028357680067</t>
  </si>
  <si>
    <t>Mesa de trabajo Villa Adriana poda de arboles que están tapando la iluminación y otros arboles para revisar</t>
  </si>
  <si>
    <t>carrera 68 h # 20 - 45</t>
  </si>
  <si>
    <t>se reprograma  mesa de trabajo ya que a la fecha no todas las entidades habian conrestado , se parsa nuevo derecho de peticion con  folio 202400080</t>
  </si>
  <si>
    <t>20247000401472 (UAESP)
2024ER155918 (S. AMBIENTE)
2024JBB410062801 (J. BOTANICO) 
000837460 (ENEL)</t>
  </si>
  <si>
    <t>863af( UAESP)
24/07/2024 (S. AMBIENTE)</t>
  </si>
  <si>
    <t>4.613822695372193, -74.12972390544954</t>
  </si>
  <si>
    <t>se reporgama mesa de trabajo</t>
  </si>
  <si>
    <t>Agosto</t>
  </si>
  <si>
    <t>Solicitud de priorización de pavimentación de via Marsella</t>
  </si>
  <si>
    <t>Lucinda Bonilla</t>
  </si>
  <si>
    <t>calle 5C # carrera 78 h</t>
  </si>
  <si>
    <t>luboni45@gmail.com</t>
  </si>
  <si>
    <t>alcadia da rta que la via es competencia de FDLK, y que el tramo esta bajo reserva del acueducto, alcaldia de kennedy remite a acueducto en espera de rta (09/09/2024)</t>
  </si>
  <si>
    <t>20245810127812( CDI Kennedy)</t>
  </si>
  <si>
    <t>4.630292902682945, -74.147543792146</t>
  </si>
  <si>
    <t>hacer segumienta a rta de acueducto a FDLK sobre la via</t>
  </si>
  <si>
    <t>Solicitud de priorización de pavimentación de via Villa alexandra</t>
  </si>
  <si>
    <t>Villa Alexandra</t>
  </si>
  <si>
    <t>Maria Mora</t>
  </si>
  <si>
    <t>Carrera 99b entre Calle 42a y Calle 41s</t>
  </si>
  <si>
    <t>FDLK reponde que la via no esta priorizada, pero que incluira la via al banco de iniciativas para adelnatar estudios de viabilidad tecnica y presupuesta pra futuras intervencion</t>
  </si>
  <si>
    <t>20245810127752 (cdi kennedy)</t>
  </si>
  <si>
    <t>4.647895392223141, -74.17785773447328</t>
  </si>
  <si>
    <t>Mesa de trabajo La Campiña Leonardo Sierra 3195554926 (externo)</t>
  </si>
  <si>
    <t>La Campiña</t>
  </si>
  <si>
    <t>Leonardo Sierra (externo)</t>
  </si>
  <si>
    <t>Transversal 72F #39H - 04</t>
  </si>
  <si>
    <t xml:space="preserve">rta derecho de peticion enviado por la comunidad  sobre "obra por tu lugar" que dice que se finaciaa uan parte pero la comunidad debia financiar otra parte , por arte de lider dice que van a buscar otra alternativa  de parte privada </t>
  </si>
  <si>
    <t>202452601330252 (IDU)
20241120095302 (UMV)</t>
  </si>
  <si>
    <t>4.604566444853899, -74.14387053447341</t>
  </si>
  <si>
    <t>https://webidu.idu.gov.co/conectaidu/consulta-radicado</t>
  </si>
  <si>
    <t xml:space="preserve">Solicitud de vías priorizadas en la localidad de Kennedy en conjunto con Concejo, concejo lo envío con otro radicado entonces dejar a observación </t>
  </si>
  <si>
    <t>kennedy</t>
  </si>
  <si>
    <t>Jenny Garcia</t>
  </si>
  <si>
    <t>respuesta por parte del IDU</t>
  </si>
  <si>
    <t>Asesor</t>
  </si>
  <si>
    <t>REPROGRAMACIÓN MESA DE TRABAJO LA LLANURA PODA ARBOLES 202400075</t>
  </si>
  <si>
    <t xml:space="preserve">UAESP remite a ENNEL y ete da rta que  realiza visita y  da rta que ellos evidenciian que le poste esta en buen funcionamiento , aun no hay rta en cuanro a los arboles  </t>
  </si>
  <si>
    <t>2024JBB410066721 (jardin botanico)
20244212457122 (alcaldia)</t>
  </si>
  <si>
    <t>egun rta de ciudad limpia la poda la haran en diciembre  2024, pendiente hacer seguimiento</t>
  </si>
  <si>
    <t>solicitud de información sobre contenedores de residuos , se envía el lunes 5 de agosto</t>
  </si>
  <si>
    <t>Norte</t>
  </si>
  <si>
    <t>N/a</t>
  </si>
  <si>
    <t>Calle 56# 79- 40 sur y 
Calle Carrera 72q y la calle 37c Sur</t>
  </si>
  <si>
    <t>se obtuvo rta por parte de secretaria de gobierno  quien remite a UAESP, pendiente rta de esta ultima. se obtiene con radicado de UAESP , pendiente terminacion de radicado (29/08/2024) reviso radicado el 19/09/2024 aun sin rta</t>
  </si>
  <si>
    <t>20247000463442 UAESP)</t>
  </si>
  <si>
    <t>9541e (UAESP)</t>
  </si>
  <si>
    <t xml:space="preserve">4.612039565856289, -74.1735976344734
4.616263017804108, -74.14624787865507
</t>
  </si>
  <si>
    <t>p rta de UAESP del radicado, reviso radicado el 11/09/2024 aun sin rta</t>
  </si>
  <si>
    <t>Mesa de Gestión Territorial por problemáticas por falta de paso peatonal</t>
  </si>
  <si>
    <t>Villa Alsacia</t>
  </si>
  <si>
    <t>Gilma Perez</t>
  </si>
  <si>
    <t>Avenida Boyacá # 12b - 18</t>
  </si>
  <si>
    <t xml:space="preserve">transmilenio da RTA que no es posible mover los paraderos </t>
  </si>
  <si>
    <t>20244212598492(s. gobierno)
2024-ER-42528 TMSA (transmilenio)</t>
  </si>
  <si>
    <t>4.646898041045023, -74.12896086330956</t>
  </si>
  <si>
    <t>Mesa de trabajo La Campiña Leonardo Sierra 202400078 3195554926 (externo) por salud se tuvo que reprogramar 202400083</t>
  </si>
  <si>
    <t>La campiña</t>
  </si>
  <si>
    <t>se realiza mesa de trabajo y entidad dice que la via no esta priorizada pero sugiera a la comunidad pasar derecho de peticion  al programa "obra por tu lugar" , oendiente contestacion a la comunidada sobre esta gestion , la comunidad paso este derecho de peticion</t>
  </si>
  <si>
    <t>pendiente seguimiento del derecho de peticion enviado por la comunidad sobre "obra por tu lugar" que sugirienron las entidades en la mesa de trabajo</t>
  </si>
  <si>
    <t xml:space="preserve">traslado derecho de peticion de Jesus Horacio Gutierez para solicitud de cita por ortopedia </t>
  </si>
  <si>
    <t>se asignaN la cita medicina genral  para el 04/09/2024, y d ahi se remitira a ortopedia</t>
  </si>
  <si>
    <t>20249300403988222(SUPERSALUD)</t>
  </si>
  <si>
    <t>https://www.supersalud.gov.co/es-co/atencion-ciudadano/seguimiento-de-peticiones-quejas-reclamos-y-denuncias</t>
  </si>
  <si>
    <t>PENDIENTE PREGUNTAR AL FAMILAIR SI PUDO SER ASIGNADA LA CITA POR ORTOPEDIA</t>
  </si>
  <si>
    <t>traslado derecho de peticion de Melquicedec Huertas Rojas  para solicitud de cita por oftamologia</t>
  </si>
  <si>
    <r>
      <rPr>
        <rFont val="Arial"/>
        <color rgb="FF000000"/>
        <sz val="10.0"/>
      </rPr>
      <t>Melquicedec Huertas Rojas</t>
    </r>
  </si>
  <si>
    <t>Melquisedechuertasrojas@gmail.com</t>
  </si>
  <si>
    <t>310 7582685</t>
  </si>
  <si>
    <t>20249300404007582( SUPERSALUD)</t>
  </si>
  <si>
    <t>No tiene pendientes</t>
  </si>
  <si>
    <t>Seguimiento conformación frente de seguridad Roma</t>
  </si>
  <si>
    <t>se envia el folio por whatsapp , no por correo , se realiza mesa de trabjo con los siguientes compromisos : 
1.miguel debe enviar  hoja de vida y antecedentes disciplinarios, y enviar correo
2.segun lo anterios la policia  enviara documentos a Miguel
3. la policia debe pedir apoyo a sandra  Y/o funcionario y diligenciar documentos, apoyo a miguel</t>
  </si>
  <si>
    <t>compromisos : 1.miguel debe enviar hoja de vida y antecedentes disciplinarios, y enviar correo 2.segun lo anterios la policia enviara documentos a Miguel 3. la policia debe pedir apoyo a sandra Y/o funcionario y diligenciar documentos, apoyo a miguel</t>
  </si>
  <si>
    <t>Solicitud frente a problemática de cables caídos en el barrio el carmelo paso peatonal y que
además es paradero de SITP “Colegio Gran Britalia”</t>
  </si>
  <si>
    <t>El Carmelo</t>
  </si>
  <si>
    <t>Cl. 54 Sur #81h-6 a</t>
  </si>
  <si>
    <t>20247000463442 (UAESP)</t>
  </si>
  <si>
    <t>4.620530650420253, -74.17701586465374</t>
  </si>
  <si>
    <t>Solicitud Pavimentación Sinaí lider Dairo García</t>
  </si>
  <si>
    <t>El Sinai</t>
  </si>
  <si>
    <t>carrera 78 i &amp; calle 44 a sur</t>
  </si>
  <si>
    <t>319 6422287</t>
  </si>
  <si>
    <t>alcaldia  da rta: no se encuentra incluida actualmente dentro los contratos que está adelantando el Fondo de Desarrollo Local de Kennedy para el mantenimiento preventivo o correctivo. Sin embargo, su solicitud será vinculada al Banco de Iniciativas, para adelantar los estudios de viabilidad técnica y presupuestal que permitan su posterior ejecución</t>
  </si>
  <si>
    <t>20245810144452( CDI kennedy)</t>
  </si>
  <si>
    <t>4.615764594071228, -74.16453846330974</t>
  </si>
  <si>
    <t>Solicitud pavimentación Calarcá líder Luis Gaitan</t>
  </si>
  <si>
    <t xml:space="preserve"> Calarcá</t>
  </si>
  <si>
    <t>carrera 80b # 48-13</t>
  </si>
  <si>
    <t>la vía objeto de su solicitud, no se encuentra incluida actualmente dentro los contratos que está adelantando el Fondo de Desarrollo Local de Kennedy para la conservación vial. Sin embargo, su solicitud será vinculada al BANCO DE INICIATIVAS, para adelantar los estudios de viabilidad técnica y presupuestal que permitan su posterior ejecución.</t>
  </si>
  <si>
    <t>20245810145782 (CDI)</t>
  </si>
  <si>
    <t>4.619630, -74.169936</t>
  </si>
  <si>
    <t>pendiente  seguimientosi la via fue adjuntada al banco de iniciativas</t>
  </si>
  <si>
    <t>Habitante de calle</t>
  </si>
  <si>
    <t xml:space="preserve">Gestion anonima habitante de calle </t>
  </si>
  <si>
    <t>Almenar</t>
  </si>
  <si>
    <t>Nilce Salgado</t>
  </si>
  <si>
    <t>calle 47a # 80f</t>
  </si>
  <si>
    <t>3990252024 ( s, gobierno)</t>
  </si>
  <si>
    <t>4.620569704894951, -74.1697292209824</t>
  </si>
  <si>
    <t>https://sdqs.bogota.gov.co/sdqs/publico/hojaRuta/</t>
  </si>
  <si>
    <t>Mesa técnica con UMV de seguimiento mesas de trabajo, pavimentación de vías</t>
  </si>
  <si>
    <t>umv confirma asistencia</t>
  </si>
  <si>
    <t>Mesa técnica con Alcaldía Local - infraestructura de seguimiento mesas de trabajo, pavimentación de vías</t>
  </si>
  <si>
    <t>Septiembre</t>
  </si>
  <si>
    <t>Estados Unidos</t>
  </si>
  <si>
    <t>Jose Honer Castaño</t>
  </si>
  <si>
    <t>carrera 79 b #39 59 sur</t>
  </si>
  <si>
    <t>secretaria de integracion social remite a subdireccion local de KennedyI por no ser competencia de ellos, llega rta de integracion scial de lacaldia kenneddy y dicen que esta en ptroceso de validacion de la informacion del usurario , septiembre 2024</t>
  </si>
  <si>
    <t>20245810145702 (CDI)</t>
  </si>
  <si>
    <t>4.624696, -74.157998</t>
  </si>
  <si>
    <t>pendiente preguntar al ciudadano si le llego rta de alcaldia</t>
  </si>
  <si>
    <t xml:space="preserve">Solicitud de pavimentación vías rivera 1 sector líder segundo salamanca Carrera 98 bis # 42 A - 27 sur 
</t>
  </si>
  <si>
    <t>Rivera 1 sector</t>
  </si>
  <si>
    <t>4.646521234761372, -74.17748180563689</t>
  </si>
  <si>
    <t>Solicitud de información sobre chucua la vaca Oliverio</t>
  </si>
  <si>
    <t>Oliverio Trujillo</t>
  </si>
  <si>
    <t>1-2024-47291</t>
  </si>
  <si>
    <t>2411447 (#de proceso)</t>
  </si>
  <si>
    <r>
      <rPr>
        <rFont val="Arial"/>
        <color rgb="FF000000"/>
        <sz val="12.0"/>
      </rPr>
      <t>https://sipa.sdp.gov.co/webfile/?consulta</t>
    </r>
    <r>
      <rPr>
        <rFont val="Arial"/>
        <color rgb="FF000000"/>
        <sz val="12.0"/>
      </rPr>
      <t>,</t>
    </r>
  </si>
  <si>
    <t>Mesa de trabajo para solicitud de pavimentación de vía</t>
  </si>
  <si>
    <r>
      <rPr>
        <rFont val="Arial"/>
        <color rgb="FF000000"/>
      </rPr>
      <t>Maria Mora</t>
    </r>
  </si>
  <si>
    <t>4.647949, -74.177858</t>
  </si>
  <si>
    <t>edil enviara un borrador de derecho de peticion y cada persona radica un derecho de peticion</t>
  </si>
  <si>
    <t>Mesa técnica de seguimiento compromisos de mesas de trabajo y compromisos con UAESP</t>
  </si>
  <si>
    <t>KR 69 # 17 - 04 sur</t>
  </si>
  <si>
    <t>20244212824562( s. gobierno)</t>
  </si>
  <si>
    <r>
      <rPr>
        <rFont val="Arial"/>
        <color rgb="FF000000"/>
        <sz val="10.0"/>
      </rPr>
      <t>4.616169875846756, -74.12843434695166</t>
    </r>
  </si>
  <si>
    <r>
      <rPr>
        <rFont val="Arial"/>
        <color rgb="FF1155CC"/>
        <sz val="11.0"/>
        <u/>
      </rPr>
      <t xml:space="preserve">https://app.gobiernobogota.gov.co/ventanilla_virtual/consulta </t>
    </r>
    <r>
      <rPr>
        <rFont val="Arial"/>
        <color rgb="FF000000"/>
        <sz val="11.0"/>
        <u/>
      </rPr>
      <t>(s. gobierno)</t>
    </r>
  </si>
  <si>
    <t>La Campiña Traslado Concejo con el numero de radicado 202400710</t>
  </si>
  <si>
    <t>UMV da rta el 25/09/2024 quien dice que no es posible pririzar esas vias y  ellos hacer traslado de eesta solicitud a   la Alcaldía local de Kennedy, para que
desde su competencia revise sus proyectos de intervención para las vías de su petición. 03/12/2024 , se recibe rta de alcaldia quien indica que  la via no esta priorizada y se pondra en banco de iniciativas</t>
  </si>
  <si>
    <t>IDU d rta , que ellos no responden negativo , solo que necesitN QUE EL 55 % DE LOS PROPIETRIOS DE LOS PREDIOS HAGAN EL DERECHO DE PETICION , ES DECIR FIRMAEN , Y SE INCLUIRA Y QUE ADEMAS ESTAN DISPUESTOS A REUNUIRSEN CON LA COMUNIDAD , ENTREGAN CONCTADO PARA COMUNCARSE</t>
  </si>
  <si>
    <t>Traslado derecho de petición sobre solicitud carlos consejo tutelar</t>
  </si>
  <si>
    <t>Secretaría General</t>
  </si>
  <si>
    <t>Carlos Alberto Acuña</t>
  </si>
  <si>
    <t xml:space="preserve">Transversal 78K No. 41 A - 04 Sur. </t>
  </si>
  <si>
    <t>venacoph@gmail.com</t>
  </si>
  <si>
    <t>Persona del Consejo tutelar</t>
  </si>
  <si>
    <t>4.623430285153056, -74.15661817036373</t>
  </si>
  <si>
    <t xml:space="preserve">se obtien rta   </t>
  </si>
  <si>
    <t>Solicitud de información sobre plaza de mercado en conjunto con el Concejo con el radicado  202400709</t>
  </si>
  <si>
    <t>Instituto Para la Economía Social - IPES</t>
  </si>
  <si>
    <t>Luz  Dary Pimienta</t>
  </si>
  <si>
    <t>Calle 42 No 78M-50 Sur</t>
  </si>
  <si>
    <t>320 4401612</t>
  </si>
  <si>
    <t>4.619474969064504, -74.16044434796437</t>
  </si>
  <si>
    <t>se obtien rta el 25/09/2024</t>
  </si>
  <si>
    <t xml:space="preserve">Mesa de trabajo recibos de Acueducto, Vanti y Enel por solicitud de comunidad, ya que el recibo está llegando con otro barrio </t>
  </si>
  <si>
    <t>20244212989502 (s, gobierno)</t>
  </si>
  <si>
    <t>https://app.gobiernobogota.gov.co/ventanilla_virtual/consulta</t>
  </si>
  <si>
    <t>edil debe enviar los # de cuentas de los recibos  a ENNEl , acueducto se lleva el requerrimiento pero don Segundo debe enviar el poligono para verificar si catastralmente se puede cambiar el nombre del barrio</t>
  </si>
  <si>
    <t xml:space="preserve">Mesa de trabajo Barrio Sinaí Lider Dairo García </t>
  </si>
  <si>
    <t>Sinai</t>
  </si>
  <si>
    <t xml:space="preserve">se realiza mesa de trabajo, compromisos . edil proyectar derecho de peticion para que cada habitante de la cuadra   pueda radicarlos y asi contrinuir a wue po # de derechos de peticiones la via sea priorizada.
p enviar rta de derecho de peticion a lider Daitro garcia que aun no tengo </t>
  </si>
  <si>
    <t>Traslado de derecho de petición para cita médica familiar líder Patio Bonito</t>
  </si>
  <si>
    <t>Margaritas sector 1</t>
  </si>
  <si>
    <t>Lucelida Mendoza Mendez</t>
  </si>
  <si>
    <t>cra 89 A # 45 A -38 sur</t>
  </si>
  <si>
    <t>lucemendoza1966@gmail.com</t>
  </si>
  <si>
    <t>se obtien la cita ,  la persona confirma que ya le asignaron la cita por ginecologia</t>
  </si>
  <si>
    <t>2024-ER-34431</t>
  </si>
  <si>
    <t>nCLoeF2VKc</t>
  </si>
  <si>
    <t>4.635165, -74.177208</t>
  </si>
  <si>
    <t>https://vuvsgdaprod.azurewebsites.net/Publico/FindIndexWeb.aspx</t>
  </si>
  <si>
    <t>Solicitud de información parque riveras de Occidente lider María Sanchez Patio bonito ( radicado concejo 202400733)</t>
  </si>
  <si>
    <t>Riveras del occidente - Unir II</t>
  </si>
  <si>
    <t>Maria Sanchez</t>
  </si>
  <si>
    <t>IDRD especifica que este parque hace competencia de la alcaldia local. En espera de la respuesta de alcaldia local</t>
  </si>
  <si>
    <t>20242100332702 (in. recreacion i deporte IDRD)</t>
  </si>
  <si>
    <t>4.647256, -74.167763</t>
  </si>
  <si>
    <t>https://sdqs.bogota.gov.co/sdqs/publico/bandejaEntrada/</t>
  </si>
  <si>
    <t xml:space="preserve">IDRD remite este derecho de peticion a  la alcaldia local en espera de una rta </t>
  </si>
  <si>
    <t xml:space="preserve">Mesa de trabajo movilidad reductores de velocidad Roma </t>
  </si>
  <si>
    <t>Bryan Rodriguez</t>
  </si>
  <si>
    <t>Calle 57 a sur # 78- 71</t>
  </si>
  <si>
    <t>se realiza mesa de trabajo , tengo rta de alcaldia quien conforma asistencia</t>
  </si>
  <si>
    <t>20244213030662 (s, gobierno)
202461203471292 ( s. movilidad)</t>
  </si>
  <si>
    <t>25/09/2024(s. movilidad)</t>
  </si>
  <si>
    <t>4.608324, -74.172441</t>
  </si>
  <si>
    <r>
      <rPr>
        <color rgb="FF000000"/>
        <sz val="11.0"/>
        <u/>
      </rPr>
      <t xml:space="preserve">https://app.gobiernobogota.gov.co/ventanilla_virtual/consulta
</t>
    </r>
    <r>
      <rPr>
        <color rgb="FF1155CC"/>
        <sz val="11.0"/>
        <u/>
      </rPr>
      <t>https://gestiondocumental.movilidadbogota.gov.co/orfeo-api/</t>
    </r>
  </si>
  <si>
    <t>Traslado derecho de petición solicitud cita urologo oncologo</t>
  </si>
  <si>
    <t>Ciudad Roma</t>
  </si>
  <si>
    <t xml:space="preserve">Jaime eli Guarín Gómez </t>
  </si>
  <si>
    <t xml:space="preserve">  cra 78M # 45B - 08 sur</t>
  </si>
  <si>
    <t>gleidysguarin@yahoo.com.co</t>
  </si>
  <si>
    <t xml:space="preserve">3112705654 / 3208293878 </t>
  </si>
  <si>
    <t xml:space="preserve"> familiar de la lider Gleidys Guarin</t>
  </si>
  <si>
    <t>2024-ER-35055 (S.SALUD)</t>
  </si>
  <si>
    <t>7CfE1nkisX (S. salud)</t>
  </si>
  <si>
    <t xml:space="preserve">4.615638, -74.166739
</t>
  </si>
  <si>
    <t>Octubre</t>
  </si>
  <si>
    <t>traslado derecho de peticion  solicitud cita ortopedia</t>
  </si>
  <si>
    <t>Bosa Nueva Jersey</t>
  </si>
  <si>
    <t>07.Bosa</t>
  </si>
  <si>
    <t>María Engracia Romero de Penagos</t>
  </si>
  <si>
    <t>cra 87 # 57 A - 09 sur</t>
  </si>
  <si>
    <t>amparopenagos1108@gmail.com</t>
  </si>
  <si>
    <t>familiar de Maria ROmero</t>
  </si>
  <si>
    <t>2024-ER-36077(sec, salud)</t>
  </si>
  <si>
    <t>uF0CrG8dir (sec. salud)</t>
  </si>
  <si>
    <t>4.624638, -74.187715</t>
  </si>
  <si>
    <r>
      <rPr>
        <color rgb="FF1155CC"/>
        <u/>
      </rPr>
      <t>https://vuvsgdaprod.azurewebsites.net/Publico/FindIndexWeb.aspx</t>
    </r>
    <r>
      <rPr/>
      <t xml:space="preserve"> (sec. salud)</t>
    </r>
  </si>
  <si>
    <t>reviso el 21 de /10/2024 aun sin rta</t>
  </si>
  <si>
    <t>Mesa de Trabajo Francisco José de Caldas sobre inquietudes de habitantesde tarifas, contenedores y frecuencia del
servicio de recolección de residuos</t>
  </si>
  <si>
    <t>Francisco Jose de Caldas</t>
  </si>
  <si>
    <t xml:space="preserve">07.Bosa Estación </t>
  </si>
  <si>
    <t>KR 79 A # 35- 97 Sur urbanización Francisco José de Caldas</t>
  </si>
  <si>
    <t>20244213247712( S. GOBIERNO)</t>
  </si>
  <si>
    <t>4.627542180632484, -74.15578572098245</t>
  </si>
  <si>
    <t>Mesa de Trabajo Ciudadela Primavera.
1. Revisar vía en mal estado que está generando inseguridad
2. materia de seguridad en este sector
3. Mantenimiento cancha sintética
4. Socializar acción de intervención con muralismo</t>
  </si>
  <si>
    <t>Ciudadela Primavera</t>
  </si>
  <si>
    <t>Ana Temilda Guerrero</t>
  </si>
  <si>
    <t>Carrera 90 a # 4 - 55</t>
  </si>
  <si>
    <t>UMV envia rta el 14/11/24: Realiza la verificación y el tramo
referido no se encuentra incluido dentro de la programación de
actividades vigente y  no es posible para la UAERMV intervenir dicho tramo en este momento.</t>
  </si>
  <si>
    <t xml:space="preserve">20244213280752 (s. gobierno)
202452602064482(IDU) </t>
  </si>
  <si>
    <t>4.646713, -74.162854</t>
  </si>
  <si>
    <r>
      <rPr>
        <rFont val="Arial"/>
        <color rgb="FF000000"/>
        <sz val="11.0"/>
        <u/>
      </rPr>
      <t xml:space="preserve">https://app.gobiernobogota.gov.co/ventanilla_virtual/consulta (s. gobierno)
</t>
    </r>
    <r>
      <rPr>
        <rFont val="Arial"/>
        <color rgb="FF1155CC"/>
        <sz val="11.0"/>
        <u/>
      </rPr>
      <t>https://webidu.idu.gov.co/conectaidu/consulta-radicado</t>
    </r>
    <r>
      <rPr>
        <rFont val="Arial"/>
        <color rgb="FF000000"/>
        <sz val="11.0"/>
        <u/>
      </rPr>
      <t xml:space="preserve">  (IDU)</t>
    </r>
  </si>
  <si>
    <t>Solicitud de información sobre subsidio tipo C Jaime</t>
  </si>
  <si>
    <t>Jaime Ospina</t>
  </si>
  <si>
    <t>se obtiene rta de las diferentes preguntas</t>
  </si>
  <si>
    <t>hacer seguimiento a radicado idu que llego desde el 05 /12/2024</t>
  </si>
  <si>
    <t xml:space="preserve">Solicitud de reductores de velocidad Roma </t>
  </si>
  <si>
    <t>movilidad da rta:  evidencia de falta de mantenimieneto de reductore , se hara de acuerdo a  cronograma y presupuesto de la entidd</t>
  </si>
  <si>
    <t>202461203773142 (movilidad)</t>
  </si>
  <si>
    <t>18 de Octubre  de 2024 (movilidad)</t>
  </si>
  <si>
    <t>4.608313, -74.172398</t>
  </si>
  <si>
    <r>
      <rPr>
        <rFont val="Arial, sans-serif"/>
        <color rgb="FF0000FF"/>
        <u/>
      </rPr>
      <t>https://gestiondocumental.movilidadbogota.gov.co/orfeo-api/</t>
    </r>
    <r>
      <rPr>
        <rFont val="Arial, sans-serif"/>
        <color rgb="FF000000"/>
      </rPr>
      <t xml:space="preserve"> (movilidad)</t>
    </r>
  </si>
  <si>
    <t>Mesa técnica seguimiento compromisos ENEL</t>
  </si>
  <si>
    <t>Enel - Codensa</t>
  </si>
  <si>
    <t>se hara el 28 octubre 10:30am, tengo # raciado alcaldia kennedy</t>
  </si>
  <si>
    <t>120244213317462 (alcaldia kennedy)
20244213317462 (s. gobierno)</t>
  </si>
  <si>
    <t>18/10/2024 (s. gobierno)</t>
  </si>
  <si>
    <t>https://app.gobiernobogota.gov.co/ventanilla_virtual/consulta (s. gobierno)</t>
  </si>
  <si>
    <t>Mesa de Trabajo La Rivera 1 sector, para conocer el avance de los estudios y diseños de
los segmentos 8011957 y 8011959</t>
  </si>
  <si>
    <t>s. gobierno envia cooreo con datos de delegado para mesa de trabajo</t>
  </si>
  <si>
    <t>4.647303, -74.177525</t>
  </si>
  <si>
    <t>Nuevamente estudios y diseños no fueron entregados, en un mes enviar como edilesa, cómo va el proceso</t>
  </si>
  <si>
    <t xml:space="preserve">Solicitud de nivelación de tapa de alcantarillado Unir 1 </t>
  </si>
  <si>
    <t>María Sanchez</t>
  </si>
  <si>
    <t>Cl. 34 Bis Sur #90c-89</t>
  </si>
  <si>
    <t>321 2923898</t>
  </si>
  <si>
    <t>pendiente colocar respuesta en la carpeta, revisar si está física</t>
  </si>
  <si>
    <t>E-2024-113025 ( alcantarillado)</t>
  </si>
  <si>
    <t>18/10/2024 08:40 a. m. (alcantarillado)</t>
  </si>
  <si>
    <t>4.644074, -74.167068</t>
  </si>
  <si>
    <t>Solicitud de nombre de barrio en el recibo de Enel, barrio La Rivera 1 Sector</t>
  </si>
  <si>
    <t>Solicitud de información sobre reserva acueducto vía Carvajal</t>
  </si>
  <si>
    <t>Andres Caicedo</t>
  </si>
  <si>
    <t xml:space="preserve">pendiente enviar nuevo folio para arreglo de lozas de la via </t>
  </si>
  <si>
    <t>E-2024-113388(acueducto)</t>
  </si>
  <si>
    <t>18/10/2024( acueducto)</t>
  </si>
  <si>
    <t>4.617765, -74.139987</t>
  </si>
  <si>
    <t>se envio folio de arreglode lozas 202400125</t>
  </si>
  <si>
    <t>Traslado derecho de petición priorización estudios y diseños 3 segmentos viales Roma (sector Comercial)</t>
  </si>
  <si>
    <t>Paula velasquez</t>
  </si>
  <si>
    <t>Cra. 78m # 56c- 51 sur</t>
  </si>
  <si>
    <t>4.610343, -74.173465</t>
  </si>
  <si>
    <t>Mesa de Trabajo Ciudadela Primavera.
1. Revisar vía en mal estado que está generando inseguridad
2. materia de seguridad en este sector
3. Mantenimiento cancha sintética
4. Socializar acción de intervención con muralismo"</t>
  </si>
  <si>
    <t>UMV envia rta el 14/11/24: Realiza la verificación y el tramo
referido no se encuentra incluido dentro de la programación de
actividades vigente y  no es posible para la UAERMV intervenir dicho tramo en este momento. alcaldia dice que unos de los tramos se va a banco de iniciativas , y otro lo remite al IDU porque hace parte de la ALO , idu da rta el 10 /dic dice que la via no esta incluida   listado de obras del Plan
de Desarrollo Bogotá camina segura 2024-202, por lo que no será desarrollado
para la presente vigencia.</t>
  </si>
  <si>
    <t>20244213379062 (s. gobierno)
20244213379062   (uaesp)
202452602064482 ( IDU)</t>
  </si>
  <si>
    <t>23 /10/2024 (s. gobierno)</t>
  </si>
  <si>
    <t xml:space="preserve">https://app.gobiernobogota.gov.co/ventanilla_virtual/consulta  (s.gobierno)
https://webidu.idu.gov.co/conectaidu/consulta-radicado  (IDU)
</t>
  </si>
  <si>
    <t>Reunión con Policia Comunitaria para conocer oferta para realizar con la comunidad</t>
  </si>
  <si>
    <t>Mesa Técnica seguimiento Actuación estratégica Chucua La Vaca, se iba a enivar por concejo pero no se envió porque se recibió información de la temática</t>
  </si>
  <si>
    <t>Solicitud cambios de PAREs en mal estado</t>
  </si>
  <si>
    <t>llego # radicado el 31/10/2024</t>
  </si>
  <si>
    <t>202461203967252 (s. movilidad)</t>
  </si>
  <si>
    <t>31/10/2024 (s. movilidad)</t>
  </si>
  <si>
    <t>4.616287, -74.144569</t>
  </si>
  <si>
    <r>
      <rPr>
        <rFont val="Arial, sans-serif"/>
        <color rgb="FF0000FF"/>
        <sz val="11.0"/>
        <u/>
      </rPr>
      <t xml:space="preserve">https://gestiondocumental.movilidadbogota.gov.co/orfeo-api/
</t>
    </r>
    <r>
      <rPr>
        <rFont val="Arial, sans-serif"/>
        <color rgb="FF000000"/>
        <sz val="11.0"/>
      </rPr>
      <t>(s. movilidad)</t>
    </r>
  </si>
  <si>
    <t>Solicitud de información sobre segmento vial Villa Nelly para saber si está incluido en banco de inciativas y resaltar importancia de su intervención</t>
  </si>
  <si>
    <t>Solicitud de información si personeria atendió petición de posible ASI</t>
  </si>
  <si>
    <t>Personería Distrital</t>
  </si>
  <si>
    <t>el caso esta con una comisaria</t>
  </si>
  <si>
    <t xml:space="preserve">Noviembre </t>
  </si>
  <si>
    <t>Traslado de derecho de petición para concoer acciones realizadas por alcaldía sobre derecho de petición de mal parqueados en cuadra, líder Carvajal</t>
  </si>
  <si>
    <t>Vergel Occidental</t>
  </si>
  <si>
    <t>cra 84 B # 11D - 69</t>
  </si>
  <si>
    <t>alcadia da rta que la imspeccion de polica toma el caso, se hizo una primera audenia el dia 17 de octubre , donde no asitio el uqerellado, por lo ucal se aliza segund citacion el dia 17 de nerro del 2025, y la alcadi no puede tomar decisiones sobre el caso porque pertenece a la inspeccion de policia</t>
  </si>
  <si>
    <t>4.651427, -74.141452</t>
  </si>
  <si>
    <t>Solicitud conjunta para arreglo de losas en mal estado Carvajal (pendiente envío desde el Concejo folio 202400944)</t>
  </si>
  <si>
    <t>IDU da rta: dicho espacio público no se
encuentra priorizado para su intervención sin emabargo será
considerado dentro del modelo de priorización para su posible preselección dentro de
los programas de conservación que se estructurarán.</t>
  </si>
  <si>
    <t>Solicitud de información sobre cambio de sentido vial Gran Britalia zona comercial</t>
  </si>
  <si>
    <t>Gran Britalia</t>
  </si>
  <si>
    <t xml:space="preserve"> Jhonatan Gonzalez</t>
  </si>
  <si>
    <t>calle 46 sur
entre la carrera 80 y carrera 85</t>
  </si>
  <si>
    <t xml:space="preserve">s. movilidad da rta  por medio fisico </t>
  </si>
  <si>
    <t>202461203993322 (s.movilidad)</t>
  </si>
  <si>
    <t>5 de Noviembre de 2024 (s.movilidad)</t>
  </si>
  <si>
    <t>4.620113, -74.167942</t>
  </si>
  <si>
    <t>Traslado derecho de petición sobre traslado de contenedores de residuos Roma</t>
  </si>
  <si>
    <t>ciudd limpia da rta que no es posible reubicar los contenedores</t>
  </si>
  <si>
    <t>28/0172025</t>
  </si>
  <si>
    <t>20247000605942 (UAESP)</t>
  </si>
  <si>
    <t>5fc84 (UAESP)</t>
  </si>
  <si>
    <t>4.610074, -74.173601</t>
  </si>
  <si>
    <t>socialización frente seguridad barrio la Llanura</t>
  </si>
  <si>
    <t>La Llanura</t>
  </si>
  <si>
    <t>Calle 21 Sur # 68 F 26</t>
  </si>
  <si>
    <t>se hara el 13 de noviembre</t>
  </si>
  <si>
    <t>4.6131996769749914, -74.12957040563708</t>
  </si>
  <si>
    <t>Traslado derecho de petición Gloria Velasquez sobre subsidio tipo C, ya que desde octubre no recibe el subsidio</t>
  </si>
  <si>
    <t xml:space="preserve">Gloria Velasquez </t>
  </si>
  <si>
    <t xml:space="preserve">alcaldia da rta que es competencia de integracion social porque la persona es beneficiaria del Tipo B de la entidad: SDIS Secretaria de Integración Social, p rta  de integracion </t>
  </si>
  <si>
    <t>contraseña y usuario bogota te escucha : usuario Vgvelasquez2252contraseña: Garzon123.</t>
  </si>
  <si>
    <t>http://bogota.gov.co/sdqs</t>
  </si>
  <si>
    <t>Solicitud de información sobre puente peatonal cc eden</t>
  </si>
  <si>
    <t>Alsacia</t>
  </si>
  <si>
    <t>–IDU se encuentra acompañando la realización de los estudios y diseños necesarios para llevar a cabo el proyecto de la obra para el puente peatonal sobre la avenida Boyacá frente al centro comercial El Edén</t>
  </si>
  <si>
    <t>4.64686596033701, -74.1289501344732</t>
  </si>
  <si>
    <t>webidu.idu.gov.co/conectaidu/consulta-radicado</t>
  </si>
  <si>
    <t>Solicitud de información Dairo García sobre junta de aaccion comunal barrio Onasis fue proyectado para enviar por el Concejo, pero no se envio porque se ha estado habalndo por interno con IDPAC para evaluar</t>
  </si>
  <si>
    <t>Departamento Administrativo de la Defensoría del Espacio Público - Dadep</t>
  </si>
  <si>
    <t>4.61573251195105, -74.16451700563702</t>
  </si>
  <si>
    <t>Solicitud enel sobre compromisos pendientes y que no han dado respuesta</t>
  </si>
  <si>
    <t>Respuesta dice que en julio de 2025 realizarán arreglos en 6 meses (respuesta recibida el 3 diciembre 2024)</t>
  </si>
  <si>
    <t xml:space="preserve"> ennel da rta el dia 03/12/2024 y ddeide que programara arreglos denstro de 6 meses aporximadamento y fija presupuesto para ello</t>
  </si>
  <si>
    <t>14/11//2024</t>
  </si>
  <si>
    <t>4.614004494523772, -74.12970244796438</t>
  </si>
  <si>
    <t>pendiente hacer seguimento de arregloes desde el ia 03 /12/2024 hasta seis meses maxiomo es decir junio 2025</t>
  </si>
  <si>
    <t>Mesa de trabajo sobre afectaciones de obra de metro y acueducto en servicio de agua</t>
  </si>
  <si>
    <t>18/11/2024 s. gobierno envia # radicado, acusando recibio 20244213631792</t>
  </si>
  <si>
    <t>20244213631792 (s. gobierno)</t>
  </si>
  <si>
    <t>4.6132171710511765, -74.12898937680072</t>
  </si>
  <si>
    <t>Solicitud de cupo en jardín de integración social</t>
  </si>
  <si>
    <t xml:space="preserve">María Cenaida Fajardo Cantor </t>
  </si>
  <si>
    <t>1.103.712.598,</t>
  </si>
  <si>
    <t>calle 6a  No 87a-15</t>
  </si>
  <si>
    <t>mariacenaidacantor@gmail.com</t>
  </si>
  <si>
    <t>ya se obtuvo el cupo</t>
  </si>
  <si>
    <t>20244213631792 (S. gobierno)</t>
  </si>
  <si>
    <t>4.644098373991552, -74.15663326330964</t>
  </si>
  <si>
    <r>
      <rPr>
        <rFont val="&quot;Segoe UI&quot;, sans-serif"/>
        <color rgb="FF1155CC"/>
        <sz val="11.0"/>
        <u/>
      </rPr>
      <t>https://app.gobiernobogota.gov.co/ventanilla_virtual/consulta</t>
    </r>
  </si>
  <si>
    <t>derecho de peticion par solicutd de cita medica dermatologia y otorrino para Nidia MArin</t>
  </si>
  <si>
    <t xml:space="preserve">Tierra Buena </t>
  </si>
  <si>
    <t>Nidia Marin de Arias</t>
  </si>
  <si>
    <t xml:space="preserve">cra 95 A # 26-38 sur torre 5  APTO 801  </t>
  </si>
  <si>
    <t>nidiamarin29383950@hotmail.com y camiloarias1977bogota@hotmail.com</t>
  </si>
  <si>
    <t>2024-ER-40935</t>
  </si>
  <si>
    <t>f37FJcL7oI</t>
  </si>
  <si>
    <t>4.64864127267778, -74.16886090563688</t>
  </si>
  <si>
    <r>
      <rPr>
        <color rgb="FF1155CC"/>
        <sz val="14.0"/>
        <u/>
      </rPr>
      <t>https://vuvsgdaprod.azurewebsites.net/Publico/FindIndexWeb.aspx</t>
    </r>
    <r>
      <rPr>
        <color rgb="FF0000FF"/>
        <sz val="14.0"/>
      </rPr>
      <t>.</t>
    </r>
  </si>
  <si>
    <t>se revisa el 01/12/2024 UN SIN RTA</t>
  </si>
  <si>
    <t>Solicitud de subsidio adulta mayor</t>
  </si>
  <si>
    <t xml:space="preserve"> Los Periodistas</t>
  </si>
  <si>
    <t>Sara Garcia de Giraldo</t>
  </si>
  <si>
    <t>transversal 78 j #41 c - 20 sur</t>
  </si>
  <si>
    <t>la persona no tiene sisben, se está apoyando apra que le hagan la visita</t>
  </si>
  <si>
    <t>4.618196, -74.158349</t>
  </si>
  <si>
    <t xml:space="preserve">Traslado derecho de petición para pavimentación de vía Unir 1 </t>
  </si>
  <si>
    <t>no fue posible incluir este segmento en la formulación mencionada por lo cual se hizo una solicitud de levantamiento de reserva al IDU bajo el radicado FSLK 20245821466751. Sin embargo, su solicitud será vinculada al banco de iniciativas, para adelantar los estudios de viabilidad técnica y presupuestal que permitan su posterior ejecución</t>
  </si>
  <si>
    <t>20245810199942 (CDI alcaldia kennedy)</t>
  </si>
  <si>
    <t>4.6438506613002914, -74.16688267680053</t>
  </si>
  <si>
    <t>Mesa de Trabajo Multitematica (acueducto, alcaldia local, uaesp Villa Hermosa)</t>
  </si>
  <si>
    <t>Paula Alarcón</t>
  </si>
  <si>
    <t>Carrera 87 f # 41 sur - 02</t>
  </si>
  <si>
    <t>alcaldia da rta el mismo dia de la mesa de trabajo</t>
  </si>
  <si>
    <t>20244213662502 (s. gobierno)</t>
  </si>
  <si>
    <t>4.634790420394027, -74.16905993447331</t>
  </si>
  <si>
    <r>
      <rPr>
        <rFont val="&quot;Segoe UI&quot;, sans-serif"/>
        <color rgb="FF1155CC"/>
        <sz val="11.0"/>
        <u/>
      </rPr>
      <t>https://app.gobiernobogota.gov.co/ventanilla_virtual/consulta</t>
    </r>
  </si>
  <si>
    <t>Mesa de Trabajo ciudadela primavera</t>
  </si>
  <si>
    <t xml:space="preserve"> Ana Temilda Guerrero</t>
  </si>
  <si>
    <t>20244213662812 (s. gobierno)</t>
  </si>
  <si>
    <t>4.646744843651789, -74.16288609029</t>
  </si>
  <si>
    <r>
      <rPr>
        <rFont val="&quot;Segoe UI&quot;, sans-serif"/>
        <color rgb="FF1155CC"/>
        <sz val="11.0"/>
        <u/>
      </rPr>
      <t>https://app.gobiernobogota.gov.co/ventanilla_virtual/consulta</t>
    </r>
  </si>
  <si>
    <t>Solicitud de tapa de alcantarilla y limpieza Villa Hermosa</t>
  </si>
  <si>
    <t xml:space="preserve">acueducto da rta que la tapa de alcantarillado es competencia de ETB por lo cual hace traslado a esta entidad </t>
  </si>
  <si>
    <t>E-2024-126538 (acuedcuto)</t>
  </si>
  <si>
    <t>20/11/2024 12:58 p. m. (acueducto)</t>
  </si>
  <si>
    <t>4.63666986359174, -74.16851706145523</t>
  </si>
  <si>
    <t>Traslado derecho de petición Comunidad barrio Unir 1, ruidos molestos por parte del taller del SITP del consorcio “Mi Bus” folio concejo 202400956</t>
  </si>
  <si>
    <t>Transmilenio remite a "ESTE ES MI BUS" peticion solicitando revisar, implementar y mantener en el tiempo las acciones
a que haya lugar para mitigar y corregir las problemáticas reportadas en pro del mejoramiento
de las condiciones de convivencia en el sector.  20/11/2024 12:58 p. m.</t>
  </si>
  <si>
    <t>2024-EE-32691(TRANSMILENIO)</t>
  </si>
  <si>
    <t>15/11/2024 (TRANSMILENIO)</t>
  </si>
  <si>
    <t>4.6444955738767595, -74.1671632056369</t>
  </si>
  <si>
    <t>Solicitud de pavimentación vias Pinar del Rio</t>
  </si>
  <si>
    <t>Pinar del Rio</t>
  </si>
  <si>
    <t>Alonso Correa</t>
  </si>
  <si>
    <t>carrera 82 D # 40  62 Sur</t>
  </si>
  <si>
    <t>alcadlia da rta e 23 de enero diciendo que El FDLK se compromete a ejecutar las acciones necesarias para el desarrollo de las obras e invita a realizar seguimiento a través de los canales de atención. Los CIV 8004383 y 8004323 no están incluidos en los contratos actuales, pero su solicitud será evaluada para banco de iniciativas</t>
  </si>
  <si>
    <t>4.613824276786218, -74.19741019214611</t>
  </si>
  <si>
    <t>Solicitud de información sobre puente peatonal avenida primera de mayo con boyacá</t>
  </si>
  <si>
    <t>carvajal</t>
  </si>
  <si>
    <t>Elkin Rojas</t>
  </si>
  <si>
    <t>26 Sur26 Av. Boyacá</t>
  </si>
  <si>
    <t>IDU da rta que el  la empresa Metro de Bogotá S. A. informa que el marzo 2023 se hara demolicion , pero que hasta el momento no se ha hecho , por so remite  a esta entidad para que den rta de cuando s ehara,  se tiene previsto que secretaria de movilidad haga un plan para transito de traseuntes.las actividades de
demolición de este puente peatonal darán inicio en diciembre de 2026.</t>
  </si>
  <si>
    <t>20244213744882 (s. gobierno)
202452602033942 (IDU)</t>
  </si>
  <si>
    <t>4.669079085137303, -74.11276803832818</t>
  </si>
  <si>
    <t>https://app.gobiernobogota.gov.co/ventanilla_virtual/consulta
https://webidu.idu.gov.co/conectaidu/consulta-radicado</t>
  </si>
  <si>
    <t>Diciembre</t>
  </si>
  <si>
    <t xml:space="preserve">Solicitud de información sobre vias y parque arreglados a nivel local </t>
  </si>
  <si>
    <t xml:space="preserve">Mesa de trabajo pastranita, loza en mal estado de vía </t>
  </si>
  <si>
    <t>Pastranita</t>
  </si>
  <si>
    <t>Sandra Rodriguez</t>
  </si>
  <si>
    <t>Calle 49 sur #78g-27</t>
  </si>
  <si>
    <t>20244213818432 (S. gobierno)</t>
  </si>
  <si>
    <t>4.612867282988829, -74.16647152098251</t>
  </si>
  <si>
    <r>
      <rPr>
        <rFont val="&quot;Segoe UI&quot;, sans-serif"/>
        <color rgb="FF1155CC"/>
        <sz val="11.0"/>
        <u/>
      </rPr>
      <t>https://app.gobiernobogota.gov.co/ventanilla_virtual/consulta</t>
    </r>
  </si>
  <si>
    <t>Mesa trabajo solicitud lider Lucinda Bonilla Junta de Acción Comunal</t>
  </si>
  <si>
    <t>Instituto Distrital de la Participación y Acción Comunal - IDPAC</t>
  </si>
  <si>
    <t>Mandalay</t>
  </si>
  <si>
    <t>No se realizó debido a que los líderes no pudieron asistir</t>
  </si>
  <si>
    <t>20244213821972 (s. gobierno)</t>
  </si>
  <si>
    <t>4.619989156860517, -74.15823929214599</t>
  </si>
  <si>
    <t>Solicitud de cama hospitalaria líder recorrido hermana Isaura</t>
  </si>
  <si>
    <t>Ciudad Galan</t>
  </si>
  <si>
    <t>Concepcion Salinas de Novoa</t>
  </si>
  <si>
    <t>Luzmanosa@gmail.com</t>
  </si>
  <si>
    <t>la ciudadana debe  inscribirse a "Kennedy, Territorio de la Salud Inclusiva", el cual tiene como objetivo fortalecer la inclusión, ampliar la
cobertura y generar oportunidades para las personas con discapacidad.a través de los siguientes
canales de atención: En la página web de la Alcaldía Local de Kennedy (kennedy.gov.co).
 A través del siguiente enlace de inscripción: https://bit.ly/Atecnicas2023.
 De manera presencial, acercándose a la Oficina de Salud Inclusiva en la Alcaldía Local de Kennedy.
Una vez realizada la inscripción, su caso será incluido en la lista de espera para la evaluación y posible asignación
de las ayudas. Posteriormente, nos pondremos en contacto para coordinar una posible visita. En la página web de la Alcaldía Local de Kennedy (kennedy.gov.co).
 A través del siguiente enlace de inscripción: https://bit.ly/Atecnicas2023.
 De manera presencial, acercándose a la Oficina de Salud Inclusiva en la Alcaldía Local de Kennedy.
Una vez realizada la inscripción, su caso será incluido en la lista de espera para la evaluación y posible asignación
de las ayudas. Posteriormente, nos pondremos en contacto para coordinar una posible visita.</t>
  </si>
  <si>
    <t>20245810200752 (CDI ALCALDIA)</t>
  </si>
  <si>
    <t>Mesa de Trabajo metro margaritas</t>
  </si>
  <si>
    <t>Margaritas</t>
  </si>
  <si>
    <t>Ramiro Bonilla</t>
  </si>
  <si>
    <t>Calle 45 a sur # 88 c - 98</t>
  </si>
  <si>
    <t>20244213822582 ( s. gobierno)</t>
  </si>
  <si>
    <t>4.634765157955395, -74.1760396768007</t>
  </si>
  <si>
    <t>Solicitud de información sobre procedimiento JAL Coautor</t>
  </si>
  <si>
    <t>Solicitud de estudio CCTV redes acueducto vía Américas</t>
  </si>
  <si>
    <t>Cra. 71c #5C-18</t>
  </si>
  <si>
    <t>La División de Servicio de Alcantarillado Zona 5 informa que, para atender el requerimiento, se creó los Avisos SAP 2001452818, para dar curso a su requerimiento. A partir de este aviso, el equipo de verificación de la División procederá a realizar una inspección en la dirección suministrada, tras la cual se definirán las intervenciones necesarias en el sector.</t>
  </si>
  <si>
    <t>E-2024-133590 (acueducto)</t>
  </si>
  <si>
    <t>06/12/2024 02:09 p. m. (acueducto)</t>
  </si>
  <si>
    <t>4.6294830843737635, -74.13528803447329</t>
  </si>
  <si>
    <t>pendiente verificar  cundo se hara esto por parte de l acueducto</t>
  </si>
  <si>
    <t>Mesa de trabajo pastranita, loza en mal estado de vía con Acueducto</t>
  </si>
  <si>
    <t>se hara el 19 de diciembre , UMV da rta que no peud acompañar mesa de trabajo , pero que ademas es competencia del acueducto</t>
  </si>
  <si>
    <t>20244213923952 (s. gobierno)</t>
  </si>
  <si>
    <t>4.612910059321401, -74.16643933447344</t>
  </si>
  <si>
    <r>
      <rPr>
        <rFont val="&quot;Segoe UI&quot;, sans-serif"/>
        <color rgb="FF1155CC"/>
        <sz val="11.0"/>
        <u/>
      </rPr>
      <t>https://app.gobiernobogota.gov.co/ventanilla_virtual/consulta</t>
    </r>
  </si>
  <si>
    <t>Solicitud de cupo escolar para 4 niños</t>
  </si>
  <si>
    <t>Claudia Pilar Triviño</t>
  </si>
  <si>
    <t>ctrivinogutierrez@gmail.com</t>
  </si>
  <si>
    <t>3115695354 - 3124183385</t>
  </si>
  <si>
    <t>E-2024-192613 (s. educacion)</t>
  </si>
  <si>
    <t>Y3I5U (s. educacion)</t>
  </si>
  <si>
    <r>
      <rPr>
        <rFont val="Arial, sans-serif, serif, EmojiFont"/>
        <color rgb="FF1155CC"/>
        <sz val="12.0"/>
        <u/>
      </rPr>
      <t>http://fut.redp.edu.co/FUT-web/#/consulta_web</t>
    </r>
  </si>
  <si>
    <t>Solicitud de poda de pasto parque Bertha Hernandez</t>
  </si>
  <si>
    <t>cra 78 # 57c-41</t>
  </si>
  <si>
    <t>4.607286568548805, -74.17271467494618</t>
  </si>
  <si>
    <t>Solicitud de mantenimiento vias Primavera Tintal</t>
  </si>
  <si>
    <t>cra 90 a # 4 -55</t>
  </si>
  <si>
    <t xml:space="preserve">nformamos que la construcción y/o ampliación de la Avenida Longitudinal de Occidente - ALO, en el tramo mencionado, no se encuentra incluida en el listado de obras contempladas en los Acuerdos Distritales antes mencionados. les corresponde a los Alcaldes Locales y a la
UAERMV formular, programar y ejecutar acciones sobre la malla vial local e
intermedia, incluidos los corredores que soportan rutas del SITP, damos traslado
de su petición a la Alcaldía Local de Kennedy y a la Unidad Administrativa
Especial de Rehabilitación y Mantenimiento de la Malla Vial – UAERMV,
donde usted podrá realizar el seguimiento respectivo.
</t>
  </si>
  <si>
    <t>4.646659305374112, -74.16288606330963</t>
  </si>
  <si>
    <t>Adulto mayor</t>
  </si>
  <si>
    <t>Solicitud de información sobre centro transitorio</t>
  </si>
  <si>
    <t>Mesa de trabajo seguimiento Pastranita 2 sector</t>
  </si>
  <si>
    <t>Gestión 2025</t>
  </si>
  <si>
    <t>20254210077222 (s. gobierno)</t>
  </si>
  <si>
    <r>
      <rPr>
        <rFont val="&quot;Segoe UI&quot;, sans-serif"/>
        <color rgb="FF1155CC"/>
        <sz val="11.0"/>
        <u/>
      </rPr>
      <t>https://app.gobiernobogota.gov.co/ventanilla_virtual/consulta</t>
    </r>
  </si>
  <si>
    <t>202500002 (quedó con 202400156)</t>
  </si>
  <si>
    <t>Diana Katerine Garzón</t>
  </si>
  <si>
    <t>garzondianak16@gmail.com</t>
  </si>
  <si>
    <t>E-2025-3925</t>
  </si>
  <si>
    <t>1XCKI</t>
  </si>
  <si>
    <r>
      <rPr>
        <rFont val="Arial, sans-serif, serif, EmojiFont"/>
        <color rgb="FF1155CC"/>
        <sz val="12.0"/>
        <u/>
      </rPr>
      <t>http://fut.redp.edu.co/FUT-web/#/consulta_web</t>
    </r>
  </si>
  <si>
    <t>PENDIENTE VOLVER A REVISAR , REVISO 16 ENERO Y AUN NO HAY RTA</t>
  </si>
  <si>
    <t>Solicitud de información sobre cifras delitos Policia</t>
  </si>
  <si>
    <t>Solicitud de información sobre cifras Medicina Legal</t>
  </si>
  <si>
    <t>Solicitud de información sobre oferta institucional DADEP</t>
  </si>
  <si>
    <t>Solicitud de información sobre oferta institucional IDPAC</t>
  </si>
  <si>
    <t>Solicitud de información sobre oferta institucional Desarrollo economico</t>
  </si>
  <si>
    <t>Secretaría Distrital de Desarrollo Económico</t>
  </si>
  <si>
    <t>Solicitud de información sobre oferta IPES</t>
  </si>
  <si>
    <t>2025ER0000486</t>
  </si>
  <si>
    <t>Código de seguridad: 380595</t>
  </si>
  <si>
    <t>https://gesdoc.desarrolloeconomico.gov.co/SGD_WEB/www/pqr.sdde.jsp</t>
  </si>
  <si>
    <t>Solicitud de información sobre oferta secretaria de educación</t>
  </si>
  <si>
    <t>1431468-20250117
E-2025-7836 (s, educacion)</t>
  </si>
  <si>
    <t>código de verificación 74Z0O</t>
  </si>
  <si>
    <r>
      <rPr>
        <rFont val="Arial, sans-serif, serif, EmojiFont"/>
        <color rgb="FF1155CC"/>
        <sz val="12.0"/>
        <u/>
      </rPr>
      <t>http://fut.redp.edu.co/FUT-web/#/consulta_web</t>
    </r>
  </si>
  <si>
    <t>Instituto Distrital para la Investigacion Educativa y el Desarrollo Pedagógico - IDEP</t>
  </si>
  <si>
    <t>Solicitud de información sobre oferta secretaria de salud</t>
  </si>
  <si>
    <t>31/01(2025</t>
  </si>
  <si>
    <t>2025-ER-01299( s salud)</t>
  </si>
  <si>
    <t>EHoBBn9jtQ( s. salud)</t>
  </si>
  <si>
    <r>
      <rPr>
        <color rgb="FF1155CC"/>
        <sz val="14.0"/>
        <u/>
      </rPr>
      <t>https://vuvsgdaprod.azurewebsites.net/Publico/FindIndexWeb.aspx</t>
    </r>
    <r>
      <rPr>
        <color rgb="FF0000FF"/>
        <sz val="14.0"/>
      </rPr>
      <t>.</t>
    </r>
  </si>
  <si>
    <t>Solicitud de información sobre oferta secretaria de integración social</t>
  </si>
  <si>
    <t>Solicitud de información sobre oferta cultura, recreación y deporte</t>
  </si>
  <si>
    <t>Secretaría Distrital de Cultura, Recreación y Deporte</t>
  </si>
  <si>
    <t>Solicitud de información sobre oferta ambiente</t>
  </si>
  <si>
    <t>2025JBB20003771 ( jardin botanico)
2025ER1495 IDIGER</t>
  </si>
  <si>
    <t>Consultar estado del trámite del radicado 2025JBB20003771 vía web.</t>
  </si>
  <si>
    <t>Solicitud de información sobre oferta movilidad</t>
  </si>
  <si>
    <t>202561200171852(s. movilidad)</t>
  </si>
  <si>
    <t>17 de ENERO 2025</t>
  </si>
  <si>
    <r>
      <rPr>
        <rFont val="Arial, sans-serif"/>
        <color rgb="FF1155CC"/>
        <sz val="11.0"/>
        <u/>
      </rPr>
      <t>https://gestiondocumental.movilidadbogota.gov.co/orfeo-api/</t>
    </r>
  </si>
  <si>
    <t>Solicitud de información IDYPIBA</t>
  </si>
  <si>
    <t>YDIpa pide prorroga para contestar el dia 10 febrero</t>
  </si>
  <si>
    <t>20254210114862(IDPYBA
)</t>
  </si>
  <si>
    <r>
      <rPr>
        <rFont val="&quot;Segoe UI&quot;, sans-serif"/>
        <color rgb="FF1155CC"/>
        <sz val="11.0"/>
        <u/>
      </rPr>
      <t>https://app.gobiernobogota.gov.co/ventanilla_virtual/consulta</t>
    </r>
  </si>
  <si>
    <t>Solicitud de información Habitat</t>
  </si>
  <si>
    <t>Secretaría Distrital del Hábitat</t>
  </si>
  <si>
    <t>1-2025-1417</t>
  </si>
  <si>
    <t>c24177c4-531c-4a40-b188-620f088f7449</t>
  </si>
  <si>
    <r>
      <rPr>
        <color rgb="FF1155CC"/>
        <u/>
      </rPr>
      <t>http://siga.habitatbogota.gov.co/WebSigaPQR/#!/consultaPQR</t>
    </r>
  </si>
  <si>
    <t>Solicitud de información Transmilenio</t>
  </si>
  <si>
    <t>2025-ER-02611( trasnmilenio)</t>
  </si>
  <si>
    <t>Mujer</t>
  </si>
  <si>
    <t>Solicitud de información secretaria mujer</t>
  </si>
  <si>
    <t>Secretaría Distrital de la Mujer</t>
  </si>
  <si>
    <t>2-2025-000563</t>
  </si>
  <si>
    <t>Solicitud de información secretaria secretaria de seguridad</t>
  </si>
  <si>
    <t>Secretaría Distrital de Seguridad, Convivencia y Justicia</t>
  </si>
  <si>
    <t>1-2025-1799</t>
  </si>
  <si>
    <t>código de seguridad: 005f9ac7-0813-4651-83d7-14500b3b2b0c</t>
  </si>
  <si>
    <r>
      <rPr>
        <color rgb="FF1155CC"/>
        <u/>
      </rPr>
      <t>https://siga.scj.gov.co/WebSigaPQR/pqrQueryPanel/</t>
    </r>
  </si>
  <si>
    <t>Solicitud de información Alcaldia de Kennedy</t>
  </si>
  <si>
    <r>
      <rPr>
        <rFont val="&quot;Segoe UI&quot;, sans-serif"/>
        <color rgb="FF1155CC"/>
        <sz val="11.0"/>
        <u/>
      </rPr>
      <t>https://app.gobiernobogota.gov.co/ventanilla_virtual/consulta</t>
    </r>
  </si>
  <si>
    <t>Solicitud de cita otorrinolaringologia</t>
  </si>
  <si>
    <t>Steven Navarro Parrales</t>
  </si>
  <si>
    <t xml:space="preserve">CRA 89A 45A 38 sur </t>
  </si>
  <si>
    <t>navarro456123@gmail.com</t>
  </si>
  <si>
    <t>3016288659,</t>
  </si>
  <si>
    <t>trasladada a la Subred Integrada de Servicios de Salud Sur Occidente, a través del “Sistema Distrital para la Gestión de Peticiones Ciudadanas Bogotá te Escucha”, por ser la entidad competente para dar respuesta a su petición el di a 27 de enero</t>
  </si>
  <si>
    <t>2025-ER-01753</t>
  </si>
  <si>
    <t>LxyRLeBwP9</t>
  </si>
  <si>
    <t>4.634558964264704, -74.17698866330959</t>
  </si>
  <si>
    <r>
      <rPr>
        <color rgb="FF1155CC"/>
        <sz val="14.0"/>
        <u/>
      </rPr>
      <t>https://vuvsgdaprod.azurewebsites.net/Publico/FindIndexWeb.aspx</t>
    </r>
    <r>
      <rPr>
        <color rgb="FF0000FF"/>
        <sz val="14.0"/>
      </rPr>
      <t>.</t>
    </r>
  </si>
  <si>
    <t xml:space="preserve">Solicitud de información sobre centro transitorio día - noche </t>
  </si>
  <si>
    <t>Alcance cambio de horario mesa de trabajo Pastranita</t>
  </si>
  <si>
    <t>20254210167692s. gobierno)</t>
  </si>
  <si>
    <t>4.612899365238494, -74.16638569029169</t>
  </si>
  <si>
    <t>Las Margaritas</t>
  </si>
  <si>
    <t>Yeimi Carolina Oliveros Duarte</t>
  </si>
  <si>
    <t>52.977.359</t>
  </si>
  <si>
    <t>calle 48 sur # 86 - 60</t>
  </si>
  <si>
    <t>Diego.castillos1986@gmail.com</t>
  </si>
  <si>
    <t>316 7414892</t>
  </si>
  <si>
    <t>1441340-20250129 s, educacion
 E-2025-19530s. educacion</t>
  </si>
  <si>
    <t>4G3J7(s. educacion</t>
  </si>
  <si>
    <t>4.627957266367299, -74.17497287680064</t>
  </si>
  <si>
    <t>http://fut.redp.edu.co/FUT-web/#/consulta_web</t>
  </si>
  <si>
    <t>Solicitud de cupo escolar externa solicitada por Pastora Enia Jenny Esperanza Bermudez</t>
  </si>
  <si>
    <t>Jenny Esperanza Bermudez</t>
  </si>
  <si>
    <t>bermudezjenny37@gmail.com</t>
  </si>
  <si>
    <t>SECRETARIA DE EDUCACION ENVIA RESPUESTA POSITIVA DE CUPO</t>
  </si>
  <si>
    <t>E-2025-23640</t>
  </si>
  <si>
    <t>JPGY7</t>
  </si>
  <si>
    <r>
      <rPr>
        <rFont val="Arial, sans-serif, serif, EmojiFont"/>
        <color rgb="FF1155CC"/>
        <sz val="12.0"/>
        <u/>
      </rPr>
      <t>http://fut.redp.edu.co/FUT-web/#/consulta_web</t>
    </r>
  </si>
  <si>
    <t>Solicitud de información sobre CIV 8011959 - 8011957 Rivera 1 sector</t>
  </si>
  <si>
    <t>20254210306632 (alcaldia local)</t>
  </si>
  <si>
    <t>4.6465640090592935, -74.17752472098225</t>
  </si>
  <si>
    <r>
      <rPr>
        <rFont val="&quot;Segoe UI&quot;, sans-serif"/>
        <color rgb="FF1155CC"/>
        <sz val="11.0"/>
        <u/>
      </rPr>
      <t>https://app.gobiernobogota.gov.co/ventanilla_virtual/consulta</t>
    </r>
  </si>
  <si>
    <t>Mesa técnica lineamientos alcaldía sobre espacio público y vendedores informales junto con el IPES</t>
  </si>
  <si>
    <t>20254210308082 (s. gobierno)
)</t>
  </si>
  <si>
    <r>
      <rPr>
        <rFont val="&quot;Segoe UI&quot;, sans-serif"/>
        <color rgb="FF1155CC"/>
        <sz val="11.0"/>
        <u/>
      </rPr>
      <t>https://app.gobiernobogota.gov.co/ventanilla_virtual/consulta</t>
    </r>
  </si>
  <si>
    <t>Mesa de trabajo sobre solicitud de ruta de SITP que pare en el parque primavera titnal</t>
  </si>
  <si>
    <t>ciudadela primavera</t>
  </si>
  <si>
    <t>2025-ER-05858 05 febrero del 2025.(trasnmilenio)
20254210319752 (alcaldia)</t>
  </si>
  <si>
    <r>
      <rPr>
        <color rgb="FF1155CC"/>
        <u/>
      </rPr>
      <t>https://app.gobiernobogota.gov.co/ventanilla_virtual/consulta</t>
    </r>
  </si>
  <si>
    <t>Mesa de trabajo Unir 1, habitat, jardin botánico, y alcaldía local para evaluar estado parque y embellecimiento</t>
  </si>
  <si>
    <t>Jardín botánico</t>
  </si>
  <si>
    <t>s. gobierno , envia correo con delegado</t>
  </si>
  <si>
    <t>20254210350942( alalcadia local)</t>
  </si>
  <si>
    <t>Mesa de trabajo sobre avance de entrega de zonas de cesión barrio las margaritas</t>
  </si>
  <si>
    <t>20254210350962( alcladia local)</t>
  </si>
  <si>
    <r>
      <rPr>
        <rFont val="&quot;Segoe UI&quot;, sans-serif"/>
        <color rgb="FF1155CC"/>
        <sz val="11.0"/>
        <u/>
      </rPr>
      <t>https://app.gobiernobogota.gov.co/ventanilla_virtual/consulta</t>
    </r>
  </si>
  <si>
    <t>Solicitud de subsidio adulto mayor carvajal hernando</t>
  </si>
  <si>
    <t>Argelia</t>
  </si>
  <si>
    <t>Hernando Rubio Guzmán</t>
  </si>
  <si>
    <t>frubiogusman@gmail.com</t>
  </si>
  <si>
    <t xml:space="preserve">Solicitud de cupo escolar externo </t>
  </si>
  <si>
    <t>Hilda María Torres</t>
  </si>
  <si>
    <t>CRA 90 A# 2-40 sur</t>
  </si>
  <si>
    <t>andersonherrera10@gmail.com</t>
  </si>
  <si>
    <t>SECRETARIA DE EDUCACION EVIA RESPUESTA POSITIVADE CUPO ESCOLAR</t>
  </si>
  <si>
    <t>E-2025-25500</t>
  </si>
  <si>
    <t>CRFCH</t>
  </si>
  <si>
    <r>
      <rPr>
        <rFont val="Arial, sans-serif, serif, EmojiFont"/>
        <color rgb="FF1155CC"/>
        <sz val="12.0"/>
        <u/>
      </rPr>
      <t>http://fut.redp.edu.co/FUT-web/#/consulta_web</t>
    </r>
  </si>
  <si>
    <t xml:space="preserve">solicitud de intervencion de malla vial </t>
  </si>
  <si>
    <t>20254210358692 (s, gobierno)</t>
  </si>
  <si>
    <r>
      <rPr>
        <rFont val="&quot;Segoe UI&quot;, sans-serif"/>
        <color rgb="FF1155CC"/>
        <sz val="11.0"/>
        <u/>
      </rPr>
      <t>https://app.gobiernobogota.gov.co/ventanilla_virtual/consulta</t>
    </r>
  </si>
  <si>
    <t>Solicitud de cupo escolar nieto Lliana Munevar</t>
  </si>
  <si>
    <t>Liliana Munevar</t>
  </si>
  <si>
    <t>lisbeth222011@hotmail.com</t>
  </si>
  <si>
    <t>solicitud de cita para diagnostico sindrome de  manguito rotatorio</t>
  </si>
  <si>
    <t>Superintendencia de Salud</t>
  </si>
  <si>
    <t>CLASS ROMA</t>
  </si>
  <si>
    <t>Maria Engracia Romero de penagos</t>
  </si>
  <si>
    <t>cra 87#57A-09 sur</t>
  </si>
  <si>
    <t>Solicitud apoyo economico hugo montaña 3142847599</t>
  </si>
  <si>
    <t>Gestión 2026</t>
  </si>
  <si>
    <t>Solicitud de cupo escolar en el Colegio Jaime
Garzón o el Colegio Las Margaritas</t>
  </si>
  <si>
    <t>Yury Liliana Devia Cortes</t>
  </si>
  <si>
    <t>Cra. 82 D # 41 A 92 Sur</t>
  </si>
  <si>
    <t>yurylidevia83@gmail.com</t>
  </si>
  <si>
    <t>E-2026-10631</t>
  </si>
  <si>
    <t>61NCX</t>
  </si>
  <si>
    <t xml:space="preserve">https://drive.google.com/drive/folders/1UEwuCRFc0i4ZDTiwEMdPIM6ppT4qoE4I?usp=drive_link </t>
  </si>
  <si>
    <t>Traslado derecho de peticiòn por cobro incorrecto recibo de Gas Johana</t>
  </si>
  <si>
    <t>VILLA HERMOSA</t>
  </si>
  <si>
    <t>Herminda Alarcon</t>
  </si>
  <si>
    <t>KR 87F # 42-21 Sur</t>
  </si>
  <si>
    <t>familiacarrillo1987@gmail.com</t>
  </si>
  <si>
    <t>Ejecución presupuestal</t>
  </si>
  <si>
    <t>Mesa técnica por falta de pago a ciudadnaa por proyecto ejecutado</t>
  </si>
  <si>
    <t>Solicitud de cupo escolar</t>
  </si>
  <si>
    <t>Solicitud de poda Mandalay</t>
  </si>
  <si>
    <t>Solicitud de revision de anden y arbol Americas</t>
  </si>
  <si>
    <t>Solicitud sobre intervención en espacio publico por mal manejo de separacion de residuos de habitantes</t>
  </si>
  <si>
    <t>Solicitud de apoyo a Coronel para actividad obispo</t>
  </si>
  <si>
    <t>Libertad religiosa</t>
  </si>
  <si>
    <t>Gestión de cupo escolar</t>
  </si>
  <si>
    <t>Solicitud de informaciòn programa alcaldia</t>
  </si>
  <si>
    <t>Solicitud anonima sobre apropiacion indebida espacio publico Ciudad Granada, fabrica muebles, referida Isabel ayala (no hay oficio con radicado 20260012 porque se hizo anonimamente por Bogota te escucha</t>
  </si>
  <si>
    <t>Gestión de diagnostico y fumigacion por problema de ratones Roma</t>
  </si>
  <si>
    <t>Mesa de trabajo pinar del rio</t>
  </si>
  <si>
    <t>Subsidio Tipo C adulto mayor Pedro</t>
  </si>
  <si>
    <t>Gestion vias Iglesia Valladolid</t>
  </si>
  <si>
    <t>Traslado derecho de peticion tala de arboles</t>
  </si>
  <si>
    <t>Traslado derecho de peticion por puntaje sisben Maria Gloria Arevalo</t>
  </si>
  <si>
    <t>María Gloria Arévalo</t>
  </si>
  <si>
    <t>1-2026-25608</t>
  </si>
  <si>
    <t>BOGOTÁ</t>
  </si>
  <si>
    <t>https://drive.google.com/drive/folders/1WSTB1Wy8wX9iCuEfg_o1Ks3ESuefZVhI?usp=drive_link</t>
  </si>
  <si>
    <t>Traslado derecho de peticion por puntaje sisben Marcionila</t>
  </si>
  <si>
    <t>Marcionila del Carmen Granda Guatusmal</t>
  </si>
  <si>
    <r>
      <rPr>
        <color rgb="FF1155CC"/>
        <u/>
      </rPr>
      <t>1-2026-25600</t>
    </r>
  </si>
  <si>
    <t>https://drive.google.com/drive/folders/1qyNepI5_7tR9S2N1rRhe-Iwbknx3WCQP?usp=drive_link</t>
  </si>
  <si>
    <t>AÑO</t>
  </si>
  <si>
    <t>MES</t>
  </si>
  <si>
    <t>No MESA DE TRABAJO</t>
  </si>
  <si>
    <t>OBJETIVO DE LA REUNIÓN</t>
  </si>
  <si>
    <t>COMPROMISOS</t>
  </si>
  <si>
    <t>TEMA</t>
  </si>
  <si>
    <t>ENTIDAD</t>
  </si>
  <si>
    <t>BARRIO</t>
  </si>
  <si>
    <t>ESTADO DE SEGUIMIENTO</t>
  </si>
  <si>
    <t xml:space="preserve">                  CONCLUSIONES
</t>
  </si>
  <si>
    <t>RESULTADOS DE LA GESTIÓN (PERCEPCIÓN DEL CIUDADANO)</t>
  </si>
  <si>
    <t>RESPONSABLE</t>
  </si>
  <si>
    <t xml:space="preserve">APOYO ASESOR </t>
  </si>
  <si>
    <t>COMUNICACIÓN DE LA GESTIÓN (BENEFICIARIOS)</t>
  </si>
  <si>
    <t xml:space="preserve"> Reunion nueva mesa de trabajo para avanzar en conformacion de frente de seguridad</t>
  </si>
  <si>
    <r>
      <rPr>
        <rFont val="Arial"/>
        <color rgb="FF000000"/>
        <sz val="9.0"/>
      </rPr>
      <t>Ademas se convoco a secreteria de seguridad, conforme la mesa realizaron patrulajes mixtos, y segun dp ambiente en la JAC mejoró</t>
    </r>
  </si>
  <si>
    <t>SI</t>
  </si>
  <si>
    <t xml:space="preserve">Patrullajes mixtos en el parque Bertha Hernandez </t>
  </si>
  <si>
    <r>
      <rPr>
        <rFont val="Arial"/>
        <color rgb="FF000000"/>
        <sz val="9.0"/>
      </rPr>
      <t>Ademas se convoco a secreteria de seguridad, conforme la mesa realizaron patrulajes mixtos, y segun dp ambiente en la JAC mejoró</t>
    </r>
  </si>
  <si>
    <r>
      <rPr>
        <rFont val="Arial"/>
        <color rgb="FF000000"/>
        <sz val="10.0"/>
      </rPr>
      <t>Se convoca recorrido para evaluar posibilidad de instalar reductores de velocidad</t>
    </r>
  </si>
  <si>
    <t>sin pendientes</t>
  </si>
  <si>
    <r>
      <rPr>
        <rFont val="Arial"/>
        <color rgb="FF1F1F1F"/>
        <sz val="9.0"/>
      </rPr>
      <t>Secretaria de movilidad hizo mención sobre carros parqueados al frente de a Iglesia, por lo cual por recomendación de Pastor y Concejal no se insitira en la solicitud</t>
    </r>
  </si>
  <si>
    <t>Fernando Samora</t>
  </si>
  <si>
    <r>
      <rPr>
        <rFont val="Arial"/>
        <color rgb="FF000000"/>
        <sz val="10.0"/>
      </rPr>
      <t>Recorrido con Alcaldía para evidenciar problemáticas vías sin Pavimentar</t>
    </r>
  </si>
  <si>
    <r>
      <rPr>
        <rFont val="Arial"/>
        <color rgb="FF000000"/>
        <sz val="10.0"/>
      </rPr>
      <t xml:space="preserve">Fue Alcaldía Local con el compromiso de incluir las siguientes vias en el banco de iniciativas, </t>
    </r>
    <r>
      <rPr>
        <rFont val="Arial"/>
        <color rgb="FF000000"/>
        <sz val="10.0"/>
      </rPr>
      <t>POSIBLE PRIORIZACIÓN</t>
    </r>
  </si>
  <si>
    <t xml:space="preserve">Villa Hermosa </t>
  </si>
  <si>
    <t>actualmete la alcadia tiene incluido CIV para una accion de movilidad</t>
  </si>
  <si>
    <r>
      <rPr>
        <rFont val="Arial"/>
        <color rgb="FF000000"/>
        <sz val="10.0"/>
      </rPr>
      <t>Recorrido con Alcaldía para evidenciar problemáticas vías sin Pavimentar</t>
    </r>
  </si>
  <si>
    <r>
      <rPr>
        <rFont val="Arial"/>
        <color rgb="FF000000"/>
        <sz val="10.0"/>
      </rPr>
      <t xml:space="preserve">Fue Alcaldía Local con el compromiso de incluir las siguientes vias en el banco de iniciativas, </t>
    </r>
    <r>
      <rPr>
        <rFont val="Arial"/>
        <color rgb="FF000000"/>
        <sz val="10.0"/>
      </rPr>
      <t>POSIBLE PRIORIZACIÓN</t>
    </r>
  </si>
  <si>
    <t>En Proceso</t>
  </si>
  <si>
    <t>se esta tratando de gestionar con la alcadia, pero aun no esta autorizada</t>
  </si>
  <si>
    <r>
      <rPr>
        <rFont val="Arial"/>
        <color rgb="FF000000"/>
        <sz val="10.0"/>
      </rPr>
      <t>Mesa de trabajo para solucionar punto crítico de basura, y una posibilidad de un zona de basura, señalización, marque mal estado, aguas estancadas en canal Castilla</t>
    </r>
  </si>
  <si>
    <t>1. enviar la solicitud a la uaesp, sobre compromiso que hicieron de hacer sensiblizacion a los vendedores informales sobre la disposicion correcta de los residuos, enviar con copia a la alcaldia y secretaria de gobierno202461201005692endiente sobre respuesta de caneca al pie del canal que esta dañada , ¡que respuesta le dan?</t>
  </si>
  <si>
    <r>
      <rPr>
        <rFont val="Arial"/>
        <color rgb="FF000000"/>
      </rPr>
      <t>Se convocó a movilidad, ciudad limpia, uaesp, IDRD, Gobierno, en compromisos movilidad va a mirar señalización de cicovia, uaesp sencibilización a vendedores informales.</t>
    </r>
  </si>
  <si>
    <r>
      <rPr>
        <rFont val="Arial"/>
        <color rgb="FF000000"/>
        <sz val="10.0"/>
      </rPr>
      <t>Mesa de trabajo para solucionar punto crítico de basura, y una posibilidad de un zona de basura, señalización, marque mal estado, aguas estancadas en canal Castilla</t>
    </r>
  </si>
  <si>
    <t>2. oficio solicitando rta a los compromisos de movilidad sobre señalizacion de ciclovia y via anexa a la misma que requiere serñalizacion vertical</t>
  </si>
  <si>
    <r>
      <rPr>
        <rFont val="Arial"/>
        <color rgb="FF000000"/>
      </rPr>
      <t>Mesa de trabajo para solucionar punto crítico de basura, y una posibilidad de un zona de basura, señalización, marque mal estado, aguas estancadas en canal Castilla</t>
    </r>
  </si>
  <si>
    <t xml:space="preserve"> 3. solicitad a alcaldia mantenimiento del parque del tintal</t>
  </si>
  <si>
    <t>la alcaldia coloco canecas</t>
  </si>
  <si>
    <r>
      <rPr>
        <rFont val="Arial"/>
        <color rgb="FF000000"/>
        <sz val="10.0"/>
      </rPr>
      <t>Mesa de trabajo para solucionar punto crítico de basura, y una posibilidad de un zona de basura, señalización, marque mal estado, aguas estancadas en canal Castilla</t>
    </r>
  </si>
  <si>
    <t>4.  solicitar a aguas de Bogota sobre  ultimas actividdes de mantenimiento del cana de castilla  con copia a secretaria de gobierno</t>
  </si>
  <si>
    <t>Mesa de trabajo obras inconclusas Colegio Kennedy
sede Los Héroes</t>
  </si>
  <si>
    <t>Mesa técnica de seguimiento a con entidades para avance de obras de estos colegios ya que se estaban arreglando zonas claves para el bienestar de los estudiantes</t>
  </si>
  <si>
    <t>en los colegios ya se finalizaron las obras</t>
  </si>
  <si>
    <r>
      <rPr>
        <rFont val="Arial"/>
        <color rgb="FF000000"/>
        <sz val="10.0"/>
      </rPr>
      <t>Buscar el arreglo de losas en mal estado en los alrededores de la Iglesia</t>
    </r>
  </si>
  <si>
    <t>Tras la visita IDU expresa que acueducto tiene reservado el segmento, por lo cual no puede intervenir, se envio respuesta a acueducto sobre reserva expresa que va hasta junio, pero que posiblemente haga prorroga, queda en proceso con oficina concejo para hacer seguimiento al caso ( trta acueducto pide proooga de 3 meses inicio 02 /06/24 hacer seguimiento) vencimienteo de porroga 02/09/2024</t>
  </si>
  <si>
    <r>
      <rPr>
        <rFont val="Arial"/>
        <color rgb="FF000000"/>
        <sz val="10.0"/>
      </rPr>
      <t>Vias sin señalización, luminarias y residuos</t>
    </r>
  </si>
  <si>
    <t>No se realizo por falta de confirmación de las enrtidades, se citan nuevamente con el radicado no 202400030</t>
  </si>
  <si>
    <r>
      <rPr>
        <rFont val="Arial"/>
        <color rgb="FF000000"/>
      </rPr>
      <t>Posibilidad de colocar lumbrera en cuadra</t>
    </r>
  </si>
  <si>
    <t>envio solicitud solicitud por medio del concejo , pendiente rta</t>
  </si>
  <si>
    <t>UAESP no fue a la mesa, hizo visita tomo fotos y expresó que no se requiere, por lo cual se insistirá en solicitud, ya que los residentes expresan que genera inseguridad.</t>
  </si>
  <si>
    <r>
      <rPr>
        <rFont val="Arial"/>
        <color rgb="FF000000"/>
      </rPr>
      <t>Vias sin señalización, luminarias y residuos</t>
    </r>
  </si>
  <si>
    <t>arreglo por parte de VANTI por tapa mal arreglada</t>
  </si>
  <si>
    <r>
      <rPr>
        <rFont val="Arial"/>
        <color rgb="FF000000"/>
      </rPr>
      <t>Vias sin señalización, luminarias y residuos</t>
    </r>
  </si>
  <si>
    <t xml:space="preserve">pare dañado </t>
  </si>
  <si>
    <r>
      <rPr>
        <rFont val="Arial"/>
        <color rgb="FF000000"/>
      </rPr>
      <t>Vias sin señalización, luminarias y residuos</t>
    </r>
  </si>
  <si>
    <t>solicitud a movilidad sobre instalacion de semaforo en cruz del parque maracana</t>
  </si>
  <si>
    <t>movilidad realizo la visita , expreso que la dependencia tien programada en su base de compromisos los segmentos viales de la solicitud , sin mebargo la implementacion estara sujet al orden cornologico de solicitudes, estado de la capa de rodadura, disponibilidad presupuestal y vigencia de los contrats que suscriba la entidad</t>
  </si>
  <si>
    <r>
      <rPr>
        <rFont val="Arial"/>
        <color rgb="FF000000"/>
      </rPr>
      <t>Vía sin pavimentar Unir 1</t>
    </r>
  </si>
  <si>
    <t xml:space="preserve">Se reprogramó mesa por temas de salud </t>
  </si>
  <si>
    <r>
      <rPr>
        <rFont val="Arial"/>
        <color rgb="FF000000"/>
        <sz val="10.0"/>
      </rPr>
      <t>Tuvo que ser reprogramada porque por salud no pude atender la primera confirmada</t>
    </r>
  </si>
  <si>
    <t xml:space="preserve">solicitar visita del ingeniero de UMV para que haga el estudio de la zona </t>
  </si>
  <si>
    <r>
      <rPr>
        <rFont val="Arial"/>
        <color rgb="FF000000"/>
        <sz val="10.0"/>
      </rPr>
      <t>Mesa de trabajo que acompaño alcaldia local, y Concejal Samir, en donde solicitó a UMV revisar para priorización de fresado</t>
    </r>
  </si>
  <si>
    <t>Solicitar priorización de segmentos con Alcaldia ya que UMV, dice que los segmentos requieren contrucción y ellos por competencia no lo pueden hacer</t>
  </si>
  <si>
    <t>Se está solicitando priorización, ya está incluido el CIV 13</t>
  </si>
  <si>
    <r>
      <rPr>
        <rFont val="Arial"/>
        <color rgb="FF000000"/>
      </rPr>
      <t>Vía sin pavimentar sector comercial roma</t>
    </r>
  </si>
  <si>
    <t xml:space="preserve">solicitud de visita de movilidad por mal uso de los segmentos viales por parte de motociclistas </t>
  </si>
  <si>
    <t>Se realizó mesa de trabajo con movilidad en el cualse comprometieron a hacer campañas de sensibilización. También expresaron que habían hecho operativos antes de la mesa pero la comunidad se molestó</t>
  </si>
  <si>
    <r>
      <rPr>
        <rFont val="Arial"/>
        <color rgb="FF000000"/>
      </rPr>
      <t>Problemas de movilidad</t>
    </r>
  </si>
  <si>
    <t>Se reprogramó mesa porque la entidad no asistió</t>
  </si>
  <si>
    <r>
      <rPr>
        <rFont val="Arial"/>
        <color rgb="FF1F1F1F"/>
        <sz val="9.0"/>
      </rPr>
      <t>Entidad no asistió por lo cual se reprogramó</t>
    </r>
  </si>
  <si>
    <r>
      <rPr>
        <rFont val="Arial"/>
        <color rgb="FF000000"/>
      </rPr>
      <t>Visita de especilaista para fresado</t>
    </r>
  </si>
  <si>
    <t>Se reprogramó mesa por reunión con la Bancada</t>
  </si>
  <si>
    <r>
      <rPr>
        <rFont val="Arial"/>
        <color rgb="FF1F1F1F"/>
        <sz val="9.0"/>
      </rPr>
      <t>Se reprogramó por reunión con Bancada</t>
    </r>
  </si>
  <si>
    <r>
      <rPr>
        <rFont val="Arial"/>
        <color rgb="FF000000"/>
      </rPr>
      <t>Solicitud de señalizacion</t>
    </r>
  </si>
  <si>
    <t>pregunta a la lider sobre campañas de sensibilizacion</t>
  </si>
  <si>
    <t>solicitar a movilidad pruebas de esa sensibilizacion a la comuniadad</t>
  </si>
  <si>
    <t>Mesa de trabajo - malla vial afectada</t>
  </si>
  <si>
    <t xml:space="preserve">
pendiente que UMV envie informe de las vias visitadas, hasta el dia 02/07/24 no ha sido enviadas</t>
  </si>
  <si>
    <t>se intervino un bache , sin mebargo hay otras vias pendientes</t>
  </si>
  <si>
    <t>solicitar estudio de las redes de acueducto en el segmento de la clinica del Occidente</t>
  </si>
  <si>
    <t>acueducto dice se hara estudio correspondiente de forma priorizada</t>
  </si>
  <si>
    <r>
      <rPr>
        <rFont val="Arial"/>
        <color rgb="FF000000"/>
      </rPr>
      <t>Barrio Villa Claudia contenedores-lider Jimmy</t>
    </r>
  </si>
  <si>
    <t>enviar rta por parte de la entidad sobre solicitud</t>
  </si>
  <si>
    <t>no e sposible la solicitud debiso a la contratacion de los contenedores</t>
  </si>
  <si>
    <r>
      <rPr>
        <rFont val="Arial"/>
        <color rgb="FF000000"/>
      </rPr>
      <t>Mesa de trabajo malla vial afectada - barrio Unir</t>
    </r>
  </si>
  <si>
    <t>Alcaldia se comprometio a enviar informe CIV</t>
  </si>
  <si>
    <t>alcaldia no envio informe, esta pendiente solicitarlo</t>
  </si>
  <si>
    <r>
      <rPr>
        <rFont val="Arial"/>
        <color rgb="FF000000"/>
      </rPr>
      <t>Mantenimiento de parque Proximidad- Hna Vilma</t>
    </r>
  </si>
  <si>
    <t>Reprogramada</t>
  </si>
  <si>
    <r>
      <rPr>
        <rFont val="Arial"/>
        <color rgb="FF000000"/>
        <sz val="10.0"/>
      </rPr>
      <t>Ciudad Kennedy Sur</t>
    </r>
  </si>
  <si>
    <r>
      <rPr>
        <rFont val="Arial"/>
        <color rgb="FF000000"/>
      </rPr>
      <t>Reprogramacion mesa de trabajo visita Ing UMV</t>
    </r>
  </si>
  <si>
    <t>enviar a umv compromiso de rtasobre visita que hizo el especialista</t>
  </si>
  <si>
    <t>Se envía a asesora para que se pueda hacer solicitud de priorización desde el Concejo de Bogotá. Si embargo UMV dice que no tiene competencia para construir</t>
  </si>
  <si>
    <t>realizar el informe tecnico para una posible intervencion de las vias</t>
  </si>
  <si>
    <t>UMV expresa ue no tiene la competencia par ala construccion que es lo que requiere la via</t>
  </si>
  <si>
    <r>
      <rPr>
        <rFont val="Arial"/>
        <color rgb="FF000000"/>
      </rPr>
      <t>reprogramación por reunión con Bancada - Mantenimiento de parque Proximidad -Hna Vilma</t>
    </r>
  </si>
  <si>
    <r>
      <rPr>
        <rFont val="Arial"/>
        <color rgb="FF000000"/>
        <sz val="10.0"/>
      </rPr>
      <t>Ciudad Kennedy Sur</t>
    </r>
  </si>
  <si>
    <t>si bien la alcaldia lo ingresa al banco, es necesario hacer gestion con la comunidad con un derecho de peticion</t>
  </si>
  <si>
    <r>
      <rPr>
        <rFont val="Arial"/>
        <color rgb="FF000000"/>
      </rPr>
      <t>Ruta circular, reductores Marsella (se programo par el viernes 14 de junio)</t>
    </r>
  </si>
  <si>
    <t xml:space="preserve"> trasmilenio en agosto 05 nos envie rta sobre los dos requerimientos de la comunidad 1. ampliar recorridos de ruta ciorcular y mover paradas de rutas del sitp sobre las americas</t>
  </si>
  <si>
    <r>
      <rPr>
        <rFont val="Arial"/>
        <color rgb="FF000000"/>
      </rPr>
      <t>Instalacion de reductores de velocidad- reprogramacion porque entidad no fue 202400035</t>
    </r>
  </si>
  <si>
    <t>movilidad enviara informe sobre posibilidad de reirar separador vial</t>
  </si>
  <si>
    <t>Se hizo la mesa de trabajo con la entidad y vecinos residentes del sector y se llegó a acuerdos de evaluar la posibilidad de poner una de las vías en doble sentido para evitar la problemática y de hacer jornadas de sensibilización referente al mal parqueo.</t>
  </si>
  <si>
    <r>
      <rPr>
        <rFont val="Arial"/>
        <color rgb="FF000000"/>
      </rPr>
      <t>Instalacion de reductores de velocidad- reprogramacion porque entidad no fue 202400035</t>
    </r>
  </si>
  <si>
    <t>Solución por parte de líder Jimmy debido a respuesta negativa de entidad</t>
  </si>
  <si>
    <t>evaluar la posibilidad de poner la via en doble sentido para evitar la problematica</t>
  </si>
  <si>
    <t>hacer sensibilizaciones frente al mal parqueo</t>
  </si>
  <si>
    <r>
      <rPr>
        <rFont val="Arial"/>
        <color rgb="FF000000"/>
      </rPr>
      <t>Mesa de gestion territorial, contenedores de residuos y roedores- Unir 1</t>
    </r>
  </si>
  <si>
    <t>pendiente uaesp enviar informe sobre situacion de los contenedores</t>
  </si>
  <si>
    <t>UAESP tomó registro de la problemática y se comprometió en redactar un oficio para evaluar con el operador la posibilidad del retiro del contenedor, además de realizar una campaña de sensibilización con el buen uso de los contenedores en el sector. La respuesta fue negativa al retiro del contenedor.</t>
  </si>
  <si>
    <t>Mesa de gestion territorial preservacion de espacio perimetral salon comunal Villa Adriana (pendiente buscar respuesta)</t>
  </si>
  <si>
    <t>Respuesta de cronograma de poda por parte de ciudad limpia</t>
  </si>
  <si>
    <t xml:space="preserve">Se solicitó respuesta ya que CIudad Limpia no había dado respuesta </t>
  </si>
  <si>
    <t>Mesa de Gestión Territorial por problemáticas con árboles, alumbrado y poste de cables.</t>
  </si>
  <si>
    <t>Envio de informe de cada arbol por parte de sec de ambiente a entidades</t>
  </si>
  <si>
    <t>Envió informe de cada arborio visitado</t>
  </si>
  <si>
    <t>Enviar a UAESP y enel solicitud de recoger cables caídos</t>
  </si>
  <si>
    <t>Enviar a enel solicitud de respuesta de poda de arboles</t>
  </si>
  <si>
    <r>
      <rPr>
        <rFont val="Arial"/>
        <color rgb="FF000000"/>
      </rPr>
      <t>Mesa de gestion territorial, contenedores de residuos y roedores- Unir 1</t>
    </r>
  </si>
  <si>
    <t>UAESP realizara una campaña de sensibilizacion del buen uso de los contenedores</t>
  </si>
  <si>
    <t>jardin botanico enviara informe de cada arbol</t>
  </si>
  <si>
    <t>enviaron reporte de cada arbol para la respectiva intervencion por UAESP y ENEL</t>
  </si>
  <si>
    <t>ENEl dara respuesta de acuerdo a los arboles en que tenga compeencia</t>
  </si>
  <si>
    <t>a ENEL se le envio solicitud pero no envio rta</t>
  </si>
  <si>
    <t>pendiente realizar una segunda mesa de trabajo despues del 15 de octubre de 2024 porque se quedo con el compromiso de entregar los estudios de diseño , pendiente programar mesa de trabajo de seguimiento y la alcadia quedo de enviar si hay alguna novedad y pendiente enviar derecho de peticion para pavimentacion de vias con las firmas recolectdas</t>
  </si>
  <si>
    <t>pendiente realizar una nueva mesa de trabajo el 15/10/2024 dado que entidad dse compromete a entregar estudios sobre esa fecha</t>
  </si>
  <si>
    <t>Mesa de trabajo parque los abuelos poda de arboles que están tapando la iluminación y otros arboles para revisar</t>
  </si>
  <si>
    <t>Poda en diciembre 2024</t>
  </si>
  <si>
    <t>pendiente seguimiento del derecho de peticion enviado por la comunidad  sobre "obra por tu lugar" que  sugirienron las entidades en la mesa de trabajo</t>
  </si>
  <si>
    <r>
      <rPr>
        <rFont val="Arial"/>
        <color rgb="FF000000"/>
        <sz val="9.0"/>
      </rPr>
      <t>se realiza mesa de trabajo , pendiente seguimiento del derecho de peticion enviado por la comunidad sobre "obra por tu lugar" que sugirienron las entidades en la mesa de trabajo</t>
    </r>
  </si>
  <si>
    <t>La llanura</t>
  </si>
  <si>
    <t>Se realizó poda</t>
  </si>
  <si>
    <t>Revisión de poste</t>
  </si>
  <si>
    <t>Enel hizo visita, pendiente resultado</t>
  </si>
  <si>
    <t>Envio de transmilenio sobre posibilidad de cambio de paradero</t>
  </si>
  <si>
    <t>Movilidad revisar con contratista cambio de paso</t>
  </si>
  <si>
    <t>Cambio de paso que mejoró seguridad vial</t>
  </si>
  <si>
    <t xml:space="preserve"> 1.miguel debe enviar hoja de vida y antecedentes disciplinarios,o a miguel</t>
  </si>
  <si>
    <t>se conformo frente de seguridad con exito</t>
  </si>
  <si>
    <t>segun lo anterios la policia enviara documentos a Miguel</t>
  </si>
  <si>
    <t>la policia debe pedir apoyo a sandra Y/o funcionario y diligenciar documentos, apoyo a miguel</t>
  </si>
  <si>
    <t>pendiente resultado</t>
  </si>
  <si>
    <t>edil debe enviar los # de cuentas de los recibos  a ENEL</t>
  </si>
  <si>
    <t xml:space="preserve"> acueducto se lleva el requerrimiento pero don Segundo debe enviar el poligono para verificar si catastralmente se puede cambiar el nombre del barrio</t>
  </si>
  <si>
    <t>movilidad hizo visita y corroboro el estado , esta pendiente que lo prioricen</t>
  </si>
  <si>
    <t>Mesa de Trabajo Francisco José de Caldas sobre inquietudes de habitantesde tarifas, contenedores y frecuencia del
servicio de recolección de residuos</t>
  </si>
  <si>
    <t>hacer una mesa tecnica con la lider Doris y la asesora del concejo para revisar documentacion</t>
  </si>
  <si>
    <t>Concejo Distrital</t>
  </si>
  <si>
    <t>Francisco José de Caldas</t>
  </si>
  <si>
    <t>enviar derecho d epeticion con evidencias y firmas para soliitar el cambio de reductores de velocidad, debido a su mal estado</t>
  </si>
  <si>
    <t>movilidad conforme al derecho de peticion confirma el mal estado de los reductores y dice que sera priorizado conforme a la asignacion de los recursos( desde el concejo se esta solicitando directamente a la secretaria)</t>
  </si>
  <si>
    <t>la lider Doris enviaria documentacion a  la asesora del concejo para revisar caaso juridico del barrio y hacer una mesa de trabajo para revisar</t>
  </si>
  <si>
    <t>se realizo la reunion, el lider envio la informacion y la asesora tomo la informacion para evaluar el caso con  el partido</t>
  </si>
  <si>
    <t xml:space="preserve">mesa de  ciudadela primavera: 1. revisar via en mal estado . 2. seguridad del  sector , parque ciudadela. 3. mantenimiento cancha sintetica primavera 4. </t>
  </si>
  <si>
    <t>mesa de trabajo con movilidad para revisar reductores</t>
  </si>
  <si>
    <t>mesa de trabajo con movilidad para revisar sentido vial calle 6</t>
  </si>
  <si>
    <t>mesa de trabajo con alcaldia local para revisar priorizacion de mantenimiento del parque primavera</t>
  </si>
  <si>
    <t>mesa de trabajo con trasnsmilenio paa revisar posibilidad de colocarun paradero del SITP</t>
  </si>
  <si>
    <t>se realizo la mesa de trabajo el dia 12 de febrero  y transmilenio se llevo la inquietud, serealizar una mesa de trabajo de seguimiento finlaizando el mes de abril o inicios del mes de mayo 2025 para saber como va el analisis por parte de la entidad</t>
  </si>
  <si>
    <t xml:space="preserve">solicitar mejora de la calle 6, enviar derecho de peticion con firmas </t>
  </si>
  <si>
    <t>se envio el derecho de peticion  y se esta  trabajando a traves del concejo</t>
  </si>
  <si>
    <t>mesa de trabajo con trasnmilenio para solicutd de nueva parada del SITP</t>
  </si>
  <si>
    <t>enviar derecho de peticion con firma de habitantes para mantenimiento de la calle 6</t>
  </si>
  <si>
    <t xml:space="preserve">enviar derecho de peticion al correo indicado por la entidad para  que den respuesta  al pendiente </t>
  </si>
  <si>
    <t>Mesa de Trabajo La Rivera 1 sector, para conocer el avance de los estudios y diseños de
los segmentos 8011957 y 8011959</t>
  </si>
  <si>
    <t>solicitar informe sobre contrato que incluye los CIV</t>
  </si>
  <si>
    <t>reunion de los vecinos para organizar frente de seguridad</t>
  </si>
  <si>
    <t>Nueva reunión con Policia para frente de seguridad</t>
  </si>
  <si>
    <t>Policia expresó que en el sector ya hay frente que deben revisar bien la conformación para no duplicar</t>
  </si>
  <si>
    <t>revisar documento enviado por lider Jimmy para realizar  mesa de seguimiento  con el concejo</t>
  </si>
  <si>
    <t>alcaldia de Kennedy enviar reporte sobre estado de espacio piblico del parque AV ciudad de Cali, ya que aparece como comunal y no como parque , entonces no lo pueden intervenir</t>
  </si>
  <si>
    <t xml:space="preserve">Gestión de 2 tapas faltantes </t>
  </si>
  <si>
    <t>Se colocaron las dos tapas y luego se solicitó a uaesp recoger la basura que sacó tigo de las tapas</t>
  </si>
  <si>
    <t>sensibilizacion a carreteros y carpinteros</t>
  </si>
  <si>
    <t>Arreglo de tapa</t>
  </si>
  <si>
    <t>UAESP relizara sensibilizacion a carreteros paraprevenir punto critico del parque</t>
  </si>
  <si>
    <t>UAESP realizará sensiilización zona carpinteros para mejora de limpieza por la cicloruta</t>
  </si>
  <si>
    <t>alcaldia local solicitara a UAESP estado  de la cancha, ya que aparece en el sistema como zona comunal, ya que no se peude hacer mejores como parque debido a ese estado, quedaron con el compromiso de enviarnos esa informacion</t>
  </si>
  <si>
    <t>solicitud de dos tapas de alcantarilla a TIGO</t>
  </si>
  <si>
    <t>Alta Consejeria TIC</t>
  </si>
  <si>
    <t>movilidad enviara informe sobre cambio de sentido por la calle 6, para poner doble sentido</t>
  </si>
  <si>
    <t>revisión de reductores de movilidad</t>
  </si>
  <si>
    <t>revisión de parque y solicitar mantenimiento, delegado sugiere que se presente en presupuestos</t>
  </si>
  <si>
    <t>nueva mesa de trabajo con acueducto ya que es la entidad competente</t>
  </si>
  <si>
    <t>Don Ramiro enviara un consolidado sobre los casos que requieren apoyo en e seguimiento de RTA</t>
  </si>
  <si>
    <t>intervenir el punto mas critico de la cuadra antes del 25 de diciembre</t>
  </si>
  <si>
    <t>Restauración de la loza más damnificada/dañada conforme a contrato de arreglo de espacio pupblico que sale a fonales de febrero el erreglo sería despues de eso</t>
  </si>
  <si>
    <t>Pendiente de contrato que sale a finales de febrero</t>
  </si>
  <si>
    <t>Intervención de los 2 puntos más afectados</t>
  </si>
  <si>
    <t>Entidad ya intervino los dos segmentos</t>
  </si>
  <si>
    <t>Cambio total de redes, es un proceso más largo, renovación de redes, para ello se plantea hacer una mesa técnica con el area para que a largo plazo se haga el cambio de redes</t>
  </si>
  <si>
    <t>MESA</t>
  </si>
  <si>
    <t>LIDER</t>
  </si>
  <si>
    <t>ACCION</t>
  </si>
  <si>
    <t>MT - CIUDADELA PRIMAVERA MALLA VIAL Y CANCHA (248)</t>
  </si>
  <si>
    <t>CIUDADELA PRIMAVERA</t>
  </si>
  <si>
    <t>ANA TEMILDA GUERRERO</t>
  </si>
  <si>
    <t>PATIO BONITO</t>
  </si>
  <si>
    <t>ANIMALES</t>
  </si>
  <si>
    <t>JORNADA OPAM, RESPONSABILIDAD CON ANIMALES</t>
  </si>
  <si>
    <t>INFRAESTRUCTURA</t>
  </si>
  <si>
    <t>SOLICITUD DE REVISIÓN DE ANDENES</t>
  </si>
  <si>
    <t xml:space="preserve">MT - CIUDADELA PRIMAVERA RUTA SITP (2133)
</t>
  </si>
  <si>
    <t>MOVILIDAD</t>
  </si>
  <si>
    <t>ESTUDIO DE EFECTIVIDAD DEL USO DE LA CICLOVÍA, solicitar a movilidad</t>
  </si>
  <si>
    <t>SOLICITAR A LAS ENTIDADES ESTADO DE SENDEROS Y SU INTERVENCIÓN</t>
  </si>
  <si>
    <t>MT - ROMA REDUCTORES DE VELOCIDAD (964)</t>
  </si>
  <si>
    <t>NUEVA ROMA</t>
  </si>
  <si>
    <t>BRYAN RODRIGUEZ</t>
  </si>
  <si>
    <t>CLASS</t>
  </si>
  <si>
    <t>MOVILIDAD HIZO VISITA Y CORROBORO EL ESTADO , ESTA PENDIENTE QUE LO PRIORICEN LOS REDUCTORES DE VELOCIDAD YA TIENEN CONCEPTO POSITIVO</t>
  </si>
  <si>
    <t xml:space="preserve">MT - SINAI MALLA VIAL DETERIORADA FABRICA RECICLAJE Y SALÓN (2011)
</t>
  </si>
  <si>
    <t>SINAI</t>
  </si>
  <si>
    <t>DAIRO GARCIA</t>
  </si>
  <si>
    <t>KENNEDY CENTRAL</t>
  </si>
  <si>
    <t>PARTICIPACION</t>
  </si>
  <si>
    <t>REVISION CASO SALON COMUNAL</t>
  </si>
  <si>
    <t xml:space="preserve">MT - SINAÍ PARQUE TRANSMILENIO Y EXCRETAS (1788)
</t>
  </si>
  <si>
    <t>RECREACION Y DEPORTE</t>
  </si>
  <si>
    <t>3. CONVOCAR JORNADA DE EMBELLECIMIENTO DEL PARQUE Y JORNADA DE SENSIBILIZACIÓN SOBRE TENENCIA DE MASCOTAS CON: CIUDAD LIMPIA, CANCHA</t>
  </si>
  <si>
    <t xml:space="preserve">MT - MARGARITAS COLEGIO NELSON MANDELA (1967)
</t>
  </si>
  <si>
    <t>MARGARITAS</t>
  </si>
  <si>
    <t>REVISAR CON RECTOR TEMAS O DEFINITIVAMENTE CERRAR</t>
  </si>
  <si>
    <t xml:space="preserve">MT - ROMA MALLA VIAL 3 SEGMENTOS VIALES (1969)
</t>
  </si>
  <si>
    <t>ROMA</t>
  </si>
  <si>
    <t>PAULA VELASQUEZ</t>
  </si>
  <si>
    <t>VALLADOLID</t>
  </si>
  <si>
    <t>CONTINUAR GESTIONANDO DE 2 SEGMENTOS VIALES</t>
  </si>
  <si>
    <t>REVISAR SOBRE SOLICITUDES VIA PEATONAL VS CALZADA</t>
  </si>
  <si>
    <t xml:space="preserve">MT - GRAN BRITALIA CAMBIO SENTIDO VIAL (2013)
</t>
  </si>
  <si>
    <t>GRAN BRITALIA</t>
  </si>
  <si>
    <t>NILCE SALGADO</t>
  </si>
  <si>
    <t>EMPRENDIMIENTO</t>
  </si>
  <si>
    <t>MESA TECNICA CON METRO, ALCALDIA Y DESARROLLO ECONOMICO, SECRETARIA DE SEGURIDAD, PARA EVALUAR FERIAS, PENDONES, ZONA COMERCIAL, HACERLO EN EL SALON COMUNAL.</t>
  </si>
  <si>
    <t>METRO</t>
  </si>
  <si>
    <t xml:space="preserve">ESCALAR LA SOLICITUD DE SEÑALIZACIÓN PARA LA ZONA DE GRAN BRITALIA, ESPECÍFICAMENTE EN LA CALLE 46, ANTE METRO. </t>
  </si>
  <si>
    <t>ENVIAR Y/O APLICAR LA ENCUESTA SOBRE LOS PROGRAMAS DE DESARROLLO ECONÓMICO, CON EL FIN DE ORGANIZAR UNA MESA DE TRABAJO PARA EL PROCESO DE INSCRIPCIÓN CON EL EQUIPO.</t>
  </si>
  <si>
    <t xml:space="preserve">MT - PINAR DEL RIO OBRA AVENIDA CALI SEÑALIZACIÓN (8225)
</t>
  </si>
  <si>
    <t>PINAR DEL RIO</t>
  </si>
  <si>
    <t>ALONSO CORREA</t>
  </si>
  <si>
    <t>IDU</t>
  </si>
  <si>
    <t>SOLICITUD DE INTERVENTORIA A CONTRATISTA SOBRE LAS OBSERVACIONES DE MOVILIDAD A SEÑALIZACION, AUN MOVILIDAD NO HA RECIBIDO SEÑALIZACION, REUNION EN DOS MESAS CONVOCAR MESA DE TRABAJO PARA SABER EN QUE ESTADO VA ESPECIALMENTE EN LA SEÑALIZACION DE LA CUADRA</t>
  </si>
  <si>
    <t>REVISION DE ESTADO VIA, PARA ARREGLO VIAL</t>
  </si>
  <si>
    <t>SEGUIMIENTO OBRA AVENIDA CALI, ESTACION DE PATIO BONITO, ENTREGA DEMORADA, AUN TRANSMILENIO NO HA DEFINIDO BIEN LOS PARADEROS, TAPA SUELTAS Y SUENAN</t>
  </si>
  <si>
    <t xml:space="preserve">MT - PORTAL DE CALI REDES DE ACUEDUCTO (2015)
</t>
  </si>
  <si>
    <t>PORTAL DE CALI</t>
  </si>
  <si>
    <t>BLANCA MELO</t>
  </si>
  <si>
    <t>TITULACION</t>
  </si>
  <si>
    <t>2. CULMINAR PROCESO DE LEGALIZACIÓN DEL BARRIO PARA PROCEDER A HACER LA SOLICITUD DE CAMBIO DE REDES DE ALCANTARILLADO Y PAVIMENTACIÓN DE VÍAS.</t>
  </si>
  <si>
    <t xml:space="preserve">3. MESA DE TRABAJO CON ALCALDÍA DE BOSA Y ACUEDUCTO PARA QUE ALCALDÍA HAGA DISEÑO DE LOS DOS CIV PARA AVANZAR EN SOLICITUD DE CAMBIO DE REDES Y PAVIMENTACIÓN DE VÍA DE ACCESO AL BARRIO. </t>
  </si>
  <si>
    <t>PLANEACION</t>
  </si>
  <si>
    <t>SOLICITAR INFORMACIÓN A ENTIDADES SOBRE ESTADO DE ENTREGA DEL BARRIO EN SU LEGALIZACIÓN.</t>
  </si>
  <si>
    <t>ENVIAR ESTADO DE LOS CIV EN CALLE 54B SUR - CALLE 54C SUR QUE HIZO LA ALCALDÍA DE BOSA.</t>
  </si>
  <si>
    <t xml:space="preserve">MT - AMERICAS CLÍNICA OCCIDENTE MALLA VIAL (2052)
</t>
  </si>
  <si>
    <t>NUEVA MARSELLA</t>
  </si>
  <si>
    <t>GLORIA RINCON</t>
  </si>
  <si>
    <t>CARVAJAL</t>
  </si>
  <si>
    <t>ACUEDUCTO</t>
  </si>
  <si>
    <t>PENDIENTES ACUEDUCTO</t>
  </si>
  <si>
    <t xml:space="preserve">MT - VILLA ALSACIA PODA Y VIA (2475)
</t>
  </si>
  <si>
    <t>VILLA ALSACIA</t>
  </si>
  <si>
    <t>ANGELA GUTIERREZ (EXTERNA)</t>
  </si>
  <si>
    <t>MESA DE TRABAJO SEGUN PROBLEMATICA AV GUAYACANES, SILLAS DAÑADAS, HABITABILIDAD EN LA CALLE</t>
  </si>
  <si>
    <t>MT - PATIO BONITO PARQUE SAN DIONISIO (2717)</t>
  </si>
  <si>
    <t>BARRANQUILLITA</t>
  </si>
  <si>
    <t>EVALUAR PUNTO DE ARROJO PERSISTE JAIRO ANIBAL NIÑO</t>
  </si>
  <si>
    <t xml:space="preserve">MT - CLASS MALLA VIAL Y REDUCTORES VELOCIDAD (2723)
</t>
  </si>
  <si>
    <t>NANCY SUAREZ</t>
  </si>
  <si>
    <t>CONCEPTO TECNICO DETERMINAR CARACTERISTICAS DEL SEGMENTO VIAL PARA RESTRICCION DE CARGA PESADA.</t>
  </si>
  <si>
    <t>JORNADA INFORMATIVA SOBRE INCUMPLIMIENTO DE NORMA Y GENERAR ORDEN DE SERVICIOS</t>
  </si>
  <si>
    <t>SOLICITUD DE CCTV PARA EVALUAR LAS REDES EN TRAMO VIAL CON CIV 8008354</t>
  </si>
  <si>
    <t>COPIA DEL RESULTADO DEL ACTA DE SOCIALIZACION DE REDUCTORES DE VELOCIDAD DIRECCION 51 G- 17 SUR</t>
  </si>
  <si>
    <t xml:space="preserve">MT - SAN ANDRÉS SEGURIDAD (2729)
</t>
  </si>
  <si>
    <t>SAN ANDRES</t>
  </si>
  <si>
    <t>MAYCOL MARTINEZ</t>
  </si>
  <si>
    <t>SEGURIDAD</t>
  </si>
  <si>
    <t>INGRESO DE 4 CAMARAS CON LAS ESPECIFICACIONES PARA INGRESAR AL C4 APLICATIVO</t>
  </si>
  <si>
    <t xml:space="preserve">MT - KENNEDY CENTRAL BASURAS Y VÍA EN MAL ESTADO (2732)
</t>
  </si>
  <si>
    <t>CIUDAD KENNEDY ORIENTAL</t>
  </si>
  <si>
    <t>MARTHA DUQUE</t>
  </si>
  <si>
    <t>SOLICITAR RESUMEN DEL PROCESO DEL ESTADO JURIDICO, LA SANCION DE LOS CIV. SABER FECHAS DE AVANNCE PARA INTERVENCION</t>
  </si>
  <si>
    <t xml:space="preserve">MT - RIVERAS DE OCCIDENTE VIA EN MAL ESTADO CRA 93B (2733)
</t>
  </si>
  <si>
    <t>RIVERAS DE OCCIDENTE</t>
  </si>
  <si>
    <t>VERONICA AVILA</t>
  </si>
  <si>
    <t>SERVICIOS PUBLICOS</t>
  </si>
  <si>
    <t>DIAGNÓSTICO DE VECTORES, INSPECCIÓN DE SALUD, ESPECIALMENTE POR ROEDORES EN LOS CONTENEDORES.</t>
  </si>
  <si>
    <t xml:space="preserve">MT - TINTALÁ BASURAS PUNTO CRITICO (2738)
</t>
  </si>
  <si>
    <t>TINTALA</t>
  </si>
  <si>
    <t>LUZ ELENA GARZON</t>
  </si>
  <si>
    <t>SI BIEN YA TIENE LOGROS FINALIZADOS, EVALUAR NUEVAS ACCIONES</t>
  </si>
  <si>
    <t>MT - CIUDAD GRANADA SIEMBRA DE ARBOLES (2745)</t>
  </si>
  <si>
    <t>CIUDAD GALAN</t>
  </si>
  <si>
    <t>LORENA GARZON</t>
  </si>
  <si>
    <t>AMBIENTE</t>
  </si>
  <si>
    <t>A SE REALIZÒ SIEMBRA, REVISAR COMO FORTALECER MESA</t>
  </si>
  <si>
    <t xml:space="preserve">MT - UNIR 1 PARQUE (2763)
</t>
  </si>
  <si>
    <t>UNIR 1</t>
  </si>
  <si>
    <t>MARIA SANCHEZ</t>
  </si>
  <si>
    <t>ARREGLO DE VIA</t>
  </si>
  <si>
    <t>ARREGLO DE PARQUE</t>
  </si>
  <si>
    <t xml:space="preserve">MT - AMERICAS OCCIDENTAL REDUCTORES DE VELOCIDAD (2765)
</t>
  </si>
  <si>
    <t>AMERICAS OCCIDENTAL</t>
  </si>
  <si>
    <t>FRANZ RODRIGUEZ</t>
  </si>
  <si>
    <t>NUEVO ESTUDIO DE CONTEO DE LA ZONA, CUANDO SALGA EL CONTRATO - AFORO</t>
  </si>
  <si>
    <t>ARREGLO SEGMENTO VIAL AL FENTE CASA LIDER FRANZ</t>
  </si>
  <si>
    <t xml:space="preserve">MT - CIUDAD GALAN MALLA VIAL Y BASURAS (2769)
</t>
  </si>
  <si>
    <t>PAULA CORONADO</t>
  </si>
  <si>
    <t>GESTION DE VIA EN MAL ESTADO</t>
  </si>
  <si>
    <t xml:space="preserve">MT - CLASS MALLA VIAL VIA ANCHA CIV 8008199 (2951)
</t>
  </si>
  <si>
    <t xml:space="preserve">ALDEMAR </t>
  </si>
  <si>
    <t>MT - ESTADOS UNIDOS SOCAVON EAAB (3221)</t>
  </si>
  <si>
    <t>ESTADOS UNIDOS</t>
  </si>
  <si>
    <t>LUIS GUALTEROS/LORENA GARZON</t>
  </si>
  <si>
    <t>GESTION DE SOCAVON</t>
  </si>
  <si>
    <t xml:space="preserve">MT - MANDALAY OBRAS DE RENOVACIÓN EAAB (3269)
</t>
  </si>
  <si>
    <t>MANDALAY</t>
  </si>
  <si>
    <t>JIMMY GUTIERREZ</t>
  </si>
  <si>
    <t>INCLUIR EL CIV EN EL BANCO DE INICIATIVAS (ALCALDÍA). IGUAL TENER PRESENTE QUE YA ACUDUCTO HIZO INTERVENCION</t>
  </si>
  <si>
    <t xml:space="preserve">MT - LUCERNA PROVIVIENDA OCCIDENTAL HUECO EN LA VIA CIV 8008866 (3271)
</t>
  </si>
  <si>
    <t>LUCERNA</t>
  </si>
  <si>
    <t>SILVIA CABUYA</t>
  </si>
  <si>
    <t>INTEGRACION SOCIAL/IDRD</t>
  </si>
  <si>
    <t>EVALUAR YA SE RESOLVIO, SIN EMBARGO, LA LIDER HA SOLICTADO OFERTA MUJERES Y A DULTO MAYOR</t>
  </si>
  <si>
    <t xml:space="preserve">MT - RIVERA 1 SECTOR MALLA VIAL (3273)
</t>
  </si>
  <si>
    <t>RIVERA 1 SECTOR</t>
  </si>
  <si>
    <t>SEGUNDO SALAMANCA</t>
  </si>
  <si>
    <t>GESTION SEGMENTO VIAL</t>
  </si>
  <si>
    <t>FERIA</t>
  </si>
  <si>
    <t>FERIA DE SERVICIOS</t>
  </si>
  <si>
    <t xml:space="preserve">MT - CARVAJAL RECOLECCION DE RESIDUOS COLEGIO (3670)
</t>
  </si>
  <si>
    <t>CRISTINA DUQUE</t>
  </si>
  <si>
    <t>RESIDUOS JORNADA DE EMBELLECIMIENTO</t>
  </si>
  <si>
    <t xml:space="preserve">MT - BOITÁ PROBLEMÁTICAS DE SEGURIDAD (3673)
</t>
  </si>
  <si>
    <t>BOITÁ</t>
  </si>
  <si>
    <t>EUTALIA LATORRE</t>
  </si>
  <si>
    <t>CONFORMACION FRENTE DE SEGURIDAD</t>
  </si>
  <si>
    <t>MT - ALQUERIA LA FRAGUA CONTENEDOR DE BASURA (3692)</t>
  </si>
  <si>
    <t>ALQUERIA LA FRAGUA</t>
  </si>
  <si>
    <t>SYOMARA GARZON</t>
  </si>
  <si>
    <t>REUBICACION CONTENEDORES DE BASURA</t>
  </si>
  <si>
    <t xml:space="preserve">MT - BAVARIA 2 SECTOR EMBELLECIMIENTO PARQUE E INSEGURIDAD (3694)
</t>
  </si>
  <si>
    <t xml:space="preserve">BAVARIA 2 SECTOR </t>
  </si>
  <si>
    <t>MARIA LUISA ARIAS</t>
  </si>
  <si>
    <t>POR IDRD ESTA INCLUIDO EN CONTRATO 1148 DE 2024, MANTENIMIENTO DE PARQUE, ARREGLARON EL PARQUE DE LOS NIÑOS</t>
  </si>
  <si>
    <t>REUNION PARA CREAR FRENTE DE SEGURIDAD Y POLICIA Y SECRETARIA DE SEGURIDAD</t>
  </si>
  <si>
    <t>MT - VILLA ALSACIA CASTILLA INUNDACION, BASURAS E INSEGURIDAD (3699)</t>
  </si>
  <si>
    <t>VILLA ALSACIA CASTILLA</t>
  </si>
  <si>
    <t>SERGIO OSORIO</t>
  </si>
  <si>
    <t>INCLUSION EN EL BANCO DE INICIATIVAS, FALTA DOCUMENTO FORMAL</t>
  </si>
  <si>
    <t>MESA DE TRABAJO PARA CONOCER COMANDANTE DEL CUADRANTE CREACION DE FRENTES DE SEGURIDAD CON LA COMUNIDAD</t>
  </si>
  <si>
    <t>OPERATIVO COMERCIANTES MAL PARQUEO AL LADO DEL POLIDEPORTIVO Y TAMBIEN CON HABITANTES DE CALLE</t>
  </si>
  <si>
    <t xml:space="preserve">MT - BARRANQUILLITA SANTA MÓNICA TAPA ACUEDUCTO (3700)
</t>
  </si>
  <si>
    <t>EVALUAR CON COMUNIDAD EXTERNA SI SE PUEDE SERGUIR TRABAJANDO EN ALGO ADICIONAL, YA QUE YA SE ARREGLO LA TAPA</t>
  </si>
  <si>
    <t xml:space="preserve">MT - VILLA DE LOS SAUCES RUBI ARREGLO DE VÍA (3701)
</t>
  </si>
  <si>
    <t>VILLA DE LOS SAUCES</t>
  </si>
  <si>
    <t>LILIANA TOCA</t>
  </si>
  <si>
    <t>YA SE ARREGLARON UNOS SEGMENTOS, EVALUAR LOS OTROS</t>
  </si>
  <si>
    <t>MT - CASTILLA RINCON DE LOS ANGELES PARQUE MAL ESTADO Y ANDENES (3703)</t>
  </si>
  <si>
    <t>RINCON DE LOS ANGELES</t>
  </si>
  <si>
    <t>ELSA LOZANO</t>
  </si>
  <si>
    <t>PARQUES</t>
  </si>
  <si>
    <t>DOMINGO 13 DE JULIO ACTIVIDAD DE TOMA DEL PARQUE.</t>
  </si>
  <si>
    <t>IVC ESCALAR CON SECRETARIA DE SEGURIDAD LA POSIBILIDAD DE PATRULLAJE MIXTO</t>
  </si>
  <si>
    <t>ARREGLO DE ANDEN POR PROBLEMATICA RAICES ARBOLES</t>
  </si>
  <si>
    <t>ARREGLO PARQUE DE BOLSILLO</t>
  </si>
  <si>
    <t>MT - VILLA NELLY MALLA VIAL BOCACALLE (3805)</t>
  </si>
  <si>
    <t>VILLA NELLY</t>
  </si>
  <si>
    <t>FERNANDO ZAMORA</t>
  </si>
  <si>
    <t>EVALUAR PORQUE YA ARREGLARON BOCACALLES, NO TENEMOS LIDERES EXTERNOS, no hay drive pendiente fernando</t>
  </si>
  <si>
    <t xml:space="preserve">MT - CLASS HUNDIMIENTOS AV AGOBERTO (3807)
</t>
  </si>
  <si>
    <t>LAURA RUEDA</t>
  </si>
  <si>
    <t>GESTION DE ARREGLOS HUNDIMIENTOS AVENIDA AGOBERTO - IDU</t>
  </si>
  <si>
    <t>MT - CLASS MALLA VIAL CIV 8008535 IGLESIA (3808)</t>
  </si>
  <si>
    <t>ARREGLO DE VIAL AL LADO DE IGLESIA CLASS 8008535</t>
  </si>
  <si>
    <t>PREGUNTAR SOBRE SI HAY AFECTACION DE REDES 8008535 POR PARTE DEL EAAB</t>
  </si>
  <si>
    <t xml:space="preserve">MT - MANDALAY LUMINARIAS (3809)
</t>
  </si>
  <si>
    <t>LUCINDA  BONILLA</t>
  </si>
  <si>
    <t>EVALUAR CON LA LIDER MAS ACCIONES A REALIZAR, SE REVISARON YA LAS LUMINARIAS</t>
  </si>
  <si>
    <t xml:space="preserve">MT - CIUDAD GRANADA BELLAVISTA VIA REDUCTORES Y SUMIDEROS (3814)
</t>
  </si>
  <si>
    <t>CIUDAD GRANADA</t>
  </si>
  <si>
    <t>ISAURA PORRAS</t>
  </si>
  <si>
    <t>IMPLEMENTACION INTEGRAL DEL DISEÑO DE SEÑALIZACION UNA VEZ SE SURTA EL ARREGLO DE LA VIA FRENTE AL COLEGIO</t>
  </si>
  <si>
    <t>GESTION ARREGLO DE VIA Y ANDENES</t>
  </si>
  <si>
    <t>ENVIAR RESULTADO DE ESTUDIO DE SEMAFORO</t>
  </si>
  <si>
    <t xml:space="preserve">MT - RIVERAS DE OCCIDENTE MEXICANA MALLA VIAL (3815)
</t>
  </si>
  <si>
    <t>ANDREA CASTIBLANCO</t>
  </si>
  <si>
    <t>GESTION DE ARREGLO DE VIAS (IDU - ALCALDIA)</t>
  </si>
  <si>
    <t>GESTION DE PROBLEMATICA DE BASURAS (IDU - ALCALDIA)</t>
  </si>
  <si>
    <t xml:space="preserve">MT - TIERRA BUENA MALLA VIAL CANECAS (3816)
</t>
  </si>
  <si>
    <t>TIERRA BUENA</t>
  </si>
  <si>
    <t>LIZETH HINOJOZA</t>
  </si>
  <si>
    <t>TRASLADO EVALUAR PERTINENCIA INSTALACION, RESULTADO. FRANJAS DE ESTOPEROLES TENGAN EN CUENTA EL CONVENIO 10 ESTUDIO</t>
  </si>
  <si>
    <t>ENVIAR UN ACTA CON LA SITUACION QUE SUCEDE, CAMBIO DE CARPETA ATENCION DE EMERGENCIAS</t>
  </si>
  <si>
    <t>MEJORA SEÑALIZACION DE LA ROTONDA</t>
  </si>
  <si>
    <t>ENVIAR DERECHO DE PETICION DE ECOPUNTO</t>
  </si>
  <si>
    <t>ARREGLO CORRECTIVO QUE HA HECHO EN LAS CANECAS DE BASURA, CUÁNTAS ESTÁN PENDIENTES. ENVIAR INFORMACION.</t>
  </si>
  <si>
    <t xml:space="preserve">MT - VILLA HERMOSA TAPAS TELECOMUNICACIONES Y PARQUE EN MAL ESTADO (3819)
</t>
  </si>
  <si>
    <t>PAULA ALARCON</t>
  </si>
  <si>
    <t>EVALUAR CON EL LIDER NUEVAS ACCIONES YA QUE LAS PROBLEMASTICAS DE LA MESA SE SOLUCIONARON</t>
  </si>
  <si>
    <t>MT - LA LLANURA SEGURIDAD (3818)</t>
  </si>
  <si>
    <t>LA LLANURA</t>
  </si>
  <si>
    <t>OLGA TORRES</t>
  </si>
  <si>
    <t>REVSION DE POSTE</t>
  </si>
  <si>
    <t>ACCIONES CON POLICIA</t>
  </si>
  <si>
    <t xml:space="preserve">MT - CARVAJAL PARE ACOSTADO MAL PARQUEO PARQUE MARACANA (3821)
</t>
  </si>
  <si>
    <t>CARMEN GARZON</t>
  </si>
  <si>
    <t>SOLICITUD A MOVILIDAD SOBRE INSTALACION DE SEMAFORO EN CRUZ DEL PARQUE MARACANA</t>
  </si>
  <si>
    <t xml:space="preserve">MT - VILLA HERMOSA MALLA VIAL (3822)
</t>
  </si>
  <si>
    <t>SAMYR OCHOA</t>
  </si>
  <si>
    <t>CAMBIO DE POSTE DE REDES ELÉCTRICAS EN MAL ESTADO.</t>
  </si>
  <si>
    <t xml:space="preserve">MT - VILLA NELLY VIA SIN PAVIMENTAR (3823)
</t>
  </si>
  <si>
    <t>CARMEN RITA</t>
  </si>
  <si>
    <t xml:space="preserve">MT - TINTAL MALLA VIAL DETERIORADA POMPEYANO (3914)
</t>
  </si>
  <si>
    <t>TINTAL</t>
  </si>
  <si>
    <t>ANDREA URRUTIA</t>
  </si>
  <si>
    <t>GESTION ARREGLO POMPEYANO</t>
  </si>
  <si>
    <t xml:space="preserve">MT - CIUDAD ALSACIA PASO PEATONAL EDEN (4135)
</t>
  </si>
  <si>
    <t>CIUDAD ALSACIA</t>
  </si>
  <si>
    <t>GILMA PEREZ</t>
  </si>
  <si>
    <t>REVISAR GESTIONES CON LIDER</t>
  </si>
  <si>
    <t xml:space="preserve">MT - EL AMPARO CALLEJÓN ENTRE CAYETANO Y HUMEDAL (4261)
</t>
  </si>
  <si>
    <t>VILLA BELLY 3 SECTOR</t>
  </si>
  <si>
    <t>JHONY BOSSA</t>
  </si>
  <si>
    <t>REVISAR BASE PORQUE NO SE CUENTA Y GESTION (FERNANDO)</t>
  </si>
  <si>
    <t>MT - LAS MARGARITAS ZONAS DE CESION (4329)</t>
  </si>
  <si>
    <t>LAS MARGARITAS</t>
  </si>
  <si>
    <t>RAFAEL GUTIERREZ</t>
  </si>
  <si>
    <t>GESTION ARREGLO PARQUE</t>
  </si>
  <si>
    <t>GESTION EMBELLECIMIENTO PARQUE AL LADO DE LA CANCHA</t>
  </si>
  <si>
    <t xml:space="preserve">MT - VILLA ALEXANDRA SOLICITUD DE VIA (4342)
</t>
  </si>
  <si>
    <t>VILLA ALEXANDRA</t>
  </si>
  <si>
    <t>MARIA MORA</t>
  </si>
  <si>
    <t>GESTION VIA EN MAL ESTADO</t>
  </si>
  <si>
    <t>MT - EL CASTILLO VIA AVENIDA CASTILLA CAMBUCHE EST...</t>
  </si>
  <si>
    <t>STEVE LOPEZ</t>
  </si>
  <si>
    <t>MAL PARQUEO CAMIONES Y MULAS MAS CONSTANTES CUADRA ESTRECHA (PENDIENTE COMPROBANTES COMUNIDAD)</t>
  </si>
  <si>
    <t>MESA DE TRABAJO DE SEGUIMIENTO PARA REALIZAR FINALIZANDO AGOSTO ( OJO AVISAR CON 8 DIAS) SABADO, ENTRE SEMANA A LAS (6:00 PM)</t>
  </si>
  <si>
    <t>REVISAR LA ALCANTARILLA SI HABIA EN LA CRA 81 D BIS SE INUNDA EN LA MITAD</t>
  </si>
  <si>
    <t xml:space="preserve">MT - LOS ALMENDROS ANDENES (4470)
</t>
  </si>
  <si>
    <t>LOS ALMENDROS</t>
  </si>
  <si>
    <t>LAURA MELISSA FORERO</t>
  </si>
  <si>
    <t>GESTION DE ARREGLO DE ANDENES</t>
  </si>
  <si>
    <t>MT - CLASS VIA DETERIORADA CON EMPOZAMIENTO (4586)</t>
  </si>
  <si>
    <t>LUCIA ESPITIA</t>
  </si>
  <si>
    <t>LIMPIEZA DE 2 SUMIDEROS MANTENIMIENTO Y RESULTADO DE LA INSPECCION ( DIAGNOSTICO)</t>
  </si>
  <si>
    <t>DOCUMENTO FORMAL CONFIRMANDO QUE EL CIV 8008052 ESTA EN EL BANCO DE INICIATIVAS</t>
  </si>
  <si>
    <t>ACTA DE VISITA VIA REQUIERE AGUAS LLUVIAS/ NO HAY ALCANTARILLADO PLUVIAL</t>
  </si>
  <si>
    <t xml:space="preserve">MT - CASABLANCA ANDENES Y PARADERO SITP (4620)
</t>
  </si>
  <si>
    <t>CASABLANCA</t>
  </si>
  <si>
    <t>TERESA PORTELA</t>
  </si>
  <si>
    <t>REALIZAR VISITA TÉCNICA E INCLUSIÓN EN EL BANCO DE INICIATIVAS.</t>
  </si>
  <si>
    <t xml:space="preserve">MT - FLORALIA INSEGURIDAD Y HABITANTES DE CALLE (4761)
</t>
  </si>
  <si>
    <t>FLORALIA</t>
  </si>
  <si>
    <t>SANDRA MILENA MONROY</t>
  </si>
  <si>
    <t>HABITANTES DE CALLE</t>
  </si>
  <si>
    <t>SE HIZO GESTION PROBLEMATICA HABITANTES PERO NO HAY RESPUESTA EN DRIVE</t>
  </si>
  <si>
    <t>MT - FRANCISCO JOSÉ DE CALDAS MALLA VIAL CIV 80044...</t>
  </si>
  <si>
    <t>FRANCISCO JOSE DE CALDAS</t>
  </si>
  <si>
    <t xml:space="preserve">OLGA LUCIA SAENZ GOMEZ
</t>
  </si>
  <si>
    <t xml:space="preserve">REVISAR CON LIDER GESTIONES </t>
  </si>
  <si>
    <t>ENVIAR REPORTE A MOVILIDAD SOBRE INTERVENCIÓN DE SEÑALES EN MAL ESTADO.</t>
  </si>
  <si>
    <t>MT - LA MAGDALENA SEGURIDAD VIAL IED TERESA MARTÍNEZ DE VALERA (4983)</t>
  </si>
  <si>
    <t>LA MAGDALENA</t>
  </si>
  <si>
    <t>DIANA VILLAMIZAR</t>
  </si>
  <si>
    <t>PROGRAMA GUARDA CAMINOS REUNION CON EL RECTOR</t>
  </si>
  <si>
    <t>ESTUDIO DE MOVILIDAD DE RESALTOS PARABOLICOS</t>
  </si>
  <si>
    <t>OPERATIVOS DE CONTROL ZONAS DE PARQUEO PERIMETRO DEL COLEGIO</t>
  </si>
  <si>
    <t>MT - CIUDAD DE CALI AFECTACIÓN POR SEMÁFORO (5109)</t>
  </si>
  <si>
    <t>CIUDAD DE CALI</t>
  </si>
  <si>
    <t>ORLANDO MARULANDA</t>
  </si>
  <si>
    <t xml:space="preserve">MT - CATALINA II SECTOR ANDENES EN MAL ESTADO (5110)
</t>
  </si>
  <si>
    <t>CATALINA II SECTOR</t>
  </si>
  <si>
    <t xml:space="preserve">LUCIA EISINENA CABEZAS
</t>
  </si>
  <si>
    <t>TRASLADO DERECHO DE PETICIÓN SOBRE ÁRBOL Y POSIBLE NUEVA PLANTACIÓN</t>
  </si>
  <si>
    <t>TRASLADO DE SOLICITUD DE VISITA UAESP A CUADRA POR POCA ILUMINACIÓN Y REVISAR ESTADO DE POSTE 11855185</t>
  </si>
  <si>
    <t>REALIZAR DIAGNÓSTICO E INCLUSIÓN A BANCO DE INICIATIVAS</t>
  </si>
  <si>
    <t xml:space="preserve">MT - CASTILLA CONTENEDORES DE BASURA (5112)
</t>
  </si>
  <si>
    <t>MARIA ELIZABETH NARVAEZ</t>
  </si>
  <si>
    <t>SALUD</t>
  </si>
  <si>
    <t>TRASLADO DE DERCHO DE PETICIÓN DE DIAGNOSTICO DE SECRETARIA DE SALUD SOBRE VECTORES.</t>
  </si>
  <si>
    <t>REPORTAR A AGUAS DE BOGOTÁ SOBRE LLANTAS</t>
  </si>
  <si>
    <t>RETIRO DE CONTENEDORES</t>
  </si>
  <si>
    <t>MT - LA ALEJANDRA MAL PARQUEO EN VÍA DE BUSES (5136)</t>
  </si>
  <si>
    <t>LA ALEJANDRA</t>
  </si>
  <si>
    <t>DAVID PISSA</t>
  </si>
  <si>
    <t>ENVIAR DE MANERA FORMAL EL ESTADO ACTUAL DE VÍAS.</t>
  </si>
  <si>
    <t>OPERATIVOS EN ZONA DE MAL PARQUEO (YA SE REALIZO UNO PERO NO TUVO IMPACTOO)</t>
  </si>
  <si>
    <t>SOLICITAR INFORMACIÓN SOBRE EL PUENTE CLL 42 SUR</t>
  </si>
  <si>
    <t xml:space="preserve">MT - LUCERNA BASURAS COLEGIO SANTO DOMINGO (5185)
</t>
  </si>
  <si>
    <t>JULIANA REINA</t>
  </si>
  <si>
    <t>PROBLEMATICA CONTENEDORES</t>
  </si>
  <si>
    <t xml:space="preserve">MT - VEGAS DE SANTA ANA VIAS EN MAL ESTADO (5324)
</t>
  </si>
  <si>
    <t>VEGAS DE SANTA ANA</t>
  </si>
  <si>
    <t>LETICIA ROA</t>
  </si>
  <si>
    <t>GESTION ARREGLO VIAS (CONSULTAR CON PASTORES)</t>
  </si>
  <si>
    <t>CARLOS CIFUENTES</t>
  </si>
  <si>
    <t>PROBLEMATICA REDES DEL ACUEDUCTO</t>
  </si>
  <si>
    <t>GESTION ARREGLO DE VIAS</t>
  </si>
  <si>
    <t xml:space="preserve">MT - VILLA CLAUDIA OBRAS AV. 68 Y REDES DE ACUEDUCTO (5599)
</t>
  </si>
  <si>
    <t>VILLA CLAUDIA</t>
  </si>
  <si>
    <t>ENVIAR ACTA DE ACUEDUCTO AL CONCEJAL SOBRE RESPUESTA DE LOS 2 PUNTOS. SOBRE EL SEGUNDO PUNTO ENVIAR INFORME QUE MENCIONÓ DELEGADO DE LA ENTIDAD, DONDE SE CONFIRMA QUE NO FUE INCLUIDO EN PLANES DE RENOVACIÓN PORQUE YA ESTÁ EN PVC.</t>
  </si>
  <si>
    <t xml:space="preserve">MT - NUEVA CASTILLA PROBLEMAS EN LA PRESTACIÓN DEL SERVICIO DE AGUA (5845)
</t>
  </si>
  <si>
    <t>NUEVA CASTILLA</t>
  </si>
  <si>
    <t xml:space="preserve">HERNAN FRANCISCO MONTES
</t>
  </si>
  <si>
    <t>ENVIAR RESPUESTA FORMAL SOBRE LA REVISIÓN A LAS REDES DEL ACUEDUCTO.</t>
  </si>
  <si>
    <t xml:space="preserve">MT - CIUDAD ROMA CARRERA 78P PASTELERIA (5946)
</t>
  </si>
  <si>
    <t>JESSICA BARRERO</t>
  </si>
  <si>
    <t>INFORME ESTADO DE VIA ALCALDIA (SE ENVIO POR CONCEJO NO HAY RESPUESTA)FERNANDO</t>
  </si>
  <si>
    <t>INFORME ACUEDUCTO ESTADO DE REDES (SE ENVIO POR CONCEJO AUN NO HAY REPSUESTA) FERNANDO</t>
  </si>
  <si>
    <t xml:space="preserve">MT - CARIMAGUA SOLICITUD ARREGLO PARADERO SITP 036A09 (6073)
</t>
  </si>
  <si>
    <t>CARIMAGUA</t>
  </si>
  <si>
    <t xml:space="preserve">MARIA FANNY CONTRERAS RIAÑO
</t>
  </si>
  <si>
    <t>TRASLADO DE FICHA TÉCNICA POR PARTE DEL DADEP A LA ALCALDÍA LOCAL, DE ACUERDO A ESTO, SE REALICE UN DIAGNÓSTICO DEL ANDÉN PARA QUE LA ALCALDÍA LOCAL PUEDA COMPLEMENTAR LA ZONA DEL ANDÉN, QUE FALTARÍA POR INTERVENIR.</t>
  </si>
  <si>
    <t xml:space="preserve">MT - PARQUE CIUDAD DE CALI BANCAS Y MATERAS (6132)
</t>
  </si>
  <si>
    <t>JOHANA LEON</t>
  </si>
  <si>
    <t>VALIDAR LA VIABILIDAD PARA LA INSTALACIÓN DE MATERAS, ASÍ COMO DETERMINAR LA CANTIDAD REQUERIDA Y LAS ÁREAS QUE NECESITAN PINTURA, CONFORME AL DIAGNÓSTICO TÉCNICO.</t>
  </si>
  <si>
    <t>GESTION DE ARREGLO PARQUE - MANTENIMIENTO</t>
  </si>
  <si>
    <t>REALIZAR LAS GESTIONES PARA SOLICITAR A LA ENTIDAD COMPETENTE UNA JORNADA DE CONTROL DE VECTORES EN EL SECTOR.</t>
  </si>
  <si>
    <t xml:space="preserve">MT - JORNADA OPAM PARQUE HOLANDA (6172)
</t>
  </si>
  <si>
    <t>HOLANDA</t>
  </si>
  <si>
    <t>NUBIA PARRA</t>
  </si>
  <si>
    <t>REVISAR LIDER GESTIONES (POR EJEMPLO VISITAR LA EMPRESA Y ESCUCHAR QUE NECESITAN SUS EMPLEADOS)</t>
  </si>
  <si>
    <t xml:space="preserve">MT - TIMIZA ZONA DE CESIÓN PARQUE DE PROXIMIDAD (6235)
</t>
  </si>
  <si>
    <t>TIMIZA</t>
  </si>
  <si>
    <t>LEIDY NEIRA</t>
  </si>
  <si>
    <t>SE CONSULTARÁ CON LA UAESP SI YA SE HA REALIZADO INTERVENCIÓN EN LOS POSTES DE LUZ</t>
  </si>
  <si>
    <t xml:space="preserve">MT - CIUDAD KENNEDY OCCIDENTAL INSEGURIDAD POR RETIRO DE REJAS DE INGRESO (6236)
</t>
  </si>
  <si>
    <t>CIUDAD KENNEDY</t>
  </si>
  <si>
    <t>MIGUEL GUERRERO</t>
  </si>
  <si>
    <t>EVALUAR ACCIONES CON POLICIA PORQUE CON EL FRENTE A SIDO COMPLICADO</t>
  </si>
  <si>
    <t>REVISIÓN DEL ESTADO DE LAS VÍAS DEL SECTOR, EN ATENCIÓN A LA SOLICITUD DE LA COMUNIDAD PARA EL ARREGLO DE LAS BAHÍAS.</t>
  </si>
  <si>
    <t>ESPACIO PUBLICO</t>
  </si>
  <si>
    <t>SOBRE LA AV. VILLAVICENCIO SE IDENTIFICÓ EXTENSIÓN DE COMERCIO; LA ALCALDÍA REALIZARÁ JORNADA DE SENSIBILIZACIÓN CON LOS ESTABLECIMIENTOS DEL SECTOR.</t>
  </si>
  <si>
    <t>GESTIONES DE ARBOLES Y CABLES</t>
  </si>
  <si>
    <t>REVISION CAMARAS PARA EL C4</t>
  </si>
  <si>
    <t xml:space="preserve">MT - VILLA ALSACIA MALA DISPOSICIÓN DE RESIDUOS EN CANECAS METALICAS (6239)
</t>
  </si>
  <si>
    <t>EULALIA BECERRA</t>
  </si>
  <si>
    <t>PROBLEMATICA DE BASURAS (CAZAINFRACTORES)</t>
  </si>
  <si>
    <t xml:space="preserve">EVALUAR CON LIDER FERIAS </t>
  </si>
  <si>
    <t xml:space="preserve">MT - TIERRA BUENA MALA DISPOSICIÓN DE RESIDUOS VENDEDORES INFORMALES (6274)
</t>
  </si>
  <si>
    <t xml:space="preserve">MARTHA JOSEFINA GARCIA AVILA
</t>
  </si>
  <si>
    <t>DERECHO DE PETICIÓN PARA JORNADA DE SALUD ANIMAL (SE ENVIO DERECHO PERO AUN LIDER NO ENVIA)</t>
  </si>
  <si>
    <t xml:space="preserve">MT - NUEVO TECHO PARQUE MANTENIMIENTO (6277)
</t>
  </si>
  <si>
    <t>TABAKU</t>
  </si>
  <si>
    <t xml:space="preserve">ANGELICA MARIA MUNERA GONZALEZ
</t>
  </si>
  <si>
    <t>LA ALCALDÍA ENVIARÁ INFORME DEL CONTRATISTA SOBRE LA PÓLIZA DE ESTABILIDAD QUE TIENE EL PARQUE CON CONTRATO 324 DEL 2019. (LA MESA SOLO ASISTIO LIDER, SERIA ARTICULAR CON SANDRA Y LUCY)</t>
  </si>
  <si>
    <t>OPERATIVO SOBRE CAMBUCHES DE HABITANTES DE CALLE EN EL PARQUE CIUDAD TECHO II ENTRE LA NOCHE-MADRUGADA.</t>
  </si>
  <si>
    <t xml:space="preserve">MT - CASTILLA TERRA ESPACIO PÚBLICO Y VIA EN MAL ESTADO (6761)
</t>
  </si>
  <si>
    <t>MARIA PAZ</t>
  </si>
  <si>
    <t>CHEPE PINILLA</t>
  </si>
  <si>
    <t>GESTION ARREGLO DE VIA</t>
  </si>
  <si>
    <t>GESTION POR VENDEDORES INFORMALES DESORGANIZADOS EN ESPACIO PUBLICO</t>
  </si>
  <si>
    <t>ROEDORES POR MALA DISPOSICION DE RESIDUOS</t>
  </si>
  <si>
    <t>SENSIBILIZACIÓN AL ESTABLECIMIENTO MERKAKOL SOBRE EL MANEJO DE SONIDO, EN EL MARCO DE LA LEY DE RUIDO.</t>
  </si>
  <si>
    <t xml:space="preserve">MT - PARQUE URBANIZACION GRAN BRITALIA MALLA Y GRADAS (6909)
</t>
  </si>
  <si>
    <t>CLARA LUMPAQUE</t>
  </si>
  <si>
    <t>FERIA DE EMPLEO Y EMPRENDIMIENTO, ASÍ COMO JORNADA DE PERSONALIZACIÓN DE TARJETAS SITP PARA LA COMUNIDAD. revisar porque en la mesa solo fue 1 persona pero no apoya al Partido</t>
  </si>
  <si>
    <t>LA ALCALDÍA LOCAL TOMA LA SOLICITUD PARA SU INCLUSIÓN EN EL BANCO DE INICIATIVAS, RELACIONADA CON LA INSTALACIÓN DE MALLA PARA LA CANCHA.</t>
  </si>
  <si>
    <t xml:space="preserve">MT - PARQUE PROBLEMA DE EXCRETAS DINDALITO (6924)
</t>
  </si>
  <si>
    <t>DINDALITO</t>
  </si>
  <si>
    <t>RUBY CALLEJAS</t>
  </si>
  <si>
    <t>SENSIBILIZACIÓN SOBRE VACUNACIÓN GRATUITA Y MANEJO DE EXCRETAS, DESARROLLADA ENTRE ENERO Y DICIEMBRE, EN ARTICULACIÓN CON LA POLICÍA COMUNITARIA.</t>
  </si>
  <si>
    <t xml:space="preserve">MT - BOCACALLES EN MAL ESTADO CARVAJAL (7132)
</t>
  </si>
  <si>
    <t>SEBASTIAN MARQUEZ</t>
  </si>
  <si>
    <t>EVALUAR LA POSIBILIDAD, CON EL APOYO DE LA SUPERVISIÓN, DE REALIZAR ESTA ACTIVIDAD A TRAVÉS DEL CONTRATO DE FERRETERÍA O DE CONSTRUCCIÓN.</t>
  </si>
  <si>
    <t>REALIZACIÓN DEL DIAGNÓSTICO DE LA VÍA, INCLUYENDO EL POMPEYO.</t>
  </si>
  <si>
    <t>OFICIO FORMAL PARA LA INCLUSIÓN EN EL BANCO DE INICIATIVAS.</t>
  </si>
  <si>
    <t xml:space="preserve">MT - JORNADA OPAM TIMIZA (7273)
</t>
  </si>
  <si>
    <t xml:space="preserve">JOHANNA ALEXANDRA BAUTISTA MAZUTIER
</t>
  </si>
  <si>
    <t xml:space="preserve">MT - CASTILLA FALTA DE SEÑALIZACIÓN EN VIA (7311)
</t>
  </si>
  <si>
    <t>CASTILLA</t>
  </si>
  <si>
    <t xml:space="preserve">SIRLEY ANDREA FANDIÑO LOPEZ
</t>
  </si>
  <si>
    <t>SOLICITUD DE EVALUAR INSTALACION DE RESALTOS PARABOLICOS</t>
  </si>
  <si>
    <t>SOLICITAR ESTADO DE POLIZA SOBRE ARREGLO DE VÍA, PARA SABER SOBRE LA SEÑALIZACION EN LA VÍA</t>
  </si>
  <si>
    <t xml:space="preserve">MT - VALLADOLID MALLA VIAL MAL ESTADO (7388)
</t>
  </si>
  <si>
    <t>ABIGAIL SANCHEZ</t>
  </si>
  <si>
    <t>INCLUSIÓN DEL SEGMENTO VÍAL EN BANCO DE INICIATIVAS.</t>
  </si>
  <si>
    <t>VISITA DEL INGENIERO JAVIER A LAS 10 AM EL DÍA LUNES 1 DE DICIEMBRE.</t>
  </si>
  <si>
    <t>ENVIARA A LA COMUNIDAD EL FORMATO DE FIRMAS CON EL CIV.</t>
  </si>
  <si>
    <t xml:space="preserve">MT - CASTILLA COLEGIO NUEVOS ANDES (7438)
</t>
  </si>
  <si>
    <t>no hay base. COORDINAR CON LA UMV LA VIABILIDAD DE LOS RESALTOS PARABÓLICOS Y GESTIONAR CON LA ENTIDAD DE MOVILIDAD EL RESPECTIVO CONCEPTO DE VIABILIDAD.</t>
  </si>
  <si>
    <t xml:space="preserve">MT - TABAKU SEGURIDAD VIAL AVENIDA AMERICAS (7903)
</t>
  </si>
  <si>
    <t>LUCY RODRIGUEZ</t>
  </si>
  <si>
    <t>COUNTA de MESA</t>
  </si>
  <si>
    <t>Suma total</t>
  </si>
  <si>
    <t>FECHA</t>
  </si>
  <si>
    <t>DIA</t>
  </si>
  <si>
    <t>HORARIO CULTO</t>
  </si>
  <si>
    <t>GEOREFERENCIACIÓN</t>
  </si>
  <si>
    <t>ASISTENCIA</t>
  </si>
  <si>
    <t>OBSERVACIONES</t>
  </si>
  <si>
    <t>Domingo</t>
  </si>
  <si>
    <t>11:00am</t>
  </si>
  <si>
    <t>Si</t>
  </si>
  <si>
    <t>Lunes</t>
  </si>
  <si>
    <t>5:00pm</t>
  </si>
  <si>
    <t>Martes</t>
  </si>
  <si>
    <t>7:00am</t>
  </si>
  <si>
    <t>Miercoles</t>
  </si>
  <si>
    <t>Jueves</t>
  </si>
  <si>
    <t xml:space="preserve">Teniendo en cuenta la situación de movilidad </t>
  </si>
  <si>
    <t>6:00pm</t>
  </si>
  <si>
    <t>Viernes</t>
  </si>
  <si>
    <t>8:00am</t>
  </si>
  <si>
    <t>7:00pm</t>
  </si>
  <si>
    <t>4:00pm</t>
  </si>
  <si>
    <t>NUMERO</t>
  </si>
  <si>
    <t>DESCRIPCIÓN Y/O BENEFICIO</t>
  </si>
  <si>
    <t>LIDER POLITICO</t>
  </si>
  <si>
    <t>DELEGADOS POLITICOS</t>
  </si>
  <si>
    <t>NOMBRES Y APELLIDOS (CIUDADANOS)</t>
  </si>
  <si>
    <t>CEDULA</t>
  </si>
  <si>
    <t>CELULAR</t>
  </si>
  <si>
    <t>GÉNERO</t>
  </si>
  <si>
    <t>PUESTO DE VOTACIÓN</t>
  </si>
  <si>
    <t>08.Kenedy</t>
  </si>
  <si>
    <t>Lorena Garzón</t>
  </si>
  <si>
    <t>Alba Janneth Mora Lara</t>
  </si>
  <si>
    <t>4.652637317129593, -74.16014833447322</t>
  </si>
  <si>
    <r>
      <rPr>
        <rFont val="Arial"/>
        <color rgb="FF1F1F1F"/>
        <sz val="10.0"/>
      </rPr>
      <t>Mesa de trabajo para solucionar punto crítico de basura, y una posibilidad de un zona de basura, señalización, marque mal estado, aguas estancadas en canal Castilla</t>
    </r>
  </si>
  <si>
    <t>Sandra Diaz Vargas</t>
  </si>
  <si>
    <r>
      <rPr>
        <rFont val="Arial"/>
        <color rgb="FF1F1F1F"/>
        <sz val="10.0"/>
      </rPr>
      <t>Mesa de trabajo para solucionar punto crítico de basura, y una posibilidad de un zona de basura, señalización, marque mal estado, aguas estancadas en canal Castilla</t>
    </r>
  </si>
  <si>
    <t>Aristobulo Cortes Reyes</t>
  </si>
  <si>
    <t>Hombre</t>
  </si>
  <si>
    <r>
      <rPr>
        <rFont val="Arial"/>
        <color rgb="FF1F1F1F"/>
        <sz val="10.0"/>
      </rPr>
      <t>Mesa de trabajo para solucionar punto crítico de basura, y una posibilidad de un zona de basura, señalización, marque mal estado, aguas estancadas en canal Castilla</t>
    </r>
  </si>
  <si>
    <t>Oscar Peña</t>
  </si>
  <si>
    <r>
      <rPr>
        <rFont val="Arial"/>
        <color rgb="FF1F1F1F"/>
        <sz val="10.0"/>
      </rPr>
      <t>Mesa de trabajo para solucionar punto crítico de basura, y una posibilidad de un zona de basura, señalización, marque mal estado, aguas estancadas en canal Castilla</t>
    </r>
  </si>
  <si>
    <t>Miriam Ruiz</t>
  </si>
  <si>
    <r>
      <rPr>
        <rFont val="Arial"/>
        <color rgb="FF1F1F1F"/>
        <sz val="10.0"/>
      </rPr>
      <t>Mesa de trabajo para solucionar punto crítico de basura, y una posibilidad de un zona de basura, señalización, marque mal estado, aguas estancadas en canal Castilla</t>
    </r>
  </si>
  <si>
    <t>Luz Elena Garzon</t>
  </si>
  <si>
    <r>
      <rPr>
        <rFont val="Arial"/>
        <color rgb="FF1F1F1F"/>
        <sz val="10.0"/>
      </rPr>
      <t>Mesa de trabajo para solucionar punto crítico de basura, y una posibilidad de un zona de basura, señalización, marque mal estado, aguas estancadas en canal Castilla</t>
    </r>
  </si>
  <si>
    <t>Sandra Lopez</t>
  </si>
  <si>
    <r>
      <rPr>
        <rFont val="Arial"/>
        <color rgb="FF1F1F1F"/>
        <sz val="10.0"/>
      </rPr>
      <t>Mesa de trabajo para solucionar punto crítico de basura, y una posibilidad de un zona de basura, señalización, marque mal estado, aguas estancadas en canal Castilla</t>
    </r>
  </si>
  <si>
    <t>Edgar Toro</t>
  </si>
  <si>
    <r>
      <rPr>
        <rFont val="Arial"/>
        <color rgb="FF1F1F1F"/>
        <sz val="10.0"/>
      </rPr>
      <t>Mesa de trabajo para solucionar punto crítico de basura, y una posibilidad de un zona de basura, señalización, marque mal estado, aguas estancadas en canal Castilla</t>
    </r>
  </si>
  <si>
    <t>Milena Lopez</t>
  </si>
  <si>
    <r>
      <rPr>
        <rFont val="Arial"/>
        <color rgb="FF1F1F1F"/>
        <sz val="10.0"/>
      </rPr>
      <t>Mesa de trabajo para solucionar punto crítico de basura, y una posibilidad de un zona de basura, señalización, marque mal estado, aguas estancadas en canal Castilla</t>
    </r>
  </si>
  <si>
    <t>Alvaro Silva</t>
  </si>
  <si>
    <r>
      <rPr>
        <rFont val="Arial"/>
        <color rgb="FF1F1F1F"/>
        <sz val="10.0"/>
      </rPr>
      <t>Mesa de trabajo para solucionar punto crítico de basura, y una posibilidad de un zona de basura, señalización, marque mal estado, aguas estancadas en canal Castilla</t>
    </r>
  </si>
  <si>
    <t>Luciana Munevar</t>
  </si>
  <si>
    <r>
      <rPr>
        <rFont val="Arial"/>
        <color rgb="FF1F1F1F"/>
        <sz val="10.0"/>
      </rPr>
      <t>Mesa de trabajo para solucionar punto crítico de basura, y una posibilidad de un zona de basura, señalización, marque mal estado, aguas estancadas en canal Castilla</t>
    </r>
  </si>
  <si>
    <t>Isabel Reyes</t>
  </si>
  <si>
    <r>
      <rPr>
        <rFont val="Arial"/>
        <color rgb="FF1F1F1F"/>
        <sz val="10.0"/>
      </rPr>
      <t>Mesa de trabajo para solucionar punto crítico de basura, y una posibilidad de un zona de basura, señalización, marque mal estado, aguas estancadas en canal Castilla</t>
    </r>
  </si>
  <si>
    <t>Idalid Muñoz Sanchez</t>
  </si>
  <si>
    <r>
      <rPr>
        <rFont val="Arial"/>
        <color rgb="FF1F1F1F"/>
        <sz val="10.0"/>
      </rPr>
      <t>Mesa de trabajo para solucionar punto crítico de basura, y una posibilidad de un zona de basura, señalización, marque mal estado, aguas estancadas en canal Castilla</t>
    </r>
  </si>
  <si>
    <t>Nohis Villareal</t>
  </si>
  <si>
    <r>
      <rPr>
        <rFont val="Arial"/>
        <color rgb="FF1F1F1F"/>
        <sz val="10.0"/>
      </rPr>
      <t>Mesa de trabajo para solucionar punto crítico de basura, y una posibilidad de un zona de basura, señalización, marque mal estado, aguas estancadas en canal Castilla</t>
    </r>
  </si>
  <si>
    <t xml:space="preserve">Danilo </t>
  </si>
  <si>
    <r>
      <rPr>
        <rFont val="Arial"/>
        <color rgb="FF1F1F1F"/>
        <sz val="10.0"/>
      </rPr>
      <t>Mesa de trabajo para solucionar punto crítico de basura, y una posibilidad de un zona de basura, señalización, marque mal estado, aguas estancadas en canal Castilla</t>
    </r>
  </si>
  <si>
    <t>Jorge Moreno</t>
  </si>
  <si>
    <r>
      <rPr>
        <rFont val="Arial"/>
        <color rgb="FF1F1F1F"/>
        <sz val="10.0"/>
      </rPr>
      <t>Mesa de trabajo para solucionar punto crítico de basura, y una posibilidad de un zona de basura, señalización, marque mal estado, aguas estancadas en canal Castilla</t>
    </r>
  </si>
  <si>
    <t>Anibal Acosta</t>
  </si>
  <si>
    <r>
      <rPr>
        <rFont val="Arial"/>
        <color rgb="FF000000"/>
      </rPr>
      <t>Convocó mesa de trabajo sobre frente de seguridad barrio Roma</t>
    </r>
  </si>
  <si>
    <t>Alexander Zabala Paramo</t>
  </si>
  <si>
    <r>
      <rPr>
        <rFont val="Arial"/>
        <color rgb="FF000000"/>
      </rPr>
      <t>Convocó mesa de trabajo sobre frente de seguridad barrio Roma</t>
    </r>
  </si>
  <si>
    <t>Gladys Becerra</t>
  </si>
  <si>
    <t>4.612146506788469, -74.17360836378570</t>
  </si>
  <si>
    <r>
      <rPr>
        <rFont val="Arial"/>
        <color rgb="FF000000"/>
      </rPr>
      <t>Convocó mesa de trabajo sobre frente de seguridad barrio Roma</t>
    </r>
  </si>
  <si>
    <t>Sandra Esperanza Huertas</t>
  </si>
  <si>
    <t>4.612146506788469, -74.17360836378571</t>
  </si>
  <si>
    <r>
      <rPr>
        <rFont val="Arial"/>
        <color rgb="FF000000"/>
      </rPr>
      <t>Convocó mesa de trabajo sobre frente de seguridad barrio Roma</t>
    </r>
  </si>
  <si>
    <t>Maria del Carmen Rodriguez</t>
  </si>
  <si>
    <t>4.612146506788469, -74.17360836378572</t>
  </si>
  <si>
    <r>
      <rPr>
        <rFont val="Arial"/>
        <color rgb="FF000000"/>
      </rPr>
      <t>Convocó mesa de trabajo sobre frente de seguridad barrio Roma</t>
    </r>
  </si>
  <si>
    <t>Deisy Satizabal</t>
  </si>
  <si>
    <t>4.612146506788469, -74.17360836378573</t>
  </si>
  <si>
    <r>
      <rPr>
        <rFont val="Arial"/>
        <color rgb="FF000000"/>
      </rPr>
      <t>Convocó mesa de trabajo sobre frente de seguridad barrio Roma</t>
    </r>
  </si>
  <si>
    <t>Juan Ariza</t>
  </si>
  <si>
    <t>4.612146506788469, -74.17360836378574</t>
  </si>
  <si>
    <r>
      <rPr>
        <rFont val="Arial"/>
        <color rgb="FF000000"/>
      </rPr>
      <t>Convocó mesa de trabajo sobre frente de seguridad barrio Roma</t>
    </r>
  </si>
  <si>
    <t>4.612146506788469, -74.17360836378575</t>
  </si>
  <si>
    <r>
      <rPr>
        <rFont val="Arial"/>
        <color rgb="FF000000"/>
      </rPr>
      <t>Convocó mesa de trabajo sobre frente de seguridad barrio Roma</t>
    </r>
  </si>
  <si>
    <t>Luis antonio Garzon Rodriguez</t>
  </si>
  <si>
    <t>4.612146506788469, -74.17360836378576</t>
  </si>
  <si>
    <r>
      <rPr>
        <rFont val="Arial"/>
        <color rgb="FF000000"/>
      </rPr>
      <t>Convocó mesa de trabajo sobre frente de seguridad barrio Roma</t>
    </r>
  </si>
  <si>
    <t>Carlos Peña</t>
  </si>
  <si>
    <t>4.612146506788469, -74.17360836378577</t>
  </si>
  <si>
    <r>
      <rPr>
        <rFont val="Arial"/>
        <color rgb="FF000000"/>
      </rPr>
      <t>Convocó mesa de trabajo sobre frente de seguridad barrio Roma</t>
    </r>
  </si>
  <si>
    <t xml:space="preserve">Alex Mora </t>
  </si>
  <si>
    <t>4.612146506788469, -74.17360836378578</t>
  </si>
  <si>
    <r>
      <rPr>
        <rFont val="Arial"/>
        <color rgb="FF000000"/>
      </rPr>
      <t>Convocó mesa de trabajo sobre frente de seguridad barrio Roma</t>
    </r>
  </si>
  <si>
    <t>Eberto Vega</t>
  </si>
  <si>
    <t>4.612146506788469, -74.17360836378579</t>
  </si>
  <si>
    <r>
      <rPr>
        <rFont val="Arial"/>
        <color rgb="FF000000"/>
      </rPr>
      <t>Convocó mesa de trabajo sobre frente de seguridad barrio Roma</t>
    </r>
  </si>
  <si>
    <t>Luis Bohorguez Becerra</t>
  </si>
  <si>
    <t>4.612146506788469, -74.17360836378580</t>
  </si>
  <si>
    <r>
      <rPr>
        <rFont val="Arial"/>
        <color rgb="FF000000"/>
      </rPr>
      <t>Convocó mesa de trabajo sobre frente de seguridad barrio Roma</t>
    </r>
  </si>
  <si>
    <t>Doris Forero Parra</t>
  </si>
  <si>
    <t>4.612146506788469, -74.17360836378581</t>
  </si>
  <si>
    <r>
      <rPr>
        <rFont val="Arial"/>
        <color rgb="FF000000"/>
      </rPr>
      <t>Convocó mesa de trabajo sobre frente de seguridad barrio Roma</t>
    </r>
  </si>
  <si>
    <t>Jose Luis Rodriguez</t>
  </si>
  <si>
    <t>4.612146506788469, -74.17360836378582</t>
  </si>
  <si>
    <r>
      <rPr>
        <rFont val="Arial"/>
        <color rgb="FF000000"/>
      </rPr>
      <t>Convocó mesa de trabajo sobre frente de seguridad barrio Roma</t>
    </r>
  </si>
  <si>
    <t xml:space="preserve">Jimmy Mauricio Acosta </t>
  </si>
  <si>
    <t>4.612146506788469, -74.17360836378583</t>
  </si>
  <si>
    <r>
      <rPr>
        <rFont val="Arial"/>
        <color rgb="FF000000"/>
      </rPr>
      <t>Convocó mesa de trabajo sobre frente de seguridad barrio Roma</t>
    </r>
  </si>
  <si>
    <t>Alex Garcia</t>
  </si>
  <si>
    <t>4.612146506788469, -74.17360836378584</t>
  </si>
  <si>
    <r>
      <rPr>
        <rFont val="Arial"/>
        <color rgb="FF000000"/>
      </rPr>
      <t>Convocó mesa de trabajo sobre frente de seguridad barrio Roma</t>
    </r>
  </si>
  <si>
    <t>Caren Yuliana Garcia Angulo</t>
  </si>
  <si>
    <t>4.612146506788469, -74.17360836378585</t>
  </si>
  <si>
    <r>
      <rPr>
        <rFont val="Arial"/>
        <color rgb="FF000000"/>
      </rPr>
      <t>Convocó mesa de trabajo sobre frente de seguridad barrio Roma</t>
    </r>
  </si>
  <si>
    <t>Rosa Moreno</t>
  </si>
  <si>
    <t>4.612146506788469, -74.17360836378586</t>
  </si>
  <si>
    <r>
      <rPr>
        <rFont val="Arial"/>
        <color rgb="FF000000"/>
      </rPr>
      <t>Convocó mesa de trabajo sobre frente de seguridad barrio Roma</t>
    </r>
  </si>
  <si>
    <t>Mauricio Jimenez</t>
  </si>
  <si>
    <t>4.612146506788469, -74.17360836378587</t>
  </si>
  <si>
    <r>
      <rPr>
        <rFont val="Arial"/>
        <color rgb="FF000000"/>
      </rPr>
      <t>Convocó mesa de trabajo sobre frente de seguridad barrio Roma</t>
    </r>
  </si>
  <si>
    <t>Lady Gualtero Madrigal</t>
  </si>
  <si>
    <t>4.612146506788469, -74.17360836378588</t>
  </si>
  <si>
    <r>
      <rPr>
        <rFont val="Arial"/>
        <color rgb="FF000000"/>
      </rPr>
      <t>Convocó mesa de trabajo sobre frente de seguridad barrio Roma</t>
    </r>
  </si>
  <si>
    <t xml:space="preserve">Juan </t>
  </si>
  <si>
    <t>4.612146506788469, -74.17360836378589</t>
  </si>
  <si>
    <r>
      <rPr>
        <rFont val="Arial"/>
        <color rgb="FF000000"/>
      </rPr>
      <t>Convocó mesa de trabajo sobre frente de seguridad barrio Roma</t>
    </r>
  </si>
  <si>
    <t>Michel Mojica Dueñas</t>
  </si>
  <si>
    <t>4.612146506788469, -74.17360836378590</t>
  </si>
  <si>
    <r>
      <rPr>
        <rFont val="Arial"/>
        <color rgb="FF000000"/>
      </rPr>
      <t>Convocó mesa de trabajo sobre frente de seguridad barrio Roma</t>
    </r>
  </si>
  <si>
    <t>Nibia Garzon Moreno</t>
  </si>
  <si>
    <t>4.612146506788469, -74.17360836378591</t>
  </si>
  <si>
    <r>
      <rPr>
        <rFont val="Arial"/>
        <color rgb="FF000000"/>
      </rPr>
      <t>Convocó mesa de trabajo sobre frente de seguridad barrio Roma</t>
    </r>
  </si>
  <si>
    <t>Rosalba Castañeda</t>
  </si>
  <si>
    <t>4.612146506788469, -74.17360836378592</t>
  </si>
  <si>
    <r>
      <rPr>
        <rFont val="Arial"/>
        <color rgb="FF000000"/>
      </rPr>
      <t>Convocó mesa de trabajo sobre frente de seguridad barrio Roma</t>
    </r>
  </si>
  <si>
    <t>Horacio Muñoz</t>
  </si>
  <si>
    <t>4.612146506788469, -74.17360836378593</t>
  </si>
  <si>
    <r>
      <rPr>
        <rFont val="Arial"/>
        <color rgb="FF000000"/>
      </rPr>
      <t>Convocó mesa de trabajo sobre frente de seguridad barrio Roma</t>
    </r>
  </si>
  <si>
    <t>Sofonias Macias</t>
  </si>
  <si>
    <t>4.612146506788469, -74.17360836378594</t>
  </si>
  <si>
    <r>
      <rPr>
        <rFont val="Arial"/>
        <color rgb="FF000000"/>
      </rPr>
      <t>Convocó mesa de trabajo sobre frente de seguridad barrio Roma</t>
    </r>
  </si>
  <si>
    <t>Jorge Prieto</t>
  </si>
  <si>
    <t>4.612146506788469, -74.17360836378595</t>
  </si>
  <si>
    <r>
      <rPr>
        <rFont val="Arial"/>
        <color rgb="FF000000"/>
      </rPr>
      <t>Convocó mesa de trabajo sobre frente de seguridad barrio Roma</t>
    </r>
  </si>
  <si>
    <t>Adela Amado</t>
  </si>
  <si>
    <t>4.612146506788469, -74.17360836378596</t>
  </si>
  <si>
    <r>
      <rPr>
        <rFont val="Arial"/>
        <color rgb="FF000000"/>
      </rPr>
      <t>Convocó mesa de trabajo sobre frente de seguridad barrio Roma</t>
    </r>
  </si>
  <si>
    <t>Johana Dueñas Ramirez</t>
  </si>
  <si>
    <t>4.612146506788469, -74.17360836378597</t>
  </si>
  <si>
    <r>
      <rPr>
        <rFont val="Arial"/>
        <color rgb="FF000000"/>
      </rPr>
      <t>Convocó mesa de trabajo sobre frente de seguridad barrio Roma</t>
    </r>
  </si>
  <si>
    <t>Olga Zabala Paramo</t>
  </si>
  <si>
    <t>4.612146506788469, -74.17360836378598</t>
  </si>
  <si>
    <r>
      <rPr>
        <rFont val="Arial"/>
        <color rgb="FF000000"/>
      </rPr>
      <t>Convocó mesa de trabajo sobre frente de seguridad barrio Roma</t>
    </r>
  </si>
  <si>
    <t>Magdalena Zarate</t>
  </si>
  <si>
    <t>4.612146506788469, -74.17360836378599</t>
  </si>
  <si>
    <r>
      <rPr>
        <rFont val="Arial"/>
        <color rgb="FF000000"/>
      </rPr>
      <t>Convocó mesa de trabajo sobre frente de seguridad barrio Roma</t>
    </r>
  </si>
  <si>
    <t>Francy Riaño</t>
  </si>
  <si>
    <t>4.612146506788469, -74.17360836378600</t>
  </si>
  <si>
    <t>Mesa de trabajo via sin pavimentar</t>
  </si>
  <si>
    <t>Luz Marina Rojas Parada</t>
  </si>
  <si>
    <t>Weison Nioncada</t>
  </si>
  <si>
    <t>4.635117126576531, -74.16840727728049</t>
  </si>
  <si>
    <t>Victor Piñeros</t>
  </si>
  <si>
    <t>4.635117126576531, -74.16840727728050</t>
  </si>
  <si>
    <t>Laura Perez</t>
  </si>
  <si>
    <t>4.635117126576531, -74.16840727728051</t>
  </si>
  <si>
    <t>Angie Ruiz</t>
  </si>
  <si>
    <t>4.635117126576531, -74.16840727728052</t>
  </si>
  <si>
    <t>Jose  Ochoa Pardo</t>
  </si>
  <si>
    <t>4.635117126576531, -74.16840727728053</t>
  </si>
  <si>
    <t>Brayan Alexis Ochoa Pito</t>
  </si>
  <si>
    <t>4.635117126576531, -74.16840727728054</t>
  </si>
  <si>
    <t>Samyr Ochoa Pito</t>
  </si>
  <si>
    <t>4.635117126576531, -74.16840727728055</t>
  </si>
  <si>
    <t>Claudina Soto Soto</t>
  </si>
  <si>
    <t>4.635117126576531, -74.16840727728056</t>
  </si>
  <si>
    <t xml:space="preserve">Oscar Niño </t>
  </si>
  <si>
    <t>4.635117126576531, -74.16840727728057</t>
  </si>
  <si>
    <t>Virginia Armero Angel</t>
  </si>
  <si>
    <t>4.635117126576531, -74.16840727728058</t>
  </si>
  <si>
    <t>Jorge Enrique Alzate</t>
  </si>
  <si>
    <t>4.635117126576531, -74.16840727728059</t>
  </si>
  <si>
    <t>Hector Beltran Romero</t>
  </si>
  <si>
    <t>4.635117126576531, -74.16840727728060</t>
  </si>
  <si>
    <t>Luis Carlos Rey Quicaza</t>
  </si>
  <si>
    <t>4.635117126576531, -74.16840727728061</t>
  </si>
  <si>
    <t>Avila Gongora</t>
  </si>
  <si>
    <t>4.635117126576531, -74.16840727728062</t>
  </si>
  <si>
    <t>Maria Rubiano Alipio</t>
  </si>
  <si>
    <t>4.635117126576531, -74.16840727728063</t>
  </si>
  <si>
    <t xml:space="preserve">Johana Barbosa </t>
  </si>
  <si>
    <t>4.635117126576531, -74.16840727728064</t>
  </si>
  <si>
    <t xml:space="preserve">Yolanda Rodriguez </t>
  </si>
  <si>
    <t>4.635117126576531, -74.16840727728065</t>
  </si>
  <si>
    <t>Carmen Rosa Pito</t>
  </si>
  <si>
    <t>4.635117126576531, -74.16840727728066</t>
  </si>
  <si>
    <t>problemas de movilidad</t>
  </si>
  <si>
    <t>Carvajal III sector</t>
  </si>
  <si>
    <t>Omar Parra Cuellar</t>
  </si>
  <si>
    <t>Victor Manuel Cañon</t>
  </si>
  <si>
    <t>Maria del Carmen Garzon Moncada</t>
  </si>
  <si>
    <t>Hilda Mejia Bello</t>
  </si>
  <si>
    <t>Ceferino Mancipe Peroza</t>
  </si>
  <si>
    <t>Maria del Carmen Rojas</t>
  </si>
  <si>
    <t>Gilberto Vargas</t>
  </si>
  <si>
    <r>
      <rPr>
        <rFont val="Arial"/>
        <color rgb="FF000000"/>
      </rPr>
      <t>se convoco a secreteria de seguridad, conforme la mesa realizaron patrulajes mixtos, y segun dp ambiente en la JAC mejoró</t>
    </r>
  </si>
  <si>
    <t>Flor Herrera Mayorga</t>
  </si>
  <si>
    <r>
      <rPr>
        <rFont val="Arial"/>
        <color rgb="FF000000"/>
      </rPr>
      <t>se convoco a secreteria de seguridad, conforme la mesa realizaron patrulajes mixtos, y segun dp ambiente en la JAC mejoró</t>
    </r>
  </si>
  <si>
    <t>Maria Emelina</t>
  </si>
  <si>
    <r>
      <rPr>
        <rFont val="Arial"/>
        <color rgb="FF000000"/>
      </rPr>
      <t>se convoco a secreteria de seguridad, conforme la mesa realizaron patrulajes mixtos, y segun dp ambiente en la JAC mejoró</t>
    </r>
  </si>
  <si>
    <t>Carmen Rita Uni Muñoz</t>
  </si>
  <si>
    <r>
      <rPr>
        <rFont val="Arial"/>
        <color rgb="FF000000"/>
      </rPr>
      <t>se convoco a secreteria de seguridad, conforme la mesa realizaron patrulajes mixtos, y segun dp ambiente en la JAC mejoró</t>
    </r>
  </si>
  <si>
    <t>Hermes lata Prada</t>
  </si>
  <si>
    <r>
      <rPr>
        <rFont val="Arial"/>
        <color rgb="FF000000"/>
      </rPr>
      <t>se convoco a secreteria de seguridad, conforme la mesa realizaron patrulajes mixtos, y segun dp ambiente en la JAC mejoró</t>
    </r>
  </si>
  <si>
    <t>Myriam Montenegro</t>
  </si>
  <si>
    <r>
      <rPr>
        <rFont val="Arial"/>
        <color rgb="FF000000"/>
      </rPr>
      <t>se convoco a secreteria de seguridad, conforme la mesa realizaron patrulajes mixtos, y segun dp ambiente en la JAC mejoró</t>
    </r>
  </si>
  <si>
    <t>Maria del Transito Molina Vega</t>
  </si>
  <si>
    <r>
      <rPr>
        <rFont val="Arial"/>
        <color rgb="FF000000"/>
      </rPr>
      <t>se convoco a secreteria de seguridad, conforme la mesa realizaron patrulajes mixtos, y segun dp ambiente en la JAC mejoró</t>
    </r>
  </si>
  <si>
    <t>Primitivo Fandiño</t>
  </si>
  <si>
    <r>
      <rPr>
        <rFont val="Arial"/>
        <color rgb="FF000000"/>
      </rPr>
      <t>se convoco a secreteria de seguridad, conforme la mesa realizaron patrulajes mixtos, y segun dp ambiente en la JAC mejoró</t>
    </r>
  </si>
  <si>
    <t>Oliverio Trujillo Sabogal</t>
  </si>
  <si>
    <r>
      <rPr>
        <rFont val="Arial"/>
        <color rgb="FF000000"/>
      </rPr>
      <t>se convoco a secreteria de seguridad, conforme la mesa realizaron patrulajes mixtos, y segun dp ambiente en la JAC mejoró</t>
    </r>
  </si>
  <si>
    <t>Luz dary Tellez</t>
  </si>
  <si>
    <r>
      <rPr>
        <rFont val="Arial"/>
        <color rgb="FF000000"/>
      </rPr>
      <t>se convoco a secreteria de seguridad, conforme la mesa realizaron patrulajes mixtos, y segun dp ambiente en la JAC mejoró</t>
    </r>
  </si>
  <si>
    <t>Ruth Maribel Piedrahita Guzman</t>
  </si>
  <si>
    <r>
      <rPr>
        <rFont val="Arial"/>
        <color rgb="FF000000"/>
      </rPr>
      <t>se convoco a secreteria de seguridad, conforme la mesa realizaron patrulajes mixtos, y segun dp ambiente en la JAC mejoró</t>
    </r>
  </si>
  <si>
    <t>Silverio Salinas Aguirre</t>
  </si>
  <si>
    <r>
      <rPr>
        <rFont val="Arial"/>
        <color rgb="FF000000"/>
      </rPr>
      <t>se convoco a secreteria de seguridad, conforme la mesa realizaron patrulajes mixtos, y segun dp ambiente en la JAC mejoró</t>
    </r>
  </si>
  <si>
    <t>Maria Guzman</t>
  </si>
  <si>
    <r>
      <rPr>
        <rFont val="Arial"/>
        <color rgb="FF000000"/>
      </rPr>
      <t>se convoco a secreteria de seguridad, conforme la mesa realizaron patrulajes mixtos, y segun dp ambiente en la JAC mejoró</t>
    </r>
  </si>
  <si>
    <t>Karen Plata Uni</t>
  </si>
  <si>
    <r>
      <rPr>
        <rFont val="Arial"/>
        <color rgb="FF000000"/>
      </rPr>
      <t>se convoco a secreteria de seguridad, conforme la mesa realizaron patrulajes mixtos, y segun dp ambiente en la JAC mejoró</t>
    </r>
  </si>
  <si>
    <t>Alvaro Conejo</t>
  </si>
  <si>
    <r>
      <rPr>
        <rFont val="Arial"/>
        <color rgb="FF000000"/>
      </rPr>
      <t>se convoco a secreteria de seguridad, conforme la mesa realizaron patrulajes mixtos, y segun dp ambiente en la JAC mejoró</t>
    </r>
  </si>
  <si>
    <t>Duvan Eugenio Estupiñan Montoya</t>
  </si>
  <si>
    <r>
      <rPr>
        <rFont val="Arial"/>
        <color rgb="FF000000"/>
      </rPr>
      <t>4.612146506788469, -74.17360836378569</t>
    </r>
  </si>
  <si>
    <r>
      <rPr>
        <rFont val="Arial"/>
        <color rgb="FF000000"/>
      </rPr>
      <t>se convoco a secreteria de seguridad, conforme la mesa realizaron patrulajes mixtos, y segun dp ambiente en la JAC mejoró</t>
    </r>
  </si>
  <si>
    <t>Jhon Jairo Martin Chitiva</t>
  </si>
  <si>
    <r>
      <rPr>
        <rFont val="Arial"/>
        <color rgb="FF000000"/>
      </rPr>
      <t>4.612146506788469, -74.17360836378569</t>
    </r>
  </si>
  <si>
    <r>
      <rPr>
        <rFont val="Arial"/>
        <color rgb="FF000000"/>
      </rPr>
      <t>se convoco a secreteria de seguridad, conforme la mesa realizaron patrulajes mixtos, y segun dp ambiente en la JAC mejoró</t>
    </r>
  </si>
  <si>
    <t>Albeiro Rodriguez</t>
  </si>
  <si>
    <r>
      <rPr>
        <rFont val="Arial"/>
        <color rgb="FF000000"/>
      </rPr>
      <t>4.612146506788469, -74.17360836378569</t>
    </r>
  </si>
  <si>
    <r>
      <rPr>
        <rFont val="Arial"/>
        <color rgb="FF000000"/>
      </rPr>
      <t>se convoco a secreteria de seguridad, conforme la mesa realizaron patrulajes mixtos, y segun dp ambiente en la JAC mejoró</t>
    </r>
  </si>
  <si>
    <t>Edith Estupiñan</t>
  </si>
  <si>
    <r>
      <rPr>
        <rFont val="Arial"/>
        <color rgb="FF000000"/>
      </rPr>
      <t>4.612146506788469, -74.17360836378569</t>
    </r>
  </si>
  <si>
    <r>
      <rPr>
        <rFont val="Arial"/>
        <color rgb="FF000000"/>
      </rPr>
      <t>se convoco a secreteria de seguridad, conforme la mesa realizaron patrulajes mixtos, y segun dp ambiente en la JAC mejoró</t>
    </r>
  </si>
  <si>
    <t>Patricia Ladino Contreras</t>
  </si>
  <si>
    <r>
      <rPr>
        <rFont val="Arial"/>
        <color rgb="FF000000"/>
      </rPr>
      <t>4.612146506788469, -74.17360836378569</t>
    </r>
  </si>
  <si>
    <r>
      <rPr>
        <rFont val="Arial"/>
        <color rgb="FF000000"/>
      </rPr>
      <t>se convoco a secreteria de seguridad, conforme la mesa realizaron patrulajes mixtos, y segun dp ambiente en la JAC mejoró</t>
    </r>
  </si>
  <si>
    <t>Diana Valencia Murcia</t>
  </si>
  <si>
    <r>
      <rPr>
        <rFont val="Arial"/>
        <color rgb="FF000000"/>
      </rPr>
      <t>4.612146506788469, -74.17360836378569</t>
    </r>
  </si>
  <si>
    <r>
      <rPr>
        <rFont val="Arial"/>
        <color rgb="FF000000"/>
      </rPr>
      <t>se convoco a secreteria de seguridad, conforme la mesa realizaron patrulajes mixtos, y segun dp ambiente en la JAC mejoró</t>
    </r>
  </si>
  <si>
    <t xml:space="preserve">Efren Guerrero </t>
  </si>
  <si>
    <r>
      <rPr>
        <rFont val="Arial"/>
        <color rgb="FF000000"/>
      </rPr>
      <t>4.612146506788469, -74.17360836378569</t>
    </r>
  </si>
  <si>
    <r>
      <rPr>
        <rFont val="Arial"/>
        <color rgb="FF000000"/>
      </rPr>
      <t>se convoco a secreteria de seguridad, conforme la mesa realizaron patrulajes mixtos, y segun dp ambiente en la JAC mejoró</t>
    </r>
  </si>
  <si>
    <t>Yeferson Guerrero Alvarez</t>
  </si>
  <si>
    <r>
      <rPr>
        <rFont val="Arial"/>
        <color rgb="FF000000"/>
      </rPr>
      <t>4.612146506788469, -74.17360836378569</t>
    </r>
  </si>
  <si>
    <r>
      <rPr>
        <rFont val="Arial"/>
        <color rgb="FF000000"/>
      </rPr>
      <t>se convoco a secreteria de seguridad, conforme la mesa realizaron patrulajes mixtos, y segun dp ambiente en la JAC mejoró</t>
    </r>
  </si>
  <si>
    <t>Yuleima Alvarez Guerrero</t>
  </si>
  <si>
    <r>
      <rPr>
        <rFont val="Arial"/>
        <color rgb="FF000000"/>
      </rPr>
      <t>4.612146506788469, -74.17360836378569</t>
    </r>
  </si>
  <si>
    <t>segmentos sin pavimentar, que  son él único acceso a viviendas</t>
  </si>
  <si>
    <t xml:space="preserve">Ximena Morales </t>
  </si>
  <si>
    <t>Lisandro Arias</t>
  </si>
  <si>
    <t>Patricia Elena Villadiego</t>
  </si>
  <si>
    <t>Yassel Mendoza</t>
  </si>
  <si>
    <t>Jeison Gonzalez</t>
  </si>
  <si>
    <t>Oscar Ardila</t>
  </si>
  <si>
    <t>Lady Liliana Farfan Cuevas</t>
  </si>
  <si>
    <t>Maria Jose Acevedo</t>
  </si>
  <si>
    <t>Blanca Nery Beltran</t>
  </si>
  <si>
    <t>Juan Carlos Cruz</t>
  </si>
  <si>
    <t>Jose Edgar Duran</t>
  </si>
  <si>
    <t>Mauricio Caceres</t>
  </si>
  <si>
    <t>Kimberly Marcela Gonzalez Poveda</t>
  </si>
  <si>
    <t>Nestor Abello</t>
  </si>
  <si>
    <t>Huang Yihua</t>
  </si>
  <si>
    <t>Licet LOrena Cortes</t>
  </si>
  <si>
    <t>Arnoldo Cortes Bobadilla</t>
  </si>
  <si>
    <t>Daniela Lopez</t>
  </si>
  <si>
    <t>Diana Maria Serna</t>
  </si>
  <si>
    <t>Sandra Patricia Martinez</t>
  </si>
  <si>
    <t>Jorge  Saboca</t>
  </si>
  <si>
    <t>Jose David Villadiego</t>
  </si>
  <si>
    <t>Dayana Sabogal</t>
  </si>
  <si>
    <t>Santiago Muñoz</t>
  </si>
  <si>
    <t>Karol Salinas</t>
  </si>
  <si>
    <t>Lorena de la Peña</t>
  </si>
  <si>
    <t>Carlos Arenas</t>
  </si>
  <si>
    <t>Alejandra Muñoz</t>
  </si>
  <si>
    <t>Yureny Delgado</t>
  </si>
  <si>
    <t>Blanca Marina Buitrago</t>
  </si>
  <si>
    <t xml:space="preserve">Yudy Alejandra Uriza </t>
  </si>
  <si>
    <t>Diana Lorena Lopez</t>
  </si>
  <si>
    <t>Maria Idali Diaz</t>
  </si>
  <si>
    <t>Marleni Arias</t>
  </si>
  <si>
    <t>Salomon Suarez</t>
  </si>
  <si>
    <t>Margarita Lozano</t>
  </si>
  <si>
    <t>Gloria Patricia Gutierrez</t>
  </si>
  <si>
    <t>Jenny Tinoco</t>
  </si>
  <si>
    <t>Genaro Moreno</t>
  </si>
  <si>
    <t>Melissa Urrego</t>
  </si>
  <si>
    <t>Nelson Rincon Moya</t>
  </si>
  <si>
    <t>Jose Luis Campos</t>
  </si>
  <si>
    <t>Gloria Rocha</t>
  </si>
  <si>
    <t>Liliana Campos</t>
  </si>
  <si>
    <t>Ermilda Villamil</t>
  </si>
  <si>
    <t>Marcela Villamarin</t>
  </si>
  <si>
    <t>Fredy Pineda</t>
  </si>
  <si>
    <t>Milena Yenith Pineda</t>
  </si>
  <si>
    <t>Nicol Valentina Marin Pineda</t>
  </si>
  <si>
    <t>Sebastian Valencia Pineda</t>
  </si>
  <si>
    <t>Kimberly Sierra Hernandez</t>
  </si>
  <si>
    <t>Sandra Hernandez</t>
  </si>
  <si>
    <t>Julio Cesar Sierra</t>
  </si>
  <si>
    <t>Andres Sierra Hernandez</t>
  </si>
  <si>
    <t>Leonardo Sierra</t>
  </si>
  <si>
    <t>Mariano Guerrero</t>
  </si>
  <si>
    <t>Raul Montes</t>
  </si>
  <si>
    <t>Luz Mery Jerez Sanchez</t>
  </si>
  <si>
    <t>Maria Eugenia  Ahumada</t>
  </si>
  <si>
    <t>Sara Maldonado</t>
  </si>
  <si>
    <t>Jose Murrillo</t>
  </si>
  <si>
    <t>Elizabeth Varela Gongora</t>
  </si>
  <si>
    <t>Edilberto Mendoza</t>
  </si>
  <si>
    <t>Vivian Adriana Duartes</t>
  </si>
  <si>
    <t>Jhon Jairo Murillo Gonzalez</t>
  </si>
  <si>
    <t>Julio Duarte</t>
  </si>
  <si>
    <t>Julian Duarte</t>
  </si>
  <si>
    <t>John Lawrence Murillo</t>
  </si>
  <si>
    <t>Aurora Martinez Hernandez</t>
  </si>
  <si>
    <t>Alexandra Murcia</t>
  </si>
  <si>
    <t>Claudia Hernadez</t>
  </si>
  <si>
    <t>Segundo Sativa Torres</t>
  </si>
  <si>
    <t>Ofir Gamboa Aros</t>
  </si>
  <si>
    <t>Hilda Arciniegas</t>
  </si>
  <si>
    <t>Luis Antonio Parra</t>
  </si>
  <si>
    <t>Gladys Franco de Parra</t>
  </si>
  <si>
    <r>
      <rPr>
        <rFont val="Arial"/>
        <color rgb="FF000000"/>
      </rPr>
      <t>paso peatonal CC Eden</t>
    </r>
  </si>
  <si>
    <t>Ciudad Alsacia</t>
  </si>
  <si>
    <t>William Contreras  Fierro</t>
  </si>
  <si>
    <r>
      <rPr>
        <rFont val="Arial"/>
        <color rgb="FF000000"/>
      </rPr>
      <t>paso peatonal CC Eden</t>
    </r>
  </si>
  <si>
    <t>Maberl Rocio Leonel Triana</t>
  </si>
  <si>
    <r>
      <rPr>
        <rFont val="Arial"/>
        <color rgb="FF000000"/>
      </rPr>
      <t>paso peatonal CC Eden</t>
    </r>
  </si>
  <si>
    <t>Natali Mendoza Leonel</t>
  </si>
  <si>
    <r>
      <rPr>
        <rFont val="Arial"/>
        <color rgb="FF000000"/>
      </rPr>
      <t>paso peatonal CC Eden</t>
    </r>
  </si>
  <si>
    <t>Sergio Mendoza Leonel</t>
  </si>
  <si>
    <r>
      <rPr>
        <rFont val="Arial"/>
        <color rgb="FF000000"/>
      </rPr>
      <t>paso peatonal CC Eden</t>
    </r>
  </si>
  <si>
    <t>Olga Lucia Urueña Jaramillo</t>
  </si>
  <si>
    <r>
      <rPr>
        <rFont val="Arial"/>
        <color rgb="FF000000"/>
      </rPr>
      <t>paso peatonal CC Eden</t>
    </r>
  </si>
  <si>
    <t xml:space="preserve">Esperanza Ospina </t>
  </si>
  <si>
    <r>
      <rPr>
        <rFont val="Arial"/>
        <color rgb="FF000000"/>
      </rPr>
      <t>paso peatonal CC Eden</t>
    </r>
  </si>
  <si>
    <t xml:space="preserve">Jakelin Tellez </t>
  </si>
  <si>
    <r>
      <rPr>
        <rFont val="Arial"/>
        <color rgb="FF000000"/>
      </rPr>
      <t>paso peatonal CC Eden</t>
    </r>
  </si>
  <si>
    <t>Astrid Arango</t>
  </si>
  <si>
    <r>
      <rPr>
        <rFont val="Arial"/>
        <color rgb="FF000000"/>
      </rPr>
      <t>paso peatonal CC Eden</t>
    </r>
  </si>
  <si>
    <t>Yenny Rocio Beltran</t>
  </si>
  <si>
    <r>
      <rPr>
        <rFont val="Arial"/>
        <color rgb="FF000000"/>
      </rPr>
      <t>paso peatonal CC Eden</t>
    </r>
  </si>
  <si>
    <t>Johanna Mora</t>
  </si>
  <si>
    <r>
      <rPr>
        <rFont val="Arial"/>
        <color rgb="FF000000"/>
      </rPr>
      <t>paso peatonal CC Eden</t>
    </r>
  </si>
  <si>
    <t>Blanca Lopez</t>
  </si>
  <si>
    <t>3223494983 (se verifica es el mismo numero  de Jorge)</t>
  </si>
  <si>
    <r>
      <rPr>
        <rFont val="Arial"/>
        <color rgb="FF000000"/>
      </rPr>
      <t>paso peatonal CC Eden</t>
    </r>
  </si>
  <si>
    <t>Jorge Mora</t>
  </si>
  <si>
    <t>3223494983 (se verifica es el mismo numero  de Blanca)</t>
  </si>
  <si>
    <r>
      <rPr>
        <rFont val="Arial"/>
        <color rgb="FF000000"/>
      </rPr>
      <t>paso peatonal CC Eden</t>
    </r>
  </si>
  <si>
    <t>Ana CArlina Hidalgo</t>
  </si>
  <si>
    <r>
      <rPr>
        <rFont val="Arial"/>
        <color rgb="FF000000"/>
      </rPr>
      <t>paso peatonal CC Eden</t>
    </r>
  </si>
  <si>
    <t>Dora Nubia Martinez</t>
  </si>
  <si>
    <r>
      <rPr>
        <rFont val="Arial"/>
        <color rgb="FF000000"/>
      </rPr>
      <t>Mesa de trabajo Líder Segundo vía que está en proceso de estudios y diseños</t>
    </r>
  </si>
  <si>
    <t xml:space="preserve">la Rivera </t>
  </si>
  <si>
    <t xml:space="preserve">Maria Dolores Suarez </t>
  </si>
  <si>
    <r>
      <rPr>
        <rFont val="Arial"/>
        <color rgb="FF000000"/>
      </rPr>
      <t>Mesa de trabajo Líder Segundo vía que está en proceso de estudios y diseños</t>
    </r>
  </si>
  <si>
    <t>Osdran  Rojas Henandez</t>
  </si>
  <si>
    <r>
      <rPr>
        <rFont val="Arial"/>
        <color rgb="FF000000"/>
      </rPr>
      <t>Mesa de trabajo Líder Segundo vía que está en proceso de estudios y diseños</t>
    </r>
  </si>
  <si>
    <t>Danilo Diaz Sierra</t>
  </si>
  <si>
    <r>
      <rPr>
        <rFont val="Arial"/>
        <color rgb="FF000000"/>
      </rPr>
      <t>Mesa de trabajo Líder Segundo vía que está en proceso de estudios y diseños</t>
    </r>
  </si>
  <si>
    <t>Luz Mery Ramirez Perez</t>
  </si>
  <si>
    <r>
      <rPr>
        <rFont val="Arial"/>
        <color rgb="FF000000"/>
      </rPr>
      <t>Mesa de trabajo Líder Segundo vía que está en proceso de estudios y diseños</t>
    </r>
  </si>
  <si>
    <r>
      <rPr>
        <rFont val="Arial"/>
        <color rgb="FF000000"/>
      </rPr>
      <t>Mesa de trabajo Líder Segundo vía que está en proceso de estudios y diseños</t>
    </r>
  </si>
  <si>
    <t>Yamile rodriguez</t>
  </si>
  <si>
    <r>
      <rPr>
        <rFont val="Arial"/>
        <color rgb="FF000000"/>
      </rPr>
      <t>Mesa de trabajo Líder Segundo vía que está en proceso de estudios y diseños</t>
    </r>
  </si>
  <si>
    <t>Jorge Eliecer Garcia Rodriguez</t>
  </si>
  <si>
    <r>
      <rPr>
        <rFont val="Arial"/>
        <color rgb="FF000000"/>
      </rPr>
      <t>Mesa de trabajo Líder Segundo vía que está en proceso de estudios y diseños</t>
    </r>
  </si>
  <si>
    <t>Monica Patricia Mendez garzon</t>
  </si>
  <si>
    <r>
      <rPr>
        <rFont val="Arial"/>
        <color rgb="FF000000"/>
      </rPr>
      <t>Mesa de trabajo Líder Segundo vía que está en proceso de estudios y diseños</t>
    </r>
  </si>
  <si>
    <t>Arnobis Antonio Orti z Morales</t>
  </si>
  <si>
    <r>
      <rPr>
        <rFont val="Arial"/>
        <color rgb="FF000000"/>
      </rPr>
      <t>Mesa de trabajo Líder Segundo vía que está en proceso de estudios y diseños</t>
    </r>
  </si>
  <si>
    <t xml:space="preserve">Maryluz Hincapie Alzate </t>
  </si>
  <si>
    <r>
      <rPr>
        <rFont val="Arial"/>
        <color rgb="FF000000"/>
      </rPr>
      <t>Mesa de trabajo Líder Segundo vía que está en proceso de estudios y diseños</t>
    </r>
  </si>
  <si>
    <t>Adriana Paola Casteblanco Talero</t>
  </si>
  <si>
    <r>
      <rPr>
        <rFont val="Arial"/>
        <color rgb="FF000000"/>
      </rPr>
      <t>Mesa de trabajo Líder Segundo vía que está en proceso de estudios y diseños</t>
    </r>
  </si>
  <si>
    <t>Adarves Soto Gutierrez</t>
  </si>
  <si>
    <r>
      <rPr>
        <rFont val="Arial"/>
        <color rgb="FF000000"/>
      </rPr>
      <t>Mesa de trabajo Líder Segundo vía que está en proceso de estudios y diseños</t>
    </r>
  </si>
  <si>
    <t>Zoila Rosa Florido guarin</t>
  </si>
  <si>
    <r>
      <rPr>
        <rFont val="Arial"/>
        <color rgb="FF000000"/>
      </rPr>
      <t>Mesa de trabajo Líder Segundo vía que está en proceso de estudios y diseños</t>
    </r>
  </si>
  <si>
    <t>Liliana Herrera Guarin</t>
  </si>
  <si>
    <r>
      <rPr>
        <rFont val="Arial"/>
        <color rgb="FF000000"/>
      </rPr>
      <t>Mesa de trabajo Líder Segundo vía que está en proceso de estudios y diseños</t>
    </r>
  </si>
  <si>
    <t>Derly Marin Sosa</t>
  </si>
  <si>
    <r>
      <rPr>
        <rFont val="Arial"/>
        <color rgb="FF000000"/>
      </rPr>
      <t>Mesa de trabajo Líder Segundo vía que está en proceso de estudios y diseños</t>
    </r>
  </si>
  <si>
    <t>Victor Rodriguez</t>
  </si>
  <si>
    <r>
      <rPr>
        <rFont val="Arial"/>
        <color rgb="FF000000"/>
      </rPr>
      <t>Mesa de trabajo Líder Segundo vía que está en proceso de estudios y diseños</t>
    </r>
  </si>
  <si>
    <t>Maria Ismelda Bustamante</t>
  </si>
  <si>
    <r>
      <rPr>
        <rFont val="Arial"/>
        <color rgb="FF000000"/>
      </rPr>
      <t>Mesa de trabajo Líder Segundo vía que está en proceso de estudios y diseños</t>
    </r>
  </si>
  <si>
    <t>Floresminda Camacho Herrera</t>
  </si>
  <si>
    <r>
      <rPr>
        <rFont val="Arial"/>
        <color rgb="FF000000"/>
      </rPr>
      <t>Mesa de trabajo Líder Segundo vía que está en proceso de estudios y diseños</t>
    </r>
  </si>
  <si>
    <t>Luz Maria Chamorro</t>
  </si>
  <si>
    <r>
      <rPr>
        <rFont val="Arial"/>
        <color rgb="FF000000"/>
      </rPr>
      <t>Mesa de trabajo Líder Segundo vía que está en proceso de estudios y diseños</t>
    </r>
  </si>
  <si>
    <t>Yuli Patricia Umba Monroy</t>
  </si>
  <si>
    <r>
      <rPr>
        <rFont val="Arial"/>
        <color rgb="FF000000"/>
      </rPr>
      <t>Mesa de trabajo Líder Segundo vía que está en proceso de estudios y diseños</t>
    </r>
  </si>
  <si>
    <t>Marta Tami Monroy</t>
  </si>
  <si>
    <r>
      <rPr>
        <rFont val="Arial"/>
        <color rgb="FF000000"/>
      </rPr>
      <t>Mesa de trabajo Líder Segundo vía que está en proceso de estudios y diseños</t>
    </r>
  </si>
  <si>
    <t>Jose Eberto Rivea</t>
  </si>
  <si>
    <r>
      <rPr>
        <rFont val="Arial"/>
        <color rgb="FF000000"/>
      </rPr>
      <t>Mesa de trabajo Líder Segundo vía que está en proceso de estudios y diseños</t>
    </r>
  </si>
  <si>
    <t>Maria Yanuby Osorio Arredondo</t>
  </si>
  <si>
    <r>
      <rPr>
        <rFont val="Arial"/>
        <color rgb="FF000000"/>
      </rPr>
      <t>Mesa de trabajo Líder Segundo vía que está en proceso de estudios y diseños</t>
    </r>
  </si>
  <si>
    <t>Sandra Milena Arboleda Ospina</t>
  </si>
  <si>
    <r>
      <rPr>
        <rFont val="Arial"/>
        <color rgb="FF000000"/>
      </rPr>
      <t>Mesa de trabajo Líder Segundo vía que está en proceso de estudios y diseños</t>
    </r>
  </si>
  <si>
    <t>Edilberto Villamil</t>
  </si>
  <si>
    <r>
      <rPr>
        <rFont val="Arial"/>
        <color rgb="FF000000"/>
      </rPr>
      <t>Mesa de trabajo Líder Segundo vía que está en proceso de estudios y diseños</t>
    </r>
  </si>
  <si>
    <t>Marlen Garcia Rodriguez</t>
  </si>
  <si>
    <r>
      <rPr>
        <rFont val="Arial"/>
        <color rgb="FF000000"/>
      </rPr>
      <t>Mesa de trabajo Líder Segundo vía que está en proceso de estudios y diseños</t>
    </r>
  </si>
  <si>
    <t>Ferney Villamil</t>
  </si>
  <si>
    <r>
      <rPr>
        <rFont val="Arial"/>
        <color rgb="FF000000"/>
      </rPr>
      <t>Mesa de trabajo Líder Segundo vía que está en proceso de estudios y diseños</t>
    </r>
  </si>
  <si>
    <t>Neder Rebolledo Silgado</t>
  </si>
  <si>
    <r>
      <rPr>
        <rFont val="Arial"/>
        <color rgb="FF000000"/>
      </rPr>
      <t>Mesa de trabajo Líder Segundo vía que está en proceso de estudios y diseños</t>
    </r>
  </si>
  <si>
    <t>Hector Valderrama</t>
  </si>
  <si>
    <r>
      <rPr>
        <rFont val="Arial"/>
        <color rgb="FF000000"/>
      </rPr>
      <t>Mesa de trabajo Líder Segundo vía que está en proceso de estudios y diseños</t>
    </r>
  </si>
  <si>
    <t xml:space="preserve">Santiago Hermidas </t>
  </si>
  <si>
    <r>
      <rPr>
        <rFont val="Arial"/>
        <color rgb="FF000000"/>
      </rPr>
      <t>Mesa de trabajo Líder Segundo vía que está en proceso de estudios y diseños</t>
    </r>
  </si>
  <si>
    <t>Evidalia Giral Condiza</t>
  </si>
  <si>
    <t>mesa de trabajo pavimentacion via</t>
  </si>
  <si>
    <t>Ana Leonor Mora Celis</t>
  </si>
  <si>
    <r>
      <rPr>
        <rFont val="Arial"/>
        <color rgb="FF1F1F1F"/>
        <sz val="10.0"/>
      </rPr>
      <t>4.615764594071228, -74.16453846330974</t>
    </r>
  </si>
  <si>
    <t>Ivan Tovar</t>
  </si>
  <si>
    <r>
      <rPr>
        <rFont val="Arial"/>
        <color rgb="FF1F1F1F"/>
        <sz val="10.0"/>
      </rPr>
      <t>4.615764594071228, -74.16453846330974</t>
    </r>
  </si>
  <si>
    <t>Graciela Castro</t>
  </si>
  <si>
    <t>Rosalba Forero</t>
  </si>
  <si>
    <t>Liseth Johana Camacho Acosta</t>
  </si>
  <si>
    <t>Pedro Vasquez</t>
  </si>
  <si>
    <t>Enrique Cardona</t>
  </si>
  <si>
    <t>Guillermo Liz</t>
  </si>
  <si>
    <t>Diana Carolina Liz</t>
  </si>
  <si>
    <t>Martin Acevedo</t>
  </si>
  <si>
    <t>Jorge Vega Molina</t>
  </si>
  <si>
    <t>Alba Diaz Rozo</t>
  </si>
  <si>
    <t>Belen Mendoza</t>
  </si>
  <si>
    <t xml:space="preserve">Victor manuel Vega </t>
  </si>
  <si>
    <t>Luis Eduardo Sierra</t>
  </si>
  <si>
    <t xml:space="preserve">Marleny Sandoval </t>
  </si>
  <si>
    <t xml:space="preserve">Lucila Romero </t>
  </si>
  <si>
    <t>Jairo Velasquez</t>
  </si>
  <si>
    <t>mesa de trabajo seguimiento conformacion fretnte de seguridad ROma IV 1er sector</t>
  </si>
  <si>
    <t>Roma IV 1er sector</t>
  </si>
  <si>
    <t>Yuri Viviana Niño Triana</t>
  </si>
  <si>
    <t>Maria Yaneth Triana Gonzalez</t>
  </si>
  <si>
    <t>Erick Eduardo Mercado Lobo</t>
  </si>
  <si>
    <t>Jairo Alberto Rodriguez</t>
  </si>
  <si>
    <t>Mauricio Jimenez Cortes</t>
  </si>
  <si>
    <t>Luis Antonio Garzon Rodriguez</t>
  </si>
  <si>
    <t>Yolanda Ortiz Gomez</t>
  </si>
  <si>
    <t>Roger Farias</t>
  </si>
  <si>
    <t>Alexander Machado ramirez</t>
  </si>
  <si>
    <t>Miguel Antonio Mojica</t>
  </si>
  <si>
    <t>Luis David Mojica Fajardo</t>
  </si>
  <si>
    <t>soclitud reductores de velocidad barrio roma</t>
  </si>
  <si>
    <t>Faber RodriguezSatizabal</t>
  </si>
  <si>
    <t xml:space="preserve">    </t>
  </si>
  <si>
    <t>Graciela Sosalama</t>
  </si>
  <si>
    <t>Laura Guarin</t>
  </si>
  <si>
    <t>Santiago Gonzalez</t>
  </si>
  <si>
    <t>Julian Melo</t>
  </si>
  <si>
    <t>Angela Saenz</t>
  </si>
  <si>
    <t>Tatiana saenz</t>
  </si>
  <si>
    <t>Alejandro Valenzuela</t>
  </si>
  <si>
    <t>Luisa Enriquez</t>
  </si>
  <si>
    <t xml:space="preserve">Karen Cardenas </t>
  </si>
  <si>
    <t>Yudy Triviño Rojas</t>
  </si>
  <si>
    <t>Brayan Esteban Aguirre</t>
  </si>
  <si>
    <t xml:space="preserve">Mesa de Trabajo barrio Pastranita 2 Sector: destrucción de vía por redes de alcantarillado. </t>
  </si>
  <si>
    <t>Pastranita 2 Sector</t>
  </si>
  <si>
    <t>Dora Nidia Montoya</t>
  </si>
  <si>
    <t xml:space="preserve">Hilma Rojas Vargas </t>
  </si>
  <si>
    <t>Uriel Romero</t>
  </si>
  <si>
    <t>Maria Montoya Murillo</t>
  </si>
  <si>
    <t>Maria Amparo Muñoz Naranjo</t>
  </si>
  <si>
    <t>Silvia Mileidi Chavez Rincon</t>
  </si>
  <si>
    <t>Nora Belen Rojas de Gonzalez</t>
  </si>
  <si>
    <t>Jorge Arturo Gonzalez</t>
  </si>
  <si>
    <t>Nidia Stella Peña Gomez</t>
  </si>
  <si>
    <t>Enrique Rincón Ardila</t>
  </si>
  <si>
    <t>Sandra Milena Rodriguez</t>
  </si>
  <si>
    <t>Rubiela Montoya</t>
  </si>
  <si>
    <t>Monica Muñoz Naranjo Blanco</t>
  </si>
  <si>
    <t>Briceida Callejas Gonzalez</t>
  </si>
  <si>
    <t>Dora Luzmila Mora Luengas</t>
  </si>
  <si>
    <t>derecho de peticion contenedores roma</t>
  </si>
  <si>
    <t>Sonia Tovar</t>
  </si>
  <si>
    <t>4.60992767209447, -74.17364116330982</t>
  </si>
  <si>
    <t>Wilson Capera Castañeda</t>
  </si>
  <si>
    <t>Yolanda Bustos</t>
  </si>
  <si>
    <t>Davinson Palomeque</t>
  </si>
  <si>
    <t>Juan Pablo Rodriguez</t>
  </si>
  <si>
    <t>Joider Rada</t>
  </si>
  <si>
    <t>Nelcy Aguilera</t>
  </si>
  <si>
    <t>Ivon Cardenas Rojas</t>
  </si>
  <si>
    <t>Fernado Amado</t>
  </si>
  <si>
    <t>Daniela Fraile Gomez</t>
  </si>
  <si>
    <t>Walter Daniel Botia</t>
  </si>
  <si>
    <t>Patricia Aricul</t>
  </si>
  <si>
    <t>Daniela Umaña</t>
  </si>
  <si>
    <t>Alexander Barrios</t>
  </si>
  <si>
    <t>Nelson Yesid Mendivelso</t>
  </si>
  <si>
    <t>Hector Aguilera</t>
  </si>
  <si>
    <t>David Pava</t>
  </si>
  <si>
    <t>marzo</t>
  </si>
  <si>
    <t>Hernan Montaño Ortegon</t>
  </si>
  <si>
    <t>abril</t>
  </si>
  <si>
    <t>Nelly Ortegon</t>
  </si>
  <si>
    <t>Blanca Mora</t>
  </si>
  <si>
    <t>Dina Cerón</t>
  </si>
  <si>
    <t>Johan David Cabana</t>
  </si>
  <si>
    <t>Sara Chamat López</t>
  </si>
  <si>
    <t>Nubia Murillo</t>
  </si>
  <si>
    <t>Carlos Giraldo</t>
  </si>
  <si>
    <t>Sonia Giraldo Buitrago</t>
  </si>
  <si>
    <t>Laura Camila Vanegas Ruiz</t>
  </si>
  <si>
    <t>Héctor julio luengas</t>
  </si>
  <si>
    <t>William Toloza</t>
  </si>
  <si>
    <t>Hernan Montaño Mora</t>
  </si>
  <si>
    <t>Susana Espinosa</t>
  </si>
  <si>
    <t>Sonia Buitrago Navarrete</t>
  </si>
  <si>
    <t>Héctor áreas roa</t>
  </si>
  <si>
    <t>Juan Felipe González</t>
  </si>
  <si>
    <t>Giraldo mora</t>
  </si>
  <si>
    <t>José Joaquín Diaz</t>
  </si>
  <si>
    <t>Hernando Cristancho</t>
  </si>
  <si>
    <t>María Luisa Montaño Mora</t>
  </si>
  <si>
    <t>Alcira Barahona</t>
  </si>
  <si>
    <t>Iván Leonardo Garzón</t>
  </si>
  <si>
    <t>Claudia López</t>
  </si>
  <si>
    <t>Pedro Nel Escamilla</t>
  </si>
  <si>
    <t>ILEGIBLE CRUZ</t>
  </si>
  <si>
    <t>HUGO CUBILLOS</t>
  </si>
  <si>
    <t>LUIS DIAZ</t>
  </si>
  <si>
    <t>MARTHA ISABEL JURADO</t>
  </si>
  <si>
    <t>LUZ MERY VAQUERO</t>
  </si>
  <si>
    <t>ABELARDO SANTAMARIA</t>
  </si>
  <si>
    <t>SANTIAGO DÍAZ</t>
  </si>
  <si>
    <t>MARIA CARDOLA</t>
  </si>
  <si>
    <t>INGRID DIAZ</t>
  </si>
  <si>
    <t>IMELDA ARIZA</t>
  </si>
  <si>
    <t>AMELIA MONTES</t>
  </si>
  <si>
    <t>ORLANDO VALENCIA</t>
  </si>
  <si>
    <t>LISIMAN LOAIZA</t>
  </si>
  <si>
    <t>TRINIDAD ROBAYO</t>
  </si>
  <si>
    <t>MARIA JOSE DIAZ VERGARA</t>
  </si>
  <si>
    <t>AINA AREBALO</t>
  </si>
  <si>
    <t>RUBIELA DIAZ</t>
  </si>
  <si>
    <t>MARTHA MUÑOZ</t>
  </si>
  <si>
    <t>ALBA LUZ GONZALES</t>
  </si>
  <si>
    <t xml:space="preserve">JUAN SANABRIA </t>
  </si>
  <si>
    <t>BERTHA LUCIA GOMEZ</t>
  </si>
  <si>
    <t>DIANA LUCIA SANABRIA</t>
  </si>
  <si>
    <t>OMAR LASSO</t>
  </si>
  <si>
    <t>IGNICIA TOM</t>
  </si>
  <si>
    <t>BLANCA TORRES</t>
  </si>
  <si>
    <t>CLAUDIA BELTRAN</t>
  </si>
  <si>
    <t>FELIPE LUMI</t>
  </si>
  <si>
    <t>GLORIA MIRONI</t>
  </si>
  <si>
    <t>GLORIA GALAN</t>
  </si>
  <si>
    <t>MARIO GOMEZ</t>
  </si>
  <si>
    <t>MARTHA FORERO</t>
  </si>
  <si>
    <t>RUTH HERRERA</t>
  </si>
  <si>
    <t>VIRGINIA LUMO</t>
  </si>
  <si>
    <t>EDITH GARCIA</t>
  </si>
  <si>
    <t>JUDITH ILEGIBLE</t>
  </si>
  <si>
    <t>SOFIA BORBON</t>
  </si>
  <si>
    <t>HAMILTON LIZ</t>
  </si>
  <si>
    <t>NATALIA RAMIREZ</t>
  </si>
  <si>
    <t>JUAN CUESTA</t>
  </si>
  <si>
    <t>DIANA TORRES</t>
  </si>
  <si>
    <t>ANDRES DIAZ</t>
  </si>
  <si>
    <t>CLAUDIA AVILA</t>
  </si>
  <si>
    <t>NUBIA GUTIERREZ</t>
  </si>
  <si>
    <t>LEONOR ZUADY</t>
  </si>
  <si>
    <t>CECILIA SANCHEZ CARDENAS</t>
  </si>
  <si>
    <t>NAYIV PACHON</t>
  </si>
  <si>
    <t>WILSON GUTIERREZ</t>
  </si>
  <si>
    <t>NICOLLE GUTIERREZ</t>
  </si>
  <si>
    <t>ROBERT RODRIGUEZ</t>
  </si>
  <si>
    <t>RUBRID RIOS M</t>
  </si>
  <si>
    <t>YOLEYDA AGUILAR</t>
  </si>
  <si>
    <t>DIANA MILENA MAHECHA</t>
  </si>
  <si>
    <t>ALISON AVILA</t>
  </si>
  <si>
    <t>REMICK RODRIGUEZ</t>
  </si>
  <si>
    <t>SANDRA ESPINEL</t>
  </si>
  <si>
    <t>ANGIE TATIANA SANCHEZ</t>
  </si>
  <si>
    <t>YENIS CARDENAS</t>
  </si>
  <si>
    <t>IVONE DURAN</t>
  </si>
  <si>
    <t>YAMILE FORERO</t>
  </si>
  <si>
    <t>DIANA MUÑOZ</t>
  </si>
  <si>
    <t>LUCIA MARTINEZ</t>
  </si>
  <si>
    <t>CARLOS CORREA</t>
  </si>
  <si>
    <t>MARTHA GUAVITA</t>
  </si>
  <si>
    <t>CARLOS ZAMORA</t>
  </si>
  <si>
    <t>CARLOS GOMEZ</t>
  </si>
  <si>
    <t>PAOLA MENDEZ</t>
  </si>
  <si>
    <t>CLAUDIA PULIDO</t>
  </si>
  <si>
    <t>MARIBEL MUEVAR</t>
  </si>
  <si>
    <t>AMY LOAIZA VELASQUEZ</t>
  </si>
  <si>
    <t>LEIDY VIVIANA PUERTO</t>
  </si>
  <si>
    <t>ADRIANA CORTEZ</t>
  </si>
  <si>
    <t>ANGIE MURCIA</t>
  </si>
  <si>
    <t>YEDISON BARACALDO</t>
  </si>
  <si>
    <t>MARTHA MURILLO</t>
  </si>
  <si>
    <t>YENNY BENITEZ</t>
  </si>
  <si>
    <t>NATALIA TIBAQUIRA</t>
  </si>
  <si>
    <t>BLANCA LARA</t>
  </si>
  <si>
    <t>LAURA DANIELA LINAREZ</t>
  </si>
  <si>
    <t>PAOLA ANDREA AVENDAÑO</t>
  </si>
  <si>
    <t>PAULA S</t>
  </si>
  <si>
    <t>FRANCY JOHANA MORENO</t>
  </si>
  <si>
    <t>YENNY RIAÑO</t>
  </si>
  <si>
    <t>YUDY RODRIGUEZ</t>
  </si>
  <si>
    <t>JENNY ROCIO ARIAS</t>
  </si>
  <si>
    <t>LEIDY RODRIGUEZ</t>
  </si>
  <si>
    <t>NOHORA CRUZ</t>
  </si>
  <si>
    <t>DORIS SANCHEZ</t>
  </si>
  <si>
    <t>MONICA SALGADO</t>
  </si>
  <si>
    <t>LAURA MARTINEZ</t>
  </si>
  <si>
    <t>TATIANA BALAGUERA</t>
  </si>
  <si>
    <t>DIANA SOFIA RAMIREZ</t>
  </si>
  <si>
    <t>GABRIELA VELASQUEZ</t>
  </si>
  <si>
    <t>CARLOS ZARATE</t>
  </si>
  <si>
    <t>ADRIANA ZARATE</t>
  </si>
  <si>
    <t>MARIA CORTES</t>
  </si>
  <si>
    <t>MIGUEL LOPEZ</t>
  </si>
  <si>
    <t>MARITEZ CAPERA</t>
  </si>
  <si>
    <t>LEILA AMAYA</t>
  </si>
  <si>
    <t>DIANA RAMIREZ</t>
  </si>
  <si>
    <t>DEISY BULLA</t>
  </si>
  <si>
    <t>NIDIA SANCHEZ</t>
  </si>
  <si>
    <t>ROCIO PRADA</t>
  </si>
  <si>
    <t>MAGALLY USCATEGUI</t>
  </si>
  <si>
    <t>MARBEL POJATO</t>
  </si>
  <si>
    <t>NICOLE GUTIERREZ</t>
  </si>
  <si>
    <t>LUISA FLORIAN SOLORZANO</t>
  </si>
  <si>
    <t>SEBASTIAN CASTAÑEDA</t>
  </si>
  <si>
    <t>BIBIANA SOLORZANO</t>
  </si>
  <si>
    <t>CAMILA SERRANO</t>
  </si>
  <si>
    <t>DUSTING CERA</t>
  </si>
  <si>
    <t>FERNANDA VELASQUEZ</t>
  </si>
  <si>
    <t>YESENIA GUEVARA</t>
  </si>
  <si>
    <t>JOHANA VILLAMIL</t>
  </si>
  <si>
    <t>MT - CARIMAGUA SOLICITUD ARREGLO PARADERO SITP 036A09 (6073)</t>
  </si>
  <si>
    <t>MARIA FANNY CONTRERAS RIAÑO</t>
  </si>
  <si>
    <t>FRANASEO MUÑOZ</t>
  </si>
  <si>
    <t>JHONATHAN HERNANDEZ</t>
  </si>
  <si>
    <t>DAVID HIDALGO</t>
  </si>
  <si>
    <t>MARÍA ANGELICA ROJAS</t>
  </si>
  <si>
    <t>LIGIA DOMINGUEZ</t>
  </si>
  <si>
    <t>JUAN FERNANDO GONZALES</t>
  </si>
  <si>
    <t>AURORA CHAPARRO</t>
  </si>
  <si>
    <t>BLANCA GALGANO</t>
  </si>
  <si>
    <t>JOSE QUECANO</t>
  </si>
  <si>
    <t>MARTHA MORENO</t>
  </si>
  <si>
    <t>ANA BERTILDA QUECANO</t>
  </si>
  <si>
    <t>JOSE ELIBERTO FORONDA MEJIA</t>
  </si>
  <si>
    <t>HAYDE GAONA</t>
  </si>
  <si>
    <t>MARIA ISABEL RIVERA GALINDO</t>
  </si>
  <si>
    <t>OSCAR FAOSPINA</t>
  </si>
  <si>
    <t>GUSTAVO SALOLA</t>
  </si>
  <si>
    <t>ANA ROSA PAEZ</t>
  </si>
  <si>
    <t>SEBASTIAN BARBOSA</t>
  </si>
  <si>
    <t>ANDREA GIOVANNA PARDO CONTRERAS</t>
  </si>
  <si>
    <t>ELVIA ROMERO CAÑON</t>
  </si>
  <si>
    <t>VICTOR M. ABRIL</t>
  </si>
  <si>
    <t>MARGARITA ROMERO CAÑON</t>
  </si>
  <si>
    <t>JOHAN MANUEL ABRIL</t>
  </si>
  <si>
    <t>OLIVA BELTRAN</t>
  </si>
  <si>
    <t>ANGELIZA MARÍA CABEZAS</t>
  </si>
  <si>
    <t>JAVIER GUZMAN</t>
  </si>
  <si>
    <t>CHRISTYAN JOYA</t>
  </si>
  <si>
    <t>CUBILLOS ALFONSO</t>
  </si>
  <si>
    <t>ALISSON CARDENAS</t>
  </si>
  <si>
    <t>ORLANDO RIOS</t>
  </si>
  <si>
    <t>DIANA MILENA BOGORQUEZ</t>
  </si>
  <si>
    <t>YAN S. MANJARRÉS</t>
  </si>
  <si>
    <t>FLOR ANGELA</t>
  </si>
  <si>
    <t>CECILIA PINTO</t>
  </si>
  <si>
    <t>HARRY PUENTES</t>
  </si>
  <si>
    <t>AIDA MURCIA PATIÑO</t>
  </si>
  <si>
    <t>GABRIELA BARÓN</t>
  </si>
  <si>
    <t>CAMILA SANCHEZ</t>
  </si>
  <si>
    <t>LILIANA MUÑOZ</t>
  </si>
  <si>
    <t>ZORAYDA TOVAR</t>
  </si>
  <si>
    <t>PALMOREN RUIZ ARMANDO</t>
  </si>
  <si>
    <t>FABIAN RUMERO</t>
  </si>
  <si>
    <t>MT - SINAI MALLA VIAL DETERIORADA FABRICA RECICLAJE Y SALÓN (2011)</t>
  </si>
  <si>
    <t>SINAÍ</t>
  </si>
  <si>
    <t>JENNY GARCÍA</t>
  </si>
  <si>
    <t>DAIRO GARCIA CALDERON</t>
  </si>
  <si>
    <t>JUAN HIPOLITO GUANTIVA LADINO</t>
  </si>
  <si>
    <t>MARIA CORREA</t>
  </si>
  <si>
    <t>LEIBER SANCHEZ URIBE</t>
  </si>
  <si>
    <t>GABRIEL CASTRO CARDONA</t>
  </si>
  <si>
    <t>ALFREDO EMILIO ROMERO CARDENAS</t>
  </si>
  <si>
    <t>LUIS ENRIQUE CARDONA TABARES</t>
  </si>
  <si>
    <t>LUIS EDUARDO SIERRA ESTUPIÑAN</t>
  </si>
  <si>
    <t>CARLOS ALBERTO GOMEZ RINCON</t>
  </si>
  <si>
    <t>MARTIN ACEVEDO</t>
  </si>
  <si>
    <t>MARIA ROSALBA MENDOZA SUAREZ</t>
  </si>
  <si>
    <t>MIGUEL ARTURO NARIÑO RAMOS</t>
  </si>
  <si>
    <t>BERMUDEZ DE SANCHEZ MARIA BELCY</t>
  </si>
  <si>
    <t>GUSTAVO RUIZ GARCIA</t>
  </si>
  <si>
    <t>GUILLERMO LIS</t>
  </si>
  <si>
    <t>JAIRO VASQUEZ TORRES</t>
  </si>
  <si>
    <t>ANA LEONOR MORA CELIS</t>
  </si>
  <si>
    <t>OLIVA MURILLO</t>
  </si>
  <si>
    <t>PEDRO ELÍAS VASQUEZ BARRERA</t>
  </si>
  <si>
    <t>IVAN TOVAR</t>
  </si>
  <si>
    <t>GRACIELA CASTRO</t>
  </si>
  <si>
    <t>ROSALBA FORERO</t>
  </si>
  <si>
    <t>LISETH JOHANA CAMACHO ACOSTA</t>
  </si>
  <si>
    <t>DIANA CAROLINA LIZ</t>
  </si>
  <si>
    <t>JORGE VEGA MOLINA</t>
  </si>
  <si>
    <t>ALBA DIAZ ROZO</t>
  </si>
  <si>
    <t>VICTOR MANUEL VEGA</t>
  </si>
  <si>
    <t>MARLENY SANDOVAL</t>
  </si>
  <si>
    <t>LUCILA ROMERO</t>
  </si>
  <si>
    <t>ALFONSO CARRERO</t>
  </si>
  <si>
    <t>LUZ MIRIAM CRUZ</t>
  </si>
  <si>
    <t>FERNANDO RAMIREZ</t>
  </si>
  <si>
    <t>SINDY SIERRA AMAYA</t>
  </si>
  <si>
    <t>CARLOS TRIANA MONTAÑO</t>
  </si>
  <si>
    <t>SONIA ILEGIBLE</t>
  </si>
  <si>
    <t>MERCEDES GOMEZ</t>
  </si>
  <si>
    <t>ELSA PRIETO</t>
  </si>
  <si>
    <t>LEIVAR SANCHEZ</t>
  </si>
  <si>
    <t>ANA TENOR</t>
  </si>
  <si>
    <t>PEDRO VASQUEZ</t>
  </si>
  <si>
    <t>ARTURO NARIÑO</t>
  </si>
  <si>
    <t>ANDREA MENDOZA</t>
  </si>
  <si>
    <t>ENRIQUE NAVARRO (BARRIO EL DESCANSO)</t>
  </si>
  <si>
    <t>MT - JORNADA OPAM TIMIZA (7273)</t>
  </si>
  <si>
    <t>Mascotas</t>
  </si>
  <si>
    <t>BILI TORRES</t>
  </si>
  <si>
    <t>GABRIELA SALAMANCA</t>
  </si>
  <si>
    <t>CAROLINA GIRALDO</t>
  </si>
  <si>
    <t>ANDRES VALENCIA</t>
  </si>
  <si>
    <t>EDITH MELO</t>
  </si>
  <si>
    <t>CARLOS TARQUINO</t>
  </si>
  <si>
    <t>ANA OCAMPO</t>
  </si>
  <si>
    <t>ILEGIBLE BARRETO</t>
  </si>
  <si>
    <t>NANCY PANCHA</t>
  </si>
  <si>
    <t>ESTEFANY BOHORQUEZ</t>
  </si>
  <si>
    <t>HERLINDA VANEGAS</t>
  </si>
  <si>
    <t>OVIDIO SANCHEZ</t>
  </si>
  <si>
    <t>KAREN SACRISTAN</t>
  </si>
  <si>
    <t>DAYANA MENDEZ</t>
  </si>
  <si>
    <t>ORLANDO ROMERO</t>
  </si>
  <si>
    <t>MT - TABAKU SEGURIDAD VIAL AVENIDA AMERICAS (7903)</t>
  </si>
  <si>
    <t>EVELIO LOPEZ</t>
  </si>
  <si>
    <t>PILAR VARON</t>
  </si>
  <si>
    <t>AURA DE BARRIOS</t>
  </si>
  <si>
    <t>MERCEDEZ BARBOZA</t>
  </si>
  <si>
    <t>MARIA ARIZA</t>
  </si>
  <si>
    <t>ALVARO PINILLA</t>
  </si>
  <si>
    <t>ALEIDA CAMELO</t>
  </si>
  <si>
    <t>JOSE QUICENO</t>
  </si>
  <si>
    <t>CARMENZA ILEGIBLE</t>
  </si>
  <si>
    <t>RUTH ROMERO</t>
  </si>
  <si>
    <t>BLANCA GARZON</t>
  </si>
  <si>
    <t>MARIELA PACHON</t>
  </si>
  <si>
    <t xml:space="preserve">MIGUEL ILEGIBLE </t>
  </si>
  <si>
    <t>OFELIA RIVERA</t>
  </si>
  <si>
    <t>FLOR NAVAS</t>
  </si>
  <si>
    <t>LINA CASTELLANOS</t>
  </si>
  <si>
    <t>NANCY ILEGIBLE</t>
  </si>
  <si>
    <t>EDISON DIAZ</t>
  </si>
  <si>
    <t>BLANCA CARDOZO</t>
  </si>
  <si>
    <t>YOR LADY GONZALEZ</t>
  </si>
  <si>
    <t>AMELINA ILEGIBLE</t>
  </si>
  <si>
    <t>JAIRO RUIZ</t>
  </si>
  <si>
    <t>BLANCA CECILIA ABRIL</t>
  </si>
  <si>
    <t>JAIR GARCIA CASTELLANOS</t>
  </si>
  <si>
    <t>ELIZABETH GARZON</t>
  </si>
  <si>
    <t>CARLOS ARTURO APONTE</t>
  </si>
  <si>
    <t>GIOVANI RUBIO</t>
  </si>
  <si>
    <t>MARIO ALBADO MURCIA</t>
  </si>
  <si>
    <t>MT - NUEVA MARSELLA MALLA VIAL CIV 8005160 (8183)</t>
  </si>
  <si>
    <t>MARIA ELENA HUERTAS</t>
  </si>
  <si>
    <t>NELSON BELTRAN</t>
  </si>
  <si>
    <t>GABRIEL BUITRAGO</t>
  </si>
  <si>
    <t>HECTOR ROA</t>
  </si>
  <si>
    <t>DEMETRIA MARTINEZ</t>
  </si>
  <si>
    <t>ANGELA GUZMAN</t>
  </si>
  <si>
    <t>WILIAM TOLOZA</t>
  </si>
  <si>
    <t>ZORAIDA ILEGIBLE</t>
  </si>
  <si>
    <t>OLGA ILEGIBLE</t>
  </si>
  <si>
    <t xml:space="preserve">ILEGIBLE </t>
  </si>
  <si>
    <t>ROSALBA ILEGIBLE</t>
  </si>
  <si>
    <t>RUTH NELY MAHECHA</t>
  </si>
  <si>
    <t>ANA BELTRAN</t>
  </si>
  <si>
    <t>CARLOS TURRIAGO</t>
  </si>
  <si>
    <t>ESPERANZA ORTEGON</t>
  </si>
  <si>
    <t>SEBASTIAN MORA</t>
  </si>
  <si>
    <t>ORLANDO GALVEZ</t>
  </si>
  <si>
    <t>ESPERANZA CASAS</t>
  </si>
  <si>
    <t>FABIAN LOPEZ</t>
  </si>
  <si>
    <t>MICHEL SANCHEZ</t>
  </si>
  <si>
    <t>ANGELINA AVILA</t>
  </si>
  <si>
    <t>ORLANDO RODRIGUEZ</t>
  </si>
  <si>
    <t>LUZ SARMIENTO</t>
  </si>
  <si>
    <t>ILEGIBLE</t>
  </si>
  <si>
    <t>JOSE ROMERO</t>
  </si>
  <si>
    <t>AMPARO MOLINA</t>
  </si>
  <si>
    <t>MERCEDEZ CADENA</t>
  </si>
  <si>
    <t>LIGIA IZQUIERDA</t>
  </si>
  <si>
    <t>LUZ BELTRAN</t>
  </si>
  <si>
    <t>TERESA PEREZ</t>
  </si>
  <si>
    <t>DAVID TURRIAGO</t>
  </si>
  <si>
    <t>NELSON MORA</t>
  </si>
  <si>
    <t>HERNAN MONTAÑO</t>
  </si>
  <si>
    <t xml:space="preserve">Nelly Ortegon </t>
  </si>
  <si>
    <t>MT - AMERICAS CLÍNICA OCCIDENTE MALLA VIAL (2052)</t>
  </si>
  <si>
    <t>OLGA GONZALEZ</t>
  </si>
  <si>
    <t>LAURA SOFIA RODRIGUEZ PENAGOS</t>
  </si>
  <si>
    <t>KATHERIN LINARES</t>
  </si>
  <si>
    <t>LUZ PENAGOS</t>
  </si>
  <si>
    <t>BLANCA OMAIRA PENAGOS TURRIAGO</t>
  </si>
  <si>
    <t>JAVIER MONTOYA</t>
  </si>
  <si>
    <t>RICARDO CUBILLOS</t>
  </si>
  <si>
    <t>LUZ CONSUELO</t>
  </si>
  <si>
    <t>DANILO MENESES</t>
  </si>
  <si>
    <t>MARÍA CÓRDOBA</t>
  </si>
  <si>
    <t>FERNANDO GÓMEZ</t>
  </si>
  <si>
    <t>MARIA GLORIA RINCON GARZON</t>
  </si>
  <si>
    <t>RAUL SILVA</t>
  </si>
  <si>
    <t>DIOGENEZ BARAJAS</t>
  </si>
  <si>
    <t>WILIAM ILEGIBLE</t>
  </si>
  <si>
    <t>LEONARDO GIRALDO</t>
  </si>
  <si>
    <t>MARIA AMAYA</t>
  </si>
  <si>
    <t>EDUARDO ILEGIBLE</t>
  </si>
  <si>
    <t>JUAN TOLEDO</t>
  </si>
  <si>
    <t>EMPERATRIZ OCTAVA</t>
  </si>
  <si>
    <t>JAVIER ILEGIBLE</t>
  </si>
  <si>
    <t>JAIR GIRALDO</t>
  </si>
  <si>
    <t>ANA OVIEDO</t>
  </si>
  <si>
    <t>ANGEL MARTINEZ</t>
  </si>
  <si>
    <t>ROSALBA SOCORRO</t>
  </si>
  <si>
    <t>JEIMMY MENDIETA</t>
  </si>
  <si>
    <t>MT - CIUDAD KENNEDY OCCIDENTAL INSEGURIDAD POR RETIRO DE REJAS DE INGRESO (6236)</t>
  </si>
  <si>
    <t>NUEVO KENNEDY</t>
  </si>
  <si>
    <t>MIGUEL ADRIEL GUERRERO SANCHEZ</t>
  </si>
  <si>
    <t>PATRICIA NIÑO</t>
  </si>
  <si>
    <t>LUZ RUBIELA GUERRERO SANCHEZ</t>
  </si>
  <si>
    <t>CLAUDIA CARRILLO</t>
  </si>
  <si>
    <t>ISMAEL RODRIGUEZ</t>
  </si>
  <si>
    <t>MARIA EUGENIA VELASQUEZ MOLINA</t>
  </si>
  <si>
    <t>SERVELIN ARMADO</t>
  </si>
  <si>
    <t>CLEMENCIA RODRIGUEZ</t>
  </si>
  <si>
    <t>ELIZABETH DE DIAZ</t>
  </si>
  <si>
    <t>MARIA CONDUR</t>
  </si>
  <si>
    <t>EDITH MANO</t>
  </si>
  <si>
    <t>ANDRES FELIPE HERNANDEZ</t>
  </si>
  <si>
    <t>GUILLERMO RODRIGUEZ</t>
  </si>
  <si>
    <t>HERNANDO LEON SIERRA</t>
  </si>
  <si>
    <t>ISMAEL ARANDIA</t>
  </si>
  <si>
    <t>LUZ MERY CASTAÑEDA</t>
  </si>
  <si>
    <t>CECILIA PEÑA</t>
  </si>
  <si>
    <t>CECILIA ARPRITA</t>
  </si>
  <si>
    <t>MARIA ALFONS</t>
  </si>
  <si>
    <t>JAIRO CARRERA ARIAS</t>
  </si>
  <si>
    <t>ANGIE CARDONA</t>
  </si>
  <si>
    <t>ELIZABETH DIAZ</t>
  </si>
  <si>
    <t>REINALDA CONTRERAS</t>
  </si>
  <si>
    <t>JOSE TEJADA</t>
  </si>
  <si>
    <t>CARMEN ELIZA</t>
  </si>
  <si>
    <t>MARIA VELAZQUEZ</t>
  </si>
  <si>
    <t>MERY CASTAÑEDA</t>
  </si>
  <si>
    <t>MARIA DE LOS ANGELES</t>
  </si>
  <si>
    <t>ANGY CARDONA</t>
  </si>
  <si>
    <t>BLANCA HERNANDEZ</t>
  </si>
  <si>
    <t>MARIA PEÑA</t>
  </si>
  <si>
    <t>LUIS EDUARDO FIERRO</t>
  </si>
  <si>
    <t>JOHN BENAVIDES</t>
  </si>
  <si>
    <t>GREISI SERRANO</t>
  </si>
  <si>
    <t>ERILYN RODRIGUEZ</t>
  </si>
  <si>
    <t>ESTHER CRUZ</t>
  </si>
  <si>
    <t>ABIGAIL SANCHEZ PALENCIA</t>
  </si>
  <si>
    <t>LUZ AMANDA GARCIA</t>
  </si>
  <si>
    <t>AUGUSTO SALAZAR</t>
  </si>
  <si>
    <t>ANA MILEI TORRES</t>
  </si>
  <si>
    <t>JESUS JIMENEZ</t>
  </si>
  <si>
    <t>ELIANA MARTINEZ</t>
  </si>
  <si>
    <t>MIREYA MENESES</t>
  </si>
  <si>
    <t>JONATHAN MENDOZA</t>
  </si>
  <si>
    <t>EFRAIN BEDOYA</t>
  </si>
  <si>
    <t>JUAN DAVID RESTREPO</t>
  </si>
  <si>
    <t>MIGUEL FIGUEROA</t>
  </si>
  <si>
    <t>MARCO MUÑOZ</t>
  </si>
  <si>
    <t>NANCY SALINAZ</t>
  </si>
  <si>
    <t>YUDID GONZALES</t>
  </si>
  <si>
    <t>RAFAEL GARCIA</t>
  </si>
  <si>
    <t>ESTRELLA GONZALEZ</t>
  </si>
  <si>
    <t>CARLOS BERNAL</t>
  </si>
  <si>
    <t>LUZ ILEGIBLE</t>
  </si>
  <si>
    <t>AIDE CORTEZ</t>
  </si>
  <si>
    <t>ROGER AVILA</t>
  </si>
  <si>
    <t>MT - NUEVA MARSELLA TALA DE ARBOLES (8385)</t>
  </si>
  <si>
    <t>IMEALDA ARIZA</t>
  </si>
  <si>
    <t>OLANDO VALENCIA</t>
  </si>
  <si>
    <t>LISIMACO LOAIZA</t>
  </si>
  <si>
    <t>LINA LOBO</t>
  </si>
  <si>
    <t>ROLITA DIAZ</t>
  </si>
  <si>
    <t>OLGA LUZ GONZALES</t>
  </si>
  <si>
    <t>BLANCA CASTIBLANCO</t>
  </si>
  <si>
    <t>JUAN SANABRIA</t>
  </si>
  <si>
    <t>BERTHA GOMEZ</t>
  </si>
  <si>
    <t>DIANA SANABRIA</t>
  </si>
  <si>
    <t>FLORIA MIRORI</t>
  </si>
  <si>
    <t>ILEGIBLE GOMEZ</t>
  </si>
  <si>
    <t>VIRGINIO LUMO</t>
  </si>
  <si>
    <t>ILEGIBLE GARCIA</t>
  </si>
  <si>
    <t>KARLA HURTADO</t>
  </si>
  <si>
    <t>BRAYAN BERNAL</t>
  </si>
  <si>
    <t>LUISA MARIA SANTA</t>
  </si>
  <si>
    <t>MIYERLY LEITON</t>
  </si>
  <si>
    <t>NICOLAS GOMEZ</t>
  </si>
  <si>
    <t>MIGUEL ANTONIO</t>
  </si>
  <si>
    <t>JOHANA DUEÑAS</t>
  </si>
  <si>
    <t>SILVIA JIMENEZ</t>
  </si>
  <si>
    <t>JOHN ALEXANDER MEJIA</t>
  </si>
  <si>
    <t>NANCY MENESES</t>
  </si>
  <si>
    <t>SOFIA CASTRILLON</t>
  </si>
  <si>
    <t>FLOR ALBA</t>
  </si>
  <si>
    <t>ALVARO ALARCON</t>
  </si>
  <si>
    <t>NELLY ILEGIBLE</t>
  </si>
  <si>
    <t>JENNIFER HUERTAS</t>
  </si>
  <si>
    <t>DIEGO ESCOBAR</t>
  </si>
  <si>
    <t>JOSE ILEGIBLE</t>
  </si>
  <si>
    <t>ANA HERRERA</t>
  </si>
  <si>
    <t>MAURICIO JIMENEZ</t>
  </si>
  <si>
    <t>MICHELL MEJIA</t>
  </si>
  <si>
    <t>LIZ NEGRETE</t>
  </si>
  <si>
    <t>DORIS RUIZ VERGARA</t>
  </si>
  <si>
    <t>NIEDAS FORERO</t>
  </si>
  <si>
    <t>LIZETH GONZALES</t>
  </si>
  <si>
    <t xml:space="preserve">TIPO DE REPORTE </t>
  </si>
  <si>
    <t>FECHA FINAL</t>
  </si>
  <si>
    <t>TITULO</t>
  </si>
  <si>
    <t xml:space="preserve">ENTIDADES CITADAS </t>
  </si>
  <si>
    <t>CITANTES</t>
  </si>
  <si>
    <t xml:space="preserve">PROPUESTAS </t>
  </si>
  <si>
    <t xml:space="preserve">CONCLUSIONES DE LA INTERVENCIÓN 
</t>
  </si>
  <si>
    <t>LINK DE DOCUMENTO INTERVENCIÔN</t>
  </si>
  <si>
    <t xml:space="preserve">COMISIÓN  </t>
  </si>
  <si>
    <t>POBLACIÓN</t>
  </si>
  <si>
    <t>Intervención</t>
  </si>
  <si>
    <t>Gobierno</t>
  </si>
  <si>
    <t>inicio de sesiones con alcalde</t>
  </si>
  <si>
    <t>Se pregunto sobre delegación CPL</t>
  </si>
  <si>
    <t>Otro</t>
  </si>
  <si>
    <t xml:space="preserve"> Lectura decreto que nos convoca a sesiones</t>
  </si>
  <si>
    <t>No aplica</t>
  </si>
  <si>
    <t>Lectura ley 2116 de 2021</t>
  </si>
  <si>
    <t>otro = mesa directiva</t>
  </si>
  <si>
    <t xml:space="preserve">DEBATE LEY 2116 DE 2021 </t>
  </si>
  <si>
    <t>Asistencia - Aportes sobre art 8, numeral 14 y resaltar importancia numeral 17 sobre importancia de rendición de cuentas. También pregunté sobre como maneja comunicaciones, redes sociales de la JAL</t>
  </si>
  <si>
    <t>Aprobación de actas</t>
  </si>
  <si>
    <t>debate sobre modificación reglamento según ley 2116 de 2021,</t>
  </si>
  <si>
    <t>Aporte sobre a quien según lo que dice la ley le comprte plantear parámetros que fije el concejo distrital.</t>
  </si>
  <si>
    <t>Continúa debate sobre modificación reglamento según ley 2116 de 2021,</t>
  </si>
  <si>
    <t>A propuesta de sesion sabado domingo, festivo, se votó abtiene</t>
  </si>
  <si>
    <t>votación sobre modificaciones reglamento según ley 2116</t>
  </si>
  <si>
    <t>Postulación personal como delegado al CTPD</t>
  </si>
  <si>
    <t>Postulación propia a CTPD</t>
  </si>
  <si>
    <t>Postulación y votación delegaciones a instancias 4 primeras</t>
  </si>
  <si>
    <t xml:space="preserve">Postulación y votación delegaciones a instancias restantes </t>
  </si>
  <si>
    <t>Por postulación y unanimidad delegado ante el Consejo de Libertad Religiosa, Culto y Conciencia</t>
  </si>
  <si>
    <t>Sector interreligioso</t>
  </si>
  <si>
    <t>Inicio de sesiones con alcalde</t>
  </si>
  <si>
    <t>Sugirió al Alcalde revisar seguridad y accesibiidad a pagina de alcaldía, porque cuando se entra desde un celular sale una alerta de sospecha de seguridad</t>
  </si>
  <si>
    <t>Socialización de cronograma</t>
  </si>
  <si>
    <t xml:space="preserve">No se hizo pronunciamiento </t>
  </si>
  <si>
    <t>Lectura de actas</t>
  </si>
  <si>
    <t>Se habló sobre situación con la Universidad Nacional, ediles expresan dejar constancia sobre el poco acompañamiento de la Universidad.</t>
  </si>
  <si>
    <t>elección mesa directiva. Luz Stella y Realpe postulados para la presidencia</t>
  </si>
  <si>
    <t>Sugerencia CSB</t>
  </si>
  <si>
    <t>votación por Luz Stella presidencia PH, vicepresidencia Gloria NL y Secretaria Paola CD</t>
  </si>
  <si>
    <t>Hacienda</t>
  </si>
  <si>
    <t>debate control político poai, liderado por edilesa Diana Castro procesos sancionatorios</t>
  </si>
  <si>
    <t>No asistí, envié excusa</t>
  </si>
  <si>
    <t>acompañamiento en Concejo de bogotá</t>
  </si>
  <si>
    <t>lectura circula 006 de 2024 encuentros ciudadanos</t>
  </si>
  <si>
    <t>resaltar la importancia de articular con la Alcaldía para hacer convocatoria para participar en los encuentros ciudadanos</t>
  </si>
  <si>
    <t>Se mencionó que el Consejo de Juventud estaba solicitando el permiso dle espacio, sin embargo, en la tarde se le comunicó a la presidenta que aun se tiene documentos sensibles en el recinto para preveer posibles situación</t>
  </si>
  <si>
    <t>Jóvenes</t>
  </si>
  <si>
    <t>socialización de comisiones</t>
  </si>
  <si>
    <t>- Me postulé para coordinar con comunicaciones de lla alcaldia para un video de convocatoria de encuentros ciudadanos y mencioné sesión conjunta con el consejo de juventud</t>
  </si>
  <si>
    <t xml:space="preserve">debate control política oferta IDRD, edil Realpe,luminarias parques </t>
  </si>
  <si>
    <t>Se resaltó debate con enfoque de aprovechamiento de espacios, se solicitó programas actuales del IDRD, programas para jóvenes</t>
  </si>
  <si>
    <t>Deportistas</t>
  </si>
  <si>
    <t>COPACOS, edilesa Paola Rico</t>
  </si>
  <si>
    <t>Sesión</t>
  </si>
  <si>
    <t>Debate control político citado por edil Carlos Olaya sobre programa Kennedy sin Trabas</t>
  </si>
  <si>
    <t>Presentación visiones estratégicas candidatos alcaldía</t>
  </si>
  <si>
    <t>Votación terna</t>
  </si>
  <si>
    <t>Se votó por Kharla Marín</t>
  </si>
  <si>
    <t>socialización de cronograma, visita secretario de gobierno</t>
  </si>
  <si>
    <t xml:space="preserve">Trabajo sector interreligioso, CLJ </t>
  </si>
  <si>
    <t>lectura de actas</t>
  </si>
  <si>
    <t>informe de seguridad</t>
  </si>
  <si>
    <t>CTP, CPL, Planeación</t>
  </si>
  <si>
    <t>Debate control político de primera linea del METRO, convocado por edil Realpe</t>
  </si>
  <si>
    <t>- Importancia de socialización de la comunicación de avances de obra, qué reuniones se están haciendo con la comunidad especificamente barrios, incertidumbre de que barrios efectivamente  se van o no intervenir por obras del METRO, acciones actuales de seguridad con el avance de obra, Plantee postura de MIRA de que la obra METRO avance y la seguridad. Solicité aclarar proposición de edil Diego que Sebastián presidiera sesión como comisión de plan, a los cual voté positivo</t>
  </si>
  <si>
    <t>Debate control político de Parque Gibraltar por edilesa Diana Castro</t>
  </si>
  <si>
    <t>Se resaltó labor de Bomberos en epoca de incendios en Enero, se resaltó la importancia de trabajar en la prevención de sucesos como incendios, caso agua. Se preguntó por programas de Bomberos para que la ciudadanía pueda conocer para prevención de riesgos</t>
  </si>
  <si>
    <t>Se insistió en la importancia de que la JAL tenga el apoyo jurídico qu por Ley le corresponde, por lo cual se planteó la importancia de que esta semana haya reunión con Alcalde incluso si así se considera con Secretaria de Gobierno para aelerar proceso para tener ese apoyo jurídico</t>
  </si>
  <si>
    <t xml:space="preserve">Conformación Subcomisión de ética, </t>
  </si>
  <si>
    <t>Al ser la única que conformo la Bancada Partido MIRA, quedo persé como delegada (cada bancada tiene derecho de 1 delegado para la subcomisión). Se insistió en la importancia de que la JAL tenga el apoyo jurídico qu por Ley le corresponde, por lo cual se planteó la importancia de que esta semana haya reunión con Alcalde incluso si así se considera con Secretaria de Gobierno para aelerar proceso para tener ese apoyo jurídico</t>
  </si>
  <si>
    <t>Claridades sobre accionar y procedimientos de comisiones, lectura de acta</t>
  </si>
  <si>
    <t>Debate control político Alcalde Local</t>
  </si>
  <si>
    <t>Se resalto que el Alcalde ha sido respestuoso de las decisiones de la JAL, resaltó la importancia de tener presente proposición de convocatoria pública para los perfiles según ley 2116 de 2021</t>
  </si>
  <si>
    <t>Proposición edil Diego y socialización de cronograma</t>
  </si>
  <si>
    <t>Hubo 2 proposiciones:
1. ¿Aprueba conformación de comisión accidental para hacer veeduría a proceso de convocatoria pública de perfiles según ley 2116 con vocero de cada bancada? POSITIVO
2. ¿Aprueba respaldo a secretarias? ABSTENGO, Teniendo en cuenta que no es claro si perfiles de secretaria actual se añaden o si son los de la ley.</t>
  </si>
  <si>
    <t>Comisión de Plan Integración Social</t>
  </si>
  <si>
    <t xml:space="preserve">Hice la siguientes preguntas a Integración Social: 
1. SERVICIO EN CASA DE JUVENTUD DE PREVENCIÓN INTEGRAL. DAR EL DETALLE
asesoría jurídica, resolución libreta miliatar, COLEGIOS, PREVENCIÓN EN MATERNIDAD.
.
2. TIENEN CIFRA DE ADULTO MAYOR, REQUISITOS
3. QUE SE NECESITA PARA CREAR NUEVOS COMEDORES COMUNITARIOS, APOYO, QUÉ REQUIERES ESPECIFICAMENTE
4. DIALOGOS TERRITORIALES, 3 ¿AL AÑO? ¿DÓNDE LOS HICIERON?
5. PROFUNDIZAR LO QUE SE VIENE PLANTEANDO EN EL PLAN DE DESARROLLO
</t>
  </si>
  <si>
    <t>Comisión de Plan (presentación plan de trabajo y del balance de la construcción del plan de desarrollo)</t>
  </si>
  <si>
    <t>1.Pregunté cómo va lo del CTPD, qué proceso sigue
2. Aporte que en el plan de trabajo de la comisión se vea reflejado la función de diálogo con el CPL
3. Aporte de continuar escuchando instancias
4. Comuniqué que a mi correo no llegó notificaciión de apelación, y que resalto animo de presidenta de llegar a un acuerdo, y sobre  definir importancia de leer en correspondencia de sesión.</t>
  </si>
  <si>
    <t>Lectura de convocatorio reunión privada</t>
  </si>
  <si>
    <t>Recordar reunión privada de subcomisión</t>
  </si>
  <si>
    <t xml:space="preserve">Debate control político bienestar animal por comisión de derechos humanos, seguridad, </t>
  </si>
  <si>
    <t>1. medición según objetivo específico
2. baja participación
3. obras de teatro (detalles colegio INEM, que cursos, qué edades)</t>
  </si>
  <si>
    <t>Emprendimiento y Empleo</t>
  </si>
  <si>
    <t>Sesión virtual sobre plazas de mercado</t>
  </si>
  <si>
    <t>Vendedores informales</t>
  </si>
  <si>
    <t>sesión comisión de la mujer</t>
  </si>
  <si>
    <t>1. Foralecer la participación política de la mujer 2.Fortalecer los roles de participación de la mujer</t>
  </si>
  <si>
    <t>Mujeres</t>
  </si>
  <si>
    <t>Debate control político emprendimientos y vendedores informales</t>
  </si>
  <si>
    <t>1. Alcaldia tiene base de datos de vendedores informales carnetizados, pero no dato de vendedores informales. Planteamos la importacia de articuar con IPES para que tengan la cifra porque eso le da alertas a Alcaldia sobre cuántos vendedores faltan por carnetizar
2. En respuesta Alcaldía dice que no se han hecho pactos de reubicación.</t>
  </si>
  <si>
    <t>Sesión LGBTI</t>
  </si>
  <si>
    <t>Comunidad lgbti+</t>
  </si>
  <si>
    <t>Sesion desarrollo economico</t>
  </si>
  <si>
    <t>Debate</t>
  </si>
  <si>
    <t>Debate prevención de abuso sexual infaantil en Kennedy</t>
  </si>
  <si>
    <t xml:space="preserve">Integración social, subred sur occidente, policia, ICBF, Alcaldía local </t>
  </si>
  <si>
    <t>Niños</t>
  </si>
  <si>
    <t>Sesion seguridad edil Jhon Fernando</t>
  </si>
  <si>
    <t>Policia</t>
  </si>
  <si>
    <t>Se preguntó sobre delitos de posibles casos de abuso sexual tenerlo presente en las cifras y acciones en violencia intrafamiiar que es uno de los delitos que más se presenta en la localidad</t>
  </si>
  <si>
    <t>Sesion movilidad edil Sebastina</t>
  </si>
  <si>
    <t>Conductores</t>
  </si>
  <si>
    <t>aprobación de actas</t>
  </si>
  <si>
    <t>Inicio de sesiones</t>
  </si>
  <si>
    <t xml:space="preserve">Socialización de cronograma junio </t>
  </si>
  <si>
    <t>Apoyo técnico y presentación lider social</t>
  </si>
  <si>
    <t>Plantee la importancia de coordinar la planeación de las mesas de concertación</t>
  </si>
  <si>
    <t>Presentación Mauricio Tovar</t>
  </si>
  <si>
    <t>Frentes de seguridad edil Milton</t>
  </si>
  <si>
    <t>Pregunta: policia hace algún tipo de evaluación, balance sobre los frentes de seguridad en aras de identificar las acciones positivas y que pueden ser replicadas, y lo que s epuede mejorar.</t>
  </si>
  <si>
    <t>2 debate de modificación reglamento interno</t>
  </si>
  <si>
    <t>Se votó positivo al proyecto en bloque</t>
  </si>
  <si>
    <t xml:space="preserve">Aprobación en 2 debate de proyecto polvora y sistema Bienestar Animal </t>
  </si>
  <si>
    <t>Se votó positivo a proyecto de polvora.</t>
  </si>
  <si>
    <t>informe de seguridad y constancia</t>
  </si>
  <si>
    <t>1. Mayor claridad sobre proceso Kennedy distribuye lo local, mejor comunicación, proposito y resultados. 
2. En informe de seguridad me pronuncié sobre las capturas de personas presuntos abusadores de niños 1 de Kennedy</t>
  </si>
  <si>
    <t>Universidad del Tolima y mesas de concertación</t>
  </si>
  <si>
    <t>Profesores Universidad del Tolima, sede Kennedy y Participación local</t>
  </si>
  <si>
    <t>Universidad del Tolima: 
1. Cifras de edades y género mayores beneficiados
2. Fortalecer comunicación en noviembre que es la próxima inscribción a pregados, fortalecer la inscripción a mujeres madres cabeza de familia. 
MESAS DE CONCERTACIÓN: 
1. Mejorar proceso comunicativo de Kennedy distribuye lo local</t>
  </si>
  <si>
    <t>Debate control político UPK</t>
  </si>
  <si>
    <t>Edil Diana Castro</t>
  </si>
  <si>
    <t>Debate control político de contrato mujeres</t>
  </si>
  <si>
    <t>Alcaldía, sec mujer (no asistió), universidad distrital (no asisitión)</t>
  </si>
  <si>
    <t>Edil Gloria (NL) y Edil Diana Castro (PH)</t>
  </si>
  <si>
    <t>Debate control político porque alcaldía hizo acuerdo interadministrativo con U Distrital y hay denuncias que a personas no les han pagado sus honorarios.</t>
  </si>
  <si>
    <t>Respuesta derechos de petición</t>
  </si>
  <si>
    <t>Policia, IDPAC</t>
  </si>
  <si>
    <t>Edil Luz Stella</t>
  </si>
  <si>
    <t xml:space="preserve">Respuesta derechos de petición anonimos </t>
  </si>
  <si>
    <t>Informe de seguridad</t>
  </si>
  <si>
    <t>1. Informe de seguridad que sew presente mensualmente incluir cifras de violencia intrafamiliar y abuso sexual infantil entre los delitos en la localidad de Kennedy</t>
  </si>
  <si>
    <t>Socialización proceso de presupuestos participativos</t>
  </si>
  <si>
    <t>Alcaldía Local de Kennedy</t>
  </si>
  <si>
    <t>JAL</t>
  </si>
  <si>
    <t xml:space="preserve">1. Si bien la comunidad que presenta y gana las propuestas no ejecutan, sin embargo, debe estar en el proceso para que la esencia con la que fue planteada. 
2. Los laboratorios como se eligen que sea para determinadas poblaciones, por ejemplo persona mayor. 
3. El proceso no solo se debe medir solo por la cantidad de participación sino por la calidad de culminación de los procesos.
4. Piezas comunicativas con ejemplos de que tipo de propuestas no son válidas, para que la comunicación sea clara.
</t>
  </si>
  <si>
    <t>Plenaria</t>
  </si>
  <si>
    <t>Adultos mayores</t>
  </si>
  <si>
    <t>Debate infraestructura colegios edil Realpe (PH)</t>
  </si>
  <si>
    <t>Direccion Local</t>
  </si>
  <si>
    <t>Edil Realpe (PH)</t>
  </si>
  <si>
    <t>1. Importancia de avanzar en obras colegios kennedy sede heroes y isabel II, enviar cronograma de obra</t>
  </si>
  <si>
    <t>Socialización directora UAESP</t>
  </si>
  <si>
    <t>UAESP</t>
  </si>
  <si>
    <t>1. Ecopuntos, mejorar las frecuencias
2. Articulación con educación para prevenir puntos críticos con niños y vendedores ifnormales</t>
  </si>
  <si>
    <t>plenaria</t>
  </si>
  <si>
    <t>Socialización con directora del DADEP</t>
  </si>
  <si>
    <t>DADEP</t>
  </si>
  <si>
    <t>1. Tener presente vendedores informales para estrategia bajo puntos
2. Socializar proceso para convenio solidarios de salones comunales</t>
  </si>
  <si>
    <t>Debate sede Carvajal</t>
  </si>
  <si>
    <t>DADEP,  Alcaldía Local</t>
  </si>
  <si>
    <t>Diana Castro</t>
  </si>
  <si>
    <t>1. Llamado a DADEP, Alaldía en relación a situación del mal parqueo al rededor de sede Carvajal</t>
  </si>
  <si>
    <t>Socialización nuevo Personero Local</t>
  </si>
  <si>
    <t>Personería</t>
  </si>
  <si>
    <t>1. ¿La personería tiene un tipo de seguimiento sobre el cumplimiento de la políticas de derechos humanos, ejemplo derecho humanos más vulnerados por año?
2. Mejorar acompañamiento a las instancias de participación como el Consejo de Libertad Religiosa</t>
  </si>
  <si>
    <t>1. Personería va a revisar bien
2. Se compromete a mejorar acompañamiento y siguiente reunión</t>
  </si>
  <si>
    <t>Respuesta a probemáticas de líderes de Junta de Acción Comunal</t>
  </si>
  <si>
    <t xml:space="preserve">UAESP, Ciudad Limpia, DADEP, Alcaldía Local </t>
  </si>
  <si>
    <t>1. Acueducto mejorar la atención de solicitudes especialmente en la limpieza de sumideros
2. Mejorar comunicación de UAESP sobre no se puede retirar contenedores por contrato, es una explicación muy excueta.</t>
  </si>
  <si>
    <t>N°</t>
  </si>
  <si>
    <t>FECHA DE RADICACIÓN</t>
  </si>
  <si>
    <t xml:space="preserve">TITULO PA </t>
  </si>
  <si>
    <t>OBJETO</t>
  </si>
  <si>
    <t xml:space="preserve">PONENTES </t>
  </si>
  <si>
    <t>FECHA DE DEBATE</t>
  </si>
  <si>
    <t>COMISIÓN</t>
  </si>
  <si>
    <t>ESTADO</t>
  </si>
  <si>
    <t>¿AUTOR O COAUTOR?</t>
  </si>
  <si>
    <t>13 de 2024</t>
  </si>
  <si>
    <t>Diciembre 5 de 2024</t>
  </si>
  <si>
    <t xml:space="preserve">"POR MEDIO DEL CUAL SE PROMUEVE EL FORTALECIMIENTO DE LAS JUNTAS DE ACCIÓN COMUNAL DE LA LOCALIDAD DE KENNEDY Y SE ESTABLECEN OTRAS DISPOSICIONES”
</t>
  </si>
  <si>
    <t xml:space="preserve">busca promover el fortalecimiento de las juntas de acción comunal y sus dignatarios, mediante acciones orientadas a la capacitación y formación; fomento de la participación; promoción de iniciativas ciudadanas, y difusión de la gestión en la localidad de Kennedy.
</t>
  </si>
  <si>
    <t>Carlos Olaya (L), Juan Carlos Realpe (PH) Fernando Castillo (V)</t>
  </si>
  <si>
    <t xml:space="preserve">
Diciembre 14 de 2024 (primer debate)
Diciembre 16 de 2024 (segundo debate)</t>
  </si>
  <si>
    <t xml:space="preserve">Segundo debate </t>
  </si>
  <si>
    <t>Autor</t>
  </si>
  <si>
    <t>No</t>
  </si>
  <si>
    <t xml:space="preserve">FECHA DE ASIGNACIÓN </t>
  </si>
  <si>
    <t xml:space="preserve">FECHA DE PRÓRROGA </t>
  </si>
  <si>
    <t xml:space="preserve">DESCRIPCIÓN  </t>
  </si>
  <si>
    <t>POSTURA DEL PONENTE</t>
  </si>
  <si>
    <t>AUTOR</t>
  </si>
  <si>
    <t>PONENTES</t>
  </si>
  <si>
    <t>DESCRIBA LAS PROPUESTAS DEL PONENTE</t>
  </si>
  <si>
    <t xml:space="preserve">CONCLUSIONES DE LA PONENCIA: ¿QUE SE LOGRÓ INCLUIR Ó QUE SE RETIRÓ DE LA PONENCIA O SE DESCRIBE EL APORTE DE LA BANCADA AL PROYECTO 
</t>
  </si>
  <si>
    <t>LINK DE DOCUMENTO O PONENCIA</t>
  </si>
  <si>
    <t>Ponencia</t>
  </si>
  <si>
    <t>Festival del Rock</t>
  </si>
  <si>
    <t xml:space="preserve">proyecto de acuerdo “por medio del cual se reconoce el Festival de Rock de la localidad de Kennedy, como actividad artística, cultural y se dictan otras disposiciones”
</t>
  </si>
  <si>
    <t>Positiva con modificaciones</t>
  </si>
  <si>
    <t>Diana Castro (Pacto) y Diego Angulo (L)</t>
  </si>
  <si>
    <t>Paola Rico CD, Gloria Chamorrro NL y Lorena Garzon (MIRA)</t>
  </si>
  <si>
    <t>1. Sobre el ritmo psicodelico edilesa Paola, sugirió o eliminar o se le planteó agregar acuerdo sobre consumo de sustancias en lugares recreodeportivos donde estén niños. (autores se cogieron a eliminar psicodelico).
2. Ajustar cómite integración, se acogió por los autores de invitar a consejo de cultura y alcaldía, y que no quedara ejecutar.
3. ARTÍCULO 9. SALUD MENTAL. En el Festival Rock-Techotiba de la localidad de Kennedy, se habilitará un espacio dedicado a la sensibilización sobre la salud mental de los jóvenes, el cual será liderado por el sector de salud de la localidad.</t>
  </si>
  <si>
    <t>Positiva con modificaciones, se acogió la propuesta de salud mental, la vieron como muy positiva</t>
  </si>
  <si>
    <t>https://docs.google.com/document/d/146XlSpxG0o4JbXSog80TIziPCTqpuvhF/edit?usp=drive_link&amp;ouid=111207493007649420992&amp;rtpof=true&amp;sd=true</t>
  </si>
  <si>
    <t>EDUCACIÓN, CULTURA Y DEPORTE</t>
  </si>
  <si>
    <t>Excedentes financieros</t>
  </si>
  <si>
    <t>proyecto de acuerdo “por el cual se incorporan los excedentes financieros resultado del cierre presupuestal y financiero del 2023 al presupuesto de Ingresos y Gastos del Fondo de Desarrollo Local de Kennedy de la vigencia fiscal 2024”</t>
  </si>
  <si>
    <t>Positiva</t>
  </si>
  <si>
    <t>Carlos Olaya (Li), Paola Rico (CD)  y Lorena Garzón (MIRA)</t>
  </si>
  <si>
    <t>NO</t>
  </si>
  <si>
    <t xml:space="preserve">https://docs.google.com/document/d/1dmjT6eXfShmrRL_93uvrp-tr_l9XIU6R/edit?usp=drive_link&amp;ouid=111207493007649420992&amp;rtpof=true&amp;sd=true </t>
  </si>
  <si>
    <t>PRESUPUESTO</t>
  </si>
  <si>
    <t>Libertad Religiosa</t>
  </si>
  <si>
    <t>Festival Gospel</t>
  </si>
  <si>
    <t>proyecto de acuerdo “Por medio del cual se crea y se reconoce el festival GOSPEL KENNEDY X LA VIDA como actividad artística, cultural y se dictan otras disposiciones”.</t>
  </si>
  <si>
    <t>Fernando Castillo  (Verde)  y Diego Angulo (L)</t>
  </si>
  <si>
    <t>1. Ajustarlo como interreligioso para cuidar que no haya prelación a una sola creencia. 
2. Ajustar funciones cómite promotor e integrantes
Votación por artículos (1 si, 2 no, 3 no, 4 si, 5 no, 6, 7 si, 8 no)</t>
  </si>
  <si>
    <t>Positiva con modificaciones. Para no dejarlo en un marco pleno de (religioso) autores apoyan eliminar articulo para que se recnozca el día de libertad religiosa.</t>
  </si>
  <si>
    <t>https://docs.google.com/document/d/1CunEUNO0FSyfI3c9IozjFIkHtPUMjtGW/edit?usp=drive_link&amp;ouid=111207493007649420992&amp;rtpof=true&amp;sd=true</t>
  </si>
  <si>
    <t>Festival Kennedy Vallenato</t>
  </si>
  <si>
    <t>Proyecto de Acuerdo “Por medio del cual se crea y se reconoce el Festival
“Kennedy Vallenato” como actividad cultural y artística y se dictan otras disposiciones.</t>
  </si>
  <si>
    <t>Carlos Olaya (L)</t>
  </si>
  <si>
    <t>1. No especificar el instrumento jurídico a la Alcaldía. 
2. Ajustes de manual normativo</t>
  </si>
  <si>
    <t>positiva con modificaciones</t>
  </si>
  <si>
    <t>https://docs.google.com/document/d/14ndhueef22GQu6WmofsMHYaZBlp1V3vz/edit?usp=drive_link&amp;ouid=111207493007649420992&amp;rtpof=true&amp;sd=true</t>
  </si>
  <si>
    <t xml:space="preserve">Festival Música Popular </t>
  </si>
  <si>
    <t>Proyecto de Acuerdo “Por medio del cual se crea y reconoce el Festival de Música Popular al Parque, como evento de interés artístico y cultural”</t>
  </si>
  <si>
    <t>Paola Rico (CD)</t>
  </si>
  <si>
    <t>Diana Castro (PH), Gloria Chamorrro NL y Lorena Garzon (MIRA)</t>
  </si>
  <si>
    <t>https://docs.google.com/document/d/11XLoIFTpywkbxEG527yYkQiB2fwGBIXz/edit?usp=drive_link&amp;ouid=111207493007649420992&amp;rtpof=true&amp;sd=true</t>
  </si>
  <si>
    <t>Instancias de Participación</t>
  </si>
  <si>
    <t>Proyecto de Acuerdo “Por la cual se crea y actualizan las instancias de participación y demás actores que impactan la participación en la localidad y se dictan otras disposiciones”</t>
  </si>
  <si>
    <t>Luz Stella Díaz (PH)</t>
  </si>
  <si>
    <t>Carlos Olaya (L), Lorena Garzón (MIRA), Diego Angulo (L)</t>
  </si>
  <si>
    <t>1. Ajustes de redacción título y artículos. 
2. Se incluye GACETA</t>
  </si>
  <si>
    <t>https://docs.google.com/document/d/1P__jEfovt0YZm5lgnUoD__9te98LLdmP/edit?usp=drive_link&amp;ouid=111207493007649420992&amp;rtpof=true&amp;sd=true</t>
  </si>
  <si>
    <t>PARTICIAPCIÓN, COMUNICACIONES Y TURISMO</t>
  </si>
  <si>
    <t xml:space="preserve">“POR MEDIO DEL CUAL SE MODIFICA PARCIALMENTE EL ACUERDO LOCAL NUMERO 66 DEL 17 DE ABRIL DE 2002”.
</t>
  </si>
  <si>
    <t xml:space="preserve">Modificar el Acuerdo Local No. 066 de 2002 “Por el se crea el Comité Local de Preservación, Cuidado y Vigilancia del Monumento de Banderas”.
</t>
  </si>
  <si>
    <t>1. Ajuste técnica legislativa
2. Sesión semestral del comite en la jal
3. Agregar en el comite delgado del IDPAC</t>
  </si>
  <si>
    <t>https://docs.google.com/document/d/1ghlndk8C_zaJK3h_L63IdR2YWvkyo8gF/edit</t>
  </si>
  <si>
    <t>Debate sobre prevención del abuso sexual infantil en Kennedy</t>
  </si>
  <si>
    <t>Secretaria de Gobierno, Dirección Local de Educación, ICBF, Policia, Integración Social, Subred</t>
  </si>
  <si>
    <t>LORENA GARZÓN DEAZA</t>
  </si>
  <si>
    <t>Durante el debate en plenaria, se abordaron temas de gran relevancia y preocupación relacionados con el abuso sexual infantil en Kennedy. Se hizo hincapié en la importancia de adoptar medidas preventivas en lugar de centrarse únicamente en la atención posterior a los casos. Este tema es de suma relevancia tanto para nuestro partido como para la ciudad en su conjunto.</t>
  </si>
  <si>
    <t>1. Enfoque de niñez en el plan de desarrollo local 2.Sistema único de posibles casos de abuso sexual infantil en Kennedy</t>
  </si>
  <si>
    <t>1. Se está enfocada en la atención 2. Las acciones que plantean las entidades están enfocadas en un marco general de violencias y no especifico de prevención de abuso sexual infantil. 3. Kennedy como una de las localdades con más posibles casos</t>
  </si>
  <si>
    <t>https://docs.google.com/presentation/d/1Bph9MF3O9XQEeB4ZS4jy1aZkdIzfk65U/edit?usp=sharing&amp;ouid=111207493007649420992&amp;rtpof=true&amp;sd=true</t>
  </si>
  <si>
    <t>Derechos Humanos</t>
  </si>
  <si>
    <t>Debate sobre Puntos Críticos de Residuos en Kennedy</t>
  </si>
  <si>
    <t>Alcaldía Local, UAESP, Ciudad Limpia (Secretaria de Salud, Dirección de Educación y Policia no pudieron intervenir)</t>
  </si>
  <si>
    <t>Debate para evidenciar principales causa, acciones para prevenir y propuestas para mitigar los actuales puntos</t>
  </si>
  <si>
    <t>1. Revisar y mejorar las campañas actuales de cultura ciudadana de las 3 RS (reducir, reciclar, reutilizar) desde la infancia en los colegios, vendedores informales, comerciantes, para prevenir y mitigar los puntos críticos de residuos en Kennedy.
2. Ajustar las tarifas y metodología de recolección de escombros, así como fortalecer la comunicación sobre el proceso y puntos de recolección, para evitar el arrojo ilegal y promover una correcta disposición.
3. Fortalecer la articulación interinstitucional con los puntos críticos de residuos, utilizando tecnología, reportes ciudadanos y herramientas de geolocalización para intervenir de manera preventiva y evitar la acumulación de residuos.
4. Avanzar en la intervención de la malla vial y parques en mal estado para mitigar el arrojo incorrecto de residuos.
5. Mejorar compromiso como habitantes con la cultura ciudadana para la correcta disposición de los residuos y una sostenibilidad ambiental, y así prevenir la generación de puntos críticos.</t>
  </si>
  <si>
    <t xml:space="preserve">Corresponsabilidad y prevención de generación de nuevos puntos críticos de residuos en Kennedy
</t>
  </si>
  <si>
    <t xml:space="preserve">https://docs.google.com/presentation/d/1cu177WmNr_yw68id73r1nN58fk9-CZTv/edit#slide=id.g2d2f546de15_0_23 </t>
  </si>
  <si>
    <t>Avances, Retos y Desafíos: Prevención 
de Violencias contra mujeres y niñas y el impulso
 de su Participación en Kennedy.</t>
  </si>
  <si>
    <t>Alcaldía Local, secretaria de la mujer, dirección local de educación</t>
  </si>
  <si>
    <t>Debate sobre cifras de violencias contra mujeres y niñas en Kennedy, identificar acciones para prevención y atención</t>
  </si>
  <si>
    <t xml:space="preserve">1. La educación como escudo contra el feminicidio, De acuerdo con Medicina Legal, en Bogotá en el 2023, 8 de cada 10 víctimas mujeres estaban entre los 18 y 39 años, y 9 de cada 10 mujeres víctimas tenían la educación media o secundaria como máximo nivel educativo.
2. Promover el autocuidado en la niñas puede favorecer los aspectos en su desarrollo: Mejora de autoconocimiento y autoestima, fomento de hábitos saludables, desarrollo emocional adecuado, desarrollo de habilidades interpersonales.
3. Es necesario que las entidades tengan medición clave de sus acciones, si su misionalidad no la tiene, debe solicitarle a quien lo corresponda para que sus acciones tengan efectividad.
</t>
  </si>
  <si>
    <t>https://docs.google.com/presentation/d/1JpuDN8jDNg_2t-r2BcV06GkYqKFvuWcR/edit#slide=id.g2d8116b308e_0_18</t>
  </si>
  <si>
    <t>FECHA DE PUBLICACIÓN</t>
  </si>
  <si>
    <t xml:space="preserve">COMISIÓN </t>
  </si>
  <si>
    <t>PUBLICACIÓN</t>
  </si>
  <si>
    <r>
      <rPr>
        <rFont val="Arial"/>
        <b/>
        <color rgb="FFFFFFFF"/>
        <sz val="10.0"/>
      </rPr>
      <t xml:space="preserve">DESCRIPCIÓN </t>
    </r>
    <r>
      <rPr>
        <rFont val="Arial"/>
        <b val="0"/>
        <color rgb="FFFFFFFF"/>
        <sz val="10.0"/>
      </rPr>
      <t>(de la actividad)</t>
    </r>
  </si>
  <si>
    <t>LINK DOCUMENTOS</t>
  </si>
  <si>
    <t>LINK BOLETIN / COMUNICADO</t>
  </si>
  <si>
    <t xml:space="preserve">Registro Fotografico </t>
  </si>
  <si>
    <t>Twitter</t>
  </si>
  <si>
    <t xml:space="preserve">Facebook </t>
  </si>
  <si>
    <t>Instagram</t>
  </si>
  <si>
    <t>TikTok</t>
  </si>
  <si>
    <t>threads</t>
  </si>
  <si>
    <t>YouTube</t>
  </si>
  <si>
    <t>InfoMIRA</t>
  </si>
  <si>
    <t>Medios de Comunicación</t>
  </si>
  <si>
    <t>PROPIEDAD HORIZONTAL</t>
  </si>
  <si>
    <t>Publicado</t>
  </si>
  <si>
    <t>EMPLEO</t>
  </si>
  <si>
    <t>FERIA DE EMPLEO ALCALDÍA DE KENNEDY</t>
  </si>
  <si>
    <t>BENEFICIO</t>
  </si>
  <si>
    <t xml:space="preserve">ENTREVISTA </t>
  </si>
  <si>
    <t xml:space="preserve">Entrevista Radio </t>
  </si>
  <si>
    <t>https://www.instagram.com/p/C4Qx5pOOajb/?igsh=MTAwNm5leGY2cjVudg==</t>
  </si>
  <si>
    <t>Visitas por temas de luminarias</t>
  </si>
  <si>
    <t>Seguimiento de movilidad</t>
  </si>
  <si>
    <t>https://www.instagram.com/reel/C4UNd8luhg2/?igsh=dTdkamgzeDVsdXpn</t>
  </si>
  <si>
    <t xml:space="preserve">Pequeñas empresas </t>
  </si>
  <si>
    <t xml:space="preserve">EMPRENDIMIENTO </t>
  </si>
  <si>
    <t>https://www.instagram.com/reel/C4a_SeLOlJG/?igsh=MWhucjBtc2N6ajNhdQ==</t>
  </si>
  <si>
    <t xml:space="preserve">Mesas de trabajo </t>
  </si>
  <si>
    <t xml:space="preserve">Medio ambiente </t>
  </si>
  <si>
    <t>https://www.instagram.com/p/C4gNz1KuQ5P/?igsh=MWZzc21teGlwejl2dA==</t>
  </si>
  <si>
    <t>Pavimentacion de vias</t>
  </si>
  <si>
    <t>Visita barrio</t>
  </si>
  <si>
    <t>https://www.instagram.com/p/C4in4FSOW6L/?igsh=NTM4djd2dXRiYWM0</t>
  </si>
  <si>
    <t>Ediles y rendion de cuentas</t>
  </si>
  <si>
    <t xml:space="preserve">Desarrollo en las localidades </t>
  </si>
  <si>
    <t>https://www.instagram.com/reel/C4n_yCyukE9/?igsh=MTh4YThkcWF6NGoyeg%3D%3D</t>
  </si>
  <si>
    <t>FORMACIÓN</t>
  </si>
  <si>
    <t>CAPACITACIÓN EN SISTEMAS EN PUNTO VIVE DIGITAL</t>
  </si>
  <si>
    <t>Ayudas técnicas personas en condición de discapacidad</t>
  </si>
  <si>
    <t xml:space="preserve">Encuentros ciudadanos </t>
  </si>
  <si>
    <t xml:space="preserve">Encuentros cuidadanos </t>
  </si>
  <si>
    <t>https://www.instagram.com/reel/C5ZIeSVviE3/?igsh=cmg5ZzhxbXRmN24z</t>
  </si>
  <si>
    <t xml:space="preserve">Encuento con jovenes </t>
  </si>
  <si>
    <t>Jovenes</t>
  </si>
  <si>
    <t>https://www.instagram.com/p/C5ZwmQmOU6N/?igsh=djc2amF3NzQ5cnFv</t>
  </si>
  <si>
    <t xml:space="preserve">Mujeres </t>
  </si>
  <si>
    <t xml:space="preserve">Participación de la s mujeres </t>
  </si>
  <si>
    <t>https://www.instagram.com/p/C5caX-Musnc/?igsh=Y3M4c3NoeGUzeGg1</t>
  </si>
  <si>
    <t>Mejora de la malla vial</t>
  </si>
  <si>
    <t xml:space="preserve">Recorido con líderes </t>
  </si>
  <si>
    <t>https://www.instagram.com/p/C5j3iY3OdLf/?igsh=dHp5eHdscDdpNnQ5</t>
  </si>
  <si>
    <t>Gestión 100 días</t>
  </si>
  <si>
    <t xml:space="preserve">GESTIÓN </t>
  </si>
  <si>
    <t>https://www.instagram.com/reel/C5jKanCva4M/?igsh=MWw2a3IwbTZmZ2M5ag==</t>
  </si>
  <si>
    <t>Libertad religiosa y de conciencia</t>
  </si>
  <si>
    <t>https://www.instagram.com/p/C5mPxLkvlPN/?igsh=MXNjNXdpZXJ6bHBzMg==</t>
  </si>
  <si>
    <t xml:space="preserve">Movilidad y Medio Ambiente </t>
  </si>
  <si>
    <t>Mesa de trabajo</t>
  </si>
  <si>
    <t>https://www.instagram.com/p/C5pDEU9vxJR/?igsh=aTJkb2FhbGo0Nzd2</t>
  </si>
  <si>
    <t xml:space="preserve">Falta de señalización </t>
  </si>
  <si>
    <t>https://www.instagram.com/p/C5rwRPHuUlr/?igsh=MzRvNTMzaXoyend2</t>
  </si>
  <si>
    <t>04-042024</t>
  </si>
  <si>
    <t>Sesiones JAL</t>
  </si>
  <si>
    <t>Empleo-Jovnes</t>
  </si>
  <si>
    <t>https://www.instagram.com/reel/C5W9YdJPFQk/?igsh=MTVlZDZoZ2o2dXgzMA==</t>
  </si>
  <si>
    <t xml:space="preserve">Malla vial-emprendimiento </t>
  </si>
  <si>
    <t xml:space="preserve">Concejal Smir Bedoya </t>
  </si>
  <si>
    <t>https://www.instagram.com/reel/C52I9nbu1lR/?igsh=MXB1NDg2aWQwN2w2NA==</t>
  </si>
  <si>
    <t>Fortalecimiento libertad religiosa</t>
  </si>
  <si>
    <t>Concejo local de LR</t>
  </si>
  <si>
    <t>https://www.instagram.com/p/C54sXP0O7tU/?igsh=MWl4dDU0ZDgwMjZxMQ==</t>
  </si>
  <si>
    <t>Dia de la tierra</t>
  </si>
  <si>
    <t>Comemoración dia de la tierra</t>
  </si>
  <si>
    <t>https://www.instagram.com/reel/C6ET3vWu2o3/?igsh=MTd1cjQ4cjlnZzVuZA==</t>
  </si>
  <si>
    <t xml:space="preserve"> Visita en varios barrios de Kennedy </t>
  </si>
  <si>
    <t>https://www.instagram.com/p/C6JLgNyOnPE/?igsh=MXRwM3U2OHU1b2cxaw==</t>
  </si>
  <si>
    <t xml:space="preserve">Celebración dia del niño </t>
  </si>
  <si>
    <t xml:space="preserve">Dia del niño </t>
  </si>
  <si>
    <t>https://www.instagram.com/reel/C6SVCKsOXZR/?igsh=MXE0OTM4MWliZXdtZQ==</t>
  </si>
  <si>
    <t>Gestión arreglo de malla vial</t>
  </si>
  <si>
    <t xml:space="preserve">Visita habitantes de caravajal </t>
  </si>
  <si>
    <t>https://www.instagram.com/reel/C6Wop2kulNZ/?igsh=YTY5MWpzcG1ybXZw</t>
  </si>
  <si>
    <t>Alcalde Galan</t>
  </si>
  <si>
    <t>https://www.instagram.com/p/C9C-wAnusAR/?igsh=MWc4cHN4bXl1NDNqNw==</t>
  </si>
  <si>
    <t xml:space="preserve">Planacion de recuersos, beneficios </t>
  </si>
  <si>
    <t xml:space="preserve">Prevención de violencia </t>
  </si>
  <si>
    <t>https://www.instagram.com/p/C6kbAEAOJbg/?igsh=MjhienhvbDAzNXA=</t>
  </si>
  <si>
    <t>Movilidad y Señalización</t>
  </si>
  <si>
    <t xml:space="preserve">Mesa de trabajo </t>
  </si>
  <si>
    <t>https://www.instagram.com/reel/C6u01K-uX9H/?igsh=MWN6bzk3d2RjamMxeQ==</t>
  </si>
  <si>
    <t>Empleo-Emprendimiento</t>
  </si>
  <si>
    <t>Rendición de cuentas</t>
  </si>
  <si>
    <t>https://www.instagram.com/reel/C7DL280CFRS/?igsh=NTc5bmplbnVldnJn</t>
  </si>
  <si>
    <t xml:space="preserve">Participación juvenil </t>
  </si>
  <si>
    <t>CLJ- Jovenes</t>
  </si>
  <si>
    <t>https://www.instagram.com/p/C7JyD2xOglS/?igsh=MXA1N3QwbjZod2I5ZA==</t>
  </si>
  <si>
    <t xml:space="preserve">Mesa técnica </t>
  </si>
  <si>
    <t xml:space="preserve">Gestión </t>
  </si>
  <si>
    <t>https://www.instagram.com/reel/C7NxcFuu1n8/?igsh=MWhmbDZoc3UzeXh6Yg==</t>
  </si>
  <si>
    <t>Señalización</t>
  </si>
  <si>
    <t xml:space="preserve">Movilidad y señalización </t>
  </si>
  <si>
    <t>https://www.instagram.com/reel/C7aOExpPh4e/?igsh=MXd6MjJ3N3BvemJ1dQ==</t>
  </si>
  <si>
    <t xml:space="preserve">Deabate de control politico </t>
  </si>
  <si>
    <t>Abuso sexual infaltil</t>
  </si>
  <si>
    <t>https://www.instagram.com/reel/C7hyB0pv9Fu/?igsh=MXN4NnRuZzJqZjV0cA==</t>
  </si>
  <si>
    <t>Participación Encuentros Ciudadanos</t>
  </si>
  <si>
    <t>https://www.instagram.com/p/C8KVhmMObzk/?igsh=d2pmMjI0ZHRkY2Ru</t>
  </si>
  <si>
    <t>Protección del medio ambiente</t>
  </si>
  <si>
    <t>Medio ambiente CLJ</t>
  </si>
  <si>
    <t>https://www.instagram.com/reel/C8ipp3WN8ia/?igsh=MXE1bWo5eHFqYnVtZw==</t>
  </si>
  <si>
    <t>Cuidado del agua y medio ambiente</t>
  </si>
  <si>
    <t>Sensibilizacion ambiental</t>
  </si>
  <si>
    <t>https://www.instagram.com/p/C8mqb8Gujeb/?igsh=aWZhY3pocWhtcDl2</t>
  </si>
  <si>
    <t>Seguridad vial</t>
  </si>
  <si>
    <t xml:space="preserve">Señalización </t>
  </si>
  <si>
    <t>https://www.instagram.com/p/C8pgnNePGzr/?igsh=MWxlbnUydzhnOXQ4bw==</t>
  </si>
  <si>
    <t xml:space="preserve">Salud- Vias en mal estado </t>
  </si>
  <si>
    <t>Vista a barrios temas de movilidad</t>
  </si>
  <si>
    <t>https://www.instagram.com/p/C-Ga1mRPt4q/?igsh=MWxjaHJzbDlyODd4MA==</t>
  </si>
  <si>
    <t>Visita a Corabastos</t>
  </si>
  <si>
    <t xml:space="preserve">Coarabastos </t>
  </si>
  <si>
    <t>https://www.instagram.com/p/C-DZwVjui7I/?igsh=NzgyOGh0MTA2b2J2</t>
  </si>
  <si>
    <t>Encuentros cuidadanos</t>
  </si>
  <si>
    <t>Mesas de concentración</t>
  </si>
  <si>
    <t>https://www.instagram.com/p/C9xqPUwPaKH/?igsh=MXRveWFhc285bHplZQ==</t>
  </si>
  <si>
    <t>Movilidad en caravajal</t>
  </si>
  <si>
    <t>https://www.instagram.com/p/C9ufSVAO6p6/?igsh=aGFnNndxNGsxN2Rq</t>
  </si>
  <si>
    <t>https://www.instagram.com/p/C9YZbH2P73B/?igsh=cHZ0eHJveTVsM2V1</t>
  </si>
  <si>
    <t>JAL- Rendición de cuentas</t>
  </si>
  <si>
    <t>https://www.instagram.com/reel/C9QXi1rvqCo/?igsh=ejRpeDJrZ3c2Mndz</t>
  </si>
  <si>
    <t xml:space="preserve">Jornada de salud animal </t>
  </si>
  <si>
    <t>Fundación  OPAM</t>
  </si>
  <si>
    <t>https://www.instagram.com/p/C9N_EP_vxld/?igsh=cm8wdXF1dWxmaWtq</t>
  </si>
  <si>
    <t>https://www.instagram.com/p/C-6DxoUv9SC/?igsh=MWg3MTR0ZHVndjN3YQ==</t>
  </si>
  <si>
    <t>Jornada con fundación OPAM</t>
  </si>
  <si>
    <t>https://www.instagram.com/p/C_ExugWP9QT/?igsh=N2p3Y3U0ZXJvY3Z3</t>
  </si>
  <si>
    <t>Dia de la Juventud</t>
  </si>
  <si>
    <t xml:space="preserve">Celebracion dia de la juventud </t>
  </si>
  <si>
    <t>https://www.instagram.com/reel/C_GpSHnvDoW/?igsh=MTJzN242emh2YmRiMA==</t>
  </si>
  <si>
    <t>POT</t>
  </si>
  <si>
    <t>Plan de desarrollo Local</t>
  </si>
  <si>
    <t xml:space="preserve"> Aprobación  del POT en Kennedy</t>
  </si>
  <si>
    <t>Envio por infoMIRA</t>
  </si>
  <si>
    <t>Jornada de Juventud Patio Bonito</t>
  </si>
  <si>
    <t>Visita líder-Kennedy</t>
  </si>
  <si>
    <t xml:space="preserve">Visita con el concejal Samir Bedoya </t>
  </si>
  <si>
    <t>https://www.instagram.com/reel/C_gV-ezvVvj/?igsh=ZGJ6Y2l4NXpmNHRu</t>
  </si>
  <si>
    <t>Celebración día de la juventud PB</t>
  </si>
  <si>
    <t xml:space="preserve">Día de la juventud </t>
  </si>
  <si>
    <t>https://www.instagram.com/reel/C_irf04OxrD/?igsh=Mmt4c2dvZDJvd2ph</t>
  </si>
  <si>
    <t>Jornada de salud animal OPAM</t>
  </si>
  <si>
    <t>Jornada fundación OPAM</t>
  </si>
  <si>
    <t>https://www.instagram.com/p/C_tna8SvclM/?igsh=MWhxOTF6cXlybHQ5NA==</t>
  </si>
  <si>
    <t>Problematica reloceción de basuras</t>
  </si>
  <si>
    <t xml:space="preserve">Invitacion debtate control politico </t>
  </si>
  <si>
    <t>https://www.instagram.com/reel/C_yqsZDvKgb/?igsh=bmh3M2toNWZyb2Nr</t>
  </si>
  <si>
    <t>Debate de control politico</t>
  </si>
  <si>
    <t>Debate  JAL</t>
  </si>
  <si>
    <t>https://www.instagram.com/reel/C_4MYG1OH5v/?igsh=Zzk3djRycXJ3eDVs</t>
  </si>
  <si>
    <t>Fotos Debate</t>
  </si>
  <si>
    <t>https://www.instagram.com/p/C_3myxIxap6/?igsh=MTNnM2lleHBodmVyNQ==</t>
  </si>
  <si>
    <t>¿Que puede y que no hacer un Edil?</t>
  </si>
  <si>
    <t>Gestión Edil</t>
  </si>
  <si>
    <t>https://www.instagram.com/reel/C_-i3DeuSwu/?igsh=cXQzaXFjODQydmxq</t>
  </si>
  <si>
    <t>https://www.instagram.com/p/C__9OaqPL7F/?igsh=MWxrYnNtd3BsNm9pZA==</t>
  </si>
  <si>
    <t>Vista personero de Bogotá</t>
  </si>
  <si>
    <t>https://www.instagram.com/p/DACbewFPCxY/?igsh=MXBjOTY2MGphZTg0Zw==</t>
  </si>
  <si>
    <t>Señalización y Arreglo de calle</t>
  </si>
  <si>
    <t xml:space="preserve">Arreglo de PARE - Carvajal </t>
  </si>
  <si>
    <t>https://www.instagram.com/reel/DAHvey_v-5z/?igsh=MWdpNjlueWRhMjBwcw==</t>
  </si>
  <si>
    <t>Día del adulto mayor</t>
  </si>
  <si>
    <t>Sábado Miraísta Patio bonito</t>
  </si>
  <si>
    <t>https://www.instagram.com/p/DAMFmVRv8na/?igsh=MWJ6b2wwMHN2ZWFsaA==</t>
  </si>
  <si>
    <t>Mesa técnica de trabajo</t>
  </si>
  <si>
    <t xml:space="preserve">Malla vial - Solicitudes </t>
  </si>
  <si>
    <t>https://www.instagram.com/p/DARq-ZTvYCv/?igsh=eGRjMmhmYXRoNW0=</t>
  </si>
  <si>
    <t>Malla Vial Kennedy</t>
  </si>
  <si>
    <t>Recorido en los barrios</t>
  </si>
  <si>
    <t>https://www.instagram.com/p/DAT4ombvJoo/?igsh=dmFqYjg5YmFxdTE=</t>
  </si>
  <si>
    <t>Recorridos en los barrios</t>
  </si>
  <si>
    <t xml:space="preserve">Malla vial </t>
  </si>
  <si>
    <t>https://www.instagram.com/p/DAUUpNEP9a7/?igsh=MXpxc2RkcTVybnJz</t>
  </si>
  <si>
    <t>26-09/2024</t>
  </si>
  <si>
    <t>Visita Concejal</t>
  </si>
  <si>
    <t>Dialogos de  proplematicas</t>
  </si>
  <si>
    <r>
      <rPr>
        <color rgb="FF1155CC"/>
        <u/>
      </rPr>
      <t>https://www.instagram.com/p/DAYjKuNOCWQ/?igsh=MWhobmliZm93YmIyMA==</t>
    </r>
    <r>
      <rPr>
        <color rgb="FF000000"/>
      </rPr>
      <t xml:space="preserve"> (Unir 1-P.B)</t>
    </r>
  </si>
  <si>
    <t>Espacio Publico</t>
  </si>
  <si>
    <t>Dialogo con Kenneinianos</t>
  </si>
  <si>
    <t>Aprovechamiento del espacio publico</t>
  </si>
  <si>
    <r>
      <rPr>
        <color rgb="FF1155CC"/>
        <u/>
      </rPr>
      <t>https://www.instagram.com/p/DAZuIVRv7Xe/?igsh=MXZ3YnR3MWk2cmRucg==</t>
    </r>
    <r>
      <rPr>
        <color rgb="FF000000"/>
      </rPr>
      <t xml:space="preserve"> (Carvajal)</t>
    </r>
  </si>
  <si>
    <t>Recorido con entidades</t>
  </si>
  <si>
    <t>Mesa de Trabajo Patio Bonito Servicios Públicos</t>
  </si>
  <si>
    <t>https://www.instagram.com/reel/DAboWIJv29s/?igsh=eXl1dG9yNnFxbHkx</t>
  </si>
  <si>
    <t xml:space="preserve">Adulto Mayor </t>
  </si>
  <si>
    <t>Sábado Miraista Class</t>
  </si>
  <si>
    <t>https://www.instagram.com/p/DAe0lYNPO2w/?igsh=bWI1NTd3bXVqNzVh</t>
  </si>
  <si>
    <t>Sábado Miraista Carvajal</t>
  </si>
  <si>
    <t>https://www.instagram.com/p/DAloQypvYWy/?igsh=MWdrcDBjZDhoMHVhag==</t>
  </si>
  <si>
    <t>Sábado Miraista Kennedy Central</t>
  </si>
  <si>
    <t>https://www.instagram.com/p/DAeswe3PKmV/?igsh=c2NyOXpyZHFobmpq</t>
  </si>
  <si>
    <t>Mesa  de trabajo- Seguiridad vial</t>
  </si>
  <si>
    <t>Mesa de Trabajo Concejal Class</t>
  </si>
  <si>
    <t>https://www.instagram.com/p/DBbrw9rPbdl/?igsh=czR6NGh5NnpteWZ5</t>
  </si>
  <si>
    <t>Dia del Adulto Mayor</t>
  </si>
  <si>
    <t>Sábado Miraistas adultos mayores 3 Iglesias (Kennedy, Class, Carvajal)</t>
  </si>
  <si>
    <t>Labor de un Edil</t>
  </si>
  <si>
    <t>Video informativo gestion Edil</t>
  </si>
  <si>
    <t>https://www.instagram.com/reel/DA0kFNrv6zM/?igsh=MTF1cDV4ZzUyNGN6eg==</t>
  </si>
  <si>
    <t>Recorido en la JAL</t>
  </si>
  <si>
    <t>Video ¿Como llegar a la JAL?</t>
  </si>
  <si>
    <t>¿Como y cuando nacio la JAL?</t>
  </si>
  <si>
    <t>JAL  en kennedy</t>
  </si>
  <si>
    <t>https://www.instagram.com/reel/DA5tuM_veAa/?igsh=MWlrNDVpMTVzYWg3Ng==</t>
  </si>
  <si>
    <t>Jueves de TBT-Edilesas</t>
  </si>
  <si>
    <t>Edilesas en Kennedy</t>
  </si>
  <si>
    <t>https://www.instagram.com/p/DA8-4MoP3-w/?igsh=MXA2bWJnanZrNzJpeQ==</t>
  </si>
  <si>
    <t>Mesa de trabajo UAESP</t>
  </si>
  <si>
    <t xml:space="preserve">Plantamiento de mejoras </t>
  </si>
  <si>
    <t>https://www.instagram.com/p/DA_VLnLvBvx/?igsh=bzR4MTFod3RidDh6</t>
  </si>
  <si>
    <t>Libertad religiosa un derecho</t>
  </si>
  <si>
    <t>Explicación de Libertad Religiosa</t>
  </si>
  <si>
    <t>https://www.instagram.com/reel/DBH4ExkPayW/?igsh=azY3Nm9ldmM5cjZz</t>
  </si>
  <si>
    <t>Video interactivo LR</t>
  </si>
  <si>
    <t>Preguntas LR</t>
  </si>
  <si>
    <t>https://docs.google.com/spreadsheets/d/1chzYXS89GvLfL53oVtgsGlDccp2h1OY8PQzrMRayUPM/edit?usp=sharing</t>
  </si>
  <si>
    <t>Marcha</t>
  </si>
  <si>
    <t>Unidos por la Niñez</t>
  </si>
  <si>
    <t>https://www.instagram.com/p/DBUnRWbvkbn/?igsh=MXhqa243cWt0b25sbA==</t>
  </si>
  <si>
    <t>Victimas del Conflicto Armado</t>
  </si>
  <si>
    <t>Gestion y apoyo victimas del conflicto</t>
  </si>
  <si>
    <t>Conversatorio Servicios Publicos</t>
  </si>
  <si>
    <t>Localidad engativa, dialogos y propuestas</t>
  </si>
  <si>
    <t>https://www.instagram.com/reel/DBcHjyCvP0S/?igsh=NDY2dXU2em9wemQx</t>
  </si>
  <si>
    <t xml:space="preserve">Seguimiento solicitudes- Movilidad </t>
  </si>
  <si>
    <t xml:space="preserve">Recorrido lideres en Carvajal </t>
  </si>
  <si>
    <t>https://www.instagram.com/p/DBe389pP03u/?igsh=anNtamdseWxpNDgw</t>
  </si>
  <si>
    <t>Sondeo Reforma Laboral</t>
  </si>
  <si>
    <t>Opiniones frente al tema de la RL</t>
  </si>
  <si>
    <t>https://www.instagram.com/reel/DBi9yFfuMlC/?igsh=cDRxYmRieHlzbnVs</t>
  </si>
  <si>
    <t>Malla Vial</t>
  </si>
  <si>
    <t>Infraestructura Kennedy</t>
  </si>
  <si>
    <t>https://www.instagram.com/p/DBkLAysvMya/?igsh=MWdnNW5yN2V5Y214</t>
  </si>
  <si>
    <t>Reunión con la  Policia</t>
  </si>
  <si>
    <t xml:space="preserve">Prpuestas de accciones </t>
  </si>
  <si>
    <t>https://www.instagram.com/p/DBrOFN_vGfj/?igsh=YWczNjBuNWcybndk</t>
  </si>
  <si>
    <t>Encuestas Reforma Laboral</t>
  </si>
  <si>
    <t>https://www.instagram.com/p/DBt1bhnPA5v/?igsh=MTFkOHdudWRwdm9vYw==</t>
  </si>
  <si>
    <t xml:space="preserve">Mesa de Trabajo </t>
  </si>
  <si>
    <t>Propiedad horizontal</t>
  </si>
  <si>
    <t>https://www.instagram.com/p/DBwcDk3v0Gx/?igsh=MWY4aXRlZHlhZWt3aQ==</t>
  </si>
  <si>
    <t xml:space="preserve">Fundación  OPAM </t>
  </si>
  <si>
    <t>Salud animal</t>
  </si>
  <si>
    <t>https://www.instagram.com/p/DCANsRiv2g1/?igsh=MWxkanF6cDlzdGRjMQ==</t>
  </si>
  <si>
    <t xml:space="preserve">Visita plaza distrital de mercado </t>
  </si>
  <si>
    <t>Plaza DM en kennedy</t>
  </si>
  <si>
    <t>https://www.instagram.com/reel/DCCZpvbJAIw/?igsh=OWt3MmRnbzcxdG1w</t>
  </si>
  <si>
    <t>Sesion seguridad- Policia</t>
  </si>
  <si>
    <t>Policia- seguridad: Niños, Adolecentes</t>
  </si>
  <si>
    <t>https://www.instagram.com/reel/DChvC0Vv-Nv/?igsh=MXVqMTlwdjBoc29oaQ==</t>
  </si>
  <si>
    <t>Día mundial prevención abuso infaltil</t>
  </si>
  <si>
    <t>Sesión en la JAL</t>
  </si>
  <si>
    <t>https://www.instagram.com/reel/DCkD_2gvw59/?igsh=MWJjbzYxMmxlZ2I5ZA==</t>
  </si>
  <si>
    <t>Ponte la capa por la niñez</t>
  </si>
  <si>
    <t>Actividades preventivas por la niñez</t>
  </si>
  <si>
    <t>https://www.instagram.com/share/p/_8PpRrMhe</t>
  </si>
  <si>
    <t>Medio Ambiente</t>
  </si>
  <si>
    <t>Visita problematicas- Residuos</t>
  </si>
  <si>
    <t>Mejora de infraestructura local</t>
  </si>
  <si>
    <t>https://www.instagram.com/share/p/_1hubtt2o</t>
  </si>
  <si>
    <t>https://www.instagram.com/reel/DDFzfVjPCqn/?igsh=amtkMXd2ZTg0c2Ny</t>
  </si>
  <si>
    <t xml:space="preserve">Vendedores informales, Seguridad </t>
  </si>
  <si>
    <t>https://www.instagram.com/reel/DDc3sWzv1Jl/?igsh=MXgwdjh0cGxjNnhk</t>
  </si>
  <si>
    <t>Alcantarillado publico</t>
  </si>
  <si>
    <t xml:space="preserve">Recorrido Unir 1 </t>
  </si>
  <si>
    <t>https://www.instagram.com/p/DDdKs87Pu0s/?igsh=MW00d3pnYng2dzVjbA==</t>
  </si>
  <si>
    <t>Malla vial Kennedy</t>
  </si>
  <si>
    <t>Movilidad e Infraestructura</t>
  </si>
  <si>
    <t>https://www.instagram.com/reel/DDfpgyDvfJ4/?igsh=MTR2bTdoNmsyNzZjNg==</t>
  </si>
  <si>
    <t xml:space="preserve">Mejora de parques </t>
  </si>
  <si>
    <t xml:space="preserve">Recorrido en Roma </t>
  </si>
  <si>
    <t>https://www.instagram.com/p/DDpy07YPN2w/?igsh=eGl3MTE3aXQwOHk0</t>
  </si>
  <si>
    <t xml:space="preserve">Llamado a Bomberos </t>
  </si>
  <si>
    <t xml:space="preserve">Incendio en Patio Bonito </t>
  </si>
  <si>
    <t>https://x.com/lorenagarzond/status/1867321903679254876?t=cegRxGrTh8Yd0DFgAGKDEw&amp;s=19</t>
  </si>
  <si>
    <t>Visita JAL-Jovenes PB</t>
  </si>
  <si>
    <t>Detalles y funcionamiento JAL</t>
  </si>
  <si>
    <t>https://www.instagram.com/p/DD2w3g0P6kj/?igsh=YXJjOTVxNTlhOHRx</t>
  </si>
  <si>
    <t>Bienvenida-Gestiones a trabjar en 2025</t>
  </si>
  <si>
    <t>Gestiones a trabjar en 2025</t>
  </si>
  <si>
    <t>https://www.instagram.com/reel/DEnTDE3vRmm/?igsh=MXY5ZHBib3ZjdmVheQ==</t>
  </si>
  <si>
    <t>Nota de noticias Caracol- Basuras (Debate de control politico)</t>
  </si>
  <si>
    <t>Basuras (UAESP)</t>
  </si>
  <si>
    <t>https://x.com/lorenagarzond/status/1877522522066849912?t=Racfxo_jgOeXFK94D5qUPw&amp;s=19</t>
  </si>
  <si>
    <t>Debate de control politico- Mujer</t>
  </si>
  <si>
    <t xml:space="preserve">Avences y prevención contra Mujeres </t>
  </si>
  <si>
    <t>https://www.instagram.com/p/DFGmNIsPhpx/?igsh=Nm52YjQ4d3oxa2V3</t>
  </si>
  <si>
    <t>Alimentacion en la niñez</t>
  </si>
  <si>
    <t>Exceso de peso- Niñez</t>
  </si>
  <si>
    <t>https://x.com/lorenagarzond/status/1881832870316216435?t=GGduE8yQ3TEfCLsYMVqzvg&amp;s=19</t>
  </si>
  <si>
    <t xml:space="preserve">Entornos de prevención </t>
  </si>
  <si>
    <t>https://www.instagram.com/reel/DFVk55wvpZT/?igsh=MXNpbHg5eWp3aTdlNQ==</t>
  </si>
  <si>
    <t>Impulso Local</t>
  </si>
  <si>
    <t>Emprendimiento- Kennedy</t>
  </si>
  <si>
    <t>ENVIO por infoMIRA</t>
  </si>
  <si>
    <t>Estadisticas frente al ASI</t>
  </si>
  <si>
    <t>Prevención en las zonas mas vulneradas</t>
  </si>
  <si>
    <t>https://x.com/lorenagarzond/status/1883877952699748858?t=d1ZtZzBaz2-7NmTjdqp1_A&amp;s=19</t>
  </si>
  <si>
    <t>EDIL</t>
  </si>
  <si>
    <t>INTERVENCIONES</t>
  </si>
  <si>
    <t>DEBATES</t>
  </si>
  <si>
    <t>PUBLICACIONES</t>
  </si>
  <si>
    <t>PROYECTOS DE ACUERDOS</t>
  </si>
  <si>
    <t>PONENCIAS</t>
  </si>
  <si>
    <t>APOYO CIUDADANO</t>
  </si>
  <si>
    <t>MESAS DE TRABAJO</t>
  </si>
  <si>
    <t>GESTIÓN DE COMUNIDADES</t>
  </si>
  <si>
    <t>MESA TECNICA</t>
  </si>
  <si>
    <t>LORENA GARZÓN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</si>
</sst>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d/M/yyyy"/>
    <numFmt numFmtId="166" formatCode="dd/mm/yyyy"/>
    <numFmt numFmtId="167" formatCode="d/m/yyyy"/>
    <numFmt numFmtId="168" formatCode="dd\-mmm\-yyyy"/>
    <numFmt numFmtId="169" formatCode="dd-mm-yyyy"/>
  </numFmts>
  <fonts count="107">
    <font>
      <sz val="10.0"/>
      <color rgb="FF000000"/>
      <name val="Arial"/>
      <scheme val="minor"/>
    </font>
    <font>
      <b/>
      <color theme="1"/>
      <name val="Arial"/>
    </font>
    <font>
      <color theme="1"/>
      <name val="Arial"/>
    </font>
    <font>
      <b/>
      <color rgb="FFFFFFFF"/>
      <name val="Arial"/>
    </font>
    <font>
      <b/>
      <sz val="10.0"/>
      <color rgb="FFFFFFFF"/>
      <name val="Arial"/>
    </font>
    <font>
      <sz val="10.0"/>
      <color theme="1"/>
      <name val="Arial"/>
    </font>
    <font>
      <color theme="1"/>
      <name val="Arial"/>
      <scheme val="minor"/>
    </font>
    <font>
      <sz val="10.0"/>
      <color rgb="FF222222"/>
      <name val="Arial"/>
    </font>
    <font>
      <sz val="10.0"/>
      <color rgb="FF000000"/>
      <name val="Arial"/>
    </font>
    <font/>
    <font>
      <sz val="10.0"/>
      <color rgb="FF201F1E"/>
      <name val="Arial"/>
    </font>
    <font>
      <u/>
      <sz val="10.0"/>
      <color theme="1"/>
      <name val="Arial"/>
    </font>
    <font>
      <u/>
      <sz val="10.0"/>
      <color rgb="FF000000"/>
      <name val="Arial"/>
    </font>
    <font>
      <u/>
      <sz val="10.0"/>
      <color rgb="FF0000FF"/>
      <name val="Arial"/>
    </font>
    <font>
      <sz val="10.0"/>
      <color rgb="FF242424"/>
      <name val="Arial"/>
    </font>
    <font>
      <sz val="10.0"/>
      <color rgb="FF212529"/>
      <name val="Arial"/>
    </font>
    <font>
      <u/>
      <sz val="10.0"/>
      <color theme="1"/>
      <name val="Arial"/>
    </font>
    <font>
      <u/>
      <sz val="10.0"/>
      <color rgb="FF1155CC"/>
      <name val="Arial"/>
    </font>
    <font>
      <u/>
      <sz val="10.0"/>
      <color rgb="FF0000FF"/>
      <name val="Arial"/>
    </font>
    <font>
      <u/>
      <sz val="10.0"/>
      <color theme="1"/>
      <name val="Arial"/>
    </font>
    <font>
      <u/>
      <color rgb="FF0000FF"/>
    </font>
    <font>
      <u/>
      <sz val="10.0"/>
      <color rgb="FF1155CC"/>
      <name val="Arial"/>
    </font>
    <font>
      <u/>
      <sz val="10.0"/>
      <color rgb="FF0000FF"/>
      <name val="Arial"/>
    </font>
    <font>
      <sz val="10.0"/>
      <color rgb="FF1F1F1F"/>
      <name val="Arial"/>
    </font>
    <font>
      <u/>
      <sz val="10.0"/>
      <color rgb="FF242424"/>
      <name val="Arial"/>
    </font>
    <font>
      <color rgb="FF242424"/>
      <name val="Arial"/>
    </font>
    <font>
      <u/>
      <sz val="10.0"/>
      <color rgb="FF0000FF"/>
      <name val="Arial"/>
    </font>
    <font>
      <sz val="10.0"/>
      <color rgb="FF1F1F1F"/>
      <name val="Arial"/>
      <scheme val="minor"/>
    </font>
    <font>
      <u/>
      <sz val="10.0"/>
      <color rgb="FF0000FF"/>
      <name val="Arial"/>
    </font>
    <font>
      <color rgb="FF242424"/>
      <name val="Arial"/>
      <scheme val="minor"/>
    </font>
    <font>
      <sz val="12.0"/>
      <color theme="1"/>
      <name val="Arial"/>
      <scheme val="minor"/>
    </font>
    <font>
      <sz val="11.0"/>
      <color theme="1"/>
      <name val="Arial"/>
      <scheme val="minor"/>
    </font>
    <font>
      <sz val="10.0"/>
      <color rgb="FF000000"/>
    </font>
    <font>
      <u/>
      <sz val="12.0"/>
      <color rgb="FF000000"/>
      <name val="Aptos"/>
    </font>
    <font>
      <sz val="12.0"/>
      <color rgb="FF000000"/>
      <name val="Aptos"/>
    </font>
    <font>
      <u/>
      <sz val="11.0"/>
      <color rgb="FF0000FF"/>
      <name val="Arial"/>
    </font>
    <font>
      <sz val="11.0"/>
      <color theme="1"/>
      <name val="Arial"/>
    </font>
    <font>
      <color rgb="FF000000"/>
      <name val="Arial"/>
    </font>
    <font>
      <i/>
      <sz val="10.0"/>
      <color rgb="FF000000"/>
      <name val="Arial"/>
    </font>
    <font>
      <u/>
      <sz val="10.0"/>
      <color rgb="FF000000"/>
      <name val="Arial"/>
    </font>
    <font>
      <u/>
      <sz val="10.0"/>
      <color rgb="FF000000"/>
      <name val="Arial"/>
    </font>
    <font>
      <u/>
      <sz val="11.0"/>
      <color rgb="FF000000"/>
    </font>
    <font>
      <u/>
      <sz val="14.0"/>
      <color rgb="FF242424"/>
    </font>
    <font>
      <color rgb="FF000000"/>
      <name val="Arial"/>
      <scheme val="minor"/>
    </font>
    <font>
      <u/>
      <color rgb="FF0000FF"/>
    </font>
    <font>
      <u/>
      <sz val="11.0"/>
      <color rgb="FF000000"/>
      <name val="Arial"/>
    </font>
    <font>
      <u/>
      <sz val="14.0"/>
      <color rgb="FF242424"/>
      <name val="Arial"/>
      <scheme val="minor"/>
    </font>
    <font>
      <u/>
      <color rgb="FF0000FF"/>
      <name val="Arial"/>
    </font>
    <font>
      <u/>
      <sz val="10.0"/>
      <color rgb="FF242424"/>
      <name val="Arial"/>
    </font>
    <font>
      <sz val="12.0"/>
      <color rgb="FF201F1E"/>
      <name val="&quot;Century Gothic&quot;"/>
    </font>
    <font>
      <u/>
      <sz val="11.0"/>
      <color rgb="FF0000FF"/>
      <name val="Arial"/>
    </font>
    <font>
      <u/>
      <sz val="11.0"/>
      <color rgb="FF0000FF"/>
      <name val="Arial"/>
    </font>
    <font>
      <u/>
      <sz val="10.0"/>
      <color rgb="FF000000"/>
      <name val="Arial"/>
    </font>
    <font>
      <u/>
      <color rgb="FF0000FF"/>
    </font>
    <font>
      <u/>
      <color rgb="FF0000FF"/>
    </font>
    <font>
      <u/>
      <sz val="11.0"/>
      <color rgb="FF000000"/>
      <name val="&quot;Segoe UI&quot;"/>
    </font>
    <font>
      <u/>
      <sz val="14.0"/>
      <color rgb="FF0000FF"/>
    </font>
    <font>
      <sz val="10.0"/>
      <color theme="1"/>
      <name val="&quot;Segoe UI&quot;"/>
    </font>
    <font>
      <color rgb="FF202124"/>
      <name val="Arial"/>
    </font>
    <font>
      <sz val="14.0"/>
      <color rgb="FF0000FF"/>
      <name val="Arial"/>
      <scheme val="minor"/>
    </font>
    <font>
      <u/>
      <color rgb="FF0000FF"/>
    </font>
    <font>
      <u/>
      <sz val="12.0"/>
      <color rgb="FF8496B0"/>
      <name val="Arial"/>
    </font>
    <font>
      <sz val="9.0"/>
      <color theme="1"/>
      <name val="Arial"/>
    </font>
    <font>
      <u/>
      <sz val="11.0"/>
      <color rgb="FF000000"/>
      <name val="&quot;Segoe UI&quot;"/>
    </font>
    <font>
      <b/>
      <sz val="9.0"/>
      <color rgb="FF242424"/>
      <name val="Arial"/>
      <scheme val="minor"/>
    </font>
    <font>
      <sz val="9.0"/>
      <color rgb="FF242424"/>
      <name val="Arial"/>
      <scheme val="minor"/>
    </font>
    <font>
      <u/>
      <sz val="14.0"/>
      <color rgb="FF0000FF"/>
    </font>
    <font>
      <sz val="9.0"/>
      <color rgb="FF000000"/>
      <name val="Roboto"/>
    </font>
    <font>
      <u/>
      <sz val="11.0"/>
      <color rgb="FF515F72"/>
      <name val="Arial"/>
      <scheme val="minor"/>
    </font>
    <font>
      <sz val="9.0"/>
      <color rgb="FF000000"/>
      <name val="Arial"/>
    </font>
    <font>
      <u/>
      <sz val="11.0"/>
      <color rgb="FF242424"/>
      <name val="Calibri"/>
    </font>
    <font>
      <sz val="8.0"/>
      <color theme="1"/>
      <name val="Arial"/>
      <scheme val="minor"/>
    </font>
    <font>
      <sz val="9.0"/>
      <color theme="1"/>
      <name val="&quot;Segoe UI&quot;"/>
    </font>
    <font>
      <color rgb="FFFF0000"/>
      <name val="Arial"/>
      <scheme val="minor"/>
    </font>
    <font>
      <u/>
      <color rgb="FF0000FF"/>
      <name val="Arial"/>
    </font>
    <font>
      <b/>
      <sz val="7.0"/>
      <color theme="1"/>
      <name val="Arial"/>
    </font>
    <font>
      <u/>
      <sz val="12.0"/>
      <color rgb="FF000000"/>
      <name val="Arial"/>
    </font>
    <font>
      <u/>
      <sz val="12.0"/>
      <color rgb="FF000000"/>
      <name val="Arial"/>
    </font>
    <font>
      <sz val="11.0"/>
      <color rgb="FF000000"/>
      <name val="&quot;Segoe UI&quot;"/>
    </font>
    <font>
      <u/>
      <sz val="11.0"/>
      <color rgb="FF000000"/>
      <name val="Arial"/>
    </font>
    <font>
      <u/>
      <sz val="11.0"/>
      <color rgb="FF000000"/>
      <name val="&quot;Segoe UI&quot;"/>
    </font>
    <font>
      <u/>
      <sz val="11.0"/>
      <color rgb="FF0000FF"/>
      <name val="Arial"/>
    </font>
    <font>
      <sz val="9.0"/>
      <color theme="1"/>
      <name val="Arial"/>
      <scheme val="minor"/>
    </font>
    <font>
      <sz val="11.0"/>
      <color theme="1"/>
      <name val="Calibri"/>
    </font>
    <font>
      <b/>
      <color rgb="FFFFFFFF"/>
      <name val="Arial"/>
      <scheme val="minor"/>
    </font>
    <font>
      <color rgb="FFFFFFFF"/>
      <name val="Arial"/>
      <scheme val="minor"/>
    </font>
    <font>
      <sz val="12.0"/>
      <color rgb="FF000000"/>
      <name val="System-ui"/>
    </font>
    <font>
      <sz val="12.0"/>
      <color rgb="FF000000"/>
      <name val="Arial"/>
    </font>
    <font>
      <color rgb="FF212529"/>
      <name val="System-ui"/>
    </font>
    <font>
      <color rgb="FF212529"/>
      <name val="Arial"/>
    </font>
    <font>
      <color rgb="FFFF0000"/>
      <name val="Arial"/>
    </font>
    <font>
      <sz val="10.0"/>
      <color theme="1"/>
      <name val="Arial"/>
      <scheme val="minor"/>
    </font>
    <font>
      <u/>
      <sz val="10.0"/>
      <color rgb="FF1155CC"/>
      <name val="Arial"/>
    </font>
    <font>
      <u/>
      <color rgb="FF1155CC"/>
      <name val="Arial"/>
    </font>
    <font>
      <u/>
      <sz val="10.0"/>
      <color rgb="FF0000FF"/>
      <name val="Arial"/>
    </font>
    <font>
      <u/>
      <sz val="10.0"/>
      <color rgb="FF0000FF"/>
      <name val="Arial"/>
    </font>
    <font>
      <u/>
      <sz val="10.0"/>
      <color rgb="FF0B5394"/>
      <name val="Arial"/>
    </font>
    <font>
      <u/>
      <sz val="10.0"/>
      <color rgb="FF0000FF"/>
      <name val="Arial"/>
    </font>
    <font>
      <u/>
      <sz val="10.0"/>
      <color rgb="FF0000FF"/>
      <name val="Arial"/>
    </font>
    <font>
      <b/>
      <sz val="9.0"/>
      <color rgb="FFFFFFFF"/>
      <name val="Arial"/>
    </font>
    <font>
      <u/>
      <sz val="10.0"/>
      <color rgb="FF0000FF"/>
      <name val="Arial"/>
    </font>
    <font>
      <u/>
      <sz val="10.0"/>
      <color rgb="FF0000FF"/>
      <name val="Arial"/>
    </font>
    <font>
      <u/>
      <sz val="10.0"/>
      <color rgb="FF0000FF"/>
      <name val="Arial"/>
    </font>
    <font>
      <u/>
      <color rgb="FF0000FF"/>
    </font>
    <font>
      <u/>
      <color rgb="FF0000FF"/>
    </font>
    <font>
      <u/>
      <color rgb="FF0000FF"/>
    </font>
    <font>
      <u/>
      <color rgb="FF0000FF"/>
    </font>
  </fonts>
  <fills count="12">
    <fill>
      <patternFill patternType="none"/>
    </fill>
    <fill>
      <patternFill patternType="lightGray"/>
    </fill>
    <fill>
      <patternFill patternType="solid">
        <fgColor rgb="FF083C92"/>
        <bgColor rgb="FF083C92"/>
      </patternFill>
    </fill>
    <fill>
      <patternFill patternType="solid">
        <fgColor rgb="FFFFFFFF"/>
        <bgColor rgb="FFFFFFFF"/>
      </patternFill>
    </fill>
    <fill>
      <patternFill patternType="solid">
        <fgColor rgb="FFE8EAED"/>
        <bgColor rgb="FFE8EAED"/>
      </patternFill>
    </fill>
    <fill>
      <patternFill patternType="solid">
        <fgColor rgb="FFFFFF00"/>
        <bgColor rgb="FFFFFF00"/>
      </patternFill>
    </fill>
    <fill>
      <patternFill patternType="solid">
        <fgColor rgb="FFFF9900"/>
        <bgColor rgb="FFFF9900"/>
      </patternFill>
    </fill>
    <fill>
      <patternFill patternType="solid">
        <fgColor rgb="FF073763"/>
        <bgColor rgb="FF073763"/>
      </patternFill>
    </fill>
    <fill>
      <patternFill patternType="solid">
        <fgColor rgb="FFFF00FF"/>
        <bgColor rgb="FFFF00FF"/>
      </patternFill>
    </fill>
    <fill>
      <patternFill patternType="solid">
        <fgColor rgb="FFF4CCCC"/>
        <bgColor rgb="FFF4CCCC"/>
      </patternFill>
    </fill>
    <fill>
      <patternFill patternType="solid">
        <fgColor rgb="FF9FC5E8"/>
        <bgColor rgb="FF9FC5E8"/>
      </patternFill>
    </fill>
    <fill>
      <patternFill patternType="solid">
        <fgColor rgb="FF1155CC"/>
        <bgColor rgb="FF1155CC"/>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border>
    <border>
      <left style="thin">
        <color rgb="FF7092BE"/>
      </left>
      <right style="thin">
        <color rgb="FF7092BE"/>
      </right>
      <top style="thin">
        <color rgb="FF7092BE"/>
      </top>
      <bottom style="thin">
        <color rgb="FF7092BE"/>
      </bottom>
    </border>
    <border>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top style="thick">
        <color rgb="FF000000"/>
      </top>
    </border>
    <border>
      <right style="thin">
        <color rgb="FF000000"/>
      </right>
      <top style="thick">
        <color rgb="FF000000"/>
      </top>
      <bottom style="thin">
        <color rgb="FF000000"/>
      </bottom>
    </border>
    <border>
      <right style="thin">
        <color rgb="FF000000"/>
      </right>
      <top style="thin">
        <color rgb="FF000000"/>
      </top>
    </border>
    <border>
      <left style="thin">
        <color rgb="FF000000"/>
      </left>
      <top style="thick">
        <color rgb="FF000000"/>
      </top>
      <bottom style="thin">
        <color rgb="FF000000"/>
      </bottom>
    </border>
    <border>
      <left style="thin">
        <color rgb="FF000000"/>
      </left>
      <top style="thin">
        <color rgb="FF000000"/>
      </top>
    </border>
    <border>
      <top style="thin">
        <color rgb="FF000000"/>
      </top>
      <bottom style="thin">
        <color rgb="FF000000"/>
      </bottom>
    </border>
  </borders>
  <cellStyleXfs count="1">
    <xf borderId="0" fillId="0" fontId="0" numFmtId="0" applyAlignment="1" applyFont="1"/>
  </cellStyleXfs>
  <cellXfs count="5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4" fillId="0" fontId="2" numFmtId="0" xfId="0" applyAlignment="1" applyBorder="1" applyFont="1">
      <alignment horizontal="center" readingOrder="0" shrinkToFit="0" vertical="center" wrapText="1"/>
    </xf>
    <xf borderId="4" fillId="0" fontId="2" numFmtId="0" xfId="0" applyAlignment="1" applyBorder="1" applyFont="1">
      <alignment shrinkToFit="0" vertical="center" wrapText="1"/>
    </xf>
    <xf borderId="0" fillId="2" fontId="3" numFmtId="0" xfId="0" applyAlignment="1" applyFill="1" applyFont="1">
      <alignment horizontal="center" readingOrder="0" shrinkToFit="0" wrapText="1"/>
    </xf>
    <xf borderId="3" fillId="2" fontId="3" numFmtId="0" xfId="0" applyAlignment="1" applyBorder="1" applyFont="1">
      <alignment horizontal="center" readingOrder="0" shrinkToFit="0" vertical="bottom" wrapText="1"/>
    </xf>
    <xf borderId="1" fillId="2" fontId="3" numFmtId="0" xfId="0" applyAlignment="1" applyBorder="1" applyFont="1">
      <alignment horizontal="center" shrinkToFit="0" wrapText="0"/>
    </xf>
    <xf borderId="3" fillId="2" fontId="3" numFmtId="0" xfId="0" applyAlignment="1" applyBorder="1" applyFont="1">
      <alignment horizontal="center" shrinkToFit="0" vertical="bottom" wrapText="1"/>
    </xf>
    <xf borderId="1" fillId="2" fontId="3" numFmtId="0" xfId="0" applyAlignment="1" applyBorder="1" applyFont="1">
      <alignment horizontal="center" shrinkToFit="0" wrapText="1"/>
    </xf>
    <xf borderId="1" fillId="2" fontId="3" numFmtId="0" xfId="0" applyAlignment="1" applyBorder="1" applyFont="1">
      <alignment horizontal="center" readingOrder="0" shrinkToFit="0" wrapText="1"/>
    </xf>
    <xf borderId="1" fillId="2" fontId="4" numFmtId="164" xfId="0" applyAlignment="1" applyBorder="1" applyFont="1" applyNumberFormat="1">
      <alignment horizontal="center" shrinkToFit="0" wrapText="1"/>
    </xf>
    <xf borderId="1" fillId="2" fontId="3" numFmtId="0" xfId="0" applyAlignment="1" applyBorder="1" applyFont="1">
      <alignment horizontal="center" shrinkToFit="0" wrapText="0"/>
    </xf>
    <xf borderId="1" fillId="2" fontId="3" numFmtId="0" xfId="0" applyAlignment="1" applyBorder="1" applyFont="1">
      <alignment horizontal="center" shrinkToFit="0" wrapText="1"/>
    </xf>
    <xf borderId="1" fillId="2" fontId="4" numFmtId="0" xfId="0" applyAlignment="1" applyBorder="1" applyFont="1">
      <alignment horizontal="center" readingOrder="0" shrinkToFit="0" vertical="center" wrapText="0"/>
    </xf>
    <xf borderId="1" fillId="2" fontId="3" numFmtId="0" xfId="0" applyAlignment="1" applyBorder="1" applyFont="1">
      <alignment horizontal="center" readingOrder="0" shrinkToFit="0" wrapText="0"/>
    </xf>
    <xf borderId="1" fillId="2" fontId="3" numFmtId="0" xfId="0" applyAlignment="1" applyBorder="1" applyFont="1">
      <alignment horizontal="left" shrinkToFit="0" wrapText="0"/>
    </xf>
    <xf borderId="0" fillId="2" fontId="3" numFmtId="0" xfId="0" applyAlignment="1" applyFont="1">
      <alignment horizontal="center" shrinkToFit="0" wrapText="1"/>
    </xf>
    <xf borderId="0" fillId="2" fontId="3" numFmtId="0" xfId="0" applyAlignment="1" applyFont="1">
      <alignment horizontal="center"/>
    </xf>
    <xf borderId="1" fillId="0" fontId="2" numFmtId="0" xfId="0" applyAlignment="1" applyBorder="1" applyFont="1">
      <alignment vertical="bottom"/>
    </xf>
    <xf borderId="0" fillId="0" fontId="2" numFmtId="0" xfId="0" applyAlignment="1" applyFont="1">
      <alignment vertical="bottom"/>
    </xf>
    <xf borderId="1" fillId="0" fontId="5" numFmtId="0" xfId="0" applyAlignment="1" applyBorder="1" applyFont="1">
      <alignment horizontal="center" shrinkToFit="0" vertical="bottom" wrapText="1"/>
    </xf>
    <xf borderId="1" fillId="0" fontId="5" numFmtId="0" xfId="0" applyAlignment="1" applyBorder="1" applyFont="1">
      <alignment horizontal="center" readingOrder="0" vertical="bottom"/>
    </xf>
    <xf borderId="1" fillId="0" fontId="5" numFmtId="0" xfId="0" applyAlignment="1" applyBorder="1" applyFont="1">
      <alignment horizontal="center" vertical="bottom"/>
    </xf>
    <xf borderId="1" fillId="0" fontId="5" numFmtId="0" xfId="0" applyAlignment="1" applyBorder="1" applyFont="1">
      <alignment horizontal="center" vertical="bottom"/>
    </xf>
    <xf borderId="1" fillId="0" fontId="5" numFmtId="0" xfId="0" applyAlignment="1" applyBorder="1" applyFont="1">
      <alignment horizontal="center" readingOrder="0"/>
    </xf>
    <xf borderId="1" fillId="0" fontId="5" numFmtId="0" xfId="0" applyAlignment="1" applyBorder="1" applyFont="1">
      <alignment shrinkToFit="0" vertical="bottom" wrapText="1"/>
    </xf>
    <xf borderId="1" fillId="0" fontId="5" numFmtId="165" xfId="0" applyAlignment="1" applyBorder="1" applyFont="1" applyNumberFormat="1">
      <alignment horizontal="center" shrinkToFit="0" vertical="bottom" wrapText="1"/>
    </xf>
    <xf borderId="1" fillId="0" fontId="5" numFmtId="165" xfId="0" applyAlignment="1" applyBorder="1" applyFont="1" applyNumberFormat="1">
      <alignment horizontal="center" vertical="bottom"/>
    </xf>
    <xf borderId="1" fillId="3" fontId="5" numFmtId="0" xfId="0" applyAlignment="1" applyBorder="1" applyFill="1" applyFont="1">
      <alignment horizontal="center" shrinkToFit="0" wrapText="1"/>
    </xf>
    <xf borderId="1" fillId="0" fontId="5" numFmtId="0" xfId="0" applyAlignment="1" applyBorder="1" applyFont="1">
      <alignment horizontal="center" shrinkToFit="0" wrapText="1"/>
    </xf>
    <xf borderId="1" fillId="0" fontId="5" numFmtId="0" xfId="0" applyAlignment="1" applyBorder="1" applyFont="1">
      <alignment horizontal="left" vertical="bottom"/>
    </xf>
    <xf borderId="1" fillId="3" fontId="5" numFmtId="0" xfId="0" applyAlignment="1" applyBorder="1" applyFont="1">
      <alignment shrinkToFit="0" vertical="bottom" wrapText="1"/>
    </xf>
    <xf borderId="1" fillId="0" fontId="5" numFmtId="0" xfId="0" applyAlignment="1" applyBorder="1" applyFont="1">
      <alignment horizontal="center"/>
    </xf>
    <xf borderId="1" fillId="0" fontId="2" numFmtId="0" xfId="0" applyAlignment="1" applyBorder="1" applyFont="1">
      <alignment readingOrder="0" vertical="bottom"/>
    </xf>
    <xf borderId="1" fillId="0" fontId="2" numFmtId="0" xfId="0" applyAlignment="1" applyBorder="1" applyFont="1">
      <alignment vertical="bottom"/>
    </xf>
    <xf borderId="1" fillId="0" fontId="5" numFmtId="0" xfId="0" applyAlignment="1" applyBorder="1" applyFont="1">
      <alignment horizontal="center"/>
    </xf>
    <xf borderId="1" fillId="0" fontId="5" numFmtId="0" xfId="0" applyAlignment="1" applyBorder="1" applyFont="1">
      <alignment horizontal="center" readingOrder="0" shrinkToFit="0" vertical="bottom"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1" fillId="3" fontId="5" numFmtId="0" xfId="0" applyAlignment="1" applyBorder="1" applyFont="1">
      <alignment horizontal="center" shrinkToFit="0" vertical="bottom" wrapText="1"/>
    </xf>
    <xf borderId="0" fillId="0" fontId="6" numFmtId="0" xfId="0" applyAlignment="1" applyFont="1">
      <alignment horizontal="center" readingOrder="0"/>
    </xf>
    <xf borderId="1" fillId="3" fontId="7" numFmtId="165" xfId="0" applyAlignment="1" applyBorder="1" applyFont="1" applyNumberFormat="1">
      <alignment horizontal="center" shrinkToFit="0" vertical="bottom" wrapText="1"/>
    </xf>
    <xf borderId="1" fillId="3" fontId="5" numFmtId="165" xfId="0" applyAlignment="1" applyBorder="1" applyFont="1" applyNumberFormat="1">
      <alignment horizontal="center" vertical="bottom"/>
    </xf>
    <xf borderId="1" fillId="0" fontId="5" numFmtId="0" xfId="0" applyAlignment="1" applyBorder="1" applyFont="1">
      <alignment shrinkToFit="0" wrapText="1"/>
    </xf>
    <xf borderId="1" fillId="0" fontId="5" numFmtId="0" xfId="0" applyAlignment="1" applyBorder="1" applyFont="1">
      <alignment horizontal="center" readingOrder="0" shrinkToFit="0" wrapText="1"/>
    </xf>
    <xf borderId="1" fillId="0" fontId="5" numFmtId="0" xfId="0" applyAlignment="1" applyBorder="1" applyFont="1">
      <alignment vertical="bottom"/>
    </xf>
    <xf borderId="1" fillId="0" fontId="5" numFmtId="0" xfId="0" applyAlignment="1" applyBorder="1" applyFont="1">
      <alignment vertical="bottom"/>
    </xf>
    <xf borderId="5" fillId="0" fontId="2" numFmtId="0" xfId="0" applyAlignment="1" applyBorder="1" applyFont="1">
      <alignment vertical="bottom"/>
    </xf>
    <xf borderId="5" fillId="0" fontId="2" numFmtId="0" xfId="0" applyAlignment="1" applyBorder="1" applyFont="1">
      <alignment vertical="bottom"/>
    </xf>
    <xf borderId="1" fillId="0" fontId="5" numFmtId="0" xfId="0" applyAlignment="1" applyBorder="1" applyFont="1">
      <alignment readingOrder="0" shrinkToFit="0" wrapText="1"/>
    </xf>
    <xf borderId="1" fillId="0" fontId="8" numFmtId="165" xfId="0" applyAlignment="1" applyBorder="1" applyFont="1" applyNumberFormat="1">
      <alignment horizontal="center" vertical="bottom"/>
    </xf>
    <xf borderId="1" fillId="3" fontId="8" numFmtId="165" xfId="0" applyAlignment="1" applyBorder="1" applyFont="1" applyNumberFormat="1">
      <alignment horizontal="center" shrinkToFit="0" vertical="bottom" wrapText="1"/>
    </xf>
    <xf borderId="1" fillId="3" fontId="5" numFmtId="0" xfId="0" applyAlignment="1" applyBorder="1" applyFont="1">
      <alignment readingOrder="0" shrinkToFit="0" vertical="bottom" wrapText="1"/>
    </xf>
    <xf borderId="6" fillId="0" fontId="5" numFmtId="0" xfId="0" applyAlignment="1" applyBorder="1" applyFont="1">
      <alignment horizontal="center" readingOrder="0"/>
    </xf>
    <xf borderId="7" fillId="0" fontId="2" numFmtId="0" xfId="0" applyAlignment="1" applyBorder="1" applyFont="1">
      <alignment vertical="bottom"/>
    </xf>
    <xf borderId="6" fillId="0" fontId="5" numFmtId="0" xfId="0" applyAlignment="1" applyBorder="1" applyFont="1">
      <alignment horizontal="center"/>
    </xf>
    <xf borderId="7" fillId="0" fontId="2" numFmtId="0" xfId="0" applyAlignment="1" applyBorder="1" applyFont="1">
      <alignment vertical="bottom"/>
    </xf>
    <xf borderId="5" fillId="0" fontId="5" numFmtId="0" xfId="0" applyAlignment="1" applyBorder="1" applyFont="1">
      <alignment horizontal="center"/>
    </xf>
    <xf borderId="1" fillId="0" fontId="5" numFmtId="0" xfId="0" applyAlignment="1" applyBorder="1" applyFont="1">
      <alignment readingOrder="0" vertical="bottom"/>
    </xf>
    <xf borderId="3" fillId="0" fontId="9" numFmtId="0" xfId="0" applyBorder="1" applyFont="1"/>
    <xf borderId="1" fillId="3" fontId="5" numFmtId="0" xfId="0" applyAlignment="1" applyBorder="1" applyFont="1">
      <alignment horizontal="center" readingOrder="0" shrinkToFit="0" vertical="bottom" wrapText="1"/>
    </xf>
    <xf borderId="1" fillId="0" fontId="5" numFmtId="0" xfId="0" applyAlignment="1" applyBorder="1" applyFont="1">
      <alignment horizontal="left" readingOrder="0" vertical="bottom"/>
    </xf>
    <xf borderId="6" fillId="0" fontId="5" numFmtId="0" xfId="0" applyBorder="1" applyFont="1"/>
    <xf borderId="1" fillId="0" fontId="5" numFmtId="0" xfId="0" applyAlignment="1" applyBorder="1" applyFont="1">
      <alignment horizontal="center" shrinkToFit="0" vertical="bottom" wrapText="1"/>
    </xf>
    <xf borderId="1" fillId="3" fontId="10" numFmtId="165" xfId="0" applyAlignment="1" applyBorder="1" applyFont="1" applyNumberFormat="1">
      <alignment horizontal="center" shrinkToFit="0" vertical="bottom" wrapText="1"/>
    </xf>
    <xf borderId="1" fillId="3" fontId="10" numFmtId="165" xfId="0" applyAlignment="1" applyBorder="1" applyFont="1" applyNumberFormat="1">
      <alignment horizontal="center" vertical="bottom"/>
    </xf>
    <xf borderId="1" fillId="3" fontId="11" numFmtId="0" xfId="0" applyAlignment="1" applyBorder="1" applyFont="1">
      <alignment horizontal="center" shrinkToFit="0" vertical="bottom" wrapText="1"/>
    </xf>
    <xf borderId="1" fillId="3" fontId="5" numFmtId="165" xfId="0" applyAlignment="1" applyBorder="1" applyFont="1" applyNumberFormat="1">
      <alignment horizontal="center" shrinkToFit="0" vertical="bottom" wrapText="1"/>
    </xf>
    <xf borderId="1" fillId="3" fontId="12" numFmtId="165" xfId="0" applyAlignment="1" applyBorder="1" applyFont="1" applyNumberFormat="1">
      <alignment horizontal="center" shrinkToFit="0" vertical="bottom" wrapText="1"/>
    </xf>
    <xf borderId="1" fillId="3" fontId="8" numFmtId="165" xfId="0" applyAlignment="1" applyBorder="1" applyFont="1" applyNumberFormat="1">
      <alignment horizontal="center" vertical="bottom"/>
    </xf>
    <xf borderId="1" fillId="3" fontId="5" numFmtId="0" xfId="0" applyAlignment="1" applyBorder="1" applyFont="1">
      <alignment horizontal="center" readingOrder="0" shrinkToFit="0" vertical="bottom" wrapText="1"/>
    </xf>
    <xf borderId="1" fillId="0" fontId="13" numFmtId="0" xfId="0" applyAlignment="1" applyBorder="1" applyFont="1">
      <alignment horizontal="left" readingOrder="0" vertical="bottom"/>
    </xf>
    <xf borderId="1" fillId="3" fontId="14" numFmtId="165" xfId="0" applyAlignment="1" applyBorder="1" applyFont="1" applyNumberFormat="1">
      <alignment horizontal="center" shrinkToFit="0" vertical="bottom" wrapText="1"/>
    </xf>
    <xf borderId="1" fillId="3" fontId="15" numFmtId="165" xfId="0" applyAlignment="1" applyBorder="1" applyFont="1" applyNumberFormat="1">
      <alignment horizontal="center" vertical="bottom"/>
    </xf>
    <xf borderId="1" fillId="3" fontId="2" numFmtId="0" xfId="0" applyAlignment="1" applyBorder="1" applyFont="1">
      <alignment horizontal="left" shrinkToFit="0" vertical="bottom" wrapText="1"/>
    </xf>
    <xf borderId="1" fillId="0" fontId="5" numFmtId="165" xfId="0" applyAlignment="1" applyBorder="1" applyFont="1" applyNumberFormat="1">
      <alignment horizontal="center" readingOrder="0" vertical="bottom"/>
    </xf>
    <xf borderId="1" fillId="0" fontId="5" numFmtId="0" xfId="0" applyBorder="1" applyFont="1"/>
    <xf borderId="1" fillId="0" fontId="16" numFmtId="0" xfId="0" applyAlignment="1" applyBorder="1" applyFont="1">
      <alignment horizontal="center" readingOrder="0" shrinkToFit="0" vertical="bottom" wrapText="1"/>
    </xf>
    <xf borderId="1" fillId="3" fontId="5" numFmtId="0" xfId="0" applyAlignment="1" applyBorder="1" applyFont="1">
      <alignment horizontal="center" vertical="bottom"/>
    </xf>
    <xf borderId="1" fillId="3" fontId="5" numFmtId="0" xfId="0" applyAlignment="1" applyBorder="1" applyFont="1">
      <alignment horizontal="center" readingOrder="0" vertical="bottom"/>
    </xf>
    <xf borderId="1" fillId="0" fontId="17" numFmtId="0" xfId="0" applyAlignment="1" applyBorder="1" applyFont="1">
      <alignment horizontal="left" readingOrder="0" vertical="bottom"/>
    </xf>
    <xf borderId="1" fillId="0" fontId="18" numFmtId="0" xfId="0" applyAlignment="1" applyBorder="1" applyFont="1">
      <alignment horizontal="left" readingOrder="0" vertical="bottom"/>
    </xf>
    <xf borderId="1" fillId="0" fontId="19" numFmtId="0" xfId="0" applyAlignment="1" applyBorder="1" applyFont="1">
      <alignment horizontal="center" shrinkToFit="0" vertical="bottom" wrapText="1"/>
    </xf>
    <xf borderId="1" fillId="0" fontId="5" numFmtId="165" xfId="0" applyAlignment="1" applyBorder="1" applyFont="1" applyNumberFormat="1">
      <alignment horizontal="center" readingOrder="0" shrinkToFit="0" vertical="bottom" wrapText="1"/>
    </xf>
    <xf borderId="8" fillId="3" fontId="5" numFmtId="0" xfId="0" applyAlignment="1" applyBorder="1" applyFont="1">
      <alignment horizontal="center" readingOrder="0"/>
    </xf>
    <xf borderId="0" fillId="0" fontId="20" numFmtId="0" xfId="0" applyAlignment="1" applyFont="1">
      <alignment horizontal="left" readingOrder="0" shrinkToFit="0"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xf>
    <xf borderId="1" fillId="4" fontId="5" numFmtId="0" xfId="0" applyAlignment="1" applyBorder="1" applyFill="1" applyFont="1">
      <alignment horizontal="center" vertical="top"/>
    </xf>
    <xf borderId="1" fillId="3" fontId="14" numFmtId="165" xfId="0" applyAlignment="1" applyBorder="1" applyFont="1" applyNumberFormat="1">
      <alignment horizontal="center" vertical="bottom"/>
    </xf>
    <xf borderId="1" fillId="3" fontId="14" numFmtId="0" xfId="0" applyAlignment="1" applyBorder="1" applyFont="1">
      <alignment horizontal="center" vertical="bottom"/>
    </xf>
    <xf borderId="1" fillId="0" fontId="21" numFmtId="0" xfId="0" applyAlignment="1" applyBorder="1" applyFont="1">
      <alignment horizontal="left" shrinkToFit="0" vertical="bottom" wrapText="1"/>
    </xf>
    <xf borderId="1" fillId="0" fontId="5" numFmtId="166" xfId="0" applyAlignment="1" applyBorder="1" applyFont="1" applyNumberFormat="1">
      <alignment horizontal="center" shrinkToFit="0" vertical="bottom" wrapText="1"/>
    </xf>
    <xf borderId="6" fillId="0" fontId="5" numFmtId="0" xfId="0" applyAlignment="1" applyBorder="1" applyFont="1">
      <alignment horizontal="center"/>
    </xf>
    <xf borderId="1" fillId="3" fontId="22" numFmtId="0" xfId="0" applyAlignment="1" applyBorder="1" applyFont="1">
      <alignment vertical="bottom"/>
    </xf>
    <xf borderId="1" fillId="0" fontId="5" numFmtId="166" xfId="0" applyAlignment="1" applyBorder="1" applyFont="1" applyNumberFormat="1">
      <alignment horizontal="center" vertical="bottom"/>
    </xf>
    <xf borderId="1" fillId="3" fontId="23" numFmtId="0" xfId="0" applyAlignment="1" applyBorder="1" applyFont="1">
      <alignment horizontal="center" vertical="bottom"/>
    </xf>
    <xf borderId="1" fillId="3" fontId="23" numFmtId="0" xfId="0" applyAlignment="1" applyBorder="1" applyFont="1">
      <alignment horizontal="center" readingOrder="0" vertical="bottom"/>
    </xf>
    <xf borderId="1" fillId="3" fontId="24" numFmtId="0" xfId="0" applyAlignment="1" applyBorder="1" applyFont="1">
      <alignment horizontal="left" shrinkToFit="0" vertical="bottom" wrapText="1"/>
    </xf>
    <xf borderId="1" fillId="0" fontId="2" numFmtId="165" xfId="0" applyAlignment="1" applyBorder="1" applyFont="1" applyNumberFormat="1">
      <alignment horizontal="center" shrinkToFit="0" vertical="bottom" wrapText="1"/>
    </xf>
    <xf borderId="1" fillId="0" fontId="25" numFmtId="165" xfId="0" applyAlignment="1" applyBorder="1" applyFont="1" applyNumberFormat="1">
      <alignment horizontal="center" vertical="bottom"/>
    </xf>
    <xf borderId="1" fillId="0" fontId="26" numFmtId="0" xfId="0" applyAlignment="1" applyBorder="1" applyFont="1">
      <alignment horizontal="left" readingOrder="0" shrinkToFit="0" vertical="bottom" wrapText="1"/>
    </xf>
    <xf borderId="0" fillId="0" fontId="6" numFmtId="0" xfId="0" applyAlignment="1" applyFont="1">
      <alignment horizontal="left" readingOrder="0" shrinkToFit="0" wrapText="1"/>
    </xf>
    <xf borderId="1" fillId="0" fontId="5" numFmtId="0" xfId="0" applyAlignment="1" applyBorder="1" applyFont="1">
      <alignment horizontal="left" readingOrder="0" shrinkToFit="0" vertical="bottom" wrapText="1"/>
    </xf>
    <xf borderId="6" fillId="0" fontId="5" numFmtId="0" xfId="0" applyAlignment="1" applyBorder="1" applyFont="1">
      <alignment vertical="bottom"/>
    </xf>
    <xf borderId="7" fillId="0" fontId="2" numFmtId="0" xfId="0" applyAlignment="1" applyBorder="1" applyFont="1">
      <alignment horizontal="center"/>
    </xf>
    <xf borderId="0" fillId="0" fontId="27" numFmtId="0" xfId="0" applyAlignment="1" applyFont="1">
      <alignment readingOrder="0" shrinkToFit="0" wrapText="1"/>
    </xf>
    <xf borderId="1" fillId="0" fontId="28" numFmtId="0" xfId="0" applyAlignment="1" applyBorder="1" applyFont="1">
      <alignment horizontal="left" readingOrder="0" shrinkToFit="0" vertical="bottom" wrapText="1"/>
    </xf>
    <xf borderId="1" fillId="3" fontId="14" numFmtId="0" xfId="0" applyAlignment="1" applyBorder="1" applyFont="1">
      <alignment readingOrder="0" shrinkToFit="0" wrapText="1"/>
    </xf>
    <xf borderId="1" fillId="0" fontId="5" numFmtId="0" xfId="0" applyAlignment="1" applyBorder="1" applyFont="1">
      <alignment readingOrder="0"/>
    </xf>
    <xf borderId="1" fillId="0" fontId="5" numFmtId="166" xfId="0" applyAlignment="1" applyBorder="1" applyFont="1" applyNumberFormat="1">
      <alignment horizontal="center" readingOrder="0" vertical="bottom"/>
    </xf>
    <xf borderId="0" fillId="0" fontId="6" numFmtId="0" xfId="0" applyAlignment="1" applyFont="1">
      <alignment horizontal="left" readingOrder="0"/>
    </xf>
    <xf borderId="0" fillId="0" fontId="6" numFmtId="0" xfId="0" applyAlignment="1" applyFont="1">
      <alignment readingOrder="0" shrinkToFit="0" wrapText="1"/>
    </xf>
    <xf borderId="1" fillId="0" fontId="29" numFmtId="0" xfId="0" applyAlignment="1" applyBorder="1" applyFont="1">
      <alignment readingOrder="0"/>
    </xf>
    <xf borderId="1" fillId="0" fontId="6" numFmtId="0" xfId="0" applyAlignment="1" applyBorder="1" applyFont="1">
      <alignment readingOrder="0"/>
    </xf>
    <xf borderId="1" fillId="3" fontId="8" numFmtId="0" xfId="0" applyAlignment="1" applyBorder="1" applyFont="1">
      <alignment horizontal="center" readingOrder="0" shrinkToFit="0" wrapText="1"/>
    </xf>
    <xf borderId="0" fillId="0" fontId="30" numFmtId="0" xfId="0" applyAlignment="1" applyFont="1">
      <alignment horizontal="center" readingOrder="0"/>
    </xf>
    <xf borderId="0" fillId="0" fontId="6" numFmtId="0" xfId="0" applyAlignment="1" applyFont="1">
      <alignment readingOrder="0"/>
    </xf>
    <xf borderId="0" fillId="0" fontId="6" numFmtId="0" xfId="0" applyAlignment="1" applyFont="1">
      <alignment horizontal="center" readingOrder="0" shrinkToFit="0" wrapText="1"/>
    </xf>
    <xf borderId="0" fillId="0" fontId="31" numFmtId="0" xfId="0" applyAlignment="1" applyFont="1">
      <alignment horizontal="center" readingOrder="0"/>
    </xf>
    <xf borderId="1" fillId="0" fontId="6" numFmtId="0" xfId="0" applyAlignment="1" applyBorder="1" applyFont="1">
      <alignment horizontal="center" readingOrder="0" shrinkToFit="0" wrapText="1"/>
    </xf>
    <xf borderId="1" fillId="3" fontId="8" numFmtId="0" xfId="0" applyAlignment="1" applyBorder="1" applyFont="1">
      <alignment horizontal="center" readingOrder="0"/>
    </xf>
    <xf borderId="0" fillId="0" fontId="5" numFmtId="0" xfId="0" applyAlignment="1" applyFont="1">
      <alignment horizontal="center" readingOrder="0" shrinkToFit="0" wrapText="1"/>
    </xf>
    <xf borderId="1" fillId="0" fontId="32" numFmtId="0" xfId="0" applyAlignment="1" applyBorder="1" applyFont="1">
      <alignment horizontal="center" readingOrder="0"/>
    </xf>
    <xf borderId="1" fillId="3" fontId="33" numFmtId="0" xfId="0" applyAlignment="1" applyBorder="1" applyFont="1">
      <alignment horizontal="left" readingOrder="0" shrinkToFit="0" wrapText="1"/>
    </xf>
    <xf borderId="1" fillId="3" fontId="5" numFmtId="0" xfId="0" applyAlignment="1" applyBorder="1" applyFont="1">
      <alignment horizontal="center" readingOrder="0"/>
    </xf>
    <xf borderId="0" fillId="3" fontId="6" numFmtId="0" xfId="0" applyAlignment="1" applyFont="1">
      <alignment horizontal="center" readingOrder="0"/>
    </xf>
    <xf borderId="1" fillId="3" fontId="5" numFmtId="0" xfId="0" applyAlignment="1" applyBorder="1" applyFont="1">
      <alignment readingOrder="0" vertical="bottom"/>
    </xf>
    <xf borderId="1" fillId="3" fontId="5" numFmtId="166" xfId="0" applyAlignment="1" applyBorder="1" applyFont="1" applyNumberFormat="1">
      <alignment horizontal="center" readingOrder="0" vertical="bottom"/>
    </xf>
    <xf borderId="1" fillId="3" fontId="0" numFmtId="0" xfId="0" applyAlignment="1" applyBorder="1" applyFont="1">
      <alignment horizontal="center" readingOrder="0"/>
    </xf>
    <xf borderId="1" fillId="3" fontId="6" numFmtId="0" xfId="0" applyAlignment="1" applyBorder="1" applyFont="1">
      <alignment horizontal="center" readingOrder="0"/>
    </xf>
    <xf borderId="1" fillId="3" fontId="34" numFmtId="0" xfId="0" applyAlignment="1" applyBorder="1" applyFont="1">
      <alignment horizontal="left" readingOrder="0" shrinkToFit="0" wrapText="1"/>
    </xf>
    <xf borderId="6" fillId="3" fontId="5" numFmtId="0" xfId="0" applyAlignment="1" applyBorder="1" applyFont="1">
      <alignment horizontal="center"/>
    </xf>
    <xf borderId="7" fillId="3" fontId="2" numFmtId="0" xfId="0" applyAlignment="1" applyBorder="1" applyFont="1">
      <alignment vertical="bottom"/>
    </xf>
    <xf borderId="0" fillId="3" fontId="2" numFmtId="0" xfId="0" applyAlignment="1" applyFont="1">
      <alignment vertical="bottom"/>
    </xf>
    <xf borderId="1" fillId="0" fontId="27" numFmtId="0" xfId="0" applyAlignment="1" applyBorder="1" applyFont="1">
      <alignment horizontal="center" readingOrder="0"/>
    </xf>
    <xf borderId="1" fillId="0" fontId="6" numFmtId="0" xfId="0" applyAlignment="1" applyBorder="1" applyFont="1">
      <alignment horizontal="left" readingOrder="0" shrinkToFit="0" wrapText="1"/>
    </xf>
    <xf borderId="1" fillId="3" fontId="35" numFmtId="0" xfId="0" applyAlignment="1" applyBorder="1" applyFont="1">
      <alignment horizontal="left" readingOrder="0" shrinkToFit="0" wrapText="1"/>
    </xf>
    <xf borderId="1" fillId="0" fontId="6" numFmtId="0" xfId="0" applyAlignment="1" applyBorder="1" applyFont="1">
      <alignment horizontal="left" readingOrder="0"/>
    </xf>
    <xf borderId="1" fillId="3" fontId="36" numFmtId="0" xfId="0" applyAlignment="1" applyBorder="1" applyFont="1">
      <alignment horizontal="left" readingOrder="0" shrinkToFit="0" wrapText="1"/>
    </xf>
    <xf borderId="0" fillId="3" fontId="37" numFmtId="0" xfId="0" applyAlignment="1" applyFont="1">
      <alignment horizontal="left" readingOrder="0"/>
    </xf>
    <xf borderId="1" fillId="0" fontId="27" numFmtId="0" xfId="0" applyAlignment="1" applyBorder="1" applyFont="1">
      <alignment horizontal="center" readingOrder="0" shrinkToFit="0" wrapText="1"/>
    </xf>
    <xf borderId="1" fillId="0" fontId="8" numFmtId="0" xfId="0" applyAlignment="1" applyBorder="1" applyFont="1">
      <alignment horizontal="left" readingOrder="0" shrinkToFit="0" wrapText="1"/>
    </xf>
    <xf borderId="0" fillId="3" fontId="8" numFmtId="0" xfId="0" applyAlignment="1" applyFont="1">
      <alignment horizontal="left" readingOrder="0"/>
    </xf>
    <xf borderId="1" fillId="0" fontId="37" numFmtId="0" xfId="0" applyAlignment="1" applyBorder="1" applyFont="1">
      <alignment horizontal="center" readingOrder="0" shrinkToFit="0" wrapText="1"/>
    </xf>
    <xf borderId="0" fillId="0" fontId="5" numFmtId="0" xfId="0" applyAlignment="1" applyFont="1">
      <alignment horizontal="center" readingOrder="0" vertical="bottom"/>
    </xf>
    <xf borderId="1" fillId="0" fontId="8" numFmtId="0" xfId="0" applyAlignment="1" applyBorder="1" applyFont="1">
      <alignment horizontal="center" readingOrder="0"/>
    </xf>
    <xf borderId="1" fillId="0" fontId="38" numFmtId="0" xfId="0" applyAlignment="1" applyBorder="1" applyFont="1">
      <alignment horizontal="center" readingOrder="0"/>
    </xf>
    <xf borderId="1" fillId="0" fontId="39" numFmtId="0" xfId="0" applyAlignment="1" applyBorder="1" applyFont="1">
      <alignment readingOrder="0"/>
    </xf>
    <xf borderId="0" fillId="0" fontId="8" numFmtId="0" xfId="0" applyAlignment="1" applyFont="1">
      <alignment horizontal="center" readingOrder="0"/>
    </xf>
    <xf borderId="1" fillId="0" fontId="14" numFmtId="0" xfId="0" applyAlignment="1" applyBorder="1" applyFont="1">
      <alignment horizontal="left" readingOrder="0" shrinkToFit="0" wrapText="1"/>
    </xf>
    <xf borderId="1" fillId="3" fontId="0" numFmtId="0" xfId="0" applyAlignment="1" applyBorder="1" applyFont="1">
      <alignment horizontal="left" readingOrder="0"/>
    </xf>
    <xf borderId="1" fillId="0" fontId="40" numFmtId="0" xfId="0" applyAlignment="1" applyBorder="1" applyFont="1">
      <alignment horizontal="center" readingOrder="0"/>
    </xf>
    <xf borderId="1" fillId="0" fontId="6" numFmtId="0" xfId="0" applyAlignment="1" applyBorder="1" applyFont="1">
      <alignment readingOrder="0" shrinkToFit="0" wrapText="1"/>
    </xf>
    <xf borderId="1" fillId="0" fontId="0" numFmtId="0" xfId="0" applyAlignment="1" applyBorder="1" applyFont="1">
      <alignment horizontal="center" readingOrder="0"/>
    </xf>
    <xf borderId="1" fillId="0" fontId="41" numFmtId="0" xfId="0" applyAlignment="1" applyBorder="1" applyFont="1">
      <alignment horizontal="left" readingOrder="0" shrinkToFit="0" wrapText="1"/>
    </xf>
    <xf borderId="1" fillId="0" fontId="14" numFmtId="0" xfId="0" applyAlignment="1" applyBorder="1" applyFont="1">
      <alignment horizontal="left" readingOrder="0"/>
    </xf>
    <xf borderId="1" fillId="3" fontId="42" numFmtId="0" xfId="0" applyAlignment="1" applyBorder="1" applyFont="1">
      <alignment horizontal="left" readingOrder="0" shrinkToFit="0" wrapText="1"/>
    </xf>
    <xf borderId="1" fillId="0" fontId="43" numFmtId="0" xfId="0" applyAlignment="1" applyBorder="1" applyFont="1">
      <alignment readingOrder="0"/>
    </xf>
    <xf borderId="1" fillId="0" fontId="44" numFmtId="0" xfId="0" applyAlignment="1" applyBorder="1" applyFont="1">
      <alignment readingOrder="0" shrinkToFit="0" wrapText="1"/>
    </xf>
    <xf borderId="0" fillId="0" fontId="5" numFmtId="0" xfId="0" applyAlignment="1" applyFont="1">
      <alignment horizontal="left" readingOrder="0" shrinkToFit="0" wrapText="1"/>
    </xf>
    <xf borderId="1" fillId="3" fontId="0" numFmtId="167" xfId="0" applyAlignment="1" applyBorder="1" applyFont="1" applyNumberFormat="1">
      <alignment horizontal="left" readingOrder="0"/>
    </xf>
    <xf borderId="1" fillId="0" fontId="8" numFmtId="0" xfId="0" applyAlignment="1" applyBorder="1" applyFont="1">
      <alignment horizontal="center" readingOrder="0" shrinkToFit="0" wrapText="1"/>
    </xf>
    <xf borderId="0" fillId="3" fontId="45" numFmtId="0" xfId="0" applyAlignment="1" applyFont="1">
      <alignment horizontal="left" readingOrder="0" shrinkToFit="0" wrapText="1"/>
    </xf>
    <xf borderId="1" fillId="3" fontId="43" numFmtId="0" xfId="0" applyAlignment="1" applyBorder="1" applyFont="1">
      <alignment readingOrder="0" shrinkToFit="0" wrapText="1"/>
    </xf>
    <xf borderId="0" fillId="3" fontId="8" numFmtId="0" xfId="0" applyAlignment="1" applyFont="1">
      <alignment horizontal="center" readingOrder="0"/>
    </xf>
    <xf borderId="1" fillId="3" fontId="2" numFmtId="0" xfId="0" applyAlignment="1" applyBorder="1" applyFont="1">
      <alignment horizontal="center" shrinkToFit="0" vertical="bottom" wrapText="1"/>
    </xf>
    <xf borderId="1" fillId="3" fontId="46" numFmtId="0" xfId="0" applyAlignment="1" applyBorder="1" applyFont="1">
      <alignment horizontal="left" readingOrder="0" shrinkToFit="0" wrapText="1"/>
    </xf>
    <xf borderId="1" fillId="3" fontId="0" numFmtId="0" xfId="0" applyAlignment="1" applyBorder="1" applyFont="1">
      <alignment horizontal="left" readingOrder="0" shrinkToFit="0" wrapText="1"/>
    </xf>
    <xf borderId="1" fillId="0" fontId="47" numFmtId="0" xfId="0" applyAlignment="1" applyBorder="1" applyFont="1">
      <alignment readingOrder="0" shrinkToFit="0" wrapText="1"/>
    </xf>
    <xf borderId="0" fillId="0" fontId="43" numFmtId="0" xfId="0" applyAlignment="1" applyFont="1">
      <alignment horizontal="center" readingOrder="0" shrinkToFit="0" wrapText="1"/>
    </xf>
    <xf borderId="1" fillId="3" fontId="48" numFmtId="0" xfId="0" applyAlignment="1" applyBorder="1" applyFont="1">
      <alignment horizontal="left" readingOrder="0" shrinkToFit="0" wrapText="1"/>
    </xf>
    <xf borderId="1" fillId="0" fontId="10" numFmtId="0" xfId="0" applyAlignment="1" applyBorder="1" applyFont="1">
      <alignment readingOrder="0" shrinkToFit="0" wrapText="1"/>
    </xf>
    <xf borderId="0" fillId="0" fontId="10" numFmtId="0" xfId="0" applyAlignment="1" applyFont="1">
      <alignment readingOrder="0" shrinkToFit="0" wrapText="1"/>
    </xf>
    <xf borderId="1" fillId="0" fontId="49" numFmtId="0" xfId="0" applyAlignment="1" applyBorder="1" applyFont="1">
      <alignment readingOrder="0"/>
    </xf>
    <xf borderId="0" fillId="3" fontId="8" numFmtId="0" xfId="0" applyAlignment="1" applyFont="1">
      <alignment readingOrder="0" shrinkToFit="0" wrapText="1"/>
    </xf>
    <xf borderId="0" fillId="3" fontId="50" numFmtId="0" xfId="0" applyAlignment="1" applyFont="1">
      <alignment horizontal="left" readingOrder="0" shrinkToFit="0" wrapText="1"/>
    </xf>
    <xf borderId="0" fillId="0" fontId="51" numFmtId="0" xfId="0" applyAlignment="1" applyFont="1">
      <alignment readingOrder="0" shrinkToFit="0" wrapText="1"/>
    </xf>
    <xf borderId="1" fillId="0" fontId="14" numFmtId="167" xfId="0" applyAlignment="1" applyBorder="1" applyFont="1" applyNumberFormat="1">
      <alignment horizontal="left" readingOrder="0"/>
    </xf>
    <xf borderId="0" fillId="3" fontId="52" numFmtId="0" xfId="0" applyAlignment="1" applyFont="1">
      <alignment horizontal="center" readingOrder="0"/>
    </xf>
    <xf borderId="1" fillId="3" fontId="37" numFmtId="0" xfId="0" applyAlignment="1" applyBorder="1" applyFont="1">
      <alignment readingOrder="0"/>
    </xf>
    <xf borderId="0" fillId="0" fontId="53" numFmtId="0" xfId="0" applyAlignment="1" applyFont="1">
      <alignment readingOrder="0"/>
    </xf>
    <xf borderId="0" fillId="0" fontId="54" numFmtId="0" xfId="0" applyAlignment="1" applyFont="1">
      <alignment readingOrder="0" shrinkToFit="0" wrapText="1"/>
    </xf>
    <xf borderId="0" fillId="3" fontId="38" numFmtId="0" xfId="0" applyAlignment="1" applyFont="1">
      <alignment horizontal="left" readingOrder="0" shrinkToFit="0" wrapText="1"/>
    </xf>
    <xf borderId="0" fillId="0" fontId="5" numFmtId="0" xfId="0" applyAlignment="1" applyFont="1">
      <alignment readingOrder="0" shrinkToFit="0" wrapText="1"/>
    </xf>
    <xf borderId="0" fillId="3" fontId="55" numFmtId="0" xfId="0" applyAlignment="1" applyFont="1">
      <alignment horizontal="left" readingOrder="0" shrinkToFit="0" wrapText="1"/>
    </xf>
    <xf borderId="1" fillId="0" fontId="43" numFmtId="0" xfId="0" applyAlignment="1" applyBorder="1" applyFont="1">
      <alignment horizontal="center" readingOrder="0"/>
    </xf>
    <xf borderId="1" fillId="3" fontId="56" numFmtId="0" xfId="0" applyAlignment="1" applyBorder="1" applyFont="1">
      <alignment horizontal="left" readingOrder="0" shrinkToFit="0" wrapText="1"/>
    </xf>
    <xf borderId="0" fillId="0" fontId="57" numFmtId="0" xfId="0" applyAlignment="1" applyFont="1">
      <alignment readingOrder="0"/>
    </xf>
    <xf borderId="1" fillId="0" fontId="58" numFmtId="0" xfId="0" applyAlignment="1" applyBorder="1" applyFont="1">
      <alignment horizontal="center" readingOrder="0" shrinkToFit="0" wrapText="0"/>
    </xf>
    <xf borderId="1" fillId="3" fontId="59" numFmtId="0" xfId="0" applyAlignment="1" applyBorder="1" applyFont="1">
      <alignment horizontal="left" readingOrder="0" shrinkToFit="0" wrapText="1"/>
    </xf>
    <xf borderId="1" fillId="0" fontId="2" numFmtId="0" xfId="0" applyAlignment="1" applyBorder="1" applyFont="1">
      <alignment readingOrder="0" shrinkToFit="0" wrapText="1"/>
    </xf>
    <xf borderId="1" fillId="0" fontId="58" numFmtId="0" xfId="0" applyAlignment="1" applyBorder="1" applyFont="1">
      <alignment horizontal="center" readingOrder="0" shrinkToFit="0" wrapText="1"/>
    </xf>
    <xf borderId="1" fillId="0" fontId="10" numFmtId="0" xfId="0" applyAlignment="1" applyBorder="1" applyFont="1">
      <alignment readingOrder="0"/>
    </xf>
    <xf borderId="1" fillId="0" fontId="2" numFmtId="0" xfId="0" applyAlignment="1" applyBorder="1" applyFont="1">
      <alignment horizontal="center" readingOrder="0"/>
    </xf>
    <xf borderId="1" fillId="3" fontId="37" numFmtId="0" xfId="0" applyAlignment="1" applyBorder="1" applyFont="1">
      <alignment readingOrder="0" shrinkToFit="0" wrapText="0"/>
    </xf>
    <xf borderId="1" fillId="3" fontId="37" numFmtId="0" xfId="0" applyAlignment="1" applyBorder="1" applyFont="1">
      <alignment horizontal="center" readingOrder="0" shrinkToFit="0" wrapText="0"/>
    </xf>
    <xf borderId="1" fillId="0" fontId="60"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10" numFmtId="0" xfId="0" applyAlignment="1" applyBorder="1" applyFont="1">
      <alignment horizontal="center" readingOrder="0" shrinkToFit="0" wrapText="1"/>
    </xf>
    <xf borderId="0" fillId="0" fontId="61" numFmtId="0" xfId="0" applyAlignment="1" applyFont="1">
      <alignment readingOrder="0" shrinkToFit="0" wrapText="1"/>
    </xf>
    <xf borderId="1" fillId="0" fontId="2" numFmtId="0" xfId="0" applyAlignment="1" applyBorder="1" applyFont="1">
      <alignment horizontal="center" shrinkToFit="0" vertical="bottom" wrapText="1"/>
    </xf>
    <xf borderId="1" fillId="0" fontId="62" numFmtId="0" xfId="0" applyAlignment="1" applyBorder="1" applyFont="1">
      <alignment readingOrder="0" shrinkToFit="0" wrapText="1"/>
    </xf>
    <xf borderId="1" fillId="3" fontId="63" numFmtId="0" xfId="0" applyAlignment="1" applyBorder="1" applyFont="1">
      <alignment horizontal="left" readingOrder="0" shrinkToFit="0" wrapText="1"/>
    </xf>
    <xf borderId="1" fillId="0" fontId="2" numFmtId="0" xfId="0" applyAlignment="1" applyBorder="1" applyFont="1">
      <alignment horizontal="center" vertical="bottom"/>
    </xf>
    <xf borderId="1" fillId="0" fontId="2" numFmtId="0" xfId="0" applyAlignment="1" applyBorder="1" applyFont="1">
      <alignment horizontal="center"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horizontal="center" readingOrder="0" vertical="bottom"/>
    </xf>
    <xf borderId="1" fillId="0" fontId="2" numFmtId="0" xfId="0" applyAlignment="1" applyBorder="1" applyFont="1">
      <alignment readingOrder="0" shrinkToFit="0" vertical="bottom" wrapText="1"/>
    </xf>
    <xf borderId="1" fillId="3" fontId="64" numFmtId="0" xfId="0" applyAlignment="1" applyBorder="1" applyFont="1">
      <alignment readingOrder="0" shrinkToFit="0" wrapText="1"/>
    </xf>
    <xf borderId="0" fillId="3" fontId="62" numFmtId="0" xfId="0" applyAlignment="1" applyFont="1">
      <alignment readingOrder="0" shrinkToFit="0" wrapText="1"/>
    </xf>
    <xf borderId="0" fillId="3" fontId="65" numFmtId="0" xfId="0" applyAlignment="1" applyFont="1">
      <alignment horizontal="left" readingOrder="0" shrinkToFit="0" wrapText="1"/>
    </xf>
    <xf borderId="0" fillId="3" fontId="66" numFmtId="0" xfId="0" applyAlignment="1" applyFont="1">
      <alignment horizontal="left" readingOrder="0" shrinkToFit="0" wrapText="1"/>
    </xf>
    <xf borderId="0" fillId="3" fontId="67" numFmtId="0" xfId="0" applyAlignment="1" applyFont="1">
      <alignment readingOrder="0" shrinkToFit="0" wrapText="1"/>
    </xf>
    <xf borderId="0" fillId="3" fontId="68" numFmtId="0" xfId="0" applyAlignment="1" applyFont="1">
      <alignment readingOrder="0" shrinkToFit="0" wrapText="1"/>
    </xf>
    <xf borderId="0" fillId="3" fontId="69" numFmtId="0" xfId="0" applyAlignment="1" applyFont="1">
      <alignment readingOrder="0"/>
    </xf>
    <xf borderId="1" fillId="3" fontId="70" numFmtId="0" xfId="0" applyAlignment="1" applyBorder="1" applyFont="1">
      <alignment readingOrder="0" shrinkToFit="0" wrapText="1"/>
    </xf>
    <xf borderId="0" fillId="0" fontId="5" numFmtId="0" xfId="0" applyAlignment="1" applyFont="1">
      <alignment readingOrder="0" shrinkToFit="0" wrapText="1"/>
    </xf>
    <xf borderId="1" fillId="0" fontId="8" numFmtId="0" xfId="0" applyAlignment="1" applyBorder="1" applyFont="1">
      <alignment readingOrder="0" shrinkToFit="0" wrapText="1"/>
    </xf>
    <xf borderId="0" fillId="0" fontId="71" numFmtId="0" xfId="0" applyAlignment="1" applyFont="1">
      <alignment readingOrder="0" shrinkToFit="0" wrapText="1"/>
    </xf>
    <xf borderId="0" fillId="0" fontId="72" numFmtId="0" xfId="0" applyAlignment="1" applyFont="1">
      <alignment readingOrder="0"/>
    </xf>
    <xf borderId="1" fillId="0" fontId="10" numFmtId="166" xfId="0" applyAlignment="1" applyBorder="1" applyFont="1" applyNumberFormat="1">
      <alignment readingOrder="0" shrinkToFit="0" wrapText="1"/>
    </xf>
    <xf borderId="0" fillId="0" fontId="73" numFmtId="0" xfId="0" applyAlignment="1" applyFont="1">
      <alignment readingOrder="0"/>
    </xf>
    <xf borderId="0" fillId="3" fontId="5" numFmtId="166" xfId="0" applyAlignment="1" applyFont="1" applyNumberFormat="1">
      <alignment readingOrder="0"/>
    </xf>
    <xf borderId="1" fillId="0" fontId="74" numFmtId="0" xfId="0" applyAlignment="1" applyBorder="1" applyFont="1">
      <alignment readingOrder="0" shrinkToFit="0" wrapText="1"/>
    </xf>
    <xf borderId="1" fillId="0" fontId="75" numFmtId="0" xfId="0" applyAlignment="1" applyBorder="1" applyFont="1">
      <alignment readingOrder="0" shrinkToFit="0" vertical="bottom" wrapText="1"/>
    </xf>
    <xf borderId="1" fillId="0" fontId="76" numFmtId="0" xfId="0" applyAlignment="1" applyBorder="1" applyFont="1">
      <alignment readingOrder="0" shrinkToFit="0" wrapText="1"/>
    </xf>
    <xf borderId="0" fillId="3" fontId="8" numFmtId="0" xfId="0" applyAlignment="1" applyFont="1">
      <alignment horizontal="left" readingOrder="0" shrinkToFit="0" wrapText="1"/>
    </xf>
    <xf borderId="1" fillId="3" fontId="5" numFmtId="0" xfId="0" applyAlignment="1" applyBorder="1" applyFont="1">
      <alignment readingOrder="0"/>
    </xf>
    <xf borderId="1" fillId="0" fontId="77" numFmtId="0" xfId="0" applyAlignment="1" applyBorder="1" applyFont="1">
      <alignment readingOrder="0" shrinkToFit="0" wrapText="1"/>
    </xf>
    <xf borderId="1" fillId="3" fontId="78" numFmtId="0" xfId="0" applyAlignment="1" applyBorder="1" applyFont="1">
      <alignment horizontal="left" readingOrder="0" shrinkToFit="0" wrapText="1"/>
    </xf>
    <xf borderId="0" fillId="5" fontId="5" numFmtId="0" xfId="0" applyAlignment="1" applyFill="1" applyFont="1">
      <alignment horizontal="center" readingOrder="0" vertical="bottom"/>
    </xf>
    <xf borderId="0" fillId="5" fontId="2" numFmtId="0" xfId="0" applyAlignment="1" applyFont="1">
      <alignment horizontal="center" readingOrder="0" vertical="bottom"/>
    </xf>
    <xf borderId="0" fillId="5" fontId="2" numFmtId="0" xfId="0" applyAlignment="1" applyFont="1">
      <alignment horizontal="center" readingOrder="0" shrinkToFit="0" vertical="bottom" wrapText="1"/>
    </xf>
    <xf borderId="0" fillId="5" fontId="2" numFmtId="0" xfId="0" applyAlignment="1" applyFont="1">
      <alignment readingOrder="0" shrinkToFit="0" vertical="bottom" wrapText="1"/>
    </xf>
    <xf borderId="0" fillId="5" fontId="6" numFmtId="0" xfId="0" applyAlignment="1" applyFont="1">
      <alignment readingOrder="0"/>
    </xf>
    <xf borderId="0" fillId="0" fontId="5" numFmtId="0" xfId="0" applyAlignment="1" applyFont="1">
      <alignment horizontal="center" readingOrder="0" shrinkToFit="0" vertical="bottom" wrapText="1"/>
    </xf>
    <xf borderId="0" fillId="5" fontId="5" numFmtId="0" xfId="0" applyAlignment="1" applyFont="1">
      <alignment horizontal="center" readingOrder="0" shrinkToFit="0" vertical="bottom" wrapText="1"/>
    </xf>
    <xf borderId="0" fillId="5" fontId="37" numFmtId="0" xfId="0" applyAlignment="1" applyFont="1">
      <alignment horizontal="center" readingOrder="0" shrinkToFit="0" wrapText="0"/>
    </xf>
    <xf borderId="0" fillId="5" fontId="5" numFmtId="0" xfId="0" applyAlignment="1" applyFont="1">
      <alignment readingOrder="0" shrinkToFit="0" vertical="bottom" wrapText="1"/>
    </xf>
    <xf borderId="0" fillId="5" fontId="5" numFmtId="166" xfId="0" applyAlignment="1" applyFont="1" applyNumberFormat="1">
      <alignment horizontal="center" readingOrder="0" vertical="bottom"/>
    </xf>
    <xf borderId="0" fillId="5" fontId="5" numFmtId="165" xfId="0" applyAlignment="1" applyFont="1" applyNumberFormat="1">
      <alignment horizontal="center" vertical="bottom"/>
    </xf>
    <xf borderId="0" fillId="5" fontId="5" numFmtId="0" xfId="0" applyAlignment="1" applyFont="1">
      <alignment readingOrder="0" shrinkToFit="0" wrapText="1"/>
    </xf>
    <xf borderId="0" fillId="5" fontId="10" numFmtId="0" xfId="0" applyAlignment="1" applyFont="1">
      <alignment readingOrder="0" shrinkToFit="0" wrapText="1"/>
    </xf>
    <xf borderId="0" fillId="5" fontId="8" numFmtId="0" xfId="0" applyAlignment="1" applyFont="1">
      <alignment horizontal="center" readingOrder="0" shrinkToFit="0" wrapText="1"/>
    </xf>
    <xf borderId="0" fillId="5" fontId="5" numFmtId="0" xfId="0" applyAlignment="1" applyFont="1">
      <alignment horizontal="center" shrinkToFit="0" wrapText="1"/>
    </xf>
    <xf borderId="0" fillId="5" fontId="78" numFmtId="0" xfId="0" applyAlignment="1" applyFont="1">
      <alignment horizontal="left" readingOrder="0" shrinkToFit="0" wrapText="1"/>
    </xf>
    <xf borderId="0" fillId="5" fontId="5" numFmtId="0" xfId="0" applyAlignment="1" applyFont="1">
      <alignment shrinkToFit="0" vertical="bottom" wrapText="1"/>
    </xf>
    <xf borderId="0" fillId="5" fontId="5" numFmtId="0" xfId="0" applyAlignment="1" applyFont="1">
      <alignment horizontal="center" readingOrder="0"/>
    </xf>
    <xf borderId="1" fillId="0" fontId="37" numFmtId="0" xfId="0" applyAlignment="1" applyBorder="1" applyFont="1">
      <alignment horizontal="center" readingOrder="0" shrinkToFit="0" wrapText="0"/>
    </xf>
    <xf borderId="1" fillId="0" fontId="78" numFmtId="0" xfId="0" applyAlignment="1" applyBorder="1" applyFont="1">
      <alignment horizontal="left" readingOrder="0" shrinkToFit="0" wrapText="1"/>
    </xf>
    <xf borderId="1" fillId="0" fontId="79" numFmtId="0" xfId="0" applyAlignment="1" applyBorder="1" applyFont="1">
      <alignment horizontal="left" readingOrder="0" shrinkToFit="0" wrapText="1"/>
    </xf>
    <xf borderId="1" fillId="0" fontId="80" numFmtId="0" xfId="0" applyAlignment="1" applyBorder="1" applyFont="1">
      <alignment horizontal="left" readingOrder="0" shrinkToFit="0" wrapText="1"/>
    </xf>
    <xf borderId="1" fillId="0" fontId="81" numFmtId="0" xfId="0" applyAlignment="1" applyBorder="1" applyFont="1">
      <alignment horizontal="left" readingOrder="0" shrinkToFit="0" wrapText="1"/>
    </xf>
    <xf borderId="9" fillId="2" fontId="3" numFmtId="0" xfId="0" applyAlignment="1" applyBorder="1" applyFont="1">
      <alignment horizontal="center" shrinkToFit="0" vertical="center" wrapText="1"/>
    </xf>
    <xf borderId="0" fillId="2" fontId="4" numFmtId="0" xfId="0" applyAlignment="1" applyFont="1">
      <alignment horizontal="center" readingOrder="0" shrinkToFit="0" vertical="center" wrapText="1"/>
    </xf>
    <xf borderId="0" fillId="2" fontId="3" numFmtId="0" xfId="0" applyAlignment="1" applyFont="1">
      <alignment horizontal="center" shrinkToFit="0" vertical="center" wrapText="1"/>
    </xf>
    <xf borderId="9" fillId="2" fontId="3" numFmtId="0" xfId="0" applyAlignment="1" applyBorder="1" applyFont="1">
      <alignment horizontal="center" shrinkToFit="0" vertical="bottom" wrapText="1"/>
    </xf>
    <xf borderId="9" fillId="2" fontId="3" numFmtId="0" xfId="0" applyAlignment="1" applyBorder="1" applyFont="1">
      <alignment horizontal="left" shrinkToFit="0" vertical="bottom" wrapText="1"/>
    </xf>
    <xf borderId="3" fillId="0" fontId="62" numFmtId="0" xfId="0" applyAlignment="1" applyBorder="1" applyFont="1">
      <alignment horizontal="center" readingOrder="0" shrinkToFit="0" vertical="bottom" wrapText="1"/>
    </xf>
    <xf borderId="4" fillId="0" fontId="62" numFmtId="0" xfId="0" applyAlignment="1" applyBorder="1" applyFont="1">
      <alignment horizontal="center" readingOrder="0" vertical="bottom"/>
    </xf>
    <xf borderId="4" fillId="0" fontId="5" numFmtId="0" xfId="0" applyAlignment="1" applyBorder="1" applyFont="1">
      <alignment horizontal="center" readingOrder="0" vertical="bottom"/>
    </xf>
    <xf borderId="4" fillId="0" fontId="8" numFmtId="0" xfId="0" applyAlignment="1" applyBorder="1" applyFont="1">
      <alignment horizontal="left" readingOrder="0" shrinkToFit="0" vertical="bottom" wrapText="1"/>
    </xf>
    <xf borderId="4" fillId="0" fontId="8" numFmtId="0" xfId="0" applyAlignment="1" applyBorder="1" applyFont="1">
      <alignment readingOrder="0" vertical="bottom"/>
    </xf>
    <xf borderId="4" fillId="0" fontId="5" numFmtId="0" xfId="0" applyAlignment="1" applyBorder="1" applyFont="1">
      <alignment horizontal="left" readingOrder="0" vertical="bottom"/>
    </xf>
    <xf borderId="4" fillId="0" fontId="62" numFmtId="0" xfId="0" applyAlignment="1" applyBorder="1" applyFont="1">
      <alignment readingOrder="0" vertical="bottom"/>
    </xf>
    <xf borderId="1" fillId="0" fontId="62" numFmtId="0" xfId="0" applyAlignment="1" applyBorder="1" applyFont="1">
      <alignment horizontal="left" readingOrder="0" shrinkToFit="0" wrapText="1"/>
    </xf>
    <xf borderId="4" fillId="0" fontId="62" numFmtId="0" xfId="0" applyAlignment="1" applyBorder="1" applyFont="1">
      <alignment horizontal="center" readingOrder="0" shrinkToFit="0" vertical="bottom" wrapText="1"/>
    </xf>
    <xf borderId="4" fillId="0" fontId="62" numFmtId="0" xfId="0" applyAlignment="1" applyBorder="1" applyFont="1">
      <alignment vertical="bottom"/>
    </xf>
    <xf borderId="0" fillId="0" fontId="62" numFmtId="0" xfId="0" applyFont="1"/>
    <xf borderId="4" fillId="0" fontId="8" numFmtId="0" xfId="0" applyAlignment="1" applyBorder="1" applyFont="1">
      <alignment horizontal="left" readingOrder="0" shrinkToFit="0" wrapText="1"/>
    </xf>
    <xf borderId="4" fillId="0" fontId="5" numFmtId="0" xfId="0" applyAlignment="1" applyBorder="1" applyFont="1">
      <alignment horizontal="left" readingOrder="0" shrinkToFit="0" vertical="bottom" wrapText="1"/>
    </xf>
    <xf borderId="4" fillId="0" fontId="5" numFmtId="0" xfId="0" applyAlignment="1" applyBorder="1" applyFont="1">
      <alignment horizontal="center" readingOrder="0" shrinkToFit="0" vertical="bottom" wrapText="1"/>
    </xf>
    <xf borderId="4" fillId="0" fontId="5" numFmtId="0" xfId="0" applyAlignment="1" applyBorder="1" applyFont="1">
      <alignment horizontal="left" shrinkToFit="0" vertical="bottom" wrapText="1"/>
    </xf>
    <xf borderId="0" fillId="0" fontId="5" numFmtId="0" xfId="0" applyAlignment="1" applyFont="1">
      <alignment horizontal="left" shrinkToFit="0" wrapText="1"/>
    </xf>
    <xf borderId="1" fillId="0" fontId="5" numFmtId="0" xfId="0" applyAlignment="1" applyBorder="1" applyFont="1">
      <alignment horizontal="left" shrinkToFit="0" vertical="bottom" wrapText="1"/>
    </xf>
    <xf borderId="1" fillId="0" fontId="5" numFmtId="0" xfId="0" applyAlignment="1" applyBorder="1" applyFont="1">
      <alignment horizontal="left" shrinkToFit="0" wrapText="1"/>
    </xf>
    <xf borderId="1" fillId="0" fontId="8" numFmtId="0" xfId="0" applyAlignment="1" applyBorder="1" applyFont="1">
      <alignment horizontal="left" readingOrder="0"/>
    </xf>
    <xf borderId="1" fillId="0" fontId="5" numFmtId="0" xfId="0" applyBorder="1" applyFont="1"/>
    <xf borderId="4" fillId="0" fontId="2" numFmtId="0" xfId="0" applyAlignment="1" applyBorder="1" applyFont="1">
      <alignment horizontal="left" readingOrder="0" vertical="bottom"/>
    </xf>
    <xf borderId="4" fillId="0" fontId="2" numFmtId="0" xfId="0" applyAlignment="1" applyBorder="1" applyFont="1">
      <alignment horizontal="center" readingOrder="0" vertical="bottom"/>
    </xf>
    <xf borderId="4" fillId="0" fontId="2" numFmtId="0" xfId="0" applyAlignment="1" applyBorder="1" applyFont="1">
      <alignment readingOrder="0" vertical="bottom"/>
    </xf>
    <xf borderId="4" fillId="0" fontId="2" numFmtId="0" xfId="0" applyAlignment="1" applyBorder="1" applyFont="1">
      <alignment horizontal="center" readingOrder="0" shrinkToFit="0" vertical="bottom" wrapText="1"/>
    </xf>
    <xf borderId="4" fillId="0" fontId="2" numFmtId="0" xfId="0" applyAlignment="1" applyBorder="1" applyFont="1">
      <alignment vertical="bottom"/>
    </xf>
    <xf borderId="3" fillId="0" fontId="2" numFmtId="0" xfId="0" applyAlignment="1" applyBorder="1" applyFont="1">
      <alignment horizontal="center" readingOrder="0" shrinkToFit="0" vertical="bottom" wrapText="1"/>
    </xf>
    <xf borderId="4" fillId="0" fontId="2" numFmtId="0" xfId="0" applyAlignment="1" applyBorder="1" applyFont="1">
      <alignment horizontal="left" vertical="bottom"/>
    </xf>
    <xf borderId="4" fillId="0" fontId="36" numFmtId="0" xfId="0" applyAlignment="1" applyBorder="1" applyFont="1">
      <alignment horizontal="left" readingOrder="0" shrinkToFit="0" vertical="bottom" wrapText="1"/>
    </xf>
    <xf borderId="4" fillId="0" fontId="2" numFmtId="0" xfId="0" applyAlignment="1" applyBorder="1" applyFont="1">
      <alignment horizontal="left" readingOrder="0" shrinkToFit="0" vertical="bottom" wrapText="1"/>
    </xf>
    <xf borderId="4" fillId="0" fontId="8" numFmtId="0" xfId="0" applyAlignment="1" applyBorder="1" applyFont="1">
      <alignment horizontal="center" readingOrder="0" vertical="bottom"/>
    </xf>
    <xf borderId="1" fillId="0" fontId="8" numFmtId="0" xfId="0" applyAlignment="1" applyBorder="1" applyFont="1">
      <alignment horizontal="center" readingOrder="0" vertical="bottom"/>
    </xf>
    <xf borderId="1" fillId="0" fontId="0" numFmtId="0" xfId="0" applyAlignment="1" applyBorder="1" applyFont="1">
      <alignment horizontal="left" readingOrder="0" shrinkToFit="0" wrapText="1"/>
    </xf>
    <xf borderId="1" fillId="0" fontId="2" numFmtId="0" xfId="0" applyAlignment="1" applyBorder="1" applyFont="1">
      <alignment horizontal="left" readingOrder="0" vertical="bottom"/>
    </xf>
    <xf borderId="1" fillId="0" fontId="6" numFmtId="0" xfId="0" applyBorder="1" applyFont="1"/>
    <xf borderId="4" fillId="0" fontId="8" numFmtId="0" xfId="0" applyAlignment="1" applyBorder="1" applyFont="1">
      <alignment horizontal="left" shrinkToFit="0" vertical="bottom" wrapText="1"/>
    </xf>
    <xf borderId="1" fillId="0" fontId="23" numFmtId="0" xfId="0" applyAlignment="1" applyBorder="1" applyFont="1">
      <alignment horizontal="left" readingOrder="0"/>
    </xf>
    <xf borderId="1" fillId="0" fontId="2" numFmtId="0" xfId="0" applyAlignment="1" applyBorder="1" applyFont="1">
      <alignment horizontal="left" readingOrder="0"/>
    </xf>
    <xf borderId="1" fillId="0" fontId="8" numFmtId="0" xfId="0" applyAlignment="1" applyBorder="1" applyFont="1">
      <alignment horizontal="left" shrinkToFit="0" vertical="bottom" wrapText="1"/>
    </xf>
    <xf borderId="1" fillId="0" fontId="2" numFmtId="0" xfId="0" applyAlignment="1" applyBorder="1" applyFont="1">
      <alignment horizontal="left" readingOrder="0" shrinkToFit="0" wrapText="1"/>
    </xf>
    <xf borderId="4" fillId="0" fontId="8" numFmtId="0" xfId="0" applyAlignment="1" applyBorder="1" applyFont="1">
      <alignment horizontal="left" readingOrder="0" vertical="bottom"/>
    </xf>
    <xf borderId="4" fillId="0" fontId="8" numFmtId="0" xfId="0" applyAlignment="1" applyBorder="1" applyFont="1">
      <alignment horizontal="left" readingOrder="0"/>
    </xf>
    <xf borderId="4" fillId="0" fontId="62" numFmtId="0" xfId="0" applyAlignment="1" applyBorder="1" applyFont="1">
      <alignment horizontal="left" readingOrder="0" vertical="bottom"/>
    </xf>
    <xf borderId="1" fillId="0" fontId="5" numFmtId="0" xfId="0" applyAlignment="1" applyBorder="1" applyFont="1">
      <alignment horizontal="left" shrinkToFit="0" vertical="bottom" wrapText="1"/>
    </xf>
    <xf borderId="1" fillId="0" fontId="82" numFmtId="0" xfId="0" applyAlignment="1" applyBorder="1" applyFont="1">
      <alignment horizontal="left" readingOrder="0"/>
    </xf>
    <xf borderId="1" fillId="0" fontId="82" numFmtId="0" xfId="0" applyAlignment="1" applyBorder="1" applyFont="1">
      <alignment horizontal="left" readingOrder="0" shrinkToFit="0" wrapText="1"/>
    </xf>
    <xf borderId="3" fillId="6" fontId="2" numFmtId="0" xfId="0" applyAlignment="1" applyBorder="1" applyFill="1" applyFont="1">
      <alignment horizontal="center" readingOrder="0" shrinkToFit="0" vertical="bottom" wrapText="1"/>
    </xf>
    <xf borderId="4" fillId="6" fontId="62" numFmtId="0" xfId="0" applyAlignment="1" applyBorder="1" applyFont="1">
      <alignment horizontal="center" readingOrder="0" vertical="bottom"/>
    </xf>
    <xf borderId="4" fillId="6" fontId="2" numFmtId="0" xfId="0" applyAlignment="1" applyBorder="1" applyFont="1">
      <alignment horizontal="center" readingOrder="0" vertical="bottom"/>
    </xf>
    <xf borderId="1" fillId="6" fontId="5" numFmtId="0" xfId="0" applyAlignment="1" applyBorder="1" applyFont="1">
      <alignment horizontal="center" readingOrder="0" vertical="bottom"/>
    </xf>
    <xf borderId="1" fillId="6" fontId="5" numFmtId="0" xfId="0" applyAlignment="1" applyBorder="1" applyFont="1">
      <alignment readingOrder="0" shrinkToFit="0" vertical="bottom" wrapText="1"/>
    </xf>
    <xf borderId="1" fillId="6" fontId="8" numFmtId="0" xfId="0" applyAlignment="1" applyBorder="1" applyFont="1">
      <alignment horizontal="left" readingOrder="0" shrinkToFit="0" wrapText="1"/>
    </xf>
    <xf borderId="1" fillId="6" fontId="5" numFmtId="0" xfId="0" applyAlignment="1" applyBorder="1" applyFont="1">
      <alignment horizontal="center" readingOrder="0"/>
    </xf>
    <xf borderId="4" fillId="6" fontId="8" numFmtId="0" xfId="0" applyAlignment="1" applyBorder="1" applyFont="1">
      <alignment readingOrder="0" vertical="bottom"/>
    </xf>
    <xf borderId="1" fillId="6" fontId="5" numFmtId="0" xfId="0" applyAlignment="1" applyBorder="1" applyFont="1">
      <alignment horizontal="left" shrinkToFit="0" vertical="bottom" wrapText="1"/>
    </xf>
    <xf borderId="4" fillId="6" fontId="2" numFmtId="0" xfId="0" applyAlignment="1" applyBorder="1" applyFont="1">
      <alignment readingOrder="0" vertical="bottom"/>
    </xf>
    <xf borderId="1" fillId="6" fontId="62" numFmtId="0" xfId="0" applyAlignment="1" applyBorder="1" applyFont="1">
      <alignment horizontal="left" readingOrder="0" shrinkToFit="0" vertical="bottom" wrapText="1"/>
    </xf>
    <xf borderId="4" fillId="6" fontId="2" numFmtId="0" xfId="0" applyAlignment="1" applyBorder="1" applyFont="1">
      <alignment horizontal="center" shrinkToFit="0" vertical="bottom" wrapText="1"/>
    </xf>
    <xf borderId="4" fillId="6" fontId="2" numFmtId="0" xfId="0" applyAlignment="1" applyBorder="1" applyFont="1">
      <alignment vertical="bottom"/>
    </xf>
    <xf borderId="1" fillId="0" fontId="5" numFmtId="0" xfId="0" applyAlignment="1" applyBorder="1" applyFont="1">
      <alignment horizontal="left" readingOrder="0" shrinkToFit="0" wrapText="1"/>
    </xf>
    <xf borderId="1" fillId="0" fontId="62" numFmtId="0" xfId="0" applyAlignment="1" applyBorder="1" applyFont="1">
      <alignment horizontal="left" readingOrder="0" shrinkToFit="0" vertical="bottom" wrapText="1"/>
    </xf>
    <xf borderId="1" fillId="3" fontId="5" numFmtId="0" xfId="0" applyAlignment="1" applyBorder="1" applyFont="1">
      <alignment horizontal="left" shrinkToFit="0" vertical="bottom" wrapText="1"/>
    </xf>
    <xf borderId="1" fillId="3" fontId="5" numFmtId="0" xfId="0" applyAlignment="1" applyBorder="1" applyFont="1">
      <alignment horizontal="left" readingOrder="0" shrinkToFit="0" vertical="bottom" wrapText="1"/>
    </xf>
    <xf borderId="4" fillId="0" fontId="83" numFmtId="0" xfId="0" applyAlignment="1" applyBorder="1" applyFont="1">
      <alignment horizontal="left" readingOrder="0" shrinkToFit="0" vertical="bottom" wrapText="1"/>
    </xf>
    <xf borderId="1" fillId="0" fontId="62" numFmtId="0" xfId="0" applyAlignment="1" applyBorder="1" applyFont="1">
      <alignment readingOrder="0" vertical="bottom"/>
    </xf>
    <xf borderId="1" fillId="0" fontId="27" numFmtId="0" xfId="0" applyAlignment="1" applyBorder="1" applyFont="1">
      <alignment readingOrder="0" shrinkToFit="0" wrapText="1"/>
    </xf>
    <xf borderId="3" fillId="3" fontId="2" numFmtId="0" xfId="0" applyAlignment="1" applyBorder="1" applyFont="1">
      <alignment horizontal="center" readingOrder="0" shrinkToFit="0" vertical="bottom" wrapText="1"/>
    </xf>
    <xf borderId="4" fillId="3" fontId="62" numFmtId="0" xfId="0" applyAlignment="1" applyBorder="1" applyFont="1">
      <alignment horizontal="center" readingOrder="0" vertical="bottom"/>
    </xf>
    <xf borderId="4" fillId="3" fontId="2" numFmtId="0" xfId="0" applyAlignment="1" applyBorder="1" applyFont="1">
      <alignment horizontal="center" readingOrder="0" vertical="bottom"/>
    </xf>
    <xf borderId="1" fillId="3" fontId="6" numFmtId="0" xfId="0" applyAlignment="1" applyBorder="1" applyFont="1">
      <alignment horizontal="left" readingOrder="0" shrinkToFit="0" wrapText="1"/>
    </xf>
    <xf borderId="4" fillId="3" fontId="83" numFmtId="0" xfId="0" applyAlignment="1" applyBorder="1" applyFont="1">
      <alignment horizontal="left" readingOrder="0" shrinkToFit="0" vertical="bottom" wrapText="1"/>
    </xf>
    <xf borderId="4" fillId="3" fontId="8" numFmtId="0" xfId="0" applyAlignment="1" applyBorder="1" applyFont="1">
      <alignment readingOrder="0" vertical="bottom"/>
    </xf>
    <xf borderId="4" fillId="3" fontId="2" numFmtId="0" xfId="0" applyAlignment="1" applyBorder="1" applyFont="1">
      <alignment horizontal="left" readingOrder="0" vertical="bottom"/>
    </xf>
    <xf borderId="4" fillId="3" fontId="2" numFmtId="0" xfId="0" applyAlignment="1" applyBorder="1" applyFont="1">
      <alignment readingOrder="0" vertical="bottom"/>
    </xf>
    <xf borderId="4" fillId="3" fontId="2" numFmtId="0" xfId="0" applyAlignment="1" applyBorder="1" applyFont="1">
      <alignment horizontal="center" readingOrder="0" shrinkToFit="0" vertical="bottom" wrapText="1"/>
    </xf>
    <xf borderId="4" fillId="3" fontId="2" numFmtId="0" xfId="0" applyAlignment="1" applyBorder="1" applyFont="1">
      <alignment vertical="bottom"/>
    </xf>
    <xf borderId="0" fillId="3" fontId="6" numFmtId="0" xfId="0" applyFont="1"/>
    <xf borderId="1" fillId="0" fontId="62" numFmtId="0" xfId="0" applyAlignment="1" applyBorder="1" applyFont="1">
      <alignment horizontal="center" readingOrder="0" vertical="bottom"/>
    </xf>
    <xf borderId="0" fillId="0" fontId="6" numFmtId="0" xfId="0" applyAlignment="1" applyFont="1">
      <alignment horizontal="left"/>
    </xf>
    <xf borderId="1" fillId="7" fontId="84" numFmtId="0" xfId="0" applyAlignment="1" applyBorder="1" applyFill="1" applyFont="1">
      <alignment horizontal="center" readingOrder="0" vertical="center"/>
    </xf>
    <xf borderId="1" fillId="7" fontId="85" numFmtId="0" xfId="0" applyBorder="1" applyFont="1"/>
    <xf borderId="1" fillId="3" fontId="86"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1" fillId="3" fontId="87" numFmtId="0" xfId="0" applyAlignment="1" applyBorder="1" applyFont="1">
      <alignment horizontal="center" readingOrder="0" shrinkToFit="0" vertical="center" wrapText="1"/>
    </xf>
    <xf borderId="1" fillId="0" fontId="88"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1" fillId="3" fontId="86" numFmtId="0" xfId="0" applyAlignment="1" applyBorder="1" applyFont="1">
      <alignment readingOrder="0" shrinkToFit="0" wrapText="1"/>
    </xf>
    <xf borderId="1" fillId="0" fontId="6" numFmtId="0" xfId="0" applyAlignment="1" applyBorder="1" applyFont="1">
      <alignment shrinkToFit="0" wrapText="1"/>
    </xf>
    <xf borderId="0" fillId="3" fontId="86" numFmtId="0" xfId="0" applyAlignment="1" applyFont="1">
      <alignment readingOrder="0" shrinkToFit="0" wrapText="1"/>
    </xf>
    <xf borderId="1" fillId="0" fontId="89" numFmtId="0" xfId="0" applyAlignment="1" applyBorder="1" applyFont="1">
      <alignment readingOrder="0" shrinkToFit="0" wrapText="1"/>
    </xf>
    <xf borderId="1" fillId="0" fontId="89"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3" fontId="86" numFmtId="0" xfId="0" applyAlignment="1" applyBorder="1" applyFont="1">
      <alignment readingOrder="0" shrinkToFit="0" vertical="center" wrapText="1"/>
    </xf>
    <xf borderId="1" fillId="3" fontId="87" numFmtId="0" xfId="0" applyAlignment="1" applyBorder="1" applyFont="1">
      <alignment readingOrder="0" shrinkToFit="0" wrapText="1"/>
    </xf>
    <xf borderId="0" fillId="3" fontId="87" numFmtId="0" xfId="0" applyAlignment="1" applyFont="1">
      <alignment readingOrder="0" shrinkToFit="0" wrapText="1"/>
    </xf>
    <xf borderId="0" fillId="0" fontId="6" numFmtId="0" xfId="0" applyFont="1"/>
    <xf borderId="4" fillId="2" fontId="3" numFmtId="0" xfId="0" applyAlignment="1" applyBorder="1" applyFont="1">
      <alignment horizontal="center" shrinkToFit="0" vertical="bottom" wrapText="1"/>
    </xf>
    <xf borderId="4" fillId="0" fontId="2" numFmtId="0" xfId="0" applyAlignment="1" applyBorder="1" applyFont="1">
      <alignment horizontal="right" readingOrder="0" vertical="bottom"/>
    </xf>
    <xf borderId="4" fillId="0" fontId="2" numFmtId="165" xfId="0" applyAlignment="1" applyBorder="1" applyFont="1" applyNumberFormat="1">
      <alignment readingOrder="0" vertical="bottom"/>
    </xf>
    <xf borderId="4" fillId="0" fontId="2" numFmtId="0" xfId="0" applyAlignment="1" applyBorder="1" applyFont="1">
      <alignment horizontal="right" vertical="bottom"/>
    </xf>
    <xf borderId="4" fillId="0" fontId="2" numFmtId="0" xfId="0" applyAlignment="1" applyBorder="1" applyFont="1">
      <alignment readingOrder="0" shrinkToFit="0" vertical="bottom" wrapText="1"/>
    </xf>
    <xf borderId="1" fillId="2" fontId="3" numFmtId="0" xfId="0" applyAlignment="1" applyBorder="1" applyFont="1">
      <alignment horizontal="left" shrinkToFit="0" vertical="bottom" wrapText="1"/>
    </xf>
    <xf borderId="1" fillId="6" fontId="3" numFmtId="0" xfId="0" applyAlignment="1" applyBorder="1" applyFont="1">
      <alignment horizontal="left" shrinkToFit="0" vertical="bottom" wrapText="0"/>
    </xf>
    <xf borderId="1" fillId="6" fontId="3" numFmtId="0" xfId="0" applyAlignment="1" applyBorder="1" applyFont="1">
      <alignment horizontal="left" shrinkToFit="0" vertical="bottom" wrapText="1"/>
    </xf>
    <xf borderId="1" fillId="0" fontId="6" numFmtId="0" xfId="0" applyAlignment="1" applyBorder="1" applyFont="1">
      <alignment horizontal="left"/>
    </xf>
    <xf borderId="1" fillId="0" fontId="2" numFmtId="0" xfId="0" applyAlignment="1" applyBorder="1" applyFont="1">
      <alignment horizontal="left" vertical="bottom"/>
    </xf>
    <xf borderId="1" fillId="0" fontId="2" numFmtId="0" xfId="0" applyAlignment="1" applyBorder="1" applyFont="1">
      <alignment horizontal="left" readingOrder="0" shrinkToFit="0" vertical="bottom" wrapText="1"/>
    </xf>
    <xf borderId="1" fillId="0" fontId="23" numFmtId="0" xfId="0" applyAlignment="1" applyBorder="1" applyFont="1">
      <alignment horizontal="left" readingOrder="0" shrinkToFit="0" wrapText="1"/>
    </xf>
    <xf borderId="1" fillId="3" fontId="2" numFmtId="0" xfId="0" applyAlignment="1" applyBorder="1" applyFont="1">
      <alignment horizontal="left" shrinkToFit="0" vertical="bottom" wrapText="0"/>
    </xf>
    <xf borderId="1" fillId="3" fontId="2" numFmtId="0" xfId="0" applyAlignment="1" applyBorder="1" applyFont="1">
      <alignment horizontal="left" readingOrder="0" shrinkToFit="0" vertical="bottom" wrapText="1"/>
    </xf>
    <xf borderId="1" fillId="0" fontId="2" numFmtId="0" xfId="0" applyAlignment="1" applyBorder="1" applyFont="1">
      <alignment horizontal="left" shrinkToFit="0" vertical="bottom" wrapText="1"/>
    </xf>
    <xf borderId="1" fillId="3" fontId="2" numFmtId="0" xfId="0" applyAlignment="1" applyBorder="1" applyFont="1">
      <alignment horizontal="left" readingOrder="0" shrinkToFit="0" vertical="bottom" wrapText="0"/>
    </xf>
    <xf borderId="1" fillId="0" fontId="6" numFmtId="0" xfId="0" applyAlignment="1" applyBorder="1" applyFont="1">
      <alignment horizontal="left" shrinkToFit="0" wrapText="1"/>
    </xf>
    <xf borderId="1" fillId="3" fontId="2" numFmtId="0" xfId="0" applyAlignment="1" applyBorder="1" applyFont="1">
      <alignment horizontal="left" shrinkToFit="0" vertical="bottom" wrapText="0"/>
    </xf>
    <xf borderId="1" fillId="3" fontId="90" numFmtId="0" xfId="0" applyAlignment="1" applyBorder="1" applyFont="1">
      <alignment horizontal="left" shrinkToFit="0" vertical="bottom" wrapText="1"/>
    </xf>
    <xf borderId="1" fillId="3" fontId="2" numFmtId="0" xfId="0" applyAlignment="1" applyBorder="1" applyFont="1">
      <alignment horizontal="left" vertical="bottom"/>
    </xf>
    <xf borderId="1" fillId="0" fontId="6" numFmtId="0" xfId="0" applyAlignment="1" applyBorder="1" applyFont="1">
      <alignment horizontal="left" readingOrder="0" shrinkToFit="0" wrapText="0"/>
    </xf>
    <xf borderId="1" fillId="0" fontId="23" numFmtId="0" xfId="0" applyAlignment="1" applyBorder="1" applyFont="1">
      <alignment readingOrder="0" shrinkToFit="0" wrapText="1"/>
    </xf>
    <xf borderId="1" fillId="0" fontId="73" numFmtId="0" xfId="0" applyAlignment="1" applyBorder="1" applyFont="1">
      <alignment horizontal="left" readingOrder="0"/>
    </xf>
    <xf borderId="5" fillId="0" fontId="6" numFmtId="0" xfId="0" applyAlignment="1" applyBorder="1" applyFont="1">
      <alignment horizontal="left"/>
    </xf>
    <xf borderId="5" fillId="0" fontId="2" numFmtId="0" xfId="0" applyAlignment="1" applyBorder="1" applyFont="1">
      <alignment horizontal="left" readingOrder="0" shrinkToFit="0" vertical="bottom" wrapText="1"/>
    </xf>
    <xf borderId="5" fillId="0" fontId="2" numFmtId="0" xfId="0" applyAlignment="1" applyBorder="1" applyFont="1">
      <alignment horizontal="left" readingOrder="0" vertical="bottom"/>
    </xf>
    <xf borderId="5" fillId="0" fontId="2" numFmtId="0" xfId="0" applyAlignment="1" applyBorder="1" applyFont="1">
      <alignment horizontal="left" readingOrder="0"/>
    </xf>
    <xf borderId="5" fillId="0" fontId="6" numFmtId="0" xfId="0" applyAlignment="1" applyBorder="1" applyFont="1">
      <alignment horizontal="left" readingOrder="0" shrinkToFit="0" wrapText="1"/>
    </xf>
    <xf borderId="5" fillId="0" fontId="6" numFmtId="0" xfId="0" applyAlignment="1" applyBorder="1" applyFont="1">
      <alignment horizontal="left" readingOrder="0"/>
    </xf>
    <xf borderId="5" fillId="0" fontId="6" numFmtId="0" xfId="0" applyAlignment="1" applyBorder="1" applyFont="1">
      <alignment horizontal="left" readingOrder="0" shrinkToFit="0" wrapText="0"/>
    </xf>
    <xf borderId="5" fillId="3" fontId="2" numFmtId="0" xfId="0" applyAlignment="1" applyBorder="1" applyFont="1">
      <alignment horizontal="left" readingOrder="0" shrinkToFit="0" vertical="bottom" wrapText="1"/>
    </xf>
    <xf borderId="10" fillId="0" fontId="6" numFmtId="0" xfId="0" applyAlignment="1" applyBorder="1" applyFont="1">
      <alignment horizontal="left"/>
    </xf>
    <xf borderId="10" fillId="0" fontId="2" numFmtId="0" xfId="0" applyAlignment="1" applyBorder="1" applyFont="1">
      <alignment horizontal="left" readingOrder="0" shrinkToFit="0" vertical="bottom" wrapText="1"/>
    </xf>
    <xf borderId="10" fillId="0" fontId="2" numFmtId="0" xfId="0" applyAlignment="1" applyBorder="1" applyFont="1">
      <alignment horizontal="left" readingOrder="0" vertical="bottom"/>
    </xf>
    <xf borderId="10" fillId="0" fontId="2" numFmtId="0" xfId="0" applyAlignment="1" applyBorder="1" applyFont="1">
      <alignment horizontal="left" readingOrder="0"/>
    </xf>
    <xf borderId="10" fillId="0" fontId="6" numFmtId="0" xfId="0" applyAlignment="1" applyBorder="1" applyFont="1">
      <alignment horizontal="left" readingOrder="0" shrinkToFit="0" wrapText="1"/>
    </xf>
    <xf borderId="10" fillId="0" fontId="6" numFmtId="0" xfId="0" applyAlignment="1" applyBorder="1" applyFont="1">
      <alignment horizontal="left" readingOrder="0"/>
    </xf>
    <xf borderId="10" fillId="0" fontId="6" numFmtId="0" xfId="0" applyAlignment="1" applyBorder="1" applyFont="1">
      <alignment horizontal="left" readingOrder="0" shrinkToFit="0" wrapText="0"/>
    </xf>
    <xf borderId="10" fillId="3" fontId="2" numFmtId="0" xfId="0" applyAlignment="1" applyBorder="1" applyFont="1">
      <alignment horizontal="left" readingOrder="0" shrinkToFit="0" vertical="bottom" wrapText="1"/>
    </xf>
    <xf borderId="1" fillId="8" fontId="6" numFmtId="0" xfId="0" applyAlignment="1" applyBorder="1" applyFill="1" applyFont="1">
      <alignment horizontal="left"/>
    </xf>
    <xf borderId="1" fillId="8" fontId="6" numFmtId="0" xfId="0" applyAlignment="1" applyBorder="1" applyFont="1">
      <alignment horizontal="left" shrinkToFit="0" wrapText="1"/>
    </xf>
    <xf borderId="1" fillId="8" fontId="6" numFmtId="0" xfId="0" applyAlignment="1" applyBorder="1" applyFont="1">
      <alignment horizontal="left" shrinkToFit="0" wrapText="0"/>
    </xf>
    <xf borderId="5" fillId="0" fontId="6" numFmtId="0" xfId="0" applyAlignment="1" applyBorder="1" applyFont="1">
      <alignment horizontal="left" shrinkToFit="0" wrapText="1"/>
    </xf>
    <xf borderId="10" fillId="0" fontId="6" numFmtId="0" xfId="0" applyAlignment="1" applyBorder="1" applyFont="1">
      <alignment horizontal="left" shrinkToFit="0" wrapText="1"/>
    </xf>
    <xf borderId="11" fillId="0" fontId="6" numFmtId="0" xfId="0" applyAlignment="1" applyBorder="1" applyFont="1">
      <alignment horizontal="left"/>
    </xf>
    <xf borderId="11" fillId="0" fontId="6" numFmtId="0" xfId="0" applyAlignment="1" applyBorder="1" applyFont="1">
      <alignment horizontal="left" shrinkToFit="0" wrapText="1"/>
    </xf>
    <xf borderId="3" fillId="0" fontId="6" numFmtId="0" xfId="0" applyAlignment="1" applyBorder="1" applyFont="1">
      <alignment horizontal="left" readingOrder="0"/>
    </xf>
    <xf borderId="3" fillId="0" fontId="6" numFmtId="0" xfId="0" applyAlignment="1" applyBorder="1" applyFont="1">
      <alignment horizontal="left"/>
    </xf>
    <xf borderId="3" fillId="0" fontId="6" numFmtId="0" xfId="0" applyAlignment="1" applyBorder="1" applyFont="1">
      <alignment horizontal="left" shrinkToFit="0" wrapText="1"/>
    </xf>
    <xf borderId="10" fillId="0" fontId="6" numFmtId="0" xfId="0" applyAlignment="1" applyBorder="1" applyFont="1">
      <alignment readingOrder="0"/>
    </xf>
    <xf borderId="1" fillId="0" fontId="6" numFmtId="0" xfId="0" applyAlignment="1" applyBorder="1" applyFont="1">
      <alignment horizontal="right" readingOrder="0"/>
    </xf>
    <xf borderId="5" fillId="0" fontId="6" numFmtId="0" xfId="0" applyAlignment="1" applyBorder="1" applyFont="1">
      <alignment horizontal="right" readingOrder="0"/>
    </xf>
    <xf borderId="12" fillId="0" fontId="6" numFmtId="0" xfId="0" applyAlignment="1" applyBorder="1" applyFont="1">
      <alignment horizontal="left" readingOrder="0"/>
    </xf>
    <xf borderId="12" fillId="0" fontId="2" numFmtId="0" xfId="0" applyAlignment="1" applyBorder="1" applyFont="1">
      <alignment horizontal="left" readingOrder="0" shrinkToFit="0" vertical="bottom" wrapText="1"/>
    </xf>
    <xf borderId="12" fillId="0" fontId="2" numFmtId="0" xfId="0" applyAlignment="1" applyBorder="1" applyFont="1">
      <alignment horizontal="left" readingOrder="0" vertical="bottom"/>
    </xf>
    <xf borderId="12" fillId="0" fontId="2" numFmtId="0" xfId="0" applyAlignment="1" applyBorder="1" applyFont="1">
      <alignment horizontal="left" readingOrder="0"/>
    </xf>
    <xf borderId="12" fillId="0" fontId="6" numFmtId="0" xfId="0" applyAlignment="1" applyBorder="1" applyFont="1">
      <alignment horizontal="left" readingOrder="0" shrinkToFit="0" wrapText="1"/>
    </xf>
    <xf borderId="13" fillId="0" fontId="6" numFmtId="0" xfId="0" applyAlignment="1" applyBorder="1" applyFont="1">
      <alignment horizontal="left"/>
    </xf>
    <xf borderId="2" fillId="0" fontId="6" numFmtId="0" xfId="0" applyAlignment="1" applyBorder="1" applyFont="1">
      <alignment horizontal="left"/>
    </xf>
    <xf borderId="5" fillId="0" fontId="6" numFmtId="0" xfId="0" applyAlignment="1" applyBorder="1" applyFont="1">
      <alignment readingOrder="0"/>
    </xf>
    <xf borderId="14" fillId="0" fontId="6" numFmtId="0" xfId="0" applyAlignment="1" applyBorder="1" applyFont="1">
      <alignment horizontal="left"/>
    </xf>
    <xf borderId="15" fillId="0" fontId="6" numFmtId="0" xfId="0" applyAlignment="1" applyBorder="1" applyFont="1">
      <alignment horizontal="left" readingOrder="0"/>
    </xf>
    <xf borderId="6" fillId="0" fontId="6" numFmtId="0" xfId="0" applyAlignment="1" applyBorder="1" applyFont="1">
      <alignment horizontal="left" readingOrder="0"/>
    </xf>
    <xf borderId="16" fillId="0" fontId="6" numFmtId="0" xfId="0" applyAlignment="1" applyBorder="1" applyFont="1">
      <alignment horizontal="left" readingOrder="0"/>
    </xf>
    <xf borderId="1" fillId="0" fontId="91" numFmtId="0" xfId="0" applyAlignment="1" applyBorder="1" applyFont="1">
      <alignment readingOrder="0" vertical="top"/>
    </xf>
    <xf borderId="5" fillId="0" fontId="91" numFmtId="0" xfId="0" applyAlignment="1" applyBorder="1" applyFont="1">
      <alignment readingOrder="0" vertical="top"/>
    </xf>
    <xf borderId="3" fillId="0" fontId="6" numFmtId="0" xfId="0" applyAlignment="1" applyBorder="1" applyFont="1">
      <alignment horizontal="left" readingOrder="0" shrinkToFit="0" wrapText="0"/>
    </xf>
    <xf borderId="13" fillId="0" fontId="6" numFmtId="0" xfId="0" applyAlignment="1" applyBorder="1" applyFont="1">
      <alignment horizontal="right"/>
    </xf>
    <xf borderId="10" fillId="0" fontId="6" numFmtId="0" xfId="0" applyAlignment="1" applyBorder="1" applyFont="1">
      <alignment horizontal="right"/>
    </xf>
    <xf borderId="15" fillId="0" fontId="6" numFmtId="0" xfId="0" applyAlignment="1" applyBorder="1" applyFont="1">
      <alignment horizontal="left"/>
    </xf>
    <xf borderId="6" fillId="0" fontId="6" numFmtId="0" xfId="0" applyAlignment="1" applyBorder="1" applyFont="1">
      <alignment horizontal="left"/>
    </xf>
    <xf borderId="1" fillId="0" fontId="6" numFmtId="0" xfId="0" applyAlignment="1" applyBorder="1" applyFont="1">
      <alignment horizontal="left" shrinkToFit="0" wrapText="0"/>
    </xf>
    <xf borderId="1" fillId="2" fontId="4" numFmtId="0" xfId="0" applyAlignment="1" applyBorder="1" applyFont="1">
      <alignment horizontal="center" readingOrder="0" shrinkToFit="0" vertical="center" wrapText="1"/>
    </xf>
    <xf borderId="0" fillId="0" fontId="5" numFmtId="0" xfId="0" applyFont="1"/>
    <xf borderId="1"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1" fillId="0" fontId="2" numFmtId="165" xfId="0" applyAlignment="1" applyBorder="1" applyFont="1" applyNumberFormat="1">
      <alignment horizontal="center" shrinkToFit="0" vertical="center" wrapText="1"/>
    </xf>
    <xf borderId="2"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92" numFmtId="0" xfId="0" applyAlignment="1" applyBorder="1" applyFont="1">
      <alignment horizontal="center" shrinkToFit="0" wrapText="1"/>
    </xf>
    <xf borderId="3" fillId="0" fontId="2" numFmtId="165" xfId="0" applyAlignment="1" applyBorder="1" applyFont="1" applyNumberFormat="1">
      <alignment horizontal="center" shrinkToFit="0" vertical="center" wrapText="1"/>
    </xf>
    <xf borderId="1" fillId="0" fontId="5" numFmtId="0" xfId="0" applyAlignment="1" applyBorder="1" applyFont="1">
      <alignment horizontal="center" readingOrder="0" shrinkToFit="0" wrapText="1"/>
    </xf>
    <xf borderId="7" fillId="0" fontId="2" numFmtId="0" xfId="0" applyAlignment="1" applyBorder="1" applyFont="1">
      <alignment shrinkToFit="0" vertical="bottom" wrapText="0"/>
    </xf>
    <xf borderId="0" fillId="0" fontId="5" numFmtId="0" xfId="0" applyAlignment="1" applyFont="1">
      <alignment readingOrder="0"/>
    </xf>
    <xf borderId="4" fillId="3" fontId="2" numFmtId="0" xfId="0" applyAlignment="1" applyBorder="1" applyFont="1">
      <alignment horizontal="center" shrinkToFit="0" vertical="center" wrapText="1"/>
    </xf>
    <xf borderId="1" fillId="0" fontId="5" numFmtId="0" xfId="0" applyAlignment="1" applyBorder="1" applyFont="1">
      <alignment readingOrder="0" shrinkToFit="0" wrapText="1"/>
    </xf>
    <xf borderId="1" fillId="0" fontId="2" numFmtId="0" xfId="0" applyAlignment="1" applyBorder="1" applyFont="1">
      <alignment horizontal="center" shrinkToFit="0" vertical="center" wrapText="1"/>
    </xf>
    <xf borderId="1" fillId="0" fontId="93" numFmtId="0" xfId="0" applyAlignment="1" applyBorder="1" applyFont="1">
      <alignment horizontal="left" readingOrder="0" shrinkToFit="0" vertical="bottom" wrapText="1"/>
    </xf>
    <xf borderId="1" fillId="0" fontId="37" numFmtId="0" xfId="0" applyAlignment="1" applyBorder="1" applyFont="1">
      <alignment readingOrder="0" shrinkToFit="0" vertical="bottom" wrapText="1"/>
    </xf>
    <xf borderId="0" fillId="0" fontId="37" numFmtId="0" xfId="0" applyAlignment="1" applyFont="1">
      <alignment shrinkToFit="0" vertical="bottom" wrapText="1"/>
    </xf>
    <xf borderId="4" fillId="3" fontId="2" numFmtId="0" xfId="0" applyAlignment="1" applyBorder="1" applyFont="1">
      <alignment horizontal="center" shrinkToFit="0" vertical="center" wrapText="1"/>
    </xf>
    <xf borderId="3" fillId="0" fontId="2" numFmtId="165"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5" numFmtId="0" xfId="0" applyAlignment="1" applyBorder="1" applyFont="1">
      <alignment horizontal="center" readingOrder="0" vertical="center"/>
    </xf>
    <xf borderId="1" fillId="0" fontId="5" numFmtId="166" xfId="0" applyAlignment="1" applyBorder="1" applyFont="1" applyNumberFormat="1">
      <alignment horizontal="center" readingOrder="0"/>
    </xf>
    <xf borderId="1" fillId="0" fontId="5" numFmtId="166" xfId="0" applyAlignment="1" applyBorder="1" applyFont="1" applyNumberFormat="1">
      <alignment horizontal="center" readingOrder="0" vertical="center"/>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1" fillId="0" fontId="5" numFmtId="0" xfId="0" applyAlignment="1" applyBorder="1" applyFont="1">
      <alignment shrinkToFit="0" wrapText="1"/>
    </xf>
    <xf borderId="0" fillId="0" fontId="5" numFmtId="0" xfId="0" applyAlignment="1" applyFont="1">
      <alignment horizontal="center"/>
    </xf>
    <xf borderId="0" fillId="0" fontId="5" numFmtId="0" xfId="0" applyAlignment="1" applyFont="1">
      <alignment shrinkToFit="0" wrapText="1"/>
    </xf>
    <xf borderId="0" fillId="2" fontId="4" numFmtId="0" xfId="0" applyAlignment="1" applyFont="1">
      <alignment horizontal="center" readingOrder="0" shrinkToFit="0" vertical="center" wrapText="0"/>
    </xf>
    <xf borderId="2" fillId="2" fontId="4" numFmtId="0" xfId="0" applyAlignment="1" applyBorder="1" applyFont="1">
      <alignment horizontal="center" readingOrder="0" shrinkToFit="0" wrapText="1"/>
    </xf>
    <xf borderId="0" fillId="0" fontId="5" numFmtId="0" xfId="0" applyAlignment="1" applyFont="1">
      <alignment vertical="bottom"/>
    </xf>
    <xf borderId="3" fillId="3" fontId="5" numFmtId="0" xfId="0" applyAlignment="1" applyBorder="1" applyFont="1">
      <alignment horizontal="center" readingOrder="0" shrinkToFit="0" wrapText="1"/>
    </xf>
    <xf borderId="4" fillId="3" fontId="5" numFmtId="0" xfId="0" applyAlignment="1" applyBorder="1" applyFont="1">
      <alignment horizontal="center" readingOrder="0" shrinkToFit="0" wrapText="1"/>
    </xf>
    <xf borderId="4" fillId="3" fontId="5" numFmtId="0" xfId="0" applyAlignment="1" applyBorder="1" applyFont="1">
      <alignment readingOrder="0"/>
    </xf>
    <xf borderId="4" fillId="0" fontId="5" numFmtId="0" xfId="0" applyAlignment="1" applyBorder="1" applyFont="1">
      <alignment horizontal="center" readingOrder="0" shrinkToFit="0" wrapText="0"/>
    </xf>
    <xf borderId="4" fillId="0" fontId="5" numFmtId="0" xfId="0" applyAlignment="1" applyBorder="1" applyFont="1">
      <alignment horizontal="center" readingOrder="0"/>
    </xf>
    <xf borderId="2" fillId="0" fontId="5" numFmtId="0" xfId="0" applyAlignment="1" applyBorder="1" applyFont="1">
      <alignment horizontal="left" readingOrder="0"/>
    </xf>
    <xf borderId="4" fillId="3" fontId="5" numFmtId="0" xfId="0" applyAlignment="1" applyBorder="1" applyFont="1">
      <alignment horizontal="center" shrinkToFit="0" wrapText="1"/>
    </xf>
    <xf borderId="4" fillId="3" fontId="5" numFmtId="165" xfId="0" applyAlignment="1" applyBorder="1" applyFont="1" applyNumberFormat="1">
      <alignment horizontal="center" shrinkToFit="0" wrapText="1"/>
    </xf>
    <xf borderId="4" fillId="3" fontId="5" numFmtId="0" xfId="0" applyBorder="1" applyFont="1"/>
    <xf borderId="4" fillId="0" fontId="5" numFmtId="0" xfId="0" applyAlignment="1" applyBorder="1" applyFont="1">
      <alignment horizontal="center"/>
    </xf>
    <xf borderId="3" fillId="3" fontId="5" numFmtId="0" xfId="0" applyAlignment="1" applyBorder="1" applyFont="1">
      <alignment horizontal="center" readingOrder="0"/>
    </xf>
    <xf borderId="1" fillId="3" fontId="5" numFmtId="165" xfId="0" applyAlignment="1" applyBorder="1" applyFont="1" applyNumberFormat="1">
      <alignment horizontal="center" readingOrder="0"/>
    </xf>
    <xf borderId="1" fillId="0" fontId="8" numFmtId="0" xfId="0" applyAlignment="1" applyBorder="1" applyFont="1">
      <alignment readingOrder="0"/>
    </xf>
    <xf borderId="1" fillId="3" fontId="8" numFmtId="0" xfId="0" applyAlignment="1" applyBorder="1" applyFont="1">
      <alignment readingOrder="0" shrinkToFit="0" wrapText="1"/>
    </xf>
    <xf borderId="1" fillId="3" fontId="5" numFmtId="0" xfId="0" applyBorder="1" applyFont="1"/>
    <xf borderId="4" fillId="3" fontId="5" numFmtId="168" xfId="0" applyBorder="1" applyFont="1" applyNumberFormat="1"/>
    <xf borderId="4" fillId="0" fontId="5" numFmtId="0" xfId="0" applyBorder="1" applyFont="1"/>
    <xf borderId="0" fillId="0" fontId="2" numFmtId="0" xfId="0" applyFont="1"/>
    <xf borderId="1" fillId="3" fontId="5" numFmtId="0" xfId="0" applyAlignment="1" applyBorder="1" applyFont="1">
      <alignment horizontal="center" readingOrder="0" shrinkToFit="0" wrapText="1"/>
    </xf>
    <xf borderId="1" fillId="0" fontId="2" numFmtId="0" xfId="0" applyAlignment="1" applyBorder="1" applyFont="1">
      <alignment readingOrder="0"/>
    </xf>
    <xf borderId="1" fillId="3" fontId="2" numFmtId="0" xfId="0" applyAlignment="1" applyBorder="1" applyFont="1">
      <alignment horizontal="center" readingOrder="0" shrinkToFit="0" wrapText="1"/>
    </xf>
    <xf borderId="1" fillId="3" fontId="2" numFmtId="165" xfId="0" applyAlignment="1" applyBorder="1" applyFont="1" applyNumberFormat="1">
      <alignment horizontal="center" readingOrder="0" shrinkToFit="0" wrapText="1"/>
    </xf>
    <xf borderId="2" fillId="3" fontId="2" numFmtId="0" xfId="0" applyAlignment="1" applyBorder="1" applyFont="1">
      <alignment horizontal="center" readingOrder="0" shrinkToFit="0" wrapText="1"/>
    </xf>
    <xf borderId="1" fillId="3" fontId="2" numFmtId="0" xfId="0" applyAlignment="1" applyBorder="1" applyFont="1">
      <alignment readingOrder="0" shrinkToFit="0" wrapText="1"/>
    </xf>
    <xf borderId="1" fillId="3" fontId="2" numFmtId="0" xfId="0" applyAlignment="1" applyBorder="1" applyFont="1">
      <alignment readingOrder="0"/>
    </xf>
    <xf borderId="1" fillId="3" fontId="94" numFmtId="0" xfId="0" applyAlignment="1" applyBorder="1" applyFont="1">
      <alignment horizontal="center" readingOrder="0" shrinkToFit="0" vertical="center" wrapText="1"/>
    </xf>
    <xf borderId="0" fillId="3" fontId="2" numFmtId="0" xfId="0" applyFont="1"/>
    <xf borderId="1" fillId="0" fontId="2" numFmtId="0" xfId="0" applyAlignment="1" applyBorder="1" applyFont="1">
      <alignment horizontal="center" readingOrder="0" shrinkToFit="0" wrapText="0"/>
    </xf>
    <xf borderId="3" fillId="0" fontId="2" numFmtId="0" xfId="0" applyAlignment="1" applyBorder="1" applyFont="1">
      <alignment horizontal="center" readingOrder="0" shrinkToFit="0" wrapText="1"/>
    </xf>
    <xf borderId="3" fillId="3" fontId="2" numFmtId="0" xfId="0" applyAlignment="1" applyBorder="1" applyFont="1">
      <alignment horizontal="center" readingOrder="0" shrinkToFit="0" vertical="center" wrapText="1"/>
    </xf>
    <xf borderId="3" fillId="3" fontId="2" numFmtId="0" xfId="0" applyAlignment="1" applyBorder="1" applyFont="1">
      <alignment horizontal="center" readingOrder="0" shrinkToFit="0" wrapText="1"/>
    </xf>
    <xf borderId="1" fillId="0" fontId="95"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0" fontId="2" numFmtId="165" xfId="0" applyAlignment="1" applyBorder="1" applyFont="1" applyNumberFormat="1">
      <alignment horizontal="center" readingOrder="0" shrinkToFit="0" wrapText="1"/>
    </xf>
    <xf borderId="3" fillId="0" fontId="2" numFmtId="0" xfId="0" applyAlignment="1" applyBorder="1" applyFont="1">
      <alignment horizontal="left" readingOrder="0" shrinkToFit="0" wrapText="1"/>
    </xf>
    <xf borderId="1" fillId="0" fontId="96"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5" numFmtId="165" xfId="0" applyAlignment="1" applyBorder="1" applyFont="1" applyNumberFormat="1">
      <alignment readingOrder="0"/>
    </xf>
    <xf borderId="1" fillId="0" fontId="97" numFmtId="0" xfId="0" applyAlignment="1" applyBorder="1" applyFont="1">
      <alignment readingOrder="0" shrinkToFit="0" wrapText="1"/>
    </xf>
    <xf borderId="1" fillId="0" fontId="5" numFmtId="0" xfId="0" applyAlignment="1" applyBorder="1" applyFont="1">
      <alignment horizontal="center" shrinkToFit="0" vertical="center" wrapText="1"/>
    </xf>
    <xf borderId="1" fillId="0" fontId="98"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1" fillId="2" fontId="99" numFmtId="165" xfId="0" applyAlignment="1" applyBorder="1" applyFont="1" applyNumberFormat="1">
      <alignment horizontal="center" readingOrder="0" shrinkToFit="0" vertical="center" wrapText="1"/>
    </xf>
    <xf borderId="1" fillId="3" fontId="5" numFmtId="169" xfId="0" applyAlignment="1" applyBorder="1" applyFont="1" applyNumberFormat="1">
      <alignment horizontal="center" readingOrder="0" vertical="center"/>
    </xf>
    <xf borderId="4" fillId="3" fontId="5" numFmtId="0" xfId="0" applyAlignment="1" applyBorder="1" applyFont="1">
      <alignment horizontal="center" readingOrder="0" vertical="center"/>
    </xf>
    <xf borderId="1" fillId="0" fontId="5" numFmtId="0" xfId="0" applyAlignment="1" applyBorder="1" applyFont="1">
      <alignment readingOrder="0" vertical="center"/>
    </xf>
    <xf borderId="1" fillId="0" fontId="5" numFmtId="0" xfId="0" applyAlignment="1" applyBorder="1" applyFont="1">
      <alignment vertical="center"/>
    </xf>
    <xf borderId="1" fillId="3" fontId="8" numFmtId="169" xfId="0" applyAlignment="1" applyBorder="1" applyFont="1" applyNumberFormat="1">
      <alignment horizontal="center" readingOrder="0" shrinkToFit="0" vertical="center" wrapText="0"/>
    </xf>
    <xf borderId="4" fillId="3" fontId="8" numFmtId="0" xfId="0" applyAlignment="1" applyBorder="1" applyFont="1">
      <alignment horizontal="center" readingOrder="0" shrinkToFit="0" vertical="center" wrapText="0"/>
    </xf>
    <xf borderId="4" fillId="3" fontId="8" numFmtId="0" xfId="0" applyAlignment="1" applyBorder="1" applyFont="1">
      <alignment horizontal="center" readingOrder="0" shrinkToFit="0" vertical="center" wrapText="1"/>
    </xf>
    <xf borderId="4" fillId="3" fontId="8" numFmtId="169" xfId="0" applyAlignment="1" applyBorder="1" applyFont="1" applyNumberFormat="1">
      <alignment horizontal="center" readingOrder="0" shrinkToFit="0" vertical="center" wrapText="0"/>
    </xf>
    <xf borderId="4" fillId="3" fontId="8" numFmtId="0" xfId="0" applyAlignment="1" applyBorder="1" applyFont="1">
      <alignment horizontal="left" shrinkToFit="0" vertical="center" wrapText="0"/>
    </xf>
    <xf borderId="0" fillId="0" fontId="8" numFmtId="0" xfId="0" applyAlignment="1" applyFont="1">
      <alignment horizontal="center" readingOrder="0" vertical="center"/>
    </xf>
    <xf borderId="1" fillId="0" fontId="5" numFmtId="169" xfId="0" applyAlignment="1" applyBorder="1" applyFont="1" applyNumberFormat="1">
      <alignment horizontal="center" readingOrder="0" vertical="center"/>
    </xf>
    <xf borderId="4" fillId="0" fontId="5" numFmtId="0" xfId="0" applyAlignment="1" applyBorder="1" applyFont="1">
      <alignment horizontal="center" readingOrder="0" vertical="center"/>
    </xf>
    <xf borderId="1" fillId="0" fontId="100" numFmtId="0" xfId="0" applyAlignment="1" applyBorder="1" applyFont="1">
      <alignment readingOrder="0" vertical="center"/>
    </xf>
    <xf borderId="1" fillId="0" fontId="101" numFmtId="0" xfId="0" applyAlignment="1" applyBorder="1" applyFont="1">
      <alignment readingOrder="0" vertical="center"/>
    </xf>
    <xf borderId="4" fillId="3" fontId="102" numFmtId="0" xfId="0" applyAlignment="1" applyBorder="1" applyFont="1">
      <alignment horizontal="left" readingOrder="0" shrinkToFit="0" vertical="center" wrapText="0"/>
    </xf>
    <xf borderId="4" fillId="3" fontId="8" numFmtId="0" xfId="0" applyAlignment="1" applyBorder="1" applyFont="1">
      <alignment horizontal="left" shrinkToFit="0" vertical="center" wrapText="0"/>
    </xf>
    <xf borderId="4" fillId="4" fontId="8" numFmtId="0" xfId="0" applyAlignment="1" applyBorder="1" applyFont="1">
      <alignment horizontal="center" readingOrder="0" shrinkToFit="0" vertical="center" wrapText="0"/>
    </xf>
    <xf borderId="1" fillId="3" fontId="8" numFmtId="0" xfId="0" applyAlignment="1" applyBorder="1" applyFont="1">
      <alignment horizontal="center" readingOrder="0" shrinkToFit="0" vertical="center" wrapText="0"/>
    </xf>
    <xf borderId="1" fillId="3" fontId="8" numFmtId="165" xfId="0" applyAlignment="1" applyBorder="1" applyFont="1" applyNumberFormat="1">
      <alignment horizontal="center" readingOrder="0" shrinkToFit="0" vertical="center" wrapText="0"/>
    </xf>
    <xf borderId="1" fillId="3" fontId="8" numFmtId="0" xfId="0" applyAlignment="1" applyBorder="1" applyFont="1">
      <alignment horizontal="center" readingOrder="0" shrinkToFit="0" vertical="center" wrapText="1"/>
    </xf>
    <xf borderId="1" fillId="0" fontId="5" numFmtId="165" xfId="0" applyAlignment="1" applyBorder="1" applyFont="1" applyNumberFormat="1">
      <alignment horizontal="center" readingOrder="0" vertical="center"/>
    </xf>
    <xf borderId="1" fillId="0" fontId="5" numFmtId="167" xfId="0" applyAlignment="1" applyBorder="1" applyFont="1" applyNumberFormat="1">
      <alignment horizontal="center" readingOrder="0" vertical="center"/>
    </xf>
    <xf borderId="1" fillId="4" fontId="8" numFmtId="0" xfId="0" applyAlignment="1" applyBorder="1" applyFont="1">
      <alignment horizontal="center" readingOrder="0" shrinkToFit="0" vertical="center" wrapText="0"/>
    </xf>
    <xf borderId="1" fillId="0" fontId="8" numFmtId="0" xfId="0" applyAlignment="1" applyBorder="1" applyFont="1">
      <alignment readingOrder="0" vertical="center"/>
    </xf>
    <xf borderId="1" fillId="0" fontId="5" numFmtId="165" xfId="0" applyAlignment="1" applyBorder="1" applyFont="1" applyNumberFormat="1">
      <alignment horizontal="center" readingOrder="0" vertical="top"/>
    </xf>
    <xf borderId="1" fillId="0" fontId="5" numFmtId="165" xfId="0" applyAlignment="1" applyBorder="1" applyFont="1" applyNumberFormat="1">
      <alignment horizontal="center" readingOrder="0"/>
    </xf>
    <xf borderId="1" fillId="0" fontId="103" numFmtId="0" xfId="0" applyAlignment="1" applyBorder="1" applyFont="1">
      <alignment readingOrder="0"/>
    </xf>
    <xf borderId="1" fillId="0" fontId="104" numFmtId="0" xfId="0" applyAlignment="1" applyBorder="1" applyFont="1">
      <alignment readingOrder="0"/>
    </xf>
    <xf borderId="1" fillId="0" fontId="82" numFmtId="165" xfId="0" applyAlignment="1" applyBorder="1" applyFont="1" applyNumberFormat="1">
      <alignment horizontal="center" readingOrder="0"/>
    </xf>
    <xf borderId="1" fillId="3" fontId="5" numFmtId="0" xfId="0" applyAlignment="1" applyBorder="1" applyFont="1">
      <alignment horizontal="center" readingOrder="0" vertical="center"/>
    </xf>
    <xf borderId="1" fillId="3" fontId="82" numFmtId="165" xfId="0" applyAlignment="1" applyBorder="1" applyFont="1" applyNumberFormat="1">
      <alignment horizontal="center" readingOrder="0"/>
    </xf>
    <xf borderId="1" fillId="3" fontId="105" numFmtId="0" xfId="0" applyAlignment="1" applyBorder="1" applyFont="1">
      <alignment readingOrder="0"/>
    </xf>
    <xf borderId="1" fillId="3" fontId="6" numFmtId="0" xfId="0" applyBorder="1" applyFont="1"/>
    <xf borderId="1" fillId="0" fontId="82" numFmtId="0" xfId="0" applyAlignment="1" applyBorder="1" applyFont="1">
      <alignment horizontal="center" readingOrder="0"/>
    </xf>
    <xf borderId="0" fillId="9" fontId="6" numFmtId="0" xfId="0" applyFill="1" applyFont="1"/>
    <xf borderId="1" fillId="0" fontId="91" numFmtId="165" xfId="0" applyAlignment="1" applyBorder="1" applyFont="1" applyNumberFormat="1">
      <alignment horizontal="center" readingOrder="0"/>
    </xf>
    <xf borderId="1" fillId="0" fontId="2" numFmtId="0" xfId="0" applyAlignment="1" applyBorder="1" applyFont="1">
      <alignment horizontal="center"/>
    </xf>
    <xf borderId="1" fillId="0" fontId="2" numFmtId="0" xfId="0" applyAlignment="1" applyBorder="1" applyFont="1">
      <alignment horizontal="center"/>
    </xf>
    <xf borderId="1" fillId="0" fontId="82" numFmtId="167" xfId="0" applyAlignment="1" applyBorder="1" applyFont="1" applyNumberFormat="1">
      <alignment horizontal="center" readingOrder="0"/>
    </xf>
    <xf borderId="1" fillId="10" fontId="6" numFmtId="0" xfId="0" applyAlignment="1" applyBorder="1" applyFill="1" applyFont="1">
      <alignment horizontal="center" readingOrder="0"/>
    </xf>
    <xf borderId="1" fillId="10" fontId="82" numFmtId="167" xfId="0" applyAlignment="1" applyBorder="1" applyFont="1" applyNumberFormat="1">
      <alignment horizontal="center" readingOrder="0"/>
    </xf>
    <xf borderId="1" fillId="10" fontId="5" numFmtId="0" xfId="0" applyAlignment="1" applyBorder="1" applyFont="1">
      <alignment horizontal="center" readingOrder="0" vertical="center"/>
    </xf>
    <xf borderId="1" fillId="10" fontId="106" numFmtId="0" xfId="0" applyAlignment="1" applyBorder="1" applyFont="1">
      <alignment readingOrder="0"/>
    </xf>
    <xf borderId="1" fillId="10" fontId="6" numFmtId="0" xfId="0" applyBorder="1" applyFont="1"/>
    <xf borderId="1" fillId="10" fontId="2" numFmtId="0" xfId="0" applyAlignment="1" applyBorder="1" applyFont="1">
      <alignment horizontal="center" readingOrder="0"/>
    </xf>
    <xf borderId="1" fillId="10" fontId="2" numFmtId="0" xfId="0" applyAlignment="1" applyBorder="1" applyFont="1">
      <alignment horizontal="center"/>
    </xf>
    <xf borderId="0" fillId="10" fontId="6" numFmtId="0" xfId="0" applyFont="1"/>
    <xf borderId="0" fillId="0" fontId="82" numFmtId="167" xfId="0" applyAlignment="1" applyFont="1" applyNumberFormat="1">
      <alignment horizontal="center" readingOrder="0"/>
    </xf>
    <xf borderId="0" fillId="0" fontId="5"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horizontal="center"/>
    </xf>
    <xf borderId="1" fillId="11" fontId="3" numFmtId="0" xfId="0" applyAlignment="1" applyBorder="1" applyFill="1" applyFont="1">
      <alignment horizontal="center" vertical="bottom"/>
    </xf>
    <xf borderId="1" fillId="11" fontId="3" numFmtId="0" xfId="0" applyAlignment="1" applyBorder="1" applyFont="1">
      <alignment horizontal="center" readingOrder="0" vertical="bottom"/>
    </xf>
    <xf borderId="2" fillId="11" fontId="3" numFmtId="0" xfId="0" applyAlignment="1" applyBorder="1" applyFont="1">
      <alignment horizontal="center" readingOrder="0" vertical="bottom"/>
    </xf>
    <xf borderId="17" fillId="11" fontId="3" numFmtId="0" xfId="0" applyAlignment="1" applyBorder="1" applyFont="1">
      <alignment horizontal="center" readingOrder="0" shrinkToFit="0" vertical="bottom" wrapText="0"/>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53" sheet="ESTADO MESAS DE TRABAJO CORTE 2"/>
  </cacheSource>
  <cacheFields>
    <cacheField name="MESA" numFmtId="0">
      <sharedItems>
        <s v="MT - CIUDADELA PRIMAVERA MALLA VIAL Y CANCHA (248)"/>
        <s v="MT - CIUDADELA PRIMAVERA RUTA SITP (2133)&#10;&#10;"/>
        <s v="MT - ROMA REDUCTORES DE VELOCIDAD (964)"/>
        <s v="MT - SINAI MALLA VIAL DETERIORADA FABRICA RECICLAJE Y SALÓN (2011)&#10;&#10;"/>
        <s v="MT - SINAÍ PARQUE TRANSMILENIO Y EXCRETAS (1788)&#10;&#10;"/>
        <s v="MT - MARGARITAS COLEGIO NELSON MANDELA (1967)&#10;&#10;"/>
        <s v="MT - ROMA MALLA VIAL 3 SEGMENTOS VIALES (1969)&#10;&#10;"/>
        <s v="MT - GRAN BRITALIA CAMBIO SENTIDO VIAL (2013)&#10;&#10;"/>
        <s v="MT - PINAR DEL RIO OBRA AVENIDA CALI SEÑALIZACIÓN (8225)&#10;&#10;"/>
        <s v="MT - PORTAL DE CALI REDES DE ACUEDUCTO (2015)&#10;&#10;"/>
        <s v="MT - AMERICAS CLÍNICA OCCIDENTE MALLA VIAL (2052)&#10;&#10;"/>
        <s v="MT - VILLA ALSACIA PODA Y VIA (2475)&#10;&#10;"/>
        <s v="MT - PATIO BONITO PARQUE SAN DIONISIO (2717)"/>
        <s v="MT - CLASS MALLA VIAL Y REDUCTORES VELOCIDAD (2723)&#10;&#10;"/>
        <s v="MT - SAN ANDRÉS SEGURIDAD (2729)&#10;&#10;"/>
        <s v="MT - KENNEDY CENTRAL BASURAS Y VÍA EN MAL ESTADO (2732)&#10;&#10;"/>
        <s v="MT - RIVERAS DE OCCIDENTE VIA EN MAL ESTADO CRA 93B (2733)&#10;&#10;"/>
        <s v="MT - TINTALÁ BASURAS PUNTO CRITICO (2738)&#10;&#10;"/>
        <s v="MT - CIUDAD GRANADA SIEMBRA DE ARBOLES (2745)"/>
        <s v="MT - UNIR 1 PARQUE (2763)&#10;&#10;"/>
        <s v="MT - AMERICAS OCCIDENTAL REDUCTORES DE VELOCIDAD (2765)&#10;&#10;"/>
        <s v="MT - CIUDAD GALAN MALLA VIAL Y BASURAS (2769)&#10;&#10;"/>
        <s v="MT - CLASS MALLA VIAL VIA ANCHA CIV 8008199 (2951)&#10;&#10;"/>
        <s v="MT - ESTADOS UNIDOS SOCAVON EAAB (3221)"/>
        <s v="MT - MANDALAY OBRAS DE RENOVACIÓN EAAB (3269)&#10;&#10;"/>
        <s v="MT - LUCERNA PROVIVIENDA OCCIDENTAL HUECO EN LA VIA CIV 8008866 (3271)&#10;&#10;"/>
        <s v="MT - RIVERA 1 SECTOR MALLA VIAL (3273)&#10;&#10;"/>
        <s v="MT - CARVAJAL RECOLECCION DE RESIDUOS COLEGIO (3670)&#10;&#10;"/>
        <s v="MT - BOITÁ PROBLEMÁTICAS DE SEGURIDAD (3673)&#10;&#10;"/>
        <s v="MT - ALQUERIA LA FRAGUA CONTENEDOR DE BASURA (3692)"/>
        <s v="MT - BAVARIA 2 SECTOR EMBELLECIMIENTO PARQUE E INSEGURIDAD (3694)&#10;&#10;"/>
        <s v="MT - VILLA ALSACIA CASTILLA INUNDACION, BASURAS E INSEGURIDAD (3699)"/>
        <s v="MT - BARRANQUILLITA SANTA MÓNICA TAPA ACUEDUCTO (3700)&#10;&#10;"/>
        <s v="MT - VILLA DE LOS SAUCES RUBI ARREGLO DE VÍA (3701)&#10;&#10;"/>
        <s v="MT - CASTILLA RINCON DE LOS ANGELES PARQUE MAL ESTADO Y ANDENES (3703)"/>
        <s v="MT - VILLA NELLY MALLA VIAL BOCACALLE (3805)"/>
        <s v="MT - CLASS HUNDIMIENTOS AV AGOBERTO (3807)&#10;&#10;"/>
        <s v="MT - CLASS MALLA VIAL CIV 8008535 IGLESIA (3808)"/>
        <s v="MT - MANDALAY LUMINARIAS (3809)&#10;&#10;"/>
        <s v="MT - CIUDAD GRANADA BELLAVISTA VIA REDUCTORES Y SUMIDEROS (3814)&#10;&#10;"/>
        <s v="MT - RIVERAS DE OCCIDENTE MEXICANA MALLA VIAL (3815)&#10;&#10;"/>
        <s v="MT - TIERRA BUENA MALLA VIAL CANECAS (3816)&#10;&#10;"/>
        <s v="MT - VILLA HERMOSA TAPAS TELECOMUNICACIONES Y PARQUE EN MAL ESTADO (3819)&#10;&#10;"/>
        <s v="MT - LA LLANURA SEGURIDAD (3818)"/>
        <s v="MT - CARVAJAL PARE ACOSTADO MAL PARQUEO PARQUE MARACANA (3821)&#10;&#10;"/>
        <s v="MT - VILLA HERMOSA MALLA VIAL (3822)&#10;&#10;"/>
        <s v="MT - VILLA NELLY VIA SIN PAVIMENTAR (3823)&#10;&#10;"/>
        <s v="MT - TINTAL MALLA VIAL DETERIORADA POMPEYANO (3914)&#10;&#10;"/>
        <s v="MT - CIUDAD ALSACIA PASO PEATONAL EDEN (4135)&#10;&#10;"/>
        <s v="MT - EL AMPARO CALLEJÓN ENTRE CAYETANO Y HUMEDAL (4261)&#10;&#10;"/>
        <s v="MT - LAS MARGARITAS ZONAS DE CESION (4329)"/>
        <s v="MT - VILLA ALEXANDRA SOLICITUD DE VIA (4342)&#10;"/>
        <s v="MT - EL CASTILLO VIA AVENIDA CASTILLA CAMBUCHE EST..."/>
        <s v="MT - LOS ALMENDROS ANDENES (4470)&#10;&#10;"/>
        <s v="MT - CLASS VIA DETERIORADA CON EMPOZAMIENTO (4586)"/>
        <s v="MT - CASABLANCA ANDENES Y PARADERO SITP (4620)&#10;&#10;"/>
        <s v="MT - FLORALIA INSEGURIDAD Y HABITANTES DE CALLE (4761)&#10;&#10;"/>
        <s v="MT - FRANCISCO JOSÉ DE CALDAS MALLA VIAL CIV 80044..."/>
        <s v="MT - LA MAGDALENA SEGURIDAD VIAL IED TERESA MARTÍNEZ DE VALERA (4983)"/>
        <s v="MT - CIUDAD DE CALI AFECTACIÓN POR SEMÁFORO (5109)"/>
        <s v="MT - CATALINA II SECTOR ANDENES EN MAL ESTADO (5110)&#10;&#10;"/>
        <s v="MT - CASTILLA CONTENEDORES DE BASURA (5112)&#10;&#10;"/>
        <s v="MT - LA ALEJANDRA MAL PARQUEO EN VÍA DE BUSES (5136)"/>
        <s v="MT - LUCERNA BASURAS COLEGIO SANTO DOMINGO (5185)&#10;&#10;"/>
        <s v="MT - VEGAS DE SANTA ANA VIAS EN MAL ESTADO (5324)&#10;&#10;"/>
        <s v="MT - VILLA CLAUDIA OBRAS AV. 68 Y REDES DE ACUEDUCTO (5599)&#10;&#10;"/>
        <s v="MT - NUEVA CASTILLA PROBLEMAS EN LA PRESTACIÓN DEL SERVICIO DE AGUA (5845)&#10;&#10;"/>
        <s v="MT - CIUDAD ROMA CARRERA 78P PASTELERIA (5946)&#10;&#10;"/>
        <s v="MT - CARIMAGUA SOLICITUD ARREGLO PARADERO SITP 036A09 (6073)&#10;&#10;"/>
        <s v="MT - PARQUE CIUDAD DE CALI BANCAS Y MATERAS (6132)&#10;&#10;"/>
        <s v="MT - JORNADA OPAM PARQUE HOLANDA (6172)&#10;&#10;"/>
        <s v="MT - TIMIZA ZONA DE CESIÓN PARQUE DE PROXIMIDAD (6235)&#10;&#10;"/>
        <s v="MT - CIUDAD KENNEDY OCCIDENTAL INSEGURIDAD POR RETIRO DE REJAS DE INGRESO (6236)&#10;&#10;"/>
        <s v="MT - VILLA ALSACIA MALA DISPOSICIÓN DE RESIDUOS EN CANECAS METALICAS (6239)&#10;&#10;"/>
        <s v="MT - TIERRA BUENA MALA DISPOSICIÓN DE RESIDUOS VENDEDORES INFORMALES (6274)&#10;&#10;"/>
        <s v="MT - NUEVO TECHO PARQUE MANTENIMIENTO (6277)&#10;&#10;"/>
        <s v="MT - CASTILLA TERRA ESPACIO PÚBLICO Y VIA EN MAL ESTADO (6761)&#10;&#10;"/>
        <s v="MT - PARQUE URBANIZACION GRAN BRITALIA MALLA Y GRADAS (6909)&#10;&#10;"/>
        <s v="MT - PARQUE PROBLEMA DE EXCRETAS DINDALITO (6924)&#10;&#10;"/>
        <s v="MT - BOCACALLES EN MAL ESTADO CARVAJAL (7132)&#10;&#10;"/>
        <s v="MT - JORNADA OPAM TIMIZA (7273)&#10;&#10;"/>
        <s v="MT - CASTILLA FALTA DE SEÑALIZACIÓN EN VIA (7311)&#10;&#10;"/>
        <s v="MT - VALLADOLID MALLA VIAL MAL ESTADO (7388)&#10;&#10;"/>
        <s v="MT - CASTILLA COLEGIO NUEVOS ANDES (7438)&#10;&#10;"/>
        <s v="MT - TABAKU SEGURIDAD VIAL AVENIDA AMERICAS (7903)&#10;&#10;"/>
      </sharedItems>
    </cacheField>
    <cacheField name="BARRIO" numFmtId="0">
      <sharedItems>
        <s v="CIUDADELA PRIMAVERA"/>
        <s v="NUEVA ROMA"/>
        <s v="SINAI"/>
        <s v="MARGARITAS"/>
        <s v="ROMA"/>
        <s v="GRAN BRITALIA"/>
        <s v="PINAR DEL RIO"/>
        <s v="PORTAL DE CALI"/>
        <s v="NUEVA MARSELLA"/>
        <s v="VILLA ALSACIA"/>
        <s v="BARRANQUILLITA"/>
        <s v="CLASS"/>
        <s v="SAN ANDRES"/>
        <s v="CIUDAD KENNEDY ORIENTAL"/>
        <s v="RIVERAS DE OCCIDENTE"/>
        <s v="TINTALA"/>
        <s v="CIUDAD GALAN"/>
        <s v="UNIR 1"/>
        <s v="AMERICAS OCCIDENTAL"/>
        <s v="ESTADOS UNIDOS"/>
        <s v="MANDALAY"/>
        <s v="LUCERNA"/>
        <s v="RIVERA 1 SECTOR"/>
        <s v="CARVAJAL"/>
        <s v="BOITÁ"/>
        <s v="ALQUERIA LA FRAGUA"/>
        <s v="BAVARIA 2 SECTOR "/>
        <s v="VILLA ALSACIA CASTILLA"/>
        <s v="VILLA DE LOS SAUCES"/>
        <s v="RINCON DE LOS ANGELES"/>
        <s v="VILLA NELLY"/>
        <s v="CIUDAD GRANADA"/>
        <s v="TIERRA BUENA"/>
        <s v="VILLA HERMOSA"/>
        <s v="LA LLANURA"/>
        <s v="TINTAL"/>
        <s v="CIUDAD ALSACIA"/>
        <s v="VILLA BELLY 3 SECTOR"/>
        <s v="LAS MARGARITAS"/>
        <s v="VILLA ALEXANDRA"/>
        <s v="VALLADOLID"/>
        <s v="LOS ALMENDROS"/>
        <s v="CASABLANCA"/>
        <s v="FLORALIA"/>
        <s v="FRANCISCO JOSE DE CALDAS"/>
        <s v="LA MAGDALENA"/>
        <s v="CIUDAD DE CALI"/>
        <s v="CATALINA II SECTOR"/>
        <s v="LA ALEJANDRA"/>
        <s v="VEGAS DE SANTA ANA"/>
        <s v="VILLA CLAUDIA"/>
        <s v="NUEVA CASTILLA"/>
        <s v="CARIMAGUA"/>
        <s v="HOLANDA"/>
        <s v="TIMIZA"/>
        <s v="CIUDAD KENNEDY"/>
        <s v="TABAKU"/>
        <s v="MARIA PAZ"/>
        <s v="DINDALITO"/>
        <s v="CASTILLA"/>
      </sharedItems>
    </cacheField>
    <cacheField name="LIDER" numFmtId="0">
      <sharedItems containsBlank="1">
        <s v="ANA TEMILDA GUERRERO"/>
        <s v="BRYAN RODRIGUEZ"/>
        <s v="DAIRO GARCIA"/>
        <m/>
        <s v="PAULA VELASQUEZ"/>
        <s v="NILCE SALGADO"/>
        <s v="ALONSO CORREA"/>
        <s v="BLANCA MELO"/>
        <s v="GLORIA RINCON"/>
        <s v="ANGELA GUTIERREZ (EXTERNA)"/>
        <s v="PATIO BONITO"/>
        <s v="NANCY SUAREZ"/>
        <s v="MAYCOL MARTINEZ"/>
        <s v="MARTHA DUQUE"/>
        <s v="VERONICA AVILA"/>
        <s v="LUZ ELENA GARZON"/>
        <s v="LORENA GARZON"/>
        <s v="MARIA SANCHEZ"/>
        <s v="FRANZ RODRIGUEZ"/>
        <s v="PAULA CORONADO"/>
        <s v="ALDEMAR "/>
        <s v="LUIS GUALTEROS/LORENA GARZON"/>
        <s v="JIMMY GUTIERREZ"/>
        <s v="SILVIA CABUYA"/>
        <s v="SEGUNDO SALAMANCA"/>
        <s v="CRISTINA DUQUE"/>
        <s v="EUTALIA LATORRE"/>
        <s v="SYOMARA GARZON"/>
        <s v="MARIA LUISA ARIAS"/>
        <s v="SERGIO OSORIO"/>
        <s v="LILIANA TOCA"/>
        <s v="ELSA LOZANO"/>
        <s v="FERNANDO ZAMORA"/>
        <s v="LAURA RUEDA"/>
        <s v="LUCINDA  BONILLA"/>
        <s v="ISAURA PORRAS"/>
        <s v="ANDREA CASTIBLANCO"/>
        <s v="LIZETH HINOJOZA"/>
        <s v="PAULA ALARCON"/>
        <s v="OLGA TORRES"/>
        <s v="CARMEN GARZON"/>
        <s v="SAMYR OCHOA"/>
        <s v="CARMEN RITA"/>
        <s v="ANDREA URRUTIA"/>
        <s v="GILMA PEREZ"/>
        <s v="JHONY BOSSA"/>
        <s v="RAFAEL GUTIERREZ"/>
        <s v="MARIA MORA"/>
        <s v="STEVE LOPEZ"/>
        <s v="LAURA MELISSA FORERO"/>
        <s v="LUCIA ESPITIA"/>
        <s v="TERESA PORTELA"/>
        <s v="SANDRA MILENA MONROY"/>
        <s v="OLGA LUCIA SAENZ GOMEZ&#10;&#10;"/>
        <s v="DIANA VILLAMIZAR"/>
        <s v="ORLANDO MARULANDA"/>
        <s v="LUCIA EISINENA CABEZAS&#10;&#10;"/>
        <s v="MARIA ELIZABETH NARVAEZ"/>
        <s v="DAVID PISSA"/>
        <s v="JULIANA REINA"/>
        <s v="LETICIA ROA"/>
        <s v="CARLOS CIFUENTES"/>
        <s v="HERNAN FRANCISCO MONTES&#10;&#10;"/>
        <s v="JESSICA BARRERO"/>
        <s v="MARIA FANNY CONTRERAS RIAÑO&#10;&#10;"/>
        <s v="JOHANA LEON"/>
        <s v="NUBIA PARRA"/>
        <s v="LEIDY NEIRA"/>
        <s v="MIGUEL GUERRERO"/>
        <s v="EULALIA BECERRA"/>
        <s v="MARTHA JOSEFINA GARCIA AVILA&#10;&#10;"/>
        <s v="ANGELICA MARIA MUNERA GONZALEZ&#10;&#10;"/>
        <s v="CHEPE PINILLA"/>
        <s v="CLARA LUMPAQUE"/>
        <s v="RUBY CALLEJAS"/>
        <s v="SEBASTIAN MARQUEZ"/>
        <s v="JOHANNA ALEXANDRA BAUTISTA MAZUTIER&#10;"/>
        <s v="SIRLEY ANDREA FANDIÑO LOPEZ&#10;&#10;"/>
        <s v="ABIGAIL SANCHEZ"/>
        <s v="LUCY RODRIGUEZ"/>
      </sharedItems>
    </cacheField>
    <cacheField name="IGLESIA" numFmtId="0">
      <sharedItems containsBlank="1">
        <s v="PATIO BONITO"/>
        <s v="CLASS"/>
        <s v="KENNEDY CENTRAL"/>
        <m/>
        <s v="VALLADOLID"/>
        <s v="CARVAJAL"/>
        <s v="N/A"/>
      </sharedItems>
    </cacheField>
    <cacheField name="TEMA" numFmtId="0">
      <sharedItems containsBlank="1">
        <s v="ANIMALES"/>
        <s v="INFRAESTRUCTURA"/>
        <s v="MOVILIDAD"/>
        <s v="PARTICIPACION"/>
        <s v="RECREACION Y DEPORTE"/>
        <m/>
        <s v="EMPRENDIMIENTO"/>
        <s v="METRO"/>
        <s v="IDU"/>
        <s v="TITULACION"/>
        <s v="PLANEACION"/>
        <s v="ACUEDUCTO"/>
        <s v="SEGURIDAD"/>
        <s v="SERVICIOS PUBLICOS"/>
        <s v="AMBIENTE"/>
        <s v="INTEGRACION SOCIAL/IDRD"/>
        <s v="FERIA"/>
        <s v="PARQUES"/>
        <s v="HABITANTES DE CALLE"/>
        <s v="SALUD"/>
        <s v="ESPACIO PUBLICO"/>
      </sharedItems>
    </cacheField>
    <cacheField name="ACCION" numFmtId="0">
      <sharedItems containsBlank="1">
        <s v="JORNADA OPAM, RESPONSABILIDAD CON ANIMALES"/>
        <s v="SOLICITUD DE REVISIÓN DE ANDENES"/>
        <s v="ESTUDIO DE EFECTIVIDAD DEL USO DE LA CICLOVÍA, solicitar a movilidad"/>
        <s v="SOLICITAR A LAS ENTIDADES ESTADO DE SENDEROS Y SU INTERVENCIÓN"/>
        <s v="MOVILIDAD HIZO VISITA Y CORROBORO EL ESTADO , ESTA PENDIENTE QUE LO PRIORICEN LOS REDUCTORES DE VELOCIDAD YA TIENEN CONCEPTO POSITIVO"/>
        <s v="REVISION CASO SALON COMUNAL"/>
        <s v="3. CONVOCAR JORNADA DE EMBELLECIMIENTO DEL PARQUE Y JORNADA DE SENSIBILIZACIÓN SOBRE TENENCIA DE MASCOTAS CON: CIUDAD LIMPIA, CANCHA"/>
        <s v="REVISAR CON RECTOR TEMAS O DEFINITIVAMENTE CERRAR"/>
        <s v="CONTINUAR GESTIONANDO DE 2 SEGMENTOS VIALES"/>
        <s v="REVISAR SOBRE SOLICITUDES VIA PEATONAL VS CALZADA"/>
        <s v="MESA TECNICA CON METRO, ALCALDIA Y DESARROLLO ECONOMICO, SECRETARIA DE SEGURIDAD, PARA EVALUAR FERIAS, PENDONES, ZONA COMERCIAL, HACERLO EN EL SALON COMUNAL."/>
        <s v="ESCALAR LA SOLICITUD DE SEÑALIZACIÓN PARA LA ZONA DE GRAN BRITALIA, ESPECÍFICAMENTE EN LA CALLE 46, ANTE METRO. "/>
        <s v="ENVIAR Y/O APLICAR LA ENCUESTA SOBRE LOS PROGRAMAS DE DESARROLLO ECONÓMICO, CON EL FIN DE ORGANIZAR UNA MESA DE TRABAJO PARA EL PROCESO DE INSCRIPCIÓN CON EL EQUIPO."/>
        <s v="SOLICITUD DE INTERVENTORIA A CONTRATISTA SOBRE LAS OBSERVACIONES DE MOVILIDAD A SEÑALIZACION, AUN MOVILIDAD NO HA RECIBIDO SEÑALIZACION, REUNION EN DOS MESAS CONVOCAR MESA DE TRABAJO PARA SABER EN QUE ESTADO VA ESPECIALMENTE EN LA SEÑALIZACION DE LA CUADR"/>
        <s v="REVISION DE ESTADO VIA, PARA ARREGLO VIAL"/>
        <s v="SEGUIMIENTO OBRA AVENIDA CALI, ESTACION DE PATIO BONITO, ENTREGA DEMORADA, AUN TRANSMILENIO NO HA DEFINIDO BIEN LOS PARADEROS, TAPA SUELTAS Y SUENAN"/>
        <s v="2. CULMINAR PROCESO DE LEGALIZACIÓN DEL BARRIO PARA PROCEDER A HACER LA SOLICITUD DE CAMBIO DE REDES DE ALCANTARILLADO Y PAVIMENTACIÓN DE VÍAS."/>
        <s v="3. MESA DE TRABAJO CON ALCALDÍA DE BOSA Y ACUEDUCTO PARA QUE ALCALDÍA HAGA DISEÑO DE LOS DOS CIV PARA AVANZAR EN SOLICITUD DE CAMBIO DE REDES Y PAVIMENTACIÓN DE VÍA DE ACCESO AL BARRIO. "/>
        <s v="SOLICITAR INFORMACIÓN A ENTIDADES SOBRE ESTADO DE ENTREGA DEL BARRIO EN SU LEGALIZACIÓN."/>
        <s v="ENVIAR ESTADO DE LOS CIV EN CALLE 54B SUR - CALLE 54C SUR QUE HIZO LA ALCALDÍA DE BOSA."/>
        <s v="PENDIENTES ACUEDUCTO"/>
        <s v="MESA DE TRABAJO SEGUN PROBLEMATICA AV GUAYACANES, SILLAS DAÑADAS, HABITABILIDAD EN LA CALLE"/>
        <s v="EVALUAR PUNTO DE ARROJO PERSISTE JAIRO ANIBAL NIÑO"/>
        <s v="CONCEPTO TECNICO DETERMINAR CARACTERISTICAS DEL SEGMENTO VIAL PARA RESTRICCION DE CARGA PESADA."/>
        <s v="JORNADA INFORMATIVA SOBRE INCUMPLIMIENTO DE NORMA Y GENERAR ORDEN DE SERVICIOS"/>
        <s v="SOLICITUD DE CCTV PARA EVALUAR LAS REDES EN TRAMO VIAL CON CIV 8008354"/>
        <s v="COPIA DEL RESULTADO DEL ACTA DE SOCIALIZACION DE REDUCTORES DE VELOCIDAD DIRECCION 51 G- 17 SUR"/>
        <s v="INGRESO DE 4 CAMARAS CON LAS ESPECIFICACIONES PARA INGRESAR AL C4 APLICATIVO"/>
        <s v="SOLICITAR RESUMEN DEL PROCESO DEL ESTADO JURIDICO, LA SANCION DE LOS CIV. SABER FECHAS DE AVANNCE PARA INTERVENCION"/>
        <s v="DIAGNÓSTICO DE VECTORES, INSPECCIÓN DE SALUD, ESPECIALMENTE POR ROEDORES EN LOS CONTENEDORES."/>
        <s v="SI BIEN YA TIENE LOGROS FINALIZADOS, EVALUAR NUEVAS ACCIONES"/>
        <s v="A SE REALIZÒ SIEMBRA, REVISAR COMO FORTALECER MESA"/>
        <s v="ARREGLO DE VIA"/>
        <s v="ARREGLO DE PARQUE"/>
        <s v="NUEVO ESTUDIO DE CONTEO DE LA ZONA, CUANDO SALGA EL CONTRATO - AFORO"/>
        <s v="ARREGLO SEGMENTO VIAL AL FENTE CASA LIDER FRANZ"/>
        <s v="GESTION DE VIA EN MAL ESTADO"/>
        <s v="GESTION DE SOCAVON"/>
        <s v="INCLUIR EL CIV EN EL BANCO DE INICIATIVAS (ALCALDÍA). IGUAL TENER PRESENTE QUE YA ACUDUCTO HIZO INTERVENCION"/>
        <s v="EVALUAR YA SE RESOLVIO, SIN EMBARGO, LA LIDER HA SOLICTADO OFERTA MUJERES Y A DULTO MAYOR"/>
        <s v="GESTION SEGMENTO VIAL"/>
        <s v="FERIA DE SERVICIOS"/>
        <s v="RESIDUOS JORNADA DE EMBELLECIMIENTO"/>
        <s v="CONFORMACION FRENTE DE SEGURIDAD"/>
        <s v="REUBICACION CONTENEDORES DE BASURA"/>
        <s v="POR IDRD ESTA INCLUIDO EN CONTRATO 1148 DE 2024, MANTENIMIENTO DE PARQUE, ARREGLARON EL PARQUE DE LOS NIÑOS"/>
        <s v="REUNION PARA CREAR FRENTE DE SEGURIDAD Y POLICIA Y SECRETARIA DE SEGURIDAD"/>
        <s v="INCLUSION EN EL BANCO DE INICIATIVAS, FALTA DOCUMENTO FORMAL"/>
        <s v="MESA DE TRABAJO PARA CONOCER COMANDANTE DEL CUADRANTE CREACION DE FRENTES DE SEGURIDAD CON LA COMUNIDAD"/>
        <s v="OPERATIVO COMERCIANTES MAL PARQUEO AL LADO DEL POLIDEPORTIVO Y TAMBIEN CON HABITANTES DE CALLE"/>
        <s v="EVALUAR CON COMUNIDAD EXTERNA SI SE PUEDE SERGUIR TRABAJANDO EN ALGO ADICIONAL, YA QUE YA SE ARREGLO LA TAPA"/>
        <s v="YA SE ARREGLARON UNOS SEGMENTOS, EVALUAR LOS OTROS"/>
        <s v="DOMINGO 13 DE JULIO ACTIVIDAD DE TOMA DEL PARQUE."/>
        <s v="IVC ESCALAR CON SECRETARIA DE SEGURIDAD LA POSIBILIDAD DE PATRULLAJE MIXTO"/>
        <s v="ARREGLO DE ANDEN POR PROBLEMATICA RAICES ARBOLES"/>
        <s v="ARREGLO PARQUE DE BOLSILLO"/>
        <s v="EVALUAR PORQUE YA ARREGLARON BOCACALLES, NO TENEMOS LIDERES EXTERNOS, no hay drive pendiente fernando"/>
        <s v="GESTION DE ARREGLOS HUNDIMIENTOS AVENIDA AGOBERTO - IDU"/>
        <s v="ARREGLO DE VIAL AL LADO DE IGLESIA CLASS 8008535"/>
        <s v="PREGUNTAR SOBRE SI HAY AFECTACION DE REDES 8008535 POR PARTE DEL EAAB"/>
        <s v="EVALUAR CON LA LIDER MAS ACCIONES A REALIZAR, SE REVISARON YA LAS LUMINARIAS"/>
        <s v="IMPLEMENTACION INTEGRAL DEL DISEÑO DE SEÑALIZACION UNA VEZ SE SURTA EL ARREGLO DE LA VIA FRENTE AL COLEGIO"/>
        <s v="GESTION ARREGLO DE VIA Y ANDENES"/>
        <s v="ENVIAR RESULTADO DE ESTUDIO DE SEMAFORO"/>
        <s v="GESTION DE ARREGLO DE VIAS (IDU - ALCALDIA)"/>
        <s v="GESTION DE PROBLEMATICA DE BASURAS (IDU - ALCALDIA)"/>
        <s v="TRASLADO EVALUAR PERTINENCIA INSTALACION, RESULTADO. FRANJAS DE ESTOPEROLES TENGAN EN CUENTA EL CONVENIO 10 ESTUDIO"/>
        <s v="ENVIAR UN ACTA CON LA SITUACION QUE SUCEDE, CAMBIO DE CARPETA ATENCION DE EMERGENCIAS"/>
        <s v="MEJORA SEÑALIZACION DE LA ROTONDA"/>
        <s v="ENVIAR DERECHO DE PETICION DE ECOPUNTO"/>
        <s v="ARREGLO CORRECTIVO QUE HA HECHO EN LAS CANECAS DE BASURA, CUÁNTAS ESTÁN PENDIENTES. ENVIAR INFORMACION."/>
        <s v="EVALUAR CON EL LIDER NUEVAS ACCIONES YA QUE LAS PROBLEMASTICAS DE LA MESA SE SOLUCIONARON"/>
        <s v="REVSION DE POSTE"/>
        <s v="ACCIONES CON POLICIA"/>
        <s v="SOLICITUD A MOVILIDAD SOBRE INSTALACION DE SEMAFORO EN CRUZ DEL PARQUE MARACANA"/>
        <s v="CAMBIO DE POSTE DE REDES ELÉCTRICAS EN MAL ESTADO."/>
        <s v="GESTION ARREGLO POMPEYANO"/>
        <s v="REVISAR GESTIONES CON LIDER"/>
        <s v="REVISAR BASE PORQUE NO SE CUENTA Y GESTION (FERNANDO)"/>
        <s v="GESTION ARREGLO PARQUE"/>
        <s v="GESTION EMBELLECIMIENTO PARQUE AL LADO DE LA CANCHA"/>
        <s v="GESTION VIA EN MAL ESTADO"/>
        <s v="MAL PARQUEO CAMIONES Y MULAS MAS CONSTANTES CUADRA ESTRECHA (PENDIENTE COMPROBANTES COMUNIDAD)"/>
        <s v="MESA DE TRABAJO DE SEGUIMIENTO PARA REALIZAR FINALIZANDO AGOSTO ( OJO AVISAR CON 8 DIAS) SABADO, ENTRE SEMANA A LAS (6:00 PM)"/>
        <s v="REVISAR LA ALCANTARILLA SI HABIA EN LA CRA 81 D BIS SE INUNDA EN LA MITAD"/>
        <s v="GESTION DE ARREGLO DE ANDENES"/>
        <s v="LIMPIEZA DE 2 SUMIDEROS MANTENIMIENTO Y RESULTADO DE LA INSPECCION ( DIAGNOSTICO)"/>
        <s v="DOCUMENTO FORMAL CONFIRMANDO QUE EL CIV 8008052 ESTA EN EL BANCO DE INICIATIVAS"/>
        <s v="ACTA DE VISITA VIA REQUIERE AGUAS LLUVIAS/ NO HAY ALCANTARILLADO PLUVIAL"/>
        <s v="REALIZAR VISITA TÉCNICA E INCLUSIÓN EN EL BANCO DE INICIATIVAS."/>
        <s v="SE HIZO GESTION PROBLEMATICA HABITANTES PERO NO HAY RESPUESTA EN DRIVE"/>
        <s v="REVISAR CON LIDER GESTIONES "/>
        <s v="ENVIAR REPORTE A MOVILIDAD SOBRE INTERVENCIÓN DE SEÑALES EN MAL ESTADO."/>
        <s v="PROGRAMA GUARDA CAMINOS REUNION CON EL RECTOR"/>
        <s v="ESTUDIO DE MOVILIDAD DE RESALTOS PARABOLICOS"/>
        <s v="OPERATIVOS DE CONTROL ZONAS DE PARQUEO PERIMETRO DEL COLEGIO"/>
        <s v="TRASLADO DERECHO DE PETICIÓN SOBRE ÁRBOL Y POSIBLE NUEVA PLANTACIÓN"/>
        <s v="TRASLADO DE SOLICITUD DE VISITA UAESP A CUADRA POR POCA ILUMINACIÓN Y REVISAR ESTADO DE POSTE 11855185"/>
        <s v="REALIZAR DIAGNÓSTICO E INCLUSIÓN A BANCO DE INICIATIVAS"/>
        <s v="TRASLADO DE DERCHO DE PETICIÓN DE DIAGNOSTICO DE SECRETARIA DE SALUD SOBRE VECTORES."/>
        <s v="REPORTAR A AGUAS DE BOGOTÁ SOBRE LLANTAS"/>
        <s v="RETIRO DE CONTENEDORES"/>
        <s v="ENVIAR DE MANERA FORMAL EL ESTADO ACTUAL DE VÍAS."/>
        <s v="OPERATIVOS EN ZONA DE MAL PARQUEO (YA SE REALIZO UNO PERO NO TUVO IMPACTOO)"/>
        <s v="SOLICITAR INFORMACIÓN SOBRE EL PUENTE CLL 42 SUR"/>
        <s v="PROBLEMATICA CONTENEDORES"/>
        <s v="GESTION ARREGLO VIAS (CONSULTAR CON PASTORES)"/>
        <s v="PROBLEMATICA REDES DEL ACUEDUCTO"/>
        <s v="GESTION ARREGLO DE VIAS"/>
        <s v="ENVIAR ACTA DE ACUEDUCTO AL CONCEJAL SOBRE RESPUESTA DE LOS 2 PUNTOS. SOBRE EL SEGUNDO PUNTO ENVIAR INFORME QUE MENCIONÓ DELEGADO DE LA ENTIDAD, DONDE SE CONFIRMA QUE NO FUE INCLUIDO EN PLANES DE RENOVACIÓN PORQUE YA ESTÁ EN PVC."/>
        <s v="ENVIAR RESPUESTA FORMAL SOBRE LA REVISIÓN A LAS REDES DEL ACUEDUCTO."/>
        <s v="INFORME ESTADO DE VIA ALCALDIA (SE ENVIO POR CONCEJO NO HAY RESPUESTA)FERNANDO"/>
        <s v="INFORME ACUEDUCTO ESTADO DE REDES (SE ENVIO POR CONCEJO AUN NO HAY REPSUESTA) FERNANDO"/>
        <s v="TRASLADO DE FICHA TÉCNICA POR PARTE DEL DADEP A LA ALCALDÍA LOCAL, DE ACUERDO A ESTO, SE REALICE UN DIAGNÓSTICO DEL ANDÉN PARA QUE LA ALCALDÍA LOCAL PUEDA COMPLEMENTAR LA ZONA DEL ANDÉN, QUE FALTARÍA POR INTERVENIR."/>
        <s v="VALIDAR LA VIABILIDAD PARA LA INSTALACIÓN DE MATERAS, ASÍ COMO DETERMINAR LA CANTIDAD REQUERIDA Y LAS ÁREAS QUE NECESITAN PINTURA, CONFORME AL DIAGNÓSTICO TÉCNICO."/>
        <s v="GESTION DE ARREGLO PARQUE - MANTENIMIENTO"/>
        <s v="REALIZAR LAS GESTIONES PARA SOLICITAR A LA ENTIDAD COMPETENTE UNA JORNADA DE CONTROL DE VECTORES EN EL SECTOR."/>
        <s v="REVISAR LIDER GESTIONES (POR EJEMPLO VISITAR LA EMPRESA Y ESCUCHAR QUE NECESITAN SUS EMPLEADOS)"/>
        <s v="SE CONSULTARÁ CON LA UAESP SI YA SE HA REALIZADO INTERVENCIÓN EN LOS POSTES DE LUZ"/>
        <s v="EVALUAR ACCIONES CON POLICIA PORQUE CON EL FRENTE A SIDO COMPLICADO"/>
        <s v="REVISIÓN DEL ESTADO DE LAS VÍAS DEL SECTOR, EN ATENCIÓN A LA SOLICITUD DE LA COMUNIDAD PARA EL ARREGLO DE LAS BAHÍAS."/>
        <s v="SOBRE LA AV. VILLAVICENCIO SE IDENTIFICÓ EXTENSIÓN DE COMERCIO; LA ALCALDÍA REALIZARÁ JORNADA DE SENSIBILIZACIÓN CON LOS ESTABLECIMIENTOS DEL SECTOR."/>
        <s v="GESTIONES DE ARBOLES Y CABLES"/>
        <s v="REVISION CAMARAS PARA EL C4"/>
        <s v="PROBLEMATICA DE BASURAS (CAZAINFRACTORES)"/>
        <s v="EVALUAR CON LIDER FERIAS "/>
        <s v="DERECHO DE PETICIÓN PARA JORNADA DE SALUD ANIMAL (SE ENVIO DERECHO PERO AUN LIDER NO ENVIA)"/>
        <s v="LA ALCALDÍA ENVIARÁ INFORME DEL CONTRATISTA SOBRE LA PÓLIZA DE ESTABILIDAD QUE TIENE EL PARQUE CON CONTRATO 324 DEL 2019. (LA MESA SOLO ASISTIO LIDER, SERIA ARTICULAR CON SANDRA Y LUCY)"/>
        <s v="OPERATIVO SOBRE CAMBUCHES DE HABITANTES DE CALLE EN EL PARQUE CIUDAD TECHO II ENTRE LA NOCHE-MADRUGADA."/>
        <s v="GESTION ARREGLO DE VIA"/>
        <s v="GESTION POR VENDEDORES INFORMALES DESORGANIZADOS EN ESPACIO PUBLICO"/>
        <s v="ROEDORES POR MALA DISPOSICION DE RESIDUOS"/>
        <s v="SENSIBILIZACIÓN AL ESTABLECIMIENTO MERKAKOL SOBRE EL MANEJO DE SONIDO, EN EL MARCO DE LA LEY DE RUIDO."/>
        <s v="FERIA DE EMPLEO Y EMPRENDIMIENTO, ASÍ COMO JORNADA DE PERSONALIZACIÓN DE TARJETAS SITP PARA LA COMUNIDAD. revisar porque en la mesa solo fue 1 persona pero no apoya al Partido"/>
        <s v="LA ALCALDÍA LOCAL TOMA LA SOLICITUD PARA SU INCLUSIÓN EN EL BANCO DE INICIATIVAS, RELACIONADA CON LA INSTALACIÓN DE MALLA PARA LA CANCHA."/>
        <s v="SENSIBILIZACIÓN SOBRE VACUNACIÓN GRATUITA Y MANEJO DE EXCRETAS, DESARROLLADA ENTRE ENERO Y DICIEMBRE, EN ARTICULACIÓN CON LA POLICÍA COMUNITARIA."/>
        <s v="EVALUAR LA POSIBILIDAD, CON EL APOYO DE LA SUPERVISIÓN, DE REALIZAR ESTA ACTIVIDAD A TRAVÉS DEL CONTRATO DE FERRETERÍA O DE CONSTRUCCIÓN."/>
        <s v="REALIZACIÓN DEL DIAGNÓSTICO DE LA VÍA, INCLUYENDO EL POMPEYO."/>
        <s v="OFICIO FORMAL PARA LA INCLUSIÓN EN EL BANCO DE INICIATIVAS."/>
        <s v="SOLICITUD DE EVALUAR INSTALACION DE RESALTOS PARABOLICOS"/>
        <s v="SOLICITAR ESTADO DE POLIZA SOBRE ARREGLO DE VÍA, PARA SABER SOBRE LA SEÑALIZACION EN LA VÍA"/>
        <s v="INCLUSIÓN DEL SEGMENTO VÍAL EN BANCO DE INICIATIVAS."/>
        <s v="VISITA DEL INGENIERO JAVIER A LAS 10 AM EL DÍA LUNES 1 DE DICIEMBRE."/>
        <s v="ENVIARA A LA COMUNIDAD EL FORMATO DE FIRMAS CON EL CIV."/>
        <s v="no hay base. COORDINAR CON LA UMV LA VIABILIDAD DE LOS RESALTOS PARABÓLICOS Y GESTIONAR CON LA ENTIDAD DE MOVILIDAD EL RESPECTIVO CONCEPTO DE VIABILIDAD."/>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stado Mesas" cacheId="0" dataCaption="" compact="0" compactData="0">
  <location ref="A1:B23" firstHeaderRow="0" firstDataRow="1" firstDataCol="0"/>
  <pivotFields>
    <pivotField name="MES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BAR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LI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IGLESIA" compact="0" outline="0" multipleItemSelectionAllowed="1" showAll="0">
      <items>
        <item x="0"/>
        <item x="1"/>
        <item x="2"/>
        <item x="3"/>
        <item x="4"/>
        <item x="5"/>
        <item x="6"/>
        <item t="default"/>
      </items>
    </pivotField>
    <pivotField name="TEMA" axis="axisRow" compact="0" outline="0" multipleItemSelectionAllowed="1" showAll="0" sortType="ascending">
      <items>
        <item x="5"/>
        <item x="11"/>
        <item x="14"/>
        <item x="0"/>
        <item x="6"/>
        <item x="20"/>
        <item x="16"/>
        <item x="18"/>
        <item x="8"/>
        <item x="1"/>
        <item x="15"/>
        <item x="7"/>
        <item x="2"/>
        <item x="17"/>
        <item x="3"/>
        <item x="10"/>
        <item x="4"/>
        <item x="19"/>
        <item x="12"/>
        <item x="13"/>
        <item x="9"/>
        <item t="default"/>
      </items>
    </pivotField>
    <pivotField name="AC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s>
  <rowFields>
    <field x="4"/>
  </rowFields>
  <dataFields>
    <dataField name="COUNTA of MESA"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vuvsgdaprod.azurewebsites.net/Publico/FindIndexWeb.aspx" TargetMode="External"/><Relationship Id="rId42" Type="http://schemas.openxmlformats.org/officeDocument/2006/relationships/hyperlink" Target="https://app.gobiernobogota.gov.co/ventanilla_virtual/consulta" TargetMode="External"/><Relationship Id="rId41" Type="http://schemas.openxmlformats.org/officeDocument/2006/relationships/hyperlink" Target="https://app.gobiernobogota.gov.co/ventanilla_virtual/consulta" TargetMode="External"/><Relationship Id="rId44" Type="http://schemas.openxmlformats.org/officeDocument/2006/relationships/hyperlink" Target="mailto:luboni45@gmail.com" TargetMode="External"/><Relationship Id="rId43" Type="http://schemas.openxmlformats.org/officeDocument/2006/relationships/hyperlink" Target="https://app.gobiernobogota.gov.co/ventanilla_virtual/consulta" TargetMode="External"/><Relationship Id="rId46" Type="http://schemas.openxmlformats.org/officeDocument/2006/relationships/hyperlink" Target="https://app.gobiernobogota.gov.co/ventanilla_virtual/consulta" TargetMode="External"/><Relationship Id="rId45" Type="http://schemas.openxmlformats.org/officeDocument/2006/relationships/hyperlink" Target="https://app.gobiernobogota.gov.co/ventanilla_virtual/consulta" TargetMode="External"/><Relationship Id="rId1" Type="http://schemas.openxmlformats.org/officeDocument/2006/relationships/hyperlink" Target="https://gdocumental.uaesp.gov.co/pqrs/consultaWeb/" TargetMode="External"/><Relationship Id="rId2" Type="http://schemas.openxmlformats.org/officeDocument/2006/relationships/hyperlink" Target="https://gestiondocumental.movilidadbogota.gov.co/orfeo-api/" TargetMode="External"/><Relationship Id="rId3" Type="http://schemas.openxmlformats.org/officeDocument/2006/relationships/hyperlink" Target="mailto:gusmanandrea71@gmail.com" TargetMode="External"/><Relationship Id="rId4" Type="http://schemas.openxmlformats.org/officeDocument/2006/relationships/hyperlink" Target="https://gesdoc.desarrolloeconomico.gov.co/SGD_WEB/www/viewDocumentImageS.jsp?id=ACwZJOTy%2FSKT9EmSAwVrzg%3D%3D" TargetMode="External"/><Relationship Id="rId9" Type="http://schemas.openxmlformats.org/officeDocument/2006/relationships/hyperlink" Target="https://www.acueducto.com.co/wps/portal/EAB2/Home/atencion-al-usuario/pqrsd/consulta_el_estado_de_una_pqrsd/" TargetMode="External"/><Relationship Id="rId48" Type="http://schemas.openxmlformats.org/officeDocument/2006/relationships/hyperlink" Target="http://fut.redp.edu.co/FUT-web/" TargetMode="External"/><Relationship Id="rId47" Type="http://schemas.openxmlformats.org/officeDocument/2006/relationships/hyperlink" Target="https://app.gobiernobogota.gov.co/ventanilla_virtual/consulta" TargetMode="External"/><Relationship Id="rId49" Type="http://schemas.openxmlformats.org/officeDocument/2006/relationships/hyperlink" Target="https://webidu.idu.gov.co/conectaidu/consulta-radicado" TargetMode="External"/><Relationship Id="rId5" Type="http://schemas.openxmlformats.org/officeDocument/2006/relationships/hyperlink" Target="mailto:hayder.insuasty@gmail.com" TargetMode="External"/><Relationship Id="rId6" Type="http://schemas.openxmlformats.org/officeDocument/2006/relationships/hyperlink" Target="https://vuvsgdaprod.azurewebsites.net/Publico/FindIndexWeb.aspx." TargetMode="External"/><Relationship Id="rId7" Type="http://schemas.openxmlformats.org/officeDocument/2006/relationships/hyperlink" Target="https://gestiondocumental.movilidadbogota.gov.co/orfeo-api/" TargetMode="External"/><Relationship Id="rId8" Type="http://schemas.openxmlformats.org/officeDocument/2006/relationships/hyperlink" Target="mailto:ricardogutierrezcastano@gmail.com" TargetMode="External"/><Relationship Id="rId73" Type="http://schemas.openxmlformats.org/officeDocument/2006/relationships/hyperlink" Target="https://drive.google.com/drive/folders/1qyNepI5_7tR9S2N1rRhe-Iwbknx3WCQP?usp=drive_link" TargetMode="External"/><Relationship Id="rId72" Type="http://schemas.openxmlformats.org/officeDocument/2006/relationships/hyperlink" Target="https://sipa.sdp.gov.co/sipa/documentos/3784218/1-2026-25600.pdf" TargetMode="External"/><Relationship Id="rId31" Type="http://schemas.openxmlformats.org/officeDocument/2006/relationships/hyperlink" Target="https://gestiondocumental.movilidadbogota.gov.co/orfeo-api/" TargetMode="External"/><Relationship Id="rId30" Type="http://schemas.openxmlformats.org/officeDocument/2006/relationships/hyperlink" Target="https://app.gobiernobogota.gov.co/ventanilla_virtual/consulta" TargetMode="External"/><Relationship Id="rId74" Type="http://schemas.openxmlformats.org/officeDocument/2006/relationships/drawing" Target="../drawings/drawing2.xml"/><Relationship Id="rId33" Type="http://schemas.openxmlformats.org/officeDocument/2006/relationships/hyperlink" Target="https://app.gobiernobogota.gov.co/ventanilla_virtual/consulta" TargetMode="External"/><Relationship Id="rId32" Type="http://schemas.openxmlformats.org/officeDocument/2006/relationships/hyperlink" Target="https://app.gobiernobogota.gov.co/ventanilla_virtual/consulta" TargetMode="External"/><Relationship Id="rId35" Type="http://schemas.openxmlformats.org/officeDocument/2006/relationships/hyperlink" Target="https://gestiondocumental.movilidadbogota.gov.co/orfeo-api/" TargetMode="External"/><Relationship Id="rId34" Type="http://schemas.openxmlformats.org/officeDocument/2006/relationships/hyperlink" Target="https://gestiondocumental.movilidadbogota.gov.co/orfeo-api/" TargetMode="External"/><Relationship Id="rId71" Type="http://schemas.openxmlformats.org/officeDocument/2006/relationships/hyperlink" Target="https://drive.google.com/drive/folders/1WSTB1Wy8wX9iCuEfg_o1Ks3ESuefZVhI?usp=drive_link" TargetMode="External"/><Relationship Id="rId70" Type="http://schemas.openxmlformats.org/officeDocument/2006/relationships/hyperlink" Target="https://drive.google.com/drive/folders/1UEwuCRFc0i4ZDTiwEMdPIM6ppT4qoE4I?usp=drive_link" TargetMode="External"/><Relationship Id="rId37" Type="http://schemas.openxmlformats.org/officeDocument/2006/relationships/hyperlink" Target="http://bogota.gov.co/sdqs" TargetMode="External"/><Relationship Id="rId36" Type="http://schemas.openxmlformats.org/officeDocument/2006/relationships/hyperlink" Target="http://bogota.gov.co/sdqs" TargetMode="External"/><Relationship Id="rId39" Type="http://schemas.openxmlformats.org/officeDocument/2006/relationships/hyperlink" Target="https://app.gobiernobogota.gov.co/ventanilla_virtual/consulta" TargetMode="External"/><Relationship Id="rId38" Type="http://schemas.openxmlformats.org/officeDocument/2006/relationships/hyperlink" Target="http://webidu.idu.gov.co/conectaidu/consulta-radicado" TargetMode="External"/><Relationship Id="rId62" Type="http://schemas.openxmlformats.org/officeDocument/2006/relationships/hyperlink" Target="http://fut.redp.edu.co/FUT-web/" TargetMode="External"/><Relationship Id="rId61" Type="http://schemas.openxmlformats.org/officeDocument/2006/relationships/hyperlink" Target="https://app.gobiernobogota.gov.co/ventanilla_virtual/consulta" TargetMode="External"/><Relationship Id="rId20" Type="http://schemas.openxmlformats.org/officeDocument/2006/relationships/hyperlink" Target="https://sipa.sdp.gov.co/webfile/?consulta" TargetMode="External"/><Relationship Id="rId64" Type="http://schemas.openxmlformats.org/officeDocument/2006/relationships/hyperlink" Target="https://app.gobiernobogota.gov.co/ventanilla_virtual/consulta" TargetMode="External"/><Relationship Id="rId63" Type="http://schemas.openxmlformats.org/officeDocument/2006/relationships/hyperlink" Target="http://fut.redp.edu.co/FUT-web/" TargetMode="External"/><Relationship Id="rId22" Type="http://schemas.openxmlformats.org/officeDocument/2006/relationships/hyperlink" Target="https://app.gobiernobogota.gov.co/ventanilla_virtual/consulta" TargetMode="External"/><Relationship Id="rId66" Type="http://schemas.openxmlformats.org/officeDocument/2006/relationships/hyperlink" Target="https://app.gobiernobogota.gov.co/ventanilla_virtual/consulta" TargetMode="External"/><Relationship Id="rId21" Type="http://schemas.openxmlformats.org/officeDocument/2006/relationships/hyperlink" Target="https://app.gobiernobogota.gov.co/ventanilla_virtual/consulta" TargetMode="External"/><Relationship Id="rId65" Type="http://schemas.openxmlformats.org/officeDocument/2006/relationships/hyperlink" Target="https://app.gobiernobogota.gov.co/ventanilla_virtual/consulta" TargetMode="External"/><Relationship Id="rId24" Type="http://schemas.openxmlformats.org/officeDocument/2006/relationships/hyperlink" Target="https://vuvsgdaprod.azurewebsites.net/Publico/FindIndexWeb.aspx" TargetMode="External"/><Relationship Id="rId68" Type="http://schemas.openxmlformats.org/officeDocument/2006/relationships/hyperlink" Target="http://fut.redp.edu.co/FUT-web/" TargetMode="External"/><Relationship Id="rId23" Type="http://schemas.openxmlformats.org/officeDocument/2006/relationships/hyperlink" Target="mailto:lucemendoza1966@gmail.com" TargetMode="External"/><Relationship Id="rId67" Type="http://schemas.openxmlformats.org/officeDocument/2006/relationships/hyperlink" Target="https://app.gobiernobogota.gov.co/ventanilla_virtual/consulta" TargetMode="External"/><Relationship Id="rId60" Type="http://schemas.openxmlformats.org/officeDocument/2006/relationships/hyperlink" Target="https://vuvsgdaprod.azurewebsites.net/Publico/FindIndexWeb.aspx" TargetMode="External"/><Relationship Id="rId26" Type="http://schemas.openxmlformats.org/officeDocument/2006/relationships/hyperlink" Target="https://app.gobiernobogota.gov.co/ventanilla_virtual/consulta" TargetMode="External"/><Relationship Id="rId25" Type="http://schemas.openxmlformats.org/officeDocument/2006/relationships/hyperlink" Target="https://sdqs.bogota.gov.co/sdqs/publico/bandejaEntrada/" TargetMode="External"/><Relationship Id="rId69" Type="http://schemas.openxmlformats.org/officeDocument/2006/relationships/hyperlink" Target="https://app.gobiernobogota.gov.co/ventanilla_virtual/consulta" TargetMode="External"/><Relationship Id="rId28" Type="http://schemas.openxmlformats.org/officeDocument/2006/relationships/hyperlink" Target="https://vuvsgdaprod.azurewebsites.net/Publico/FindIndexWeb.aspx" TargetMode="External"/><Relationship Id="rId27" Type="http://schemas.openxmlformats.org/officeDocument/2006/relationships/hyperlink" Target="https://vuvsgdaprod.azurewebsites.net/Publico/FindIndexWeb.aspx" TargetMode="External"/><Relationship Id="rId29" Type="http://schemas.openxmlformats.org/officeDocument/2006/relationships/hyperlink" Target="https://app.gobiernobogota.gov.co/ventanilla_virtual/consulta" TargetMode="External"/><Relationship Id="rId51" Type="http://schemas.openxmlformats.org/officeDocument/2006/relationships/hyperlink" Target="http://fut.redp.edu.co/FUT-web/" TargetMode="External"/><Relationship Id="rId50" Type="http://schemas.openxmlformats.org/officeDocument/2006/relationships/hyperlink" Target="https://app.gobiernobogota.gov.co/ventanilla_virtual/consulta" TargetMode="External"/><Relationship Id="rId53" Type="http://schemas.openxmlformats.org/officeDocument/2006/relationships/hyperlink" Target="http://fut.redp.edu.co/FUT-web/" TargetMode="External"/><Relationship Id="rId52" Type="http://schemas.openxmlformats.org/officeDocument/2006/relationships/hyperlink" Target="https://gesdoc.desarrolloeconomico.gov.co/SGD_WEB/www/pqr.sdde.jsp" TargetMode="External"/><Relationship Id="rId11" Type="http://schemas.openxmlformats.org/officeDocument/2006/relationships/hyperlink" Target="http://fut.redp.edu.co/FUT-web/" TargetMode="External"/><Relationship Id="rId55" Type="http://schemas.openxmlformats.org/officeDocument/2006/relationships/hyperlink" Target="https://gestiondocumental.movilidadbogota.gov.co/orfeo-api/" TargetMode="External"/><Relationship Id="rId10" Type="http://schemas.openxmlformats.org/officeDocument/2006/relationships/hyperlink" Target="https://www.acueducto.com.co/wps/portal/EAB2/Home/atencion-al-usuario/pqrsd/consulta_el_estado_de_una_pqrsd/" TargetMode="External"/><Relationship Id="rId54" Type="http://schemas.openxmlformats.org/officeDocument/2006/relationships/hyperlink" Target="https://vuvsgdaprod.azurewebsites.net/Publico/FindIndexWeb.aspx" TargetMode="External"/><Relationship Id="rId13" Type="http://schemas.openxmlformats.org/officeDocument/2006/relationships/hyperlink" Target="https://webidu.idu.gov.co/conectaidu/consulta-radicado" TargetMode="External"/><Relationship Id="rId57" Type="http://schemas.openxmlformats.org/officeDocument/2006/relationships/hyperlink" Target="http://siga.habitatbogota.gov.co/WebSigaPQR/" TargetMode="External"/><Relationship Id="rId12" Type="http://schemas.openxmlformats.org/officeDocument/2006/relationships/hyperlink" Target="mailto:luboni45@gmail.com" TargetMode="External"/><Relationship Id="rId56" Type="http://schemas.openxmlformats.org/officeDocument/2006/relationships/hyperlink" Target="https://app.gobiernobogota.gov.co/ventanilla_virtual/consulta" TargetMode="External"/><Relationship Id="rId15" Type="http://schemas.openxmlformats.org/officeDocument/2006/relationships/hyperlink" Target="https://www.supersalud.gov.co/es-co/atencion-ciudadano/seguimiento-de-peticiones-quejas-reclamos-y-denuncias" TargetMode="External"/><Relationship Id="rId59" Type="http://schemas.openxmlformats.org/officeDocument/2006/relationships/hyperlink" Target="https://app.gobiernobogota.gov.co/ventanilla_virtual/consulta" TargetMode="External"/><Relationship Id="rId14" Type="http://schemas.openxmlformats.org/officeDocument/2006/relationships/hyperlink" Target="https://gdocumental.uaesp.gov.co/pqrs/consultaWeb/" TargetMode="External"/><Relationship Id="rId58" Type="http://schemas.openxmlformats.org/officeDocument/2006/relationships/hyperlink" Target="https://siga.scj.gov.co/WebSigaPQR/pqrQueryPanel/" TargetMode="External"/><Relationship Id="rId17" Type="http://schemas.openxmlformats.org/officeDocument/2006/relationships/hyperlink" Target="https://gdocumental.uaesp.gov.co/pqrs/consultaWeb/" TargetMode="External"/><Relationship Id="rId16" Type="http://schemas.openxmlformats.org/officeDocument/2006/relationships/hyperlink" Target="https://www.supersalud.gov.co/es-co/atencion-ciudadano/seguimiento-de-peticiones-quejas-reclamos-y-denuncias" TargetMode="External"/><Relationship Id="rId19" Type="http://schemas.openxmlformats.org/officeDocument/2006/relationships/hyperlink" Target="https://sipa.sdp.gov.co/sipa/documentos/3479373/1-2024-47291.pdf" TargetMode="External"/><Relationship Id="rId18" Type="http://schemas.openxmlformats.org/officeDocument/2006/relationships/hyperlink" Target="https://sdqs.bogota.gov.co/sdqs/publico/hojaRut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46XlSpxG0o4JbXSog80TIziPCTqpuvhF/edit?usp=drive_link&amp;ouid=111207493007649420992&amp;rtpof=true&amp;sd=true" TargetMode="External"/><Relationship Id="rId2" Type="http://schemas.openxmlformats.org/officeDocument/2006/relationships/hyperlink" Target="https://docs.google.com/document/d/1dmjT6eXfShmrRL_93uvrp-tr_l9XIU6R/edit?usp=drive_link&amp;ouid=111207493007649420992&amp;rtpof=true&amp;sd=true" TargetMode="External"/><Relationship Id="rId3" Type="http://schemas.openxmlformats.org/officeDocument/2006/relationships/hyperlink" Target="https://docs.google.com/document/d/1CunEUNO0FSyfI3c9IozjFIkHtPUMjtGW/edit?usp=drive_link&amp;ouid=111207493007649420992&amp;rtpof=true&amp;sd=true" TargetMode="External"/><Relationship Id="rId4" Type="http://schemas.openxmlformats.org/officeDocument/2006/relationships/hyperlink" Target="https://docs.google.com/document/d/14ndhueef22GQu6WmofsMHYaZBlp1V3vz/edit?usp=drive_link&amp;ouid=111207493007649420992&amp;rtpof=true&amp;sd=true" TargetMode="External"/><Relationship Id="rId5" Type="http://schemas.openxmlformats.org/officeDocument/2006/relationships/hyperlink" Target="https://docs.google.com/document/d/11XLoIFTpywkbxEG527yYkQiB2fwGBIXz/edit?usp=drive_link&amp;ouid=111207493007649420992&amp;rtpof=true&amp;sd=true" TargetMode="External"/><Relationship Id="rId6" Type="http://schemas.openxmlformats.org/officeDocument/2006/relationships/hyperlink" Target="https://docs.google.com/document/d/1P__jEfovt0YZm5lgnUoD__9te98LLdmP/edit?usp=drive_link&amp;ouid=111207493007649420992&amp;rtpof=true&amp;sd=true" TargetMode="External"/><Relationship Id="rId7" Type="http://schemas.openxmlformats.org/officeDocument/2006/relationships/hyperlink" Target="https://docs.google.com/document/d/1ghlndk8C_zaJK3h_L63IdR2YWvkyo8gF/edit"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presentation/d/1Bph9MF3O9XQEeB4ZS4jy1aZkdIzfk65U/edit?usp=sharing&amp;ouid=111207493007649420992&amp;rtpof=true&amp;sd=true" TargetMode="External"/><Relationship Id="rId2" Type="http://schemas.openxmlformats.org/officeDocument/2006/relationships/hyperlink" Target="https://docs.google.com/presentation/d/1cu177WmNr_yw68id73r1nN58fk9-CZTv/edit" TargetMode="External"/><Relationship Id="rId3" Type="http://schemas.openxmlformats.org/officeDocument/2006/relationships/hyperlink" Target="https://docs.google.com/presentation/d/1JpuDN8jDNg_2t-r2BcV06GkYqKFvuWcR/edit"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instagram.com/p/C9N_EP_vxld/?igsh=cm8wdXF1dWxmaWtq" TargetMode="External"/><Relationship Id="rId42" Type="http://schemas.openxmlformats.org/officeDocument/2006/relationships/hyperlink" Target="https://www.instagram.com/p/C_ExugWP9QT/?igsh=N2p3Y3U0ZXJvY3Z3" TargetMode="External"/><Relationship Id="rId41" Type="http://schemas.openxmlformats.org/officeDocument/2006/relationships/hyperlink" Target="https://www.instagram.com/p/C-6DxoUv9SC/?igsh=MWg3MTR0ZHVndjN3YQ==" TargetMode="External"/><Relationship Id="rId44" Type="http://schemas.openxmlformats.org/officeDocument/2006/relationships/hyperlink" Target="https://www.instagram.com/reel/C_gV-ezvVvj/?igsh=ZGJ6Y2l4NXpmNHRu" TargetMode="External"/><Relationship Id="rId43" Type="http://schemas.openxmlformats.org/officeDocument/2006/relationships/hyperlink" Target="https://www.instagram.com/reel/C_GpSHnvDoW/?igsh=MTJzN242emh2YmRiMA==" TargetMode="External"/><Relationship Id="rId46" Type="http://schemas.openxmlformats.org/officeDocument/2006/relationships/hyperlink" Target="https://www.instagram.com/p/C_tna8SvclM/?igsh=MWhxOTF6cXlybHQ5NA==" TargetMode="External"/><Relationship Id="rId45" Type="http://schemas.openxmlformats.org/officeDocument/2006/relationships/hyperlink" Target="https://www.instagram.com/reel/C_irf04OxrD/?igsh=Mmt4c2dvZDJvd2ph" TargetMode="External"/><Relationship Id="rId48" Type="http://schemas.openxmlformats.org/officeDocument/2006/relationships/hyperlink" Target="https://www.instagram.com/reel/C_4MYG1OH5v/?igsh=Zzk3djRycXJ3eDVs" TargetMode="External"/><Relationship Id="rId47" Type="http://schemas.openxmlformats.org/officeDocument/2006/relationships/hyperlink" Target="https://www.instagram.com/reel/C_yqsZDvKgb/?igsh=bmh3M2toNWZyb2Nr" TargetMode="External"/><Relationship Id="rId49" Type="http://schemas.openxmlformats.org/officeDocument/2006/relationships/hyperlink" Target="https://www.instagram.com/p/C_3myxIxap6/?igsh=MTNnM2lleHBodmVyNQ==" TargetMode="External"/><Relationship Id="rId101" Type="http://schemas.openxmlformats.org/officeDocument/2006/relationships/drawing" Target="../drawings/drawing12.xml"/><Relationship Id="rId100" Type="http://schemas.openxmlformats.org/officeDocument/2006/relationships/hyperlink" Target="https://x.com/lorenagarzond/status/1883877952699748858?t=d1ZtZzBaz2-7NmTjdqp1_A&amp;s=19" TargetMode="External"/><Relationship Id="rId31" Type="http://schemas.openxmlformats.org/officeDocument/2006/relationships/hyperlink" Target="https://www.instagram.com/reel/C8ipp3WN8ia/?igsh=MXE1bWo5eHFqYnVtZw==" TargetMode="External"/><Relationship Id="rId30" Type="http://schemas.openxmlformats.org/officeDocument/2006/relationships/hyperlink" Target="https://www.instagram.com/p/C8KVhmMObzk/?igsh=d2pmMjI0ZHRkY2Ru" TargetMode="External"/><Relationship Id="rId33" Type="http://schemas.openxmlformats.org/officeDocument/2006/relationships/hyperlink" Target="https://www.instagram.com/p/C8pgnNePGzr/?igsh=MWxlbnUydzhnOXQ4bw==" TargetMode="External"/><Relationship Id="rId32" Type="http://schemas.openxmlformats.org/officeDocument/2006/relationships/hyperlink" Target="https://www.instagram.com/p/C8mqb8Gujeb/?igsh=aWZhY3pocWhtcDl2" TargetMode="External"/><Relationship Id="rId35" Type="http://schemas.openxmlformats.org/officeDocument/2006/relationships/hyperlink" Target="https://www.instagram.com/p/C-DZwVjui7I/?igsh=NzgyOGh0MTA2b2J2" TargetMode="External"/><Relationship Id="rId34" Type="http://schemas.openxmlformats.org/officeDocument/2006/relationships/hyperlink" Target="https://www.instagram.com/p/C-Ga1mRPt4q/?igsh=MWxjaHJzbDlyODd4MA==" TargetMode="External"/><Relationship Id="rId37" Type="http://schemas.openxmlformats.org/officeDocument/2006/relationships/hyperlink" Target="https://www.instagram.com/p/C9ufSVAO6p6/?igsh=aGFnNndxNGsxN2Rq" TargetMode="External"/><Relationship Id="rId36" Type="http://schemas.openxmlformats.org/officeDocument/2006/relationships/hyperlink" Target="https://www.instagram.com/p/C9xqPUwPaKH/?igsh=MXRveWFhc285bHplZQ==" TargetMode="External"/><Relationship Id="rId39" Type="http://schemas.openxmlformats.org/officeDocument/2006/relationships/hyperlink" Target="https://www.instagram.com/reel/C9QXi1rvqCo/?igsh=ejRpeDJrZ3c2Mndz" TargetMode="External"/><Relationship Id="rId38" Type="http://schemas.openxmlformats.org/officeDocument/2006/relationships/hyperlink" Target="https://www.instagram.com/p/C9YZbH2P73B/?igsh=cHZ0eHJveTVsM2V1" TargetMode="External"/><Relationship Id="rId20" Type="http://schemas.openxmlformats.org/officeDocument/2006/relationships/hyperlink" Target="https://www.instagram.com/reel/C6SVCKsOXZR/?igsh=MXE0OTM4MWliZXdtZQ==" TargetMode="External"/><Relationship Id="rId22" Type="http://schemas.openxmlformats.org/officeDocument/2006/relationships/hyperlink" Target="https://www.instagram.com/p/C9C-wAnusAR/?igsh=MWc4cHN4bXl1NDNqNw==" TargetMode="External"/><Relationship Id="rId21" Type="http://schemas.openxmlformats.org/officeDocument/2006/relationships/hyperlink" Target="https://www.instagram.com/reel/C6Wop2kulNZ/?igsh=YTY5MWpzcG1ybXZw" TargetMode="External"/><Relationship Id="rId24" Type="http://schemas.openxmlformats.org/officeDocument/2006/relationships/hyperlink" Target="https://www.instagram.com/reel/C6u01K-uX9H/?igsh=MWN6bzk3d2RjamMxeQ==" TargetMode="External"/><Relationship Id="rId23" Type="http://schemas.openxmlformats.org/officeDocument/2006/relationships/hyperlink" Target="https://www.instagram.com/p/C6kbAEAOJbg/?igsh=MjhienhvbDAzNXA=" TargetMode="External"/><Relationship Id="rId26" Type="http://schemas.openxmlformats.org/officeDocument/2006/relationships/hyperlink" Target="https://www.instagram.com/p/C7JyD2xOglS/?igsh=MXA1N3QwbjZod2I5ZA==" TargetMode="External"/><Relationship Id="rId25" Type="http://schemas.openxmlformats.org/officeDocument/2006/relationships/hyperlink" Target="https://www.instagram.com/reel/C7DL280CFRS/?igsh=NTc5bmplbnVldnJn" TargetMode="External"/><Relationship Id="rId28" Type="http://schemas.openxmlformats.org/officeDocument/2006/relationships/hyperlink" Target="https://www.instagram.com/reel/C7aOExpPh4e/?igsh=MXd6MjJ3N3BvemJ1dQ==" TargetMode="External"/><Relationship Id="rId27" Type="http://schemas.openxmlformats.org/officeDocument/2006/relationships/hyperlink" Target="https://www.instagram.com/reel/C7NxcFuu1n8/?igsh=MWhmbDZoc3UzeXh6Yg==" TargetMode="External"/><Relationship Id="rId29" Type="http://schemas.openxmlformats.org/officeDocument/2006/relationships/hyperlink" Target="https://www.instagram.com/reel/C7hyB0pv9Fu/?igsh=MXN4NnRuZzJqZjV0cA==" TargetMode="External"/><Relationship Id="rId95" Type="http://schemas.openxmlformats.org/officeDocument/2006/relationships/hyperlink" Target="https://www.instagram.com/reel/DEnTDE3vRmm/?igsh=MXY5ZHBib3ZjdmVheQ==" TargetMode="External"/><Relationship Id="rId94" Type="http://schemas.openxmlformats.org/officeDocument/2006/relationships/hyperlink" Target="https://www.instagram.com/p/DD2w3g0P6kj/?igsh=YXJjOTVxNTlhOHRx" TargetMode="External"/><Relationship Id="rId97" Type="http://schemas.openxmlformats.org/officeDocument/2006/relationships/hyperlink" Target="https://www.instagram.com/p/DFGmNIsPhpx/?igsh=Nm52YjQ4d3oxa2V3" TargetMode="External"/><Relationship Id="rId96" Type="http://schemas.openxmlformats.org/officeDocument/2006/relationships/hyperlink" Target="https://x.com/lorenagarzond/status/1877522522066849912?t=Racfxo_jgOeXFK94D5qUPw&amp;s=19" TargetMode="External"/><Relationship Id="rId11" Type="http://schemas.openxmlformats.org/officeDocument/2006/relationships/hyperlink" Target="https://www.instagram.com/reel/C5jKanCva4M/?igsh=MWw2a3IwbTZmZ2M5ag==" TargetMode="External"/><Relationship Id="rId99" Type="http://schemas.openxmlformats.org/officeDocument/2006/relationships/hyperlink" Target="https://www.instagram.com/reel/DFVk55wvpZT/?igsh=MXNpbHg5eWp3aTdlNQ==" TargetMode="External"/><Relationship Id="rId10" Type="http://schemas.openxmlformats.org/officeDocument/2006/relationships/hyperlink" Target="https://www.instagram.com/p/C5j3iY3OdLf/?igsh=dHp5eHdscDdpNnQ5" TargetMode="External"/><Relationship Id="rId98" Type="http://schemas.openxmlformats.org/officeDocument/2006/relationships/hyperlink" Target="https://x.com/lorenagarzond/status/1881832870316216435?t=GGduE8yQ3TEfCLsYMVqzvg&amp;s=19" TargetMode="External"/><Relationship Id="rId13" Type="http://schemas.openxmlformats.org/officeDocument/2006/relationships/hyperlink" Target="https://www.instagram.com/p/C5pDEU9vxJR/?igsh=aTJkb2FhbGo0Nzd2" TargetMode="External"/><Relationship Id="rId12" Type="http://schemas.openxmlformats.org/officeDocument/2006/relationships/hyperlink" Target="https://www.instagram.com/p/C5mPxLkvlPN/?igsh=MXNjNXdpZXJ6bHBzMg==" TargetMode="External"/><Relationship Id="rId91" Type="http://schemas.openxmlformats.org/officeDocument/2006/relationships/hyperlink" Target="https://www.instagram.com/reel/DDfpgyDvfJ4/?igsh=MTR2bTdoNmsyNzZjNg==" TargetMode="External"/><Relationship Id="rId90" Type="http://schemas.openxmlformats.org/officeDocument/2006/relationships/hyperlink" Target="https://www.instagram.com/p/DDdKs87Pu0s/?igsh=MW00d3pnYng2dzVjbA==" TargetMode="External"/><Relationship Id="rId93" Type="http://schemas.openxmlformats.org/officeDocument/2006/relationships/hyperlink" Target="https://x.com/lorenagarzond/status/1867321903679254876?t=cegRxGrTh8Yd0DFgAGKDEw&amp;s=19" TargetMode="External"/><Relationship Id="rId92" Type="http://schemas.openxmlformats.org/officeDocument/2006/relationships/hyperlink" Target="https://www.instagram.com/p/DDpy07YPN2w/?igsh=eGl3MTE3aXQwOHk0" TargetMode="External"/><Relationship Id="rId15" Type="http://schemas.openxmlformats.org/officeDocument/2006/relationships/hyperlink" Target="https://www.instagram.com/reel/C5W9YdJPFQk/?igsh=MTVlZDZoZ2o2dXgzMA==" TargetMode="External"/><Relationship Id="rId14" Type="http://schemas.openxmlformats.org/officeDocument/2006/relationships/hyperlink" Target="https://www.instagram.com/p/C5rwRPHuUlr/?igsh=MzRvNTMzaXoyend2" TargetMode="External"/><Relationship Id="rId17" Type="http://schemas.openxmlformats.org/officeDocument/2006/relationships/hyperlink" Target="https://www.instagram.com/p/C54sXP0O7tU/?igsh=MWl4dDU0ZDgwMjZxMQ==" TargetMode="External"/><Relationship Id="rId16" Type="http://schemas.openxmlformats.org/officeDocument/2006/relationships/hyperlink" Target="https://www.instagram.com/reel/C52I9nbu1lR/?igsh=MXB1NDg2aWQwN2w2NA==" TargetMode="External"/><Relationship Id="rId19" Type="http://schemas.openxmlformats.org/officeDocument/2006/relationships/hyperlink" Target="https://www.instagram.com/p/C6JLgNyOnPE/?igsh=MXRwM3U2OHU1b2cxaw==" TargetMode="External"/><Relationship Id="rId18" Type="http://schemas.openxmlformats.org/officeDocument/2006/relationships/hyperlink" Target="https://www.instagram.com/reel/C6ET3vWu2o3/?igsh=MTd1cjQ4cjlnZzVuZA==" TargetMode="External"/><Relationship Id="rId84" Type="http://schemas.openxmlformats.org/officeDocument/2006/relationships/hyperlink" Target="https://www.instagram.com/reel/DChvC0Vv-Nv/?igsh=MXVqMTlwdjBoc29oaQ==" TargetMode="External"/><Relationship Id="rId83" Type="http://schemas.openxmlformats.org/officeDocument/2006/relationships/hyperlink" Target="https://www.instagram.com/reel/DCCZpvbJAIw/?igsh=OWt3MmRnbzcxdG1w" TargetMode="External"/><Relationship Id="rId86" Type="http://schemas.openxmlformats.org/officeDocument/2006/relationships/hyperlink" Target="https://www.instagram.com/share/p/_8PpRrMhe" TargetMode="External"/><Relationship Id="rId85" Type="http://schemas.openxmlformats.org/officeDocument/2006/relationships/hyperlink" Target="https://www.instagram.com/reel/DCkD_2gvw59/?igsh=MWJjbzYxMmxlZ2I5ZA==" TargetMode="External"/><Relationship Id="rId88" Type="http://schemas.openxmlformats.org/officeDocument/2006/relationships/hyperlink" Target="https://www.instagram.com/reel/DDFzfVjPCqn/?igsh=amtkMXd2ZTg0c2Ny" TargetMode="External"/><Relationship Id="rId87" Type="http://schemas.openxmlformats.org/officeDocument/2006/relationships/hyperlink" Target="https://www.instagram.com/share/p/_1hubtt2o" TargetMode="External"/><Relationship Id="rId89" Type="http://schemas.openxmlformats.org/officeDocument/2006/relationships/hyperlink" Target="https://www.instagram.com/reel/DDc3sWzv1Jl/?igsh=MXgwdjh0cGxjNnhk" TargetMode="External"/><Relationship Id="rId80" Type="http://schemas.openxmlformats.org/officeDocument/2006/relationships/hyperlink" Target="https://www.instagram.com/p/DBt1bhnPA5v/?igsh=MTFkOHdudWRwdm9vYw==" TargetMode="External"/><Relationship Id="rId82" Type="http://schemas.openxmlformats.org/officeDocument/2006/relationships/hyperlink" Target="https://www.instagram.com/p/DCANsRiv2g1/?igsh=MWxkanF6cDlzdGRjMQ==" TargetMode="External"/><Relationship Id="rId81" Type="http://schemas.openxmlformats.org/officeDocument/2006/relationships/hyperlink" Target="https://www.instagram.com/p/DBwcDk3v0Gx/?igsh=MWY4aXRlZHlhZWt3aQ==" TargetMode="External"/><Relationship Id="rId1" Type="http://schemas.openxmlformats.org/officeDocument/2006/relationships/hyperlink" Target="https://www.instagram.com/p/C4Qx5pOOajb/?igsh=MTAwNm5leGY2cjVudg==" TargetMode="External"/><Relationship Id="rId2" Type="http://schemas.openxmlformats.org/officeDocument/2006/relationships/hyperlink" Target="https://www.instagram.com/reel/C4UNd8luhg2/?igsh=dTdkamgzeDVsdXpn" TargetMode="External"/><Relationship Id="rId3" Type="http://schemas.openxmlformats.org/officeDocument/2006/relationships/hyperlink" Target="https://www.instagram.com/reel/C4a_SeLOlJG/?igsh=MWhucjBtc2N6ajNhdQ==" TargetMode="External"/><Relationship Id="rId4" Type="http://schemas.openxmlformats.org/officeDocument/2006/relationships/hyperlink" Target="https://www.instagram.com/p/C4gNz1KuQ5P/?igsh=MWZzc21teGlwejl2dA==" TargetMode="External"/><Relationship Id="rId9" Type="http://schemas.openxmlformats.org/officeDocument/2006/relationships/hyperlink" Target="https://www.instagram.com/p/C5caX-Musnc/?igsh=Y3M4c3NoeGUzeGg1" TargetMode="External"/><Relationship Id="rId5" Type="http://schemas.openxmlformats.org/officeDocument/2006/relationships/hyperlink" Target="https://www.instagram.com/p/C4in4FSOW6L/?igsh=NTM4djd2dXRiYWM0" TargetMode="External"/><Relationship Id="rId6" Type="http://schemas.openxmlformats.org/officeDocument/2006/relationships/hyperlink" Target="https://www.instagram.com/reel/C4n_yCyukE9/?igsh=MTh4YThkcWF6NGoyeg%3D%3D" TargetMode="External"/><Relationship Id="rId7" Type="http://schemas.openxmlformats.org/officeDocument/2006/relationships/hyperlink" Target="https://www.instagram.com/reel/C5ZIeSVviE3/?igsh=cmg5ZzhxbXRmN24z" TargetMode="External"/><Relationship Id="rId8" Type="http://schemas.openxmlformats.org/officeDocument/2006/relationships/hyperlink" Target="https://www.instagram.com/p/C5ZwmQmOU6N/?igsh=djc2amF3NzQ5cnFv" TargetMode="External"/><Relationship Id="rId73" Type="http://schemas.openxmlformats.org/officeDocument/2006/relationships/hyperlink" Target="https://www.instagram.com/p/DBUnRWbvkbn/?igsh=MXhqa243cWt0b25sbA==" TargetMode="External"/><Relationship Id="rId72" Type="http://schemas.openxmlformats.org/officeDocument/2006/relationships/hyperlink" Target="https://docs.google.com/spreadsheets/d/1chzYXS89GvLfL53oVtgsGlDccp2h1OY8PQzrMRayUPM/edit?usp=sharing" TargetMode="External"/><Relationship Id="rId75" Type="http://schemas.openxmlformats.org/officeDocument/2006/relationships/hyperlink" Target="https://www.instagram.com/reel/DBcHjyCvP0S/?igsh=NDY2dXU2em9wemQx" TargetMode="External"/><Relationship Id="rId74" Type="http://schemas.openxmlformats.org/officeDocument/2006/relationships/hyperlink" Target="https://www.instagram.com/p/DBbrw9rPbdl/?igsh=czR6NGh5NnpteWZ5" TargetMode="External"/><Relationship Id="rId77" Type="http://schemas.openxmlformats.org/officeDocument/2006/relationships/hyperlink" Target="https://www.instagram.com/reel/DBi9yFfuMlC/?igsh=cDRxYmRieHlzbnVs" TargetMode="External"/><Relationship Id="rId76" Type="http://schemas.openxmlformats.org/officeDocument/2006/relationships/hyperlink" Target="https://www.instagram.com/p/DBe389pP03u/?igsh=anNtamdseWxpNDgw" TargetMode="External"/><Relationship Id="rId79" Type="http://schemas.openxmlformats.org/officeDocument/2006/relationships/hyperlink" Target="https://www.instagram.com/p/DBrOFN_vGfj/?igsh=YWczNjBuNWcybndk" TargetMode="External"/><Relationship Id="rId78" Type="http://schemas.openxmlformats.org/officeDocument/2006/relationships/hyperlink" Target="https://www.instagram.com/p/DBkLAysvMya/?igsh=MWdnNW5yN2V5Y214" TargetMode="External"/><Relationship Id="rId71" Type="http://schemas.openxmlformats.org/officeDocument/2006/relationships/hyperlink" Target="https://www.instagram.com/reel/DBH4ExkPayW/?igsh=azY3Nm9ldmM5cjZz" TargetMode="External"/><Relationship Id="rId70" Type="http://schemas.openxmlformats.org/officeDocument/2006/relationships/hyperlink" Target="https://www.instagram.com/p/DA_VLnLvBvx/?igsh=bzR4MTFod3RidDh6" TargetMode="External"/><Relationship Id="rId62" Type="http://schemas.openxmlformats.org/officeDocument/2006/relationships/hyperlink" Target="https://www.instagram.com/p/DAloQypvYWy/?igsh=MWdrcDBjZDhoMHVhag==" TargetMode="External"/><Relationship Id="rId61" Type="http://schemas.openxmlformats.org/officeDocument/2006/relationships/hyperlink" Target="https://www.instagram.com/p/DAe0lYNPO2w/?igsh=bWI1NTd3bXVqNzVh" TargetMode="External"/><Relationship Id="rId64" Type="http://schemas.openxmlformats.org/officeDocument/2006/relationships/hyperlink" Target="https://www.instagram.com/p/DBbrw9rPbdl/?igsh=czR6NGh5NnpteWZ5" TargetMode="External"/><Relationship Id="rId63" Type="http://schemas.openxmlformats.org/officeDocument/2006/relationships/hyperlink" Target="https://www.instagram.com/p/DAeswe3PKmV/?igsh=c2NyOXpyZHFobmpq" TargetMode="External"/><Relationship Id="rId66" Type="http://schemas.openxmlformats.org/officeDocument/2006/relationships/hyperlink" Target="https://www.instagram.com/reel/DA0kFNrv6zM/?igsh=MTF1cDV4ZzUyNGN6eg==" TargetMode="External"/><Relationship Id="rId65" Type="http://schemas.openxmlformats.org/officeDocument/2006/relationships/hyperlink" Target="https://www.instagram.com/p/DAloQypvYWy/?igsh=MWdrcDBjZDhoMHVhag==" TargetMode="External"/><Relationship Id="rId68" Type="http://schemas.openxmlformats.org/officeDocument/2006/relationships/hyperlink" Target="https://www.instagram.com/reel/DA5tuM_veAa/?igsh=MWlrNDVpMTVzYWg3Ng==" TargetMode="External"/><Relationship Id="rId67" Type="http://schemas.openxmlformats.org/officeDocument/2006/relationships/hyperlink" Target="https://www.instagram.com/reel/DA0kFNrv6zM/?igsh=MTF1cDV4ZzUyNGN6eg==" TargetMode="External"/><Relationship Id="rId60" Type="http://schemas.openxmlformats.org/officeDocument/2006/relationships/hyperlink" Target="https://www.instagram.com/reel/DAboWIJv29s/?igsh=eXl1dG9yNnFxbHkx" TargetMode="External"/><Relationship Id="rId69" Type="http://schemas.openxmlformats.org/officeDocument/2006/relationships/hyperlink" Target="https://www.instagram.com/p/DA8-4MoP3-w/?igsh=MXA2bWJnanZrNzJpeQ==" TargetMode="External"/><Relationship Id="rId51" Type="http://schemas.openxmlformats.org/officeDocument/2006/relationships/hyperlink" Target="https://www.instagram.com/p/C__9OaqPL7F/?igsh=MWxrYnNtd3BsNm9pZA==" TargetMode="External"/><Relationship Id="rId50" Type="http://schemas.openxmlformats.org/officeDocument/2006/relationships/hyperlink" Target="https://www.instagram.com/reel/C_-i3DeuSwu/?igsh=cXQzaXFjODQydmxq" TargetMode="External"/><Relationship Id="rId53" Type="http://schemas.openxmlformats.org/officeDocument/2006/relationships/hyperlink" Target="https://www.instagram.com/reel/DAHvey_v-5z/?igsh=MWdpNjlueWRhMjBwcw==" TargetMode="External"/><Relationship Id="rId52" Type="http://schemas.openxmlformats.org/officeDocument/2006/relationships/hyperlink" Target="https://www.instagram.com/p/DACbewFPCxY/?igsh=MXBjOTY2MGphZTg0Zw==" TargetMode="External"/><Relationship Id="rId55" Type="http://schemas.openxmlformats.org/officeDocument/2006/relationships/hyperlink" Target="https://www.instagram.com/p/DARq-ZTvYCv/?igsh=eGRjMmhmYXRoNW0=" TargetMode="External"/><Relationship Id="rId54" Type="http://schemas.openxmlformats.org/officeDocument/2006/relationships/hyperlink" Target="https://www.instagram.com/p/DAMFmVRv8na/?igsh=MWJ6b2wwMHN2ZWFsaA==" TargetMode="External"/><Relationship Id="rId57" Type="http://schemas.openxmlformats.org/officeDocument/2006/relationships/hyperlink" Target="https://www.instagram.com/p/DAUUpNEP9a7/?igsh=MXpxc2RkcTVybnJz" TargetMode="External"/><Relationship Id="rId56" Type="http://schemas.openxmlformats.org/officeDocument/2006/relationships/hyperlink" Target="https://www.instagram.com/p/DAT4ombvJoo/?igsh=dmFqYjg5YmFxdTE=" TargetMode="External"/><Relationship Id="rId59" Type="http://schemas.openxmlformats.org/officeDocument/2006/relationships/hyperlink" Target="https://www.instagram.com/p/DAZuIVRv7Xe/?igsh=MXZ3YnR3MWk2cmRucg==" TargetMode="External"/><Relationship Id="rId58" Type="http://schemas.openxmlformats.org/officeDocument/2006/relationships/hyperlink" Target="https://www.instagram.com/p/DAYjKuNOCWQ/?igsh=MWhobmliZm93YmIyMA=="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6.0"/>
  </cols>
  <sheetData>
    <row r="1">
      <c r="A1" s="1" t="s">
        <v>0</v>
      </c>
      <c r="B1" s="2" t="s">
        <v>1</v>
      </c>
    </row>
    <row r="2" ht="33.0" customHeight="1">
      <c r="A2" s="3" t="s">
        <v>2</v>
      </c>
      <c r="B2" s="4" t="s">
        <v>3</v>
      </c>
    </row>
    <row r="3" ht="44.25" customHeight="1">
      <c r="A3" s="5" t="s">
        <v>4</v>
      </c>
      <c r="B3" s="6" t="s">
        <v>5</v>
      </c>
    </row>
    <row r="4" ht="56.25" customHeight="1">
      <c r="A4" s="3" t="s">
        <v>6</v>
      </c>
      <c r="B4" s="7" t="s">
        <v>7</v>
      </c>
    </row>
    <row r="5" ht="38.25" customHeight="1">
      <c r="A5" s="3" t="s">
        <v>8</v>
      </c>
      <c r="B5" s="4" t="s">
        <v>9</v>
      </c>
    </row>
    <row r="6">
      <c r="A6" s="3" t="s">
        <v>10</v>
      </c>
      <c r="B6" s="7" t="s">
        <v>11</v>
      </c>
    </row>
    <row r="7">
      <c r="A7" s="3" t="s">
        <v>12</v>
      </c>
      <c r="B7" s="8" t="s">
        <v>13</v>
      </c>
    </row>
    <row r="8">
      <c r="A8" s="3" t="s">
        <v>14</v>
      </c>
      <c r="B8" s="8" t="s">
        <v>15</v>
      </c>
    </row>
    <row r="9">
      <c r="A9" s="3" t="s">
        <v>16</v>
      </c>
      <c r="B9" s="8"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7.75"/>
    <col customWidth="1" min="3" max="3" width="14.5"/>
    <col customWidth="1" min="4" max="4" width="16.63"/>
    <col customWidth="1" min="5" max="5" width="22.13"/>
    <col customWidth="1" min="6" max="6" width="17.0"/>
    <col customWidth="1" min="7" max="7" width="53.75"/>
    <col customWidth="1" min="8" max="8" width="18.5"/>
    <col customWidth="1" min="9" max="9" width="27.13"/>
    <col customWidth="1" min="12" max="12" width="16.88"/>
    <col customWidth="1" min="13" max="13" width="18.75"/>
    <col customWidth="1" min="14" max="14" width="20.63"/>
    <col customWidth="1" min="15" max="15" width="31.38"/>
    <col customWidth="1" min="16" max="16" width="14.0"/>
    <col customWidth="1" min="17" max="17" width="22.5"/>
    <col customWidth="1" min="18" max="18" width="20.75"/>
    <col customWidth="1" min="19" max="19" width="21.25"/>
    <col customWidth="1" min="20" max="20" width="23.75"/>
    <col customWidth="1" min="21" max="22" width="21.25"/>
    <col customWidth="1" min="23" max="23" width="30.63"/>
    <col customWidth="1" min="24" max="24" width="19.38"/>
    <col customWidth="1" min="25" max="25" width="46.5"/>
    <col customWidth="1" min="26" max="26" width="13.13"/>
    <col customWidth="1" min="27" max="27" width="15.75"/>
    <col customWidth="1" min="28" max="29" width="14.25"/>
    <col customWidth="1" min="30" max="30" width="19.63"/>
    <col customWidth="1" min="31" max="31" width="24.63"/>
    <col customWidth="1" min="32" max="35" width="21.5"/>
    <col customWidth="1" min="36" max="36" width="26.25"/>
    <col customWidth="1" min="37" max="37" width="22.63"/>
  </cols>
  <sheetData>
    <row r="1" ht="28.5" customHeight="1">
      <c r="A1" s="9" t="s">
        <v>18</v>
      </c>
      <c r="B1" s="10" t="s">
        <v>19</v>
      </c>
      <c r="C1" s="11" t="s">
        <v>20</v>
      </c>
      <c r="D1" s="12" t="s">
        <v>21</v>
      </c>
      <c r="E1" s="11" t="s">
        <v>22</v>
      </c>
      <c r="F1" s="13" t="s">
        <v>23</v>
      </c>
      <c r="G1" s="11" t="s">
        <v>24</v>
      </c>
      <c r="H1" s="14" t="s">
        <v>25</v>
      </c>
      <c r="I1" s="11" t="s">
        <v>26</v>
      </c>
      <c r="J1" s="15" t="s">
        <v>27</v>
      </c>
      <c r="K1" s="11" t="s">
        <v>28</v>
      </c>
      <c r="L1" s="11" t="s">
        <v>29</v>
      </c>
      <c r="M1" s="11" t="s">
        <v>30</v>
      </c>
      <c r="N1" s="11" t="s">
        <v>31</v>
      </c>
      <c r="O1" s="11" t="s">
        <v>32</v>
      </c>
      <c r="P1" s="11" t="s">
        <v>33</v>
      </c>
      <c r="Q1" s="16" t="s">
        <v>34</v>
      </c>
      <c r="R1" s="17" t="s">
        <v>35</v>
      </c>
      <c r="S1" s="16" t="s">
        <v>36</v>
      </c>
      <c r="T1" s="11" t="s">
        <v>37</v>
      </c>
      <c r="U1" s="18" t="s">
        <v>38</v>
      </c>
      <c r="V1" s="11" t="s">
        <v>39</v>
      </c>
      <c r="W1" s="13" t="s">
        <v>40</v>
      </c>
      <c r="X1" s="19" t="s">
        <v>41</v>
      </c>
      <c r="Y1" s="13" t="s">
        <v>42</v>
      </c>
      <c r="Z1" s="13" t="s">
        <v>43</v>
      </c>
      <c r="AA1" s="13" t="s">
        <v>44</v>
      </c>
      <c r="AB1" s="13" t="s">
        <v>45</v>
      </c>
      <c r="AC1" s="11" t="s">
        <v>46</v>
      </c>
      <c r="AD1" s="13" t="s">
        <v>47</v>
      </c>
      <c r="AE1" s="13" t="s">
        <v>48</v>
      </c>
      <c r="AF1" s="13" t="s">
        <v>49</v>
      </c>
      <c r="AG1" s="13" t="s">
        <v>50</v>
      </c>
      <c r="AH1" s="20" t="s">
        <v>51</v>
      </c>
      <c r="AI1" s="21" t="s">
        <v>52</v>
      </c>
      <c r="AJ1" s="22" t="s">
        <v>53</v>
      </c>
      <c r="AK1" s="23"/>
      <c r="AL1" s="24"/>
      <c r="AM1" s="24"/>
      <c r="AN1" s="24"/>
    </row>
    <row r="2" ht="27.75" customHeight="1">
      <c r="A2" s="25">
        <v>2024.0</v>
      </c>
      <c r="B2" s="26">
        <v>1.0</v>
      </c>
      <c r="C2" s="27" t="s">
        <v>54</v>
      </c>
      <c r="D2" s="28">
        <v>2.02400001E8</v>
      </c>
      <c r="E2" s="26" t="s">
        <v>2</v>
      </c>
      <c r="F2" s="29" t="s">
        <v>55</v>
      </c>
      <c r="G2" s="30" t="s">
        <v>56</v>
      </c>
      <c r="H2" s="29" t="s">
        <v>57</v>
      </c>
      <c r="I2" s="29" t="s">
        <v>57</v>
      </c>
      <c r="J2" s="25" t="s">
        <v>57</v>
      </c>
      <c r="K2" s="27" t="s">
        <v>58</v>
      </c>
      <c r="L2" s="27" t="s">
        <v>59</v>
      </c>
      <c r="M2" s="27" t="s">
        <v>60</v>
      </c>
      <c r="N2" s="25" t="s">
        <v>61</v>
      </c>
      <c r="O2" s="25" t="s">
        <v>62</v>
      </c>
      <c r="P2" s="27" t="s">
        <v>57</v>
      </c>
      <c r="Q2" s="27" t="s">
        <v>57</v>
      </c>
      <c r="R2" s="25" t="s">
        <v>57</v>
      </c>
      <c r="S2" s="27" t="s">
        <v>57</v>
      </c>
      <c r="T2" s="26" t="s">
        <v>63</v>
      </c>
      <c r="U2" s="29" t="s">
        <v>64</v>
      </c>
      <c r="V2" s="27" t="s">
        <v>65</v>
      </c>
      <c r="W2" s="27" t="s">
        <v>57</v>
      </c>
      <c r="X2" s="25" t="s">
        <v>57</v>
      </c>
      <c r="Y2" s="25" t="s">
        <v>57</v>
      </c>
      <c r="Z2" s="31" t="s">
        <v>57</v>
      </c>
      <c r="AA2" s="31" t="s">
        <v>57</v>
      </c>
      <c r="AB2" s="31" t="s">
        <v>57</v>
      </c>
      <c r="AC2" s="32" t="s">
        <v>66</v>
      </c>
      <c r="AD2" s="27" t="s">
        <v>67</v>
      </c>
      <c r="AE2" s="25" t="s">
        <v>57</v>
      </c>
      <c r="AF2" s="33" t="s">
        <v>68</v>
      </c>
      <c r="AG2" s="34" t="s">
        <v>69</v>
      </c>
      <c r="AH2" s="35"/>
      <c r="AI2" s="36" t="s">
        <v>70</v>
      </c>
      <c r="AJ2" s="37" t="b">
        <v>1</v>
      </c>
      <c r="AK2" s="38"/>
      <c r="AL2" s="39"/>
      <c r="AM2" s="39"/>
      <c r="AN2" s="39"/>
    </row>
    <row r="3" ht="18.0" customHeight="1">
      <c r="A3" s="34">
        <v>2024.0</v>
      </c>
      <c r="B3" s="29">
        <v>1.0</v>
      </c>
      <c r="C3" s="37" t="s">
        <v>54</v>
      </c>
      <c r="D3" s="40">
        <v>2.02400002E8</v>
      </c>
      <c r="E3" s="27" t="s">
        <v>71</v>
      </c>
      <c r="F3" s="37" t="s">
        <v>72</v>
      </c>
      <c r="G3" s="30" t="s">
        <v>73</v>
      </c>
      <c r="H3" s="29" t="s">
        <v>57</v>
      </c>
      <c r="I3" s="27" t="s">
        <v>74</v>
      </c>
      <c r="J3" s="25" t="s">
        <v>75</v>
      </c>
      <c r="K3" s="27" t="s">
        <v>58</v>
      </c>
      <c r="L3" s="27" t="s">
        <v>59</v>
      </c>
      <c r="M3" s="27" t="s">
        <v>60</v>
      </c>
      <c r="N3" s="25" t="s">
        <v>61</v>
      </c>
      <c r="O3" s="41" t="s">
        <v>76</v>
      </c>
      <c r="P3" s="27" t="s">
        <v>57</v>
      </c>
      <c r="Q3" s="25" t="s">
        <v>77</v>
      </c>
      <c r="R3" s="27" t="s">
        <v>57</v>
      </c>
      <c r="S3" s="26">
        <v>3.104720224E9</v>
      </c>
      <c r="T3" s="26" t="s">
        <v>63</v>
      </c>
      <c r="U3" s="26" t="s">
        <v>64</v>
      </c>
      <c r="V3" s="27" t="s">
        <v>65</v>
      </c>
      <c r="W3" s="27" t="s">
        <v>78</v>
      </c>
      <c r="X3" s="41" t="s">
        <v>79</v>
      </c>
      <c r="Y3" s="25" t="s">
        <v>57</v>
      </c>
      <c r="Z3" s="31" t="s">
        <v>57</v>
      </c>
      <c r="AA3" s="31" t="s">
        <v>57</v>
      </c>
      <c r="AB3" s="31" t="s">
        <v>57</v>
      </c>
      <c r="AC3" s="32" t="s">
        <v>66</v>
      </c>
      <c r="AD3" s="27" t="s">
        <v>80</v>
      </c>
      <c r="AE3" s="25" t="s">
        <v>81</v>
      </c>
      <c r="AF3" s="33" t="s">
        <v>68</v>
      </c>
      <c r="AG3" s="34" t="s">
        <v>69</v>
      </c>
      <c r="AH3" s="35"/>
      <c r="AI3" s="42" t="s">
        <v>70</v>
      </c>
      <c r="AJ3" s="29" t="b">
        <v>1</v>
      </c>
      <c r="AK3" s="39"/>
      <c r="AL3" s="39"/>
      <c r="AM3" s="39"/>
      <c r="AN3" s="39"/>
    </row>
    <row r="4" ht="31.5" customHeight="1">
      <c r="A4" s="34">
        <v>2024.0</v>
      </c>
      <c r="B4" s="29">
        <v>1.0</v>
      </c>
      <c r="C4" s="37" t="s">
        <v>54</v>
      </c>
      <c r="D4" s="40">
        <v>2.02400002E8</v>
      </c>
      <c r="E4" s="27" t="s">
        <v>71</v>
      </c>
      <c r="F4" s="37" t="s">
        <v>82</v>
      </c>
      <c r="G4" s="30" t="s">
        <v>83</v>
      </c>
      <c r="H4" s="29" t="s">
        <v>57</v>
      </c>
      <c r="I4" s="27" t="s">
        <v>84</v>
      </c>
      <c r="J4" s="25" t="s">
        <v>75</v>
      </c>
      <c r="K4" s="27" t="s">
        <v>58</v>
      </c>
      <c r="L4" s="27" t="s">
        <v>59</v>
      </c>
      <c r="M4" s="27" t="s">
        <v>60</v>
      </c>
      <c r="N4" s="25" t="s">
        <v>61</v>
      </c>
      <c r="O4" s="25" t="s">
        <v>85</v>
      </c>
      <c r="P4" s="27" t="s">
        <v>57</v>
      </c>
      <c r="Q4" s="25" t="s">
        <v>77</v>
      </c>
      <c r="R4" s="27" t="s">
        <v>57</v>
      </c>
      <c r="S4" s="26">
        <v>3.104720224E9</v>
      </c>
      <c r="T4" s="26" t="s">
        <v>82</v>
      </c>
      <c r="U4" s="26" t="s">
        <v>64</v>
      </c>
      <c r="V4" s="27" t="s">
        <v>65</v>
      </c>
      <c r="W4" s="27" t="s">
        <v>78</v>
      </c>
      <c r="X4" s="25" t="s">
        <v>86</v>
      </c>
      <c r="Y4" s="32">
        <v>45300.0</v>
      </c>
      <c r="Z4" s="32">
        <v>45365.0</v>
      </c>
      <c r="AA4" s="31" t="s">
        <v>57</v>
      </c>
      <c r="AB4" s="31" t="s">
        <v>57</v>
      </c>
      <c r="AC4" s="32" t="s">
        <v>66</v>
      </c>
      <c r="AD4" s="27" t="s">
        <v>67</v>
      </c>
      <c r="AE4" s="25" t="s">
        <v>81</v>
      </c>
      <c r="AF4" s="33" t="s">
        <v>68</v>
      </c>
      <c r="AG4" s="34" t="s">
        <v>69</v>
      </c>
      <c r="AH4" s="35"/>
      <c r="AI4" s="43" t="s">
        <v>87</v>
      </c>
      <c r="AJ4" s="37" t="b">
        <v>0</v>
      </c>
      <c r="AK4" s="39"/>
      <c r="AL4" s="39"/>
      <c r="AM4" s="39"/>
      <c r="AN4" s="39"/>
    </row>
    <row r="5" ht="25.5" customHeight="1">
      <c r="A5" s="44">
        <v>2024.0</v>
      </c>
      <c r="B5" s="26">
        <v>1.0</v>
      </c>
      <c r="C5" s="27" t="s">
        <v>54</v>
      </c>
      <c r="D5" s="28">
        <v>2.02400003E8</v>
      </c>
      <c r="E5" s="27" t="s">
        <v>71</v>
      </c>
      <c r="F5" s="29" t="s">
        <v>88</v>
      </c>
      <c r="G5" s="30" t="s">
        <v>89</v>
      </c>
      <c r="H5" s="29" t="s">
        <v>57</v>
      </c>
      <c r="I5" s="27" t="s">
        <v>57</v>
      </c>
      <c r="J5" s="25" t="s">
        <v>90</v>
      </c>
      <c r="K5" s="27" t="s">
        <v>58</v>
      </c>
      <c r="L5" s="27" t="s">
        <v>59</v>
      </c>
      <c r="M5" s="27" t="s">
        <v>60</v>
      </c>
      <c r="N5" s="25" t="s">
        <v>91</v>
      </c>
      <c r="O5" s="25" t="s">
        <v>92</v>
      </c>
      <c r="P5" s="27" t="s">
        <v>57</v>
      </c>
      <c r="Q5" s="27" t="s">
        <v>93</v>
      </c>
      <c r="R5" s="27" t="s">
        <v>57</v>
      </c>
      <c r="S5" s="26">
        <v>3.208140164E9</v>
      </c>
      <c r="T5" s="26" t="s">
        <v>63</v>
      </c>
      <c r="U5" s="26" t="s">
        <v>64</v>
      </c>
      <c r="V5" s="26" t="s">
        <v>65</v>
      </c>
      <c r="W5" s="26" t="s">
        <v>78</v>
      </c>
      <c r="X5" s="41" t="s">
        <v>94</v>
      </c>
      <c r="Y5" s="32">
        <v>45360.0</v>
      </c>
      <c r="Z5" s="31" t="s">
        <v>57</v>
      </c>
      <c r="AA5" s="31" t="s">
        <v>57</v>
      </c>
      <c r="AB5" s="31" t="s">
        <v>57</v>
      </c>
      <c r="AC5" s="32" t="s">
        <v>66</v>
      </c>
      <c r="AD5" s="27" t="s">
        <v>80</v>
      </c>
      <c r="AE5" s="34" t="s">
        <v>95</v>
      </c>
      <c r="AF5" s="33" t="s">
        <v>68</v>
      </c>
      <c r="AG5" s="34" t="s">
        <v>69</v>
      </c>
      <c r="AH5" s="35"/>
      <c r="AI5" s="42" t="s">
        <v>96</v>
      </c>
      <c r="AJ5" s="29" t="b">
        <v>1</v>
      </c>
      <c r="AK5" s="39"/>
      <c r="AL5" s="39"/>
      <c r="AM5" s="39"/>
      <c r="AN5" s="39"/>
    </row>
    <row r="6" ht="16.5" customHeight="1">
      <c r="A6" s="44">
        <v>2024.0</v>
      </c>
      <c r="B6" s="26">
        <v>1.0</v>
      </c>
      <c r="C6" s="27" t="s">
        <v>54</v>
      </c>
      <c r="D6" s="28">
        <v>2.02400004E8</v>
      </c>
      <c r="E6" s="27" t="s">
        <v>71</v>
      </c>
      <c r="F6" s="37" t="s">
        <v>82</v>
      </c>
      <c r="G6" s="30" t="s">
        <v>97</v>
      </c>
      <c r="H6" s="29" t="s">
        <v>57</v>
      </c>
      <c r="I6" s="27" t="s">
        <v>84</v>
      </c>
      <c r="J6" s="25" t="s">
        <v>98</v>
      </c>
      <c r="K6" s="27" t="s">
        <v>58</v>
      </c>
      <c r="L6" s="27" t="s">
        <v>59</v>
      </c>
      <c r="M6" s="27" t="s">
        <v>99</v>
      </c>
      <c r="N6" s="25" t="s">
        <v>91</v>
      </c>
      <c r="O6" s="25" t="s">
        <v>100</v>
      </c>
      <c r="P6" s="45">
        <v>6742994.0</v>
      </c>
      <c r="Q6" s="25" t="s">
        <v>101</v>
      </c>
      <c r="R6" s="25" t="s">
        <v>57</v>
      </c>
      <c r="S6" s="27">
        <v>3.208170206E9</v>
      </c>
      <c r="T6" s="26" t="s">
        <v>82</v>
      </c>
      <c r="U6" s="26" t="s">
        <v>64</v>
      </c>
      <c r="V6" s="26" t="s">
        <v>65</v>
      </c>
      <c r="W6" s="26" t="s">
        <v>78</v>
      </c>
      <c r="X6" s="41" t="s">
        <v>102</v>
      </c>
      <c r="Y6" s="25" t="s">
        <v>57</v>
      </c>
      <c r="Z6" s="31" t="s">
        <v>57</v>
      </c>
      <c r="AA6" s="31" t="s">
        <v>57</v>
      </c>
      <c r="AB6" s="31" t="s">
        <v>57</v>
      </c>
      <c r="AC6" s="32" t="s">
        <v>66</v>
      </c>
      <c r="AD6" s="27" t="s">
        <v>67</v>
      </c>
      <c r="AE6" s="34" t="s">
        <v>103</v>
      </c>
      <c r="AF6" s="33" t="s">
        <v>68</v>
      </c>
      <c r="AG6" s="34" t="s">
        <v>69</v>
      </c>
      <c r="AH6" s="35"/>
      <c r="AI6" s="43" t="s">
        <v>104</v>
      </c>
      <c r="AJ6" s="29" t="b">
        <v>1</v>
      </c>
      <c r="AK6" s="39"/>
      <c r="AL6" s="39"/>
      <c r="AM6" s="39"/>
      <c r="AN6" s="39"/>
    </row>
    <row r="7" ht="15.75" customHeight="1">
      <c r="A7" s="25">
        <v>2024.0</v>
      </c>
      <c r="B7" s="26">
        <v>1.0</v>
      </c>
      <c r="C7" s="27" t="s">
        <v>54</v>
      </c>
      <c r="D7" s="28">
        <v>2.02400005E8</v>
      </c>
      <c r="E7" s="26" t="s">
        <v>105</v>
      </c>
      <c r="F7" s="37" t="s">
        <v>55</v>
      </c>
      <c r="G7" s="30" t="s">
        <v>106</v>
      </c>
      <c r="H7" s="29" t="s">
        <v>57</v>
      </c>
      <c r="I7" s="27" t="s">
        <v>107</v>
      </c>
      <c r="J7" s="25" t="s">
        <v>108</v>
      </c>
      <c r="K7" s="27" t="s">
        <v>58</v>
      </c>
      <c r="L7" s="27" t="s">
        <v>59</v>
      </c>
      <c r="M7" s="27" t="s">
        <v>60</v>
      </c>
      <c r="N7" s="25" t="s">
        <v>61</v>
      </c>
      <c r="O7" s="25" t="s">
        <v>109</v>
      </c>
      <c r="P7" s="27" t="s">
        <v>57</v>
      </c>
      <c r="Q7" s="25" t="s">
        <v>110</v>
      </c>
      <c r="R7" s="27" t="s">
        <v>57</v>
      </c>
      <c r="S7" s="27" t="s">
        <v>57</v>
      </c>
      <c r="T7" s="26" t="s">
        <v>63</v>
      </c>
      <c r="U7" s="26" t="s">
        <v>64</v>
      </c>
      <c r="V7" s="27" t="s">
        <v>65</v>
      </c>
      <c r="W7" s="27" t="s">
        <v>57</v>
      </c>
      <c r="X7" s="41" t="s">
        <v>111</v>
      </c>
      <c r="Y7" s="32">
        <v>45307.0</v>
      </c>
      <c r="Z7" s="32">
        <v>45307.0</v>
      </c>
      <c r="AA7" s="46" t="s">
        <v>112</v>
      </c>
      <c r="AB7" s="47">
        <v>45316.0</v>
      </c>
      <c r="AC7" s="32" t="s">
        <v>66</v>
      </c>
      <c r="AD7" s="27" t="s">
        <v>80</v>
      </c>
      <c r="AE7" s="25" t="s">
        <v>113</v>
      </c>
      <c r="AF7" s="33" t="s">
        <v>68</v>
      </c>
      <c r="AG7" s="34" t="s">
        <v>69</v>
      </c>
      <c r="AH7" s="35"/>
      <c r="AI7" s="36" t="s">
        <v>70</v>
      </c>
      <c r="AJ7" s="37" t="b">
        <v>1</v>
      </c>
      <c r="AK7" s="23"/>
      <c r="AL7" s="39"/>
      <c r="AM7" s="39"/>
      <c r="AN7" s="39"/>
    </row>
    <row r="8" ht="15.75" customHeight="1">
      <c r="A8" s="25">
        <v>2024.0</v>
      </c>
      <c r="B8" s="26">
        <v>1.0</v>
      </c>
      <c r="C8" s="27" t="s">
        <v>54</v>
      </c>
      <c r="D8" s="28">
        <v>2.02400006E8</v>
      </c>
      <c r="E8" s="27" t="s">
        <v>71</v>
      </c>
      <c r="F8" s="37" t="s">
        <v>55</v>
      </c>
      <c r="G8" s="43" t="s">
        <v>114</v>
      </c>
      <c r="H8" s="29" t="s">
        <v>57</v>
      </c>
      <c r="I8" s="27" t="s">
        <v>107</v>
      </c>
      <c r="J8" s="25" t="s">
        <v>115</v>
      </c>
      <c r="K8" s="27" t="s">
        <v>58</v>
      </c>
      <c r="L8" s="27" t="s">
        <v>59</v>
      </c>
      <c r="M8" s="27" t="s">
        <v>99</v>
      </c>
      <c r="N8" s="25" t="s">
        <v>61</v>
      </c>
      <c r="O8" s="25" t="s">
        <v>116</v>
      </c>
      <c r="P8" s="27" t="s">
        <v>57</v>
      </c>
      <c r="Q8" s="27" t="s">
        <v>57</v>
      </c>
      <c r="R8" s="27" t="s">
        <v>57</v>
      </c>
      <c r="S8" s="26">
        <v>3.125906788E9</v>
      </c>
      <c r="T8" s="26" t="s">
        <v>63</v>
      </c>
      <c r="U8" s="26" t="s">
        <v>64</v>
      </c>
      <c r="V8" s="27" t="s">
        <v>65</v>
      </c>
      <c r="W8" s="34" t="s">
        <v>78</v>
      </c>
      <c r="X8" s="48" t="s">
        <v>117</v>
      </c>
      <c r="Y8" s="25" t="s">
        <v>57</v>
      </c>
      <c r="Z8" s="32">
        <v>45365.0</v>
      </c>
      <c r="AA8" s="31" t="s">
        <v>57</v>
      </c>
      <c r="AB8" s="31" t="s">
        <v>57</v>
      </c>
      <c r="AC8" s="32" t="s">
        <v>66</v>
      </c>
      <c r="AD8" s="27" t="s">
        <v>67</v>
      </c>
      <c r="AE8" s="25" t="s">
        <v>118</v>
      </c>
      <c r="AF8" s="33" t="s">
        <v>68</v>
      </c>
      <c r="AG8" s="34" t="s">
        <v>69</v>
      </c>
      <c r="AH8" s="35"/>
      <c r="AI8" s="36" t="s">
        <v>70</v>
      </c>
      <c r="AJ8" s="37" t="b">
        <v>1</v>
      </c>
      <c r="AK8" s="23"/>
      <c r="AL8" s="39"/>
      <c r="AM8" s="39"/>
      <c r="AN8" s="39"/>
    </row>
    <row r="9" ht="15.75" customHeight="1">
      <c r="A9" s="25">
        <v>2024.0</v>
      </c>
      <c r="B9" s="26">
        <v>1.0</v>
      </c>
      <c r="C9" s="27" t="s">
        <v>54</v>
      </c>
      <c r="D9" s="28">
        <v>2.02400007E8</v>
      </c>
      <c r="E9" s="27" t="s">
        <v>71</v>
      </c>
      <c r="F9" s="37" t="s">
        <v>119</v>
      </c>
      <c r="G9" s="30" t="s">
        <v>120</v>
      </c>
      <c r="H9" s="29" t="s">
        <v>57</v>
      </c>
      <c r="I9" s="27" t="s">
        <v>121</v>
      </c>
      <c r="J9" s="25" t="s">
        <v>57</v>
      </c>
      <c r="K9" s="27" t="s">
        <v>58</v>
      </c>
      <c r="L9" s="27" t="s">
        <v>59</v>
      </c>
      <c r="M9" s="27" t="s">
        <v>60</v>
      </c>
      <c r="N9" s="25" t="s">
        <v>61</v>
      </c>
      <c r="O9" s="25" t="s">
        <v>122</v>
      </c>
      <c r="P9" s="27" t="s">
        <v>57</v>
      </c>
      <c r="Q9" s="27" t="s">
        <v>57</v>
      </c>
      <c r="R9" s="27" t="s">
        <v>57</v>
      </c>
      <c r="S9" s="34">
        <v>3.245838166E9</v>
      </c>
      <c r="T9" s="26" t="s">
        <v>63</v>
      </c>
      <c r="U9" s="49" t="s">
        <v>64</v>
      </c>
      <c r="V9" s="27" t="s">
        <v>65</v>
      </c>
      <c r="W9" s="27" t="s">
        <v>78</v>
      </c>
      <c r="X9" s="48" t="s">
        <v>123</v>
      </c>
      <c r="Y9" s="32">
        <v>45308.0</v>
      </c>
      <c r="Z9" s="32">
        <v>45308.0</v>
      </c>
      <c r="AA9" s="31" t="s">
        <v>57</v>
      </c>
      <c r="AB9" s="31" t="s">
        <v>57</v>
      </c>
      <c r="AC9" s="32" t="s">
        <v>66</v>
      </c>
      <c r="AD9" s="27" t="s">
        <v>67</v>
      </c>
      <c r="AE9" s="25" t="s">
        <v>57</v>
      </c>
      <c r="AF9" s="33" t="s">
        <v>68</v>
      </c>
      <c r="AG9" s="34" t="s">
        <v>69</v>
      </c>
      <c r="AH9" s="35"/>
      <c r="AI9" s="36" t="s">
        <v>70</v>
      </c>
      <c r="AJ9" s="37" t="b">
        <v>1</v>
      </c>
      <c r="AK9" s="23"/>
      <c r="AL9" s="39"/>
      <c r="AM9" s="39"/>
      <c r="AN9" s="39"/>
    </row>
    <row r="10" ht="15.75" customHeight="1">
      <c r="A10" s="25">
        <v>2024.0</v>
      </c>
      <c r="B10" s="26">
        <v>1.0</v>
      </c>
      <c r="C10" s="27" t="s">
        <v>54</v>
      </c>
      <c r="D10" s="28">
        <v>2.02400008E8</v>
      </c>
      <c r="E10" s="27" t="s">
        <v>71</v>
      </c>
      <c r="F10" s="37" t="s">
        <v>124</v>
      </c>
      <c r="G10" s="50" t="s">
        <v>125</v>
      </c>
      <c r="H10" s="29" t="s">
        <v>57</v>
      </c>
      <c r="I10" s="26" t="s">
        <v>121</v>
      </c>
      <c r="J10" s="25" t="s">
        <v>98</v>
      </c>
      <c r="K10" s="27" t="s">
        <v>58</v>
      </c>
      <c r="L10" s="27" t="s">
        <v>59</v>
      </c>
      <c r="M10" s="27" t="s">
        <v>57</v>
      </c>
      <c r="N10" s="25" t="s">
        <v>61</v>
      </c>
      <c r="O10" s="25" t="s">
        <v>126</v>
      </c>
      <c r="P10" s="27">
        <v>1.052945671E9</v>
      </c>
      <c r="Q10" s="25" t="s">
        <v>127</v>
      </c>
      <c r="R10" s="27" t="s">
        <v>57</v>
      </c>
      <c r="S10" s="37">
        <v>3.207230962E9</v>
      </c>
      <c r="T10" s="27" t="s">
        <v>128</v>
      </c>
      <c r="U10" s="29" t="s">
        <v>129</v>
      </c>
      <c r="V10" s="27" t="s">
        <v>65</v>
      </c>
      <c r="W10" s="27" t="s">
        <v>78</v>
      </c>
      <c r="X10" s="51" t="s">
        <v>130</v>
      </c>
      <c r="Y10" s="32">
        <v>45313.0</v>
      </c>
      <c r="Z10" s="32">
        <v>45313.0</v>
      </c>
      <c r="AA10" s="31" t="s">
        <v>57</v>
      </c>
      <c r="AB10" s="31" t="s">
        <v>57</v>
      </c>
      <c r="AC10" s="32" t="s">
        <v>66</v>
      </c>
      <c r="AD10" s="27" t="s">
        <v>67</v>
      </c>
      <c r="AE10" s="25" t="s">
        <v>131</v>
      </c>
      <c r="AF10" s="33" t="s">
        <v>68</v>
      </c>
      <c r="AG10" s="34" t="s">
        <v>69</v>
      </c>
      <c r="AH10" s="35"/>
      <c r="AI10" s="36" t="s">
        <v>70</v>
      </c>
      <c r="AJ10" s="37" t="b">
        <v>1</v>
      </c>
      <c r="AK10" s="52"/>
      <c r="AL10" s="53"/>
      <c r="AM10" s="53"/>
      <c r="AN10" s="53"/>
    </row>
    <row r="11" ht="19.5" customHeight="1">
      <c r="A11" s="25">
        <v>2024.0</v>
      </c>
      <c r="B11" s="26">
        <v>1.0</v>
      </c>
      <c r="C11" s="27" t="s">
        <v>54</v>
      </c>
      <c r="D11" s="28">
        <v>2.02400009E8</v>
      </c>
      <c r="E11" s="27" t="s">
        <v>132</v>
      </c>
      <c r="F11" s="37" t="s">
        <v>133</v>
      </c>
      <c r="G11" s="43" t="s">
        <v>134</v>
      </c>
      <c r="H11" s="29" t="s">
        <v>57</v>
      </c>
      <c r="I11" s="27" t="s">
        <v>135</v>
      </c>
      <c r="J11" s="25" t="s">
        <v>90</v>
      </c>
      <c r="K11" s="27" t="s">
        <v>58</v>
      </c>
      <c r="L11" s="27" t="s">
        <v>59</v>
      </c>
      <c r="M11" s="27" t="s">
        <v>136</v>
      </c>
      <c r="N11" s="25" t="s">
        <v>61</v>
      </c>
      <c r="O11" s="25" t="s">
        <v>137</v>
      </c>
      <c r="P11" s="27" t="s">
        <v>57</v>
      </c>
      <c r="Q11" s="25" t="s">
        <v>138</v>
      </c>
      <c r="R11" s="27" t="s">
        <v>57</v>
      </c>
      <c r="S11" s="27" t="s">
        <v>57</v>
      </c>
      <c r="T11" s="26" t="s">
        <v>63</v>
      </c>
      <c r="U11" s="26" t="s">
        <v>129</v>
      </c>
      <c r="V11" s="27" t="s">
        <v>65</v>
      </c>
      <c r="W11" s="27" t="s">
        <v>78</v>
      </c>
      <c r="X11" s="54" t="s">
        <v>139</v>
      </c>
      <c r="Y11" s="27" t="s">
        <v>140</v>
      </c>
      <c r="Z11" s="55" t="s">
        <v>140</v>
      </c>
      <c r="AA11" s="56" t="s">
        <v>141</v>
      </c>
      <c r="AB11" s="32">
        <v>45338.0</v>
      </c>
      <c r="AC11" s="32" t="s">
        <v>66</v>
      </c>
      <c r="AD11" s="27" t="s">
        <v>80</v>
      </c>
      <c r="AE11" s="25" t="s">
        <v>142</v>
      </c>
      <c r="AF11" s="33" t="s">
        <v>68</v>
      </c>
      <c r="AG11" s="34" t="s">
        <v>69</v>
      </c>
      <c r="AH11" s="35"/>
      <c r="AI11" s="57" t="s">
        <v>70</v>
      </c>
      <c r="AJ11" s="58" t="b">
        <v>1</v>
      </c>
      <c r="AK11" s="59"/>
      <c r="AL11" s="24"/>
      <c r="AM11" s="24"/>
      <c r="AN11" s="24"/>
    </row>
    <row r="12" ht="33.75" customHeight="1">
      <c r="A12" s="25">
        <v>2024.0</v>
      </c>
      <c r="B12" s="26">
        <v>2.0</v>
      </c>
      <c r="C12" s="27" t="s">
        <v>143</v>
      </c>
      <c r="D12" s="28">
        <v>2.0240001E8</v>
      </c>
      <c r="E12" s="27" t="s">
        <v>132</v>
      </c>
      <c r="F12" s="37" t="s">
        <v>82</v>
      </c>
      <c r="G12" s="43" t="s">
        <v>144</v>
      </c>
      <c r="H12" s="29" t="s">
        <v>57</v>
      </c>
      <c r="I12" s="27" t="s">
        <v>145</v>
      </c>
      <c r="J12" s="25" t="s">
        <v>146</v>
      </c>
      <c r="K12" s="27" t="s">
        <v>58</v>
      </c>
      <c r="L12" s="27" t="s">
        <v>59</v>
      </c>
      <c r="M12" s="27" t="s">
        <v>99</v>
      </c>
      <c r="N12" s="25" t="s">
        <v>61</v>
      </c>
      <c r="O12" s="25" t="s">
        <v>147</v>
      </c>
      <c r="P12" s="27" t="s">
        <v>57</v>
      </c>
      <c r="Q12" s="25" t="s">
        <v>148</v>
      </c>
      <c r="R12" s="27" t="s">
        <v>57</v>
      </c>
      <c r="S12" s="27" t="s">
        <v>57</v>
      </c>
      <c r="T12" s="27" t="s">
        <v>82</v>
      </c>
      <c r="U12" s="26" t="s">
        <v>64</v>
      </c>
      <c r="V12" s="27" t="s">
        <v>65</v>
      </c>
      <c r="W12" s="27" t="s">
        <v>149</v>
      </c>
      <c r="X12" s="48" t="s">
        <v>150</v>
      </c>
      <c r="Y12" s="32">
        <v>45342.0</v>
      </c>
      <c r="Z12" s="55">
        <v>45342.0</v>
      </c>
      <c r="AA12" s="56" t="s">
        <v>151</v>
      </c>
      <c r="AB12" s="47">
        <v>45342.0</v>
      </c>
      <c r="AC12" s="32" t="s">
        <v>66</v>
      </c>
      <c r="AD12" s="27" t="s">
        <v>152</v>
      </c>
      <c r="AE12" s="25" t="s">
        <v>153</v>
      </c>
      <c r="AF12" s="33" t="s">
        <v>68</v>
      </c>
      <c r="AG12" s="34" t="s">
        <v>69</v>
      </c>
      <c r="AH12" s="35"/>
      <c r="AI12" s="36" t="s">
        <v>70</v>
      </c>
      <c r="AJ12" s="60" t="b">
        <v>1</v>
      </c>
      <c r="AK12" s="61"/>
      <c r="AL12" s="24"/>
      <c r="AM12" s="24"/>
      <c r="AN12" s="24"/>
    </row>
    <row r="13" ht="27.0" customHeight="1">
      <c r="A13" s="25">
        <v>2024.0</v>
      </c>
      <c r="B13" s="26">
        <v>2.0</v>
      </c>
      <c r="C13" s="27" t="s">
        <v>143</v>
      </c>
      <c r="D13" s="28">
        <v>2.02400011E8</v>
      </c>
      <c r="E13" s="27" t="s">
        <v>105</v>
      </c>
      <c r="F13" s="37" t="s">
        <v>154</v>
      </c>
      <c r="G13" s="30" t="s">
        <v>155</v>
      </c>
      <c r="H13" s="29" t="s">
        <v>57</v>
      </c>
      <c r="I13" s="27" t="s">
        <v>84</v>
      </c>
      <c r="J13" s="25" t="s">
        <v>156</v>
      </c>
      <c r="K13" s="27" t="s">
        <v>58</v>
      </c>
      <c r="L13" s="27" t="s">
        <v>59</v>
      </c>
      <c r="M13" s="27" t="s">
        <v>57</v>
      </c>
      <c r="N13" s="25" t="s">
        <v>61</v>
      </c>
      <c r="O13" s="25" t="s">
        <v>157</v>
      </c>
      <c r="P13" s="27" t="s">
        <v>57</v>
      </c>
      <c r="Q13" s="25" t="s">
        <v>158</v>
      </c>
      <c r="R13" s="27" t="s">
        <v>57</v>
      </c>
      <c r="S13" s="26">
        <v>3.204086453E9</v>
      </c>
      <c r="T13" s="26" t="s">
        <v>154</v>
      </c>
      <c r="U13" s="26" t="s">
        <v>64</v>
      </c>
      <c r="V13" s="27" t="s">
        <v>65</v>
      </c>
      <c r="W13" s="26" t="s">
        <v>78</v>
      </c>
      <c r="X13" s="54" t="s">
        <v>159</v>
      </c>
      <c r="Y13" s="32">
        <v>45338.0</v>
      </c>
      <c r="Z13" s="32">
        <v>45338.0</v>
      </c>
      <c r="AA13" s="31" t="s">
        <v>57</v>
      </c>
      <c r="AB13" s="31" t="s">
        <v>57</v>
      </c>
      <c r="AC13" s="32" t="s">
        <v>66</v>
      </c>
      <c r="AD13" s="27" t="s">
        <v>57</v>
      </c>
      <c r="AE13" s="25" t="s">
        <v>160</v>
      </c>
      <c r="AF13" s="33" t="s">
        <v>68</v>
      </c>
      <c r="AG13" s="34" t="s">
        <v>69</v>
      </c>
      <c r="AH13" s="35"/>
      <c r="AI13" s="50" t="s">
        <v>161</v>
      </c>
      <c r="AJ13" s="58" t="b">
        <v>1</v>
      </c>
      <c r="AK13" s="59"/>
      <c r="AL13" s="24"/>
      <c r="AM13" s="24"/>
      <c r="AN13" s="24"/>
    </row>
    <row r="14" ht="15.75" customHeight="1">
      <c r="A14" s="34">
        <v>2024.0</v>
      </c>
      <c r="B14" s="29">
        <v>2.0</v>
      </c>
      <c r="C14" s="37" t="s">
        <v>143</v>
      </c>
      <c r="D14" s="62">
        <v>2.02400012E8</v>
      </c>
      <c r="E14" s="27" t="s">
        <v>132</v>
      </c>
      <c r="F14" s="37" t="s">
        <v>82</v>
      </c>
      <c r="G14" s="43" t="s">
        <v>162</v>
      </c>
      <c r="H14" s="29" t="s">
        <v>57</v>
      </c>
      <c r="I14" s="27" t="s">
        <v>84</v>
      </c>
      <c r="J14" s="25" t="s">
        <v>163</v>
      </c>
      <c r="K14" s="27" t="s">
        <v>58</v>
      </c>
      <c r="L14" s="27" t="s">
        <v>59</v>
      </c>
      <c r="M14" s="27" t="s">
        <v>99</v>
      </c>
      <c r="N14" s="25" t="s">
        <v>91</v>
      </c>
      <c r="O14" s="25" t="s">
        <v>157</v>
      </c>
      <c r="P14" s="27" t="s">
        <v>57</v>
      </c>
      <c r="Q14" s="25" t="s">
        <v>164</v>
      </c>
      <c r="R14" s="27" t="s">
        <v>57</v>
      </c>
      <c r="S14" s="26">
        <v>3.204086453E9</v>
      </c>
      <c r="T14" s="26" t="s">
        <v>82</v>
      </c>
      <c r="U14" s="26" t="s">
        <v>64</v>
      </c>
      <c r="V14" s="27" t="s">
        <v>65</v>
      </c>
      <c r="W14" s="27" t="s">
        <v>78</v>
      </c>
      <c r="X14" s="54" t="s">
        <v>165</v>
      </c>
      <c r="Y14" s="32">
        <v>45350.0</v>
      </c>
      <c r="Z14" s="32">
        <v>45350.0</v>
      </c>
      <c r="AA14" s="31" t="s">
        <v>57</v>
      </c>
      <c r="AB14" s="31" t="s">
        <v>57</v>
      </c>
      <c r="AC14" s="32" t="s">
        <v>66</v>
      </c>
      <c r="AD14" s="27" t="s">
        <v>57</v>
      </c>
      <c r="AE14" s="25" t="s">
        <v>166</v>
      </c>
      <c r="AF14" s="33" t="s">
        <v>68</v>
      </c>
      <c r="AG14" s="34" t="s">
        <v>69</v>
      </c>
      <c r="AH14" s="35"/>
      <c r="AI14" s="63" t="s">
        <v>167</v>
      </c>
      <c r="AJ14" s="58" t="b">
        <v>1</v>
      </c>
      <c r="AK14" s="59"/>
      <c r="AL14" s="24"/>
      <c r="AM14" s="24"/>
      <c r="AN14" s="24"/>
    </row>
    <row r="15" ht="15.75" customHeight="1">
      <c r="A15" s="34">
        <v>2024.0</v>
      </c>
      <c r="B15" s="29">
        <v>2.0</v>
      </c>
      <c r="C15" s="37" t="s">
        <v>143</v>
      </c>
      <c r="D15" s="64"/>
      <c r="E15" s="27" t="s">
        <v>132</v>
      </c>
      <c r="F15" s="37" t="s">
        <v>82</v>
      </c>
      <c r="G15" s="43" t="s">
        <v>162</v>
      </c>
      <c r="H15" s="29" t="s">
        <v>57</v>
      </c>
      <c r="I15" s="27" t="s">
        <v>84</v>
      </c>
      <c r="J15" s="25" t="s">
        <v>75</v>
      </c>
      <c r="K15" s="27" t="s">
        <v>58</v>
      </c>
      <c r="L15" s="27" t="s">
        <v>59</v>
      </c>
      <c r="M15" s="27" t="s">
        <v>60</v>
      </c>
      <c r="N15" s="25" t="s">
        <v>61</v>
      </c>
      <c r="O15" s="25" t="s">
        <v>76</v>
      </c>
      <c r="P15" s="27" t="s">
        <v>57</v>
      </c>
      <c r="Q15" s="25" t="s">
        <v>77</v>
      </c>
      <c r="R15" s="27" t="s">
        <v>57</v>
      </c>
      <c r="S15" s="26">
        <v>3.104720224E9</v>
      </c>
      <c r="T15" s="26" t="s">
        <v>82</v>
      </c>
      <c r="U15" s="26" t="s">
        <v>64</v>
      </c>
      <c r="V15" s="27" t="s">
        <v>65</v>
      </c>
      <c r="W15" s="27" t="s">
        <v>78</v>
      </c>
      <c r="X15" s="54" t="s">
        <v>168</v>
      </c>
      <c r="Y15" s="32">
        <v>45350.0</v>
      </c>
      <c r="Z15" s="32">
        <v>45350.0</v>
      </c>
      <c r="AA15" s="31" t="s">
        <v>57</v>
      </c>
      <c r="AB15" s="31" t="s">
        <v>57</v>
      </c>
      <c r="AC15" s="32" t="s">
        <v>66</v>
      </c>
      <c r="AD15" s="27" t="s">
        <v>67</v>
      </c>
      <c r="AE15" s="25" t="s">
        <v>81</v>
      </c>
      <c r="AF15" s="33" t="s">
        <v>68</v>
      </c>
      <c r="AG15" s="34" t="s">
        <v>69</v>
      </c>
      <c r="AH15" s="35"/>
      <c r="AI15" s="42"/>
      <c r="AJ15" s="58" t="b">
        <v>1</v>
      </c>
      <c r="AK15" s="59"/>
      <c r="AL15" s="24"/>
      <c r="AM15" s="24"/>
      <c r="AN15" s="24"/>
    </row>
    <row r="16" ht="26.25" customHeight="1">
      <c r="A16" s="44">
        <v>2024.0</v>
      </c>
      <c r="B16" s="26">
        <v>2.0</v>
      </c>
      <c r="C16" s="27" t="s">
        <v>143</v>
      </c>
      <c r="D16" s="28">
        <v>2.02400013E8</v>
      </c>
      <c r="E16" s="27" t="s">
        <v>132</v>
      </c>
      <c r="F16" s="37" t="s">
        <v>82</v>
      </c>
      <c r="G16" s="43" t="s">
        <v>169</v>
      </c>
      <c r="H16" s="29" t="s">
        <v>57</v>
      </c>
      <c r="I16" s="27" t="s">
        <v>170</v>
      </c>
      <c r="J16" s="25" t="s">
        <v>171</v>
      </c>
      <c r="K16" s="27" t="s">
        <v>58</v>
      </c>
      <c r="L16" s="27" t="s">
        <v>59</v>
      </c>
      <c r="M16" s="27" t="s">
        <v>99</v>
      </c>
      <c r="N16" s="25" t="s">
        <v>91</v>
      </c>
      <c r="O16" s="25" t="s">
        <v>172</v>
      </c>
      <c r="P16" s="27" t="s">
        <v>57</v>
      </c>
      <c r="Q16" s="25" t="s">
        <v>173</v>
      </c>
      <c r="R16" s="27" t="s">
        <v>57</v>
      </c>
      <c r="S16" s="27" t="s">
        <v>174</v>
      </c>
      <c r="T16" s="27" t="s">
        <v>82</v>
      </c>
      <c r="U16" s="26" t="s">
        <v>64</v>
      </c>
      <c r="V16" s="26" t="s">
        <v>65</v>
      </c>
      <c r="W16" s="26" t="s">
        <v>78</v>
      </c>
      <c r="X16" s="54" t="s">
        <v>175</v>
      </c>
      <c r="Y16" s="32">
        <v>45355.0</v>
      </c>
      <c r="Z16" s="31" t="s">
        <v>57</v>
      </c>
      <c r="AA16" s="65">
        <v>2.0244211021982E13</v>
      </c>
      <c r="AB16" s="32">
        <v>45377.0</v>
      </c>
      <c r="AC16" s="32" t="s">
        <v>66</v>
      </c>
      <c r="AD16" s="27" t="s">
        <v>152</v>
      </c>
      <c r="AE16" s="25" t="s">
        <v>176</v>
      </c>
      <c r="AF16" s="33" t="s">
        <v>68</v>
      </c>
      <c r="AG16" s="34" t="s">
        <v>69</v>
      </c>
      <c r="AH16" s="66" t="s">
        <v>177</v>
      </c>
      <c r="AI16" s="63" t="s">
        <v>178</v>
      </c>
      <c r="AJ16" s="67"/>
      <c r="AK16" s="59"/>
      <c r="AL16" s="24"/>
      <c r="AM16" s="24"/>
      <c r="AN16" s="24"/>
    </row>
    <row r="17" ht="17.25" customHeight="1">
      <c r="A17" s="25">
        <v>2024.0</v>
      </c>
      <c r="B17" s="26">
        <v>3.0</v>
      </c>
      <c r="C17" s="27" t="s">
        <v>179</v>
      </c>
      <c r="D17" s="28">
        <v>2.02400014E8</v>
      </c>
      <c r="E17" s="26" t="s">
        <v>2</v>
      </c>
      <c r="F17" s="37" t="s">
        <v>180</v>
      </c>
      <c r="G17" s="43" t="s">
        <v>181</v>
      </c>
      <c r="H17" s="29" t="s">
        <v>57</v>
      </c>
      <c r="I17" s="27" t="s">
        <v>182</v>
      </c>
      <c r="J17" s="25" t="s">
        <v>183</v>
      </c>
      <c r="K17" s="27" t="s">
        <v>58</v>
      </c>
      <c r="L17" s="27" t="s">
        <v>59</v>
      </c>
      <c r="M17" s="27" t="s">
        <v>184</v>
      </c>
      <c r="N17" s="25" t="s">
        <v>61</v>
      </c>
      <c r="O17" s="68" t="s">
        <v>185</v>
      </c>
      <c r="P17" s="28">
        <v>4.1659007E7</v>
      </c>
      <c r="Q17" s="27" t="s">
        <v>57</v>
      </c>
      <c r="R17" s="27" t="s">
        <v>57</v>
      </c>
      <c r="S17" s="28">
        <v>3.19495845E9</v>
      </c>
      <c r="T17" s="26" t="s">
        <v>63</v>
      </c>
      <c r="U17" s="26" t="s">
        <v>64</v>
      </c>
      <c r="V17" s="27" t="s">
        <v>65</v>
      </c>
      <c r="W17" s="27" t="s">
        <v>149</v>
      </c>
      <c r="X17" s="48" t="s">
        <v>186</v>
      </c>
      <c r="Y17" s="32">
        <v>45356.0</v>
      </c>
      <c r="Z17" s="32">
        <v>45356.0</v>
      </c>
      <c r="AA17" s="31" t="s">
        <v>57</v>
      </c>
      <c r="AB17" s="31" t="s">
        <v>57</v>
      </c>
      <c r="AC17" s="32" t="s">
        <v>66</v>
      </c>
      <c r="AD17" s="27" t="s">
        <v>57</v>
      </c>
      <c r="AE17" s="25" t="s">
        <v>187</v>
      </c>
      <c r="AF17" s="33" t="s">
        <v>68</v>
      </c>
      <c r="AG17" s="34" t="s">
        <v>69</v>
      </c>
      <c r="AH17" s="35"/>
      <c r="AI17" s="36" t="s">
        <v>70</v>
      </c>
      <c r="AJ17" s="60" t="b">
        <v>1</v>
      </c>
      <c r="AK17" s="61"/>
      <c r="AL17" s="24"/>
      <c r="AM17" s="24"/>
      <c r="AN17" s="24"/>
    </row>
    <row r="18" ht="15.75" customHeight="1">
      <c r="A18" s="25">
        <v>2024.0</v>
      </c>
      <c r="B18" s="26">
        <v>3.0</v>
      </c>
      <c r="C18" s="27" t="s">
        <v>179</v>
      </c>
      <c r="D18" s="28">
        <v>2.02400015E8</v>
      </c>
      <c r="E18" s="26" t="s">
        <v>105</v>
      </c>
      <c r="F18" s="29" t="s">
        <v>119</v>
      </c>
      <c r="G18" s="30" t="s">
        <v>188</v>
      </c>
      <c r="H18" s="29" t="s">
        <v>57</v>
      </c>
      <c r="I18" s="27" t="s">
        <v>84</v>
      </c>
      <c r="J18" s="25" t="s">
        <v>189</v>
      </c>
      <c r="K18" s="27" t="s">
        <v>58</v>
      </c>
      <c r="L18" s="27" t="s">
        <v>59</v>
      </c>
      <c r="M18" s="27" t="s">
        <v>57</v>
      </c>
      <c r="N18" s="25" t="s">
        <v>57</v>
      </c>
      <c r="O18" s="27" t="s">
        <v>57</v>
      </c>
      <c r="P18" s="27" t="s">
        <v>57</v>
      </c>
      <c r="Q18" s="27" t="s">
        <v>57</v>
      </c>
      <c r="R18" s="27" t="s">
        <v>57</v>
      </c>
      <c r="S18" s="27" t="s">
        <v>57</v>
      </c>
      <c r="T18" s="26" t="s">
        <v>63</v>
      </c>
      <c r="U18" s="26" t="s">
        <v>57</v>
      </c>
      <c r="V18" s="27" t="s">
        <v>57</v>
      </c>
      <c r="W18" s="27" t="s">
        <v>57</v>
      </c>
      <c r="X18" s="25" t="s">
        <v>57</v>
      </c>
      <c r="Y18" s="25" t="s">
        <v>57</v>
      </c>
      <c r="Z18" s="31" t="s">
        <v>57</v>
      </c>
      <c r="AA18" s="31" t="s">
        <v>57</v>
      </c>
      <c r="AB18" s="31" t="s">
        <v>57</v>
      </c>
      <c r="AC18" s="32" t="s">
        <v>66</v>
      </c>
      <c r="AD18" s="27" t="s">
        <v>57</v>
      </c>
      <c r="AE18" s="25" t="s">
        <v>57</v>
      </c>
      <c r="AF18" s="33" t="s">
        <v>68</v>
      </c>
      <c r="AG18" s="34" t="s">
        <v>69</v>
      </c>
      <c r="AH18" s="35"/>
      <c r="AI18" s="36" t="s">
        <v>70</v>
      </c>
      <c r="AJ18" s="60" t="b">
        <v>1</v>
      </c>
      <c r="AK18" s="61"/>
      <c r="AL18" s="24"/>
      <c r="AM18" s="24"/>
      <c r="AN18" s="24"/>
    </row>
    <row r="19" ht="15.75" customHeight="1">
      <c r="A19" s="25">
        <v>2024.0</v>
      </c>
      <c r="B19" s="26">
        <v>3.0</v>
      </c>
      <c r="C19" s="27" t="s">
        <v>179</v>
      </c>
      <c r="D19" s="28">
        <v>2.02400016E8</v>
      </c>
      <c r="E19" s="26" t="s">
        <v>105</v>
      </c>
      <c r="F19" s="29" t="s">
        <v>119</v>
      </c>
      <c r="G19" s="30" t="s">
        <v>188</v>
      </c>
      <c r="H19" s="29" t="s">
        <v>57</v>
      </c>
      <c r="I19" s="27" t="s">
        <v>84</v>
      </c>
      <c r="J19" s="25" t="s">
        <v>189</v>
      </c>
      <c r="K19" s="27" t="s">
        <v>58</v>
      </c>
      <c r="L19" s="27" t="s">
        <v>59</v>
      </c>
      <c r="M19" s="27" t="s">
        <v>57</v>
      </c>
      <c r="N19" s="25" t="s">
        <v>57</v>
      </c>
      <c r="O19" s="27" t="s">
        <v>57</v>
      </c>
      <c r="P19" s="27" t="s">
        <v>57</v>
      </c>
      <c r="Q19" s="27" t="s">
        <v>57</v>
      </c>
      <c r="R19" s="27" t="s">
        <v>57</v>
      </c>
      <c r="S19" s="27" t="s">
        <v>57</v>
      </c>
      <c r="T19" s="26" t="s">
        <v>63</v>
      </c>
      <c r="U19" s="26" t="s">
        <v>57</v>
      </c>
      <c r="V19" s="27" t="s">
        <v>57</v>
      </c>
      <c r="W19" s="27" t="s">
        <v>57</v>
      </c>
      <c r="X19" s="25" t="s">
        <v>57</v>
      </c>
      <c r="Y19" s="25" t="s">
        <v>57</v>
      </c>
      <c r="Z19" s="31" t="s">
        <v>57</v>
      </c>
      <c r="AA19" s="31" t="s">
        <v>57</v>
      </c>
      <c r="AB19" s="31" t="s">
        <v>57</v>
      </c>
      <c r="AC19" s="32" t="s">
        <v>66</v>
      </c>
      <c r="AD19" s="27" t="s">
        <v>57</v>
      </c>
      <c r="AE19" s="25" t="s">
        <v>57</v>
      </c>
      <c r="AF19" s="33" t="s">
        <v>68</v>
      </c>
      <c r="AG19" s="34" t="s">
        <v>69</v>
      </c>
      <c r="AH19" s="35"/>
      <c r="AI19" s="36" t="s">
        <v>70</v>
      </c>
      <c r="AJ19" s="60" t="b">
        <v>1</v>
      </c>
      <c r="AK19" s="61"/>
      <c r="AL19" s="24"/>
      <c r="AM19" s="24"/>
      <c r="AN19" s="24"/>
    </row>
    <row r="20" ht="15.75" customHeight="1">
      <c r="A20" s="25">
        <v>2024.0</v>
      </c>
      <c r="B20" s="26">
        <v>3.0</v>
      </c>
      <c r="C20" s="27" t="s">
        <v>179</v>
      </c>
      <c r="D20" s="28">
        <v>2.02400017E8</v>
      </c>
      <c r="E20" s="26" t="s">
        <v>105</v>
      </c>
      <c r="F20" s="29" t="s">
        <v>119</v>
      </c>
      <c r="G20" s="30" t="s">
        <v>188</v>
      </c>
      <c r="H20" s="29" t="s">
        <v>57</v>
      </c>
      <c r="I20" s="27" t="s">
        <v>84</v>
      </c>
      <c r="J20" s="25" t="s">
        <v>189</v>
      </c>
      <c r="K20" s="27" t="s">
        <v>58</v>
      </c>
      <c r="L20" s="27" t="s">
        <v>59</v>
      </c>
      <c r="M20" s="27" t="s">
        <v>57</v>
      </c>
      <c r="N20" s="25" t="s">
        <v>57</v>
      </c>
      <c r="O20" s="27" t="s">
        <v>57</v>
      </c>
      <c r="P20" s="27" t="s">
        <v>57</v>
      </c>
      <c r="Q20" s="27" t="s">
        <v>57</v>
      </c>
      <c r="R20" s="27" t="s">
        <v>57</v>
      </c>
      <c r="S20" s="27" t="s">
        <v>57</v>
      </c>
      <c r="T20" s="26" t="s">
        <v>63</v>
      </c>
      <c r="U20" s="26" t="s">
        <v>57</v>
      </c>
      <c r="V20" s="27" t="s">
        <v>57</v>
      </c>
      <c r="W20" s="27" t="s">
        <v>57</v>
      </c>
      <c r="X20" s="25" t="s">
        <v>57</v>
      </c>
      <c r="Y20" s="25" t="s">
        <v>57</v>
      </c>
      <c r="Z20" s="31" t="s">
        <v>57</v>
      </c>
      <c r="AA20" s="31" t="s">
        <v>57</v>
      </c>
      <c r="AB20" s="31" t="s">
        <v>57</v>
      </c>
      <c r="AC20" s="32" t="s">
        <v>66</v>
      </c>
      <c r="AD20" s="27" t="s">
        <v>57</v>
      </c>
      <c r="AE20" s="25" t="s">
        <v>57</v>
      </c>
      <c r="AF20" s="33" t="s">
        <v>68</v>
      </c>
      <c r="AG20" s="34" t="s">
        <v>69</v>
      </c>
      <c r="AH20" s="35"/>
      <c r="AI20" s="36" t="s">
        <v>70</v>
      </c>
      <c r="AJ20" s="60" t="b">
        <v>1</v>
      </c>
      <c r="AK20" s="61"/>
      <c r="AL20" s="24"/>
      <c r="AM20" s="24"/>
      <c r="AN20" s="24"/>
    </row>
    <row r="21" ht="15.75" customHeight="1">
      <c r="A21" s="25">
        <v>2024.0</v>
      </c>
      <c r="B21" s="26">
        <v>3.0</v>
      </c>
      <c r="C21" s="27" t="s">
        <v>179</v>
      </c>
      <c r="D21" s="28">
        <v>2.02400018E8</v>
      </c>
      <c r="E21" s="26" t="s">
        <v>105</v>
      </c>
      <c r="F21" s="29" t="s">
        <v>119</v>
      </c>
      <c r="G21" s="30" t="s">
        <v>188</v>
      </c>
      <c r="H21" s="29" t="s">
        <v>57</v>
      </c>
      <c r="I21" s="27" t="s">
        <v>84</v>
      </c>
      <c r="J21" s="25" t="s">
        <v>189</v>
      </c>
      <c r="K21" s="27" t="s">
        <v>58</v>
      </c>
      <c r="L21" s="27" t="s">
        <v>59</v>
      </c>
      <c r="M21" s="27" t="s">
        <v>57</v>
      </c>
      <c r="N21" s="25" t="s">
        <v>57</v>
      </c>
      <c r="O21" s="27" t="s">
        <v>57</v>
      </c>
      <c r="P21" s="27" t="s">
        <v>57</v>
      </c>
      <c r="Q21" s="27" t="s">
        <v>57</v>
      </c>
      <c r="R21" s="27" t="s">
        <v>57</v>
      </c>
      <c r="S21" s="27" t="s">
        <v>57</v>
      </c>
      <c r="T21" s="26" t="s">
        <v>63</v>
      </c>
      <c r="U21" s="26" t="s">
        <v>57</v>
      </c>
      <c r="V21" s="27" t="s">
        <v>57</v>
      </c>
      <c r="W21" s="27" t="s">
        <v>57</v>
      </c>
      <c r="X21" s="25" t="s">
        <v>57</v>
      </c>
      <c r="Y21" s="25" t="s">
        <v>57</v>
      </c>
      <c r="Z21" s="31" t="s">
        <v>57</v>
      </c>
      <c r="AA21" s="31" t="s">
        <v>57</v>
      </c>
      <c r="AB21" s="31" t="s">
        <v>57</v>
      </c>
      <c r="AC21" s="32" t="s">
        <v>66</v>
      </c>
      <c r="AD21" s="27" t="s">
        <v>57</v>
      </c>
      <c r="AE21" s="25" t="s">
        <v>57</v>
      </c>
      <c r="AF21" s="33" t="s">
        <v>68</v>
      </c>
      <c r="AG21" s="34" t="s">
        <v>69</v>
      </c>
      <c r="AH21" s="35"/>
      <c r="AI21" s="36" t="s">
        <v>70</v>
      </c>
      <c r="AJ21" s="60" t="b">
        <v>1</v>
      </c>
      <c r="AK21" s="61"/>
      <c r="AL21" s="24"/>
      <c r="AM21" s="24"/>
      <c r="AN21" s="24"/>
    </row>
    <row r="22" ht="15.75" customHeight="1">
      <c r="A22" s="25">
        <v>2024.0</v>
      </c>
      <c r="B22" s="26">
        <v>3.0</v>
      </c>
      <c r="C22" s="27" t="s">
        <v>179</v>
      </c>
      <c r="D22" s="28">
        <v>2.02400019E8</v>
      </c>
      <c r="E22" s="27" t="s">
        <v>132</v>
      </c>
      <c r="F22" s="29" t="s">
        <v>133</v>
      </c>
      <c r="G22" s="42" t="s">
        <v>190</v>
      </c>
      <c r="H22" s="29" t="s">
        <v>57</v>
      </c>
      <c r="I22" s="26" t="s">
        <v>191</v>
      </c>
      <c r="J22" s="25" t="s">
        <v>189</v>
      </c>
      <c r="K22" s="27" t="s">
        <v>58</v>
      </c>
      <c r="L22" s="27" t="s">
        <v>59</v>
      </c>
      <c r="M22" s="27" t="s">
        <v>57</v>
      </c>
      <c r="N22" s="41" t="s">
        <v>61</v>
      </c>
      <c r="O22" s="27" t="s">
        <v>57</v>
      </c>
      <c r="P22" s="27" t="s">
        <v>57</v>
      </c>
      <c r="Q22" s="27" t="s">
        <v>57</v>
      </c>
      <c r="R22" s="27" t="s">
        <v>57</v>
      </c>
      <c r="S22" s="27" t="s">
        <v>57</v>
      </c>
      <c r="T22" s="26" t="s">
        <v>63</v>
      </c>
      <c r="U22" s="26" t="s">
        <v>57</v>
      </c>
      <c r="V22" s="26" t="s">
        <v>57</v>
      </c>
      <c r="W22" s="26" t="s">
        <v>78</v>
      </c>
      <c r="X22" s="41" t="s">
        <v>192</v>
      </c>
      <c r="Y22" s="25" t="s">
        <v>57</v>
      </c>
      <c r="Z22" s="31" t="s">
        <v>57</v>
      </c>
      <c r="AA22" s="31" t="s">
        <v>57</v>
      </c>
      <c r="AB22" s="31" t="s">
        <v>57</v>
      </c>
      <c r="AC22" s="32" t="s">
        <v>66</v>
      </c>
      <c r="AD22" s="27" t="s">
        <v>57</v>
      </c>
      <c r="AE22" s="25" t="s">
        <v>57</v>
      </c>
      <c r="AF22" s="33" t="s">
        <v>68</v>
      </c>
      <c r="AG22" s="34" t="s">
        <v>69</v>
      </c>
      <c r="AH22" s="35"/>
      <c r="AI22" s="50" t="s">
        <v>70</v>
      </c>
      <c r="AJ22" s="60" t="b">
        <v>1</v>
      </c>
      <c r="AK22" s="61"/>
      <c r="AL22" s="24"/>
      <c r="AM22" s="24"/>
      <c r="AN22" s="24"/>
    </row>
    <row r="23" ht="15.75" customHeight="1">
      <c r="A23" s="25">
        <v>2024.0</v>
      </c>
      <c r="B23" s="26">
        <v>3.0</v>
      </c>
      <c r="C23" s="27" t="s">
        <v>179</v>
      </c>
      <c r="D23" s="28">
        <v>2.0240002E8</v>
      </c>
      <c r="E23" s="26" t="s">
        <v>71</v>
      </c>
      <c r="F23" s="37" t="s">
        <v>154</v>
      </c>
      <c r="G23" s="63" t="s">
        <v>193</v>
      </c>
      <c r="H23" s="29" t="s">
        <v>57</v>
      </c>
      <c r="I23" s="27" t="s">
        <v>194</v>
      </c>
      <c r="J23" s="25" t="s">
        <v>108</v>
      </c>
      <c r="K23" s="27" t="s">
        <v>58</v>
      </c>
      <c r="L23" s="27" t="s">
        <v>59</v>
      </c>
      <c r="M23" s="27" t="s">
        <v>60</v>
      </c>
      <c r="N23" s="25" t="s">
        <v>61</v>
      </c>
      <c r="O23" s="25" t="s">
        <v>195</v>
      </c>
      <c r="P23" s="27" t="s">
        <v>57</v>
      </c>
      <c r="Q23" s="25" t="s">
        <v>196</v>
      </c>
      <c r="R23" s="27" t="s">
        <v>57</v>
      </c>
      <c r="S23" s="27" t="s">
        <v>57</v>
      </c>
      <c r="T23" s="26" t="s">
        <v>154</v>
      </c>
      <c r="U23" s="26" t="s">
        <v>64</v>
      </c>
      <c r="V23" s="27" t="s">
        <v>65</v>
      </c>
      <c r="W23" s="27" t="s">
        <v>78</v>
      </c>
      <c r="X23" s="25" t="s">
        <v>197</v>
      </c>
      <c r="Y23" s="25" t="s">
        <v>57</v>
      </c>
      <c r="Z23" s="31" t="s">
        <v>57</v>
      </c>
      <c r="AA23" s="69" t="s">
        <v>198</v>
      </c>
      <c r="AB23" s="70">
        <v>45363.0</v>
      </c>
      <c r="AC23" s="32" t="s">
        <v>66</v>
      </c>
      <c r="AD23" s="27" t="s">
        <v>57</v>
      </c>
      <c r="AE23" s="71" t="s">
        <v>199</v>
      </c>
      <c r="AF23" s="33" t="s">
        <v>68</v>
      </c>
      <c r="AG23" s="34" t="s">
        <v>69</v>
      </c>
      <c r="AH23" s="35"/>
      <c r="AI23" s="50" t="s">
        <v>70</v>
      </c>
      <c r="AJ23" s="60" t="b">
        <v>1</v>
      </c>
      <c r="AK23" s="61"/>
      <c r="AL23" s="24"/>
      <c r="AM23" s="24"/>
      <c r="AN23" s="24"/>
    </row>
    <row r="24" ht="21.75" customHeight="1">
      <c r="A24" s="44">
        <v>2024.0</v>
      </c>
      <c r="B24" s="26">
        <v>4.0</v>
      </c>
      <c r="C24" s="27" t="s">
        <v>200</v>
      </c>
      <c r="D24" s="28">
        <v>2.02400021E8</v>
      </c>
      <c r="E24" s="27" t="s">
        <v>132</v>
      </c>
      <c r="F24" s="37" t="s">
        <v>82</v>
      </c>
      <c r="G24" s="30" t="s">
        <v>201</v>
      </c>
      <c r="H24" s="29" t="s">
        <v>57</v>
      </c>
      <c r="I24" s="27" t="s">
        <v>202</v>
      </c>
      <c r="J24" s="25" t="s">
        <v>183</v>
      </c>
      <c r="K24" s="27" t="s">
        <v>58</v>
      </c>
      <c r="L24" s="27" t="s">
        <v>59</v>
      </c>
      <c r="M24" s="27" t="s">
        <v>184</v>
      </c>
      <c r="N24" s="25" t="s">
        <v>91</v>
      </c>
      <c r="O24" s="25" t="s">
        <v>147</v>
      </c>
      <c r="P24" s="27" t="s">
        <v>57</v>
      </c>
      <c r="Q24" s="25" t="s">
        <v>203</v>
      </c>
      <c r="R24" s="27" t="s">
        <v>57</v>
      </c>
      <c r="S24" s="27" t="s">
        <v>57</v>
      </c>
      <c r="T24" s="26" t="s">
        <v>82</v>
      </c>
      <c r="U24" s="26" t="s">
        <v>64</v>
      </c>
      <c r="V24" s="26" t="s">
        <v>204</v>
      </c>
      <c r="W24" s="27" t="s">
        <v>204</v>
      </c>
      <c r="X24" s="41" t="s">
        <v>205</v>
      </c>
      <c r="Y24" s="32">
        <v>45363.0</v>
      </c>
      <c r="Z24" s="31" t="s">
        <v>57</v>
      </c>
      <c r="AA24" s="72">
        <v>2.0241120054942E13</v>
      </c>
      <c r="AB24" s="32">
        <v>45433.0</v>
      </c>
      <c r="AC24" s="32" t="s">
        <v>66</v>
      </c>
      <c r="AD24" s="27" t="s">
        <v>152</v>
      </c>
      <c r="AE24" s="25" t="s">
        <v>206</v>
      </c>
      <c r="AF24" s="33" t="s">
        <v>68</v>
      </c>
      <c r="AG24" s="34" t="s">
        <v>69</v>
      </c>
      <c r="AH24" s="35"/>
      <c r="AI24" s="63" t="s">
        <v>207</v>
      </c>
      <c r="AJ24" s="60" t="b">
        <v>0</v>
      </c>
      <c r="AK24" s="59"/>
      <c r="AL24" s="24"/>
      <c r="AM24" s="24"/>
      <c r="AN24" s="24"/>
    </row>
    <row r="25" ht="15.75" customHeight="1">
      <c r="A25" s="25">
        <v>2024.0</v>
      </c>
      <c r="B25" s="26">
        <v>4.0</v>
      </c>
      <c r="C25" s="27" t="s">
        <v>200</v>
      </c>
      <c r="D25" s="28">
        <v>2.02400022E8</v>
      </c>
      <c r="E25" s="27" t="s">
        <v>132</v>
      </c>
      <c r="F25" s="37" t="s">
        <v>82</v>
      </c>
      <c r="G25" s="30" t="s">
        <v>208</v>
      </c>
      <c r="H25" s="29" t="s">
        <v>57</v>
      </c>
      <c r="I25" s="27" t="s">
        <v>145</v>
      </c>
      <c r="J25" s="25" t="s">
        <v>209</v>
      </c>
      <c r="K25" s="27" t="s">
        <v>58</v>
      </c>
      <c r="L25" s="27" t="s">
        <v>59</v>
      </c>
      <c r="M25" s="27" t="s">
        <v>184</v>
      </c>
      <c r="N25" s="25" t="s">
        <v>61</v>
      </c>
      <c r="O25" s="27" t="s">
        <v>210</v>
      </c>
      <c r="P25" s="27" t="s">
        <v>57</v>
      </c>
      <c r="Q25" s="27" t="s">
        <v>211</v>
      </c>
      <c r="R25" s="27" t="s">
        <v>57</v>
      </c>
      <c r="S25" s="26">
        <v>3.214853867E9</v>
      </c>
      <c r="T25" s="27" t="s">
        <v>82</v>
      </c>
      <c r="U25" s="26" t="s">
        <v>64</v>
      </c>
      <c r="V25" s="27" t="s">
        <v>65</v>
      </c>
      <c r="W25" s="26" t="s">
        <v>149</v>
      </c>
      <c r="X25" s="25" t="s">
        <v>212</v>
      </c>
      <c r="Y25" s="31" t="s">
        <v>57</v>
      </c>
      <c r="Z25" s="31" t="s">
        <v>57</v>
      </c>
      <c r="AA25" s="73" t="s">
        <v>213</v>
      </c>
      <c r="AB25" s="74" t="s">
        <v>214</v>
      </c>
      <c r="AC25" s="32" t="s">
        <v>66</v>
      </c>
      <c r="AD25" s="27" t="s">
        <v>57</v>
      </c>
      <c r="AE25" s="25" t="s">
        <v>215</v>
      </c>
      <c r="AF25" s="33" t="s">
        <v>68</v>
      </c>
      <c r="AG25" s="34" t="s">
        <v>69</v>
      </c>
      <c r="AH25" s="35"/>
      <c r="AI25" s="50" t="s">
        <v>70</v>
      </c>
      <c r="AJ25" s="60" t="b">
        <v>1</v>
      </c>
      <c r="AK25" s="61"/>
      <c r="AL25" s="24"/>
      <c r="AM25" s="24"/>
      <c r="AN25" s="24"/>
    </row>
    <row r="26" ht="15.75" customHeight="1">
      <c r="A26" s="25">
        <v>2024.0</v>
      </c>
      <c r="B26" s="26">
        <v>4.0</v>
      </c>
      <c r="C26" s="27" t="s">
        <v>200</v>
      </c>
      <c r="D26" s="28">
        <v>2.02400023E8</v>
      </c>
      <c r="E26" s="27" t="s">
        <v>71</v>
      </c>
      <c r="F26" s="37" t="s">
        <v>154</v>
      </c>
      <c r="G26" s="63" t="s">
        <v>216</v>
      </c>
      <c r="H26" s="29" t="s">
        <v>57</v>
      </c>
      <c r="I26" s="27" t="s">
        <v>194</v>
      </c>
      <c r="J26" s="25" t="s">
        <v>217</v>
      </c>
      <c r="K26" s="27" t="s">
        <v>58</v>
      </c>
      <c r="L26" s="27" t="s">
        <v>59</v>
      </c>
      <c r="M26" s="27" t="s">
        <v>60</v>
      </c>
      <c r="N26" s="25" t="s">
        <v>61</v>
      </c>
      <c r="O26" s="25" t="s">
        <v>218</v>
      </c>
      <c r="P26" s="27" t="s">
        <v>57</v>
      </c>
      <c r="Q26" s="27" t="s">
        <v>57</v>
      </c>
      <c r="R26" s="27" t="s">
        <v>57</v>
      </c>
      <c r="S26" s="27" t="s">
        <v>219</v>
      </c>
      <c r="T26" s="26" t="s">
        <v>154</v>
      </c>
      <c r="U26" s="26" t="s">
        <v>64</v>
      </c>
      <c r="V26" s="27" t="s">
        <v>65</v>
      </c>
      <c r="W26" s="27" t="s">
        <v>78</v>
      </c>
      <c r="X26" s="25" t="s">
        <v>220</v>
      </c>
      <c r="Y26" s="32">
        <v>45361.0</v>
      </c>
      <c r="Z26" s="32">
        <v>45361.0</v>
      </c>
      <c r="AA26" s="31" t="s">
        <v>57</v>
      </c>
      <c r="AB26" s="31" t="s">
        <v>57</v>
      </c>
      <c r="AC26" s="32" t="s">
        <v>66</v>
      </c>
      <c r="AD26" s="27" t="s">
        <v>57</v>
      </c>
      <c r="AE26" s="25" t="s">
        <v>221</v>
      </c>
      <c r="AF26" s="33" t="s">
        <v>68</v>
      </c>
      <c r="AG26" s="34" t="s">
        <v>69</v>
      </c>
      <c r="AH26" s="35"/>
      <c r="AI26" s="50" t="s">
        <v>70</v>
      </c>
      <c r="AJ26" s="60" t="b">
        <v>1</v>
      </c>
      <c r="AK26" s="61"/>
      <c r="AL26" s="24"/>
      <c r="AM26" s="24"/>
      <c r="AN26" s="24"/>
    </row>
    <row r="27" ht="15.75" customHeight="1">
      <c r="A27" s="25">
        <v>2024.0</v>
      </c>
      <c r="B27" s="26">
        <v>4.0</v>
      </c>
      <c r="C27" s="27" t="s">
        <v>200</v>
      </c>
      <c r="D27" s="28">
        <v>2.02400024E8</v>
      </c>
      <c r="E27" s="27" t="s">
        <v>71</v>
      </c>
      <c r="F27" s="37" t="s">
        <v>222</v>
      </c>
      <c r="G27" s="51" t="s">
        <v>223</v>
      </c>
      <c r="H27" s="29" t="s">
        <v>57</v>
      </c>
      <c r="I27" s="26" t="s">
        <v>121</v>
      </c>
      <c r="J27" s="25" t="s">
        <v>189</v>
      </c>
      <c r="K27" s="27" t="s">
        <v>58</v>
      </c>
      <c r="L27" s="27" t="s">
        <v>59</v>
      </c>
      <c r="M27" s="27" t="s">
        <v>57</v>
      </c>
      <c r="N27" s="25" t="s">
        <v>61</v>
      </c>
      <c r="O27" s="25" t="s">
        <v>224</v>
      </c>
      <c r="P27" s="27" t="s">
        <v>57</v>
      </c>
      <c r="Q27" s="27" t="s">
        <v>57</v>
      </c>
      <c r="R27" s="51" t="s">
        <v>225</v>
      </c>
      <c r="S27" s="37">
        <v>3.107726665E9</v>
      </c>
      <c r="T27" s="27" t="s">
        <v>128</v>
      </c>
      <c r="U27" s="29" t="s">
        <v>129</v>
      </c>
      <c r="V27" s="26" t="s">
        <v>226</v>
      </c>
      <c r="W27" s="26" t="s">
        <v>204</v>
      </c>
      <c r="X27" s="41" t="s">
        <v>227</v>
      </c>
      <c r="Y27" s="32">
        <v>45362.0</v>
      </c>
      <c r="Z27" s="32">
        <v>45362.0</v>
      </c>
      <c r="AA27" s="31" t="s">
        <v>57</v>
      </c>
      <c r="AB27" s="31" t="s">
        <v>57</v>
      </c>
      <c r="AC27" s="32" t="s">
        <v>66</v>
      </c>
      <c r="AD27" s="27" t="s">
        <v>80</v>
      </c>
      <c r="AE27" s="25" t="s">
        <v>57</v>
      </c>
      <c r="AF27" s="33" t="s">
        <v>68</v>
      </c>
      <c r="AG27" s="34" t="s">
        <v>69</v>
      </c>
      <c r="AH27" s="35"/>
      <c r="AI27" s="63" t="s">
        <v>228</v>
      </c>
      <c r="AJ27" s="60" t="b">
        <v>0</v>
      </c>
      <c r="AK27" s="59"/>
      <c r="AL27" s="24"/>
      <c r="AM27" s="24"/>
      <c r="AN27" s="24"/>
    </row>
    <row r="28" ht="15.75" customHeight="1">
      <c r="A28" s="25">
        <v>2024.0</v>
      </c>
      <c r="B28" s="26">
        <v>4.0</v>
      </c>
      <c r="C28" s="27" t="s">
        <v>200</v>
      </c>
      <c r="D28" s="28">
        <v>2.02400025E8</v>
      </c>
      <c r="E28" s="27" t="s">
        <v>105</v>
      </c>
      <c r="F28" s="37" t="s">
        <v>154</v>
      </c>
      <c r="G28" s="51" t="s">
        <v>229</v>
      </c>
      <c r="H28" s="29" t="s">
        <v>57</v>
      </c>
      <c r="I28" s="27" t="s">
        <v>230</v>
      </c>
      <c r="J28" s="25" t="s">
        <v>189</v>
      </c>
      <c r="K28" s="27" t="s">
        <v>58</v>
      </c>
      <c r="L28" s="27" t="s">
        <v>59</v>
      </c>
      <c r="M28" s="27" t="s">
        <v>57</v>
      </c>
      <c r="N28" s="27" t="s">
        <v>61</v>
      </c>
      <c r="O28" s="27" t="s">
        <v>231</v>
      </c>
      <c r="P28" s="27" t="s">
        <v>57</v>
      </c>
      <c r="Q28" s="27" t="s">
        <v>57</v>
      </c>
      <c r="R28" s="27" t="s">
        <v>57</v>
      </c>
      <c r="S28" s="27" t="s">
        <v>57</v>
      </c>
      <c r="T28" s="26" t="s">
        <v>154</v>
      </c>
      <c r="U28" s="26" t="s">
        <v>57</v>
      </c>
      <c r="V28" s="26" t="s">
        <v>65</v>
      </c>
      <c r="W28" s="26" t="s">
        <v>149</v>
      </c>
      <c r="X28" s="41" t="s">
        <v>232</v>
      </c>
      <c r="Y28" s="32">
        <v>45364.0</v>
      </c>
      <c r="Z28" s="31" t="s">
        <v>57</v>
      </c>
      <c r="AA28" s="75" t="s">
        <v>233</v>
      </c>
      <c r="AB28" s="26">
        <v>2.0247000156472E13</v>
      </c>
      <c r="AC28" s="32" t="s">
        <v>66</v>
      </c>
      <c r="AD28" s="27" t="s">
        <v>57</v>
      </c>
      <c r="AE28" s="25" t="s">
        <v>57</v>
      </c>
      <c r="AF28" s="33" t="s">
        <v>68</v>
      </c>
      <c r="AG28" s="34" t="s">
        <v>69</v>
      </c>
      <c r="AH28" s="76" t="s">
        <v>234</v>
      </c>
      <c r="AI28" s="42" t="s">
        <v>235</v>
      </c>
      <c r="AJ28" s="58" t="b">
        <v>1</v>
      </c>
      <c r="AK28" s="59"/>
      <c r="AL28" s="24"/>
      <c r="AM28" s="24"/>
      <c r="AN28" s="24"/>
    </row>
    <row r="29" ht="15.75" customHeight="1">
      <c r="A29" s="25">
        <v>2024.0</v>
      </c>
      <c r="B29" s="26">
        <v>4.0</v>
      </c>
      <c r="C29" s="27" t="s">
        <v>200</v>
      </c>
      <c r="D29" s="28">
        <v>2.02400026E8</v>
      </c>
      <c r="E29" s="27" t="s">
        <v>105</v>
      </c>
      <c r="F29" s="37" t="s">
        <v>82</v>
      </c>
      <c r="G29" s="51" t="s">
        <v>236</v>
      </c>
      <c r="H29" s="29" t="s">
        <v>57</v>
      </c>
      <c r="I29" s="27" t="s">
        <v>84</v>
      </c>
      <c r="J29" s="25" t="s">
        <v>146</v>
      </c>
      <c r="K29" s="27" t="s">
        <v>58</v>
      </c>
      <c r="L29" s="27" t="s">
        <v>59</v>
      </c>
      <c r="M29" s="27" t="s">
        <v>99</v>
      </c>
      <c r="N29" s="25" t="s">
        <v>61</v>
      </c>
      <c r="O29" s="25" t="s">
        <v>147</v>
      </c>
      <c r="P29" s="27" t="s">
        <v>57</v>
      </c>
      <c r="Q29" s="25" t="s">
        <v>148</v>
      </c>
      <c r="R29" s="27" t="s">
        <v>57</v>
      </c>
      <c r="S29" s="27" t="s">
        <v>57</v>
      </c>
      <c r="T29" s="26" t="s">
        <v>82</v>
      </c>
      <c r="U29" s="26" t="s">
        <v>64</v>
      </c>
      <c r="V29" s="27" t="s">
        <v>65</v>
      </c>
      <c r="W29" s="27" t="s">
        <v>78</v>
      </c>
      <c r="X29" s="25" t="s">
        <v>237</v>
      </c>
      <c r="Y29" s="32">
        <v>45364.0</v>
      </c>
      <c r="Z29" s="32">
        <v>45364.0</v>
      </c>
      <c r="AA29" s="31" t="s">
        <v>57</v>
      </c>
      <c r="AB29" s="31" t="s">
        <v>57</v>
      </c>
      <c r="AC29" s="32" t="s">
        <v>66</v>
      </c>
      <c r="AD29" s="27" t="s">
        <v>152</v>
      </c>
      <c r="AE29" s="25" t="s">
        <v>153</v>
      </c>
      <c r="AF29" s="33" t="s">
        <v>68</v>
      </c>
      <c r="AG29" s="34" t="s">
        <v>69</v>
      </c>
      <c r="AH29" s="35"/>
      <c r="AI29" s="43" t="s">
        <v>238</v>
      </c>
      <c r="AJ29" s="60" t="b">
        <v>0</v>
      </c>
      <c r="AK29" s="61"/>
      <c r="AL29" s="24"/>
      <c r="AM29" s="24"/>
      <c r="AN29" s="24"/>
    </row>
    <row r="30" ht="15.75" customHeight="1">
      <c r="A30" s="25">
        <v>2024.0</v>
      </c>
      <c r="B30" s="26">
        <v>4.0</v>
      </c>
      <c r="C30" s="27" t="s">
        <v>200</v>
      </c>
      <c r="D30" s="28">
        <v>2.02400027E8</v>
      </c>
      <c r="E30" s="27" t="s">
        <v>239</v>
      </c>
      <c r="F30" s="37" t="s">
        <v>240</v>
      </c>
      <c r="G30" s="51" t="s">
        <v>241</v>
      </c>
      <c r="H30" s="29" t="s">
        <v>57</v>
      </c>
      <c r="I30" s="27" t="s">
        <v>242</v>
      </c>
      <c r="J30" s="25" t="s">
        <v>189</v>
      </c>
      <c r="K30" s="27" t="s">
        <v>58</v>
      </c>
      <c r="L30" s="27" t="s">
        <v>59</v>
      </c>
      <c r="M30" s="27" t="s">
        <v>57</v>
      </c>
      <c r="N30" s="25" t="s">
        <v>61</v>
      </c>
      <c r="O30" s="27" t="s">
        <v>57</v>
      </c>
      <c r="P30" s="27" t="s">
        <v>57</v>
      </c>
      <c r="Q30" s="27" t="s">
        <v>57</v>
      </c>
      <c r="R30" s="27" t="s">
        <v>57</v>
      </c>
      <c r="S30" s="27" t="s">
        <v>57</v>
      </c>
      <c r="T30" s="27" t="s">
        <v>63</v>
      </c>
      <c r="U30" s="26" t="s">
        <v>57</v>
      </c>
      <c r="V30" s="27" t="s">
        <v>65</v>
      </c>
      <c r="W30" s="27" t="s">
        <v>149</v>
      </c>
      <c r="X30" s="25" t="s">
        <v>243</v>
      </c>
      <c r="Y30" s="32">
        <v>45364.0</v>
      </c>
      <c r="Z30" s="31" t="s">
        <v>57</v>
      </c>
      <c r="AA30" s="31" t="s">
        <v>57</v>
      </c>
      <c r="AB30" s="31" t="s">
        <v>57</v>
      </c>
      <c r="AC30" s="32" t="s">
        <v>66</v>
      </c>
      <c r="AD30" s="27" t="s">
        <v>57</v>
      </c>
      <c r="AE30" s="25" t="s">
        <v>57</v>
      </c>
      <c r="AF30" s="33" t="s">
        <v>68</v>
      </c>
      <c r="AG30" s="34" t="s">
        <v>69</v>
      </c>
      <c r="AH30" s="35"/>
      <c r="AI30" s="43" t="s">
        <v>244</v>
      </c>
      <c r="AJ30" s="58" t="b">
        <v>0</v>
      </c>
      <c r="AK30" s="61"/>
      <c r="AL30" s="24"/>
      <c r="AM30" s="24"/>
      <c r="AN30" s="24"/>
    </row>
    <row r="31" ht="15.75" customHeight="1">
      <c r="A31" s="25">
        <v>2024.0</v>
      </c>
      <c r="B31" s="26">
        <v>4.0</v>
      </c>
      <c r="C31" s="27" t="s">
        <v>200</v>
      </c>
      <c r="D31" s="28">
        <v>2.02400028E8</v>
      </c>
      <c r="E31" s="27" t="s">
        <v>71</v>
      </c>
      <c r="F31" s="37" t="s">
        <v>82</v>
      </c>
      <c r="G31" s="51" t="s">
        <v>245</v>
      </c>
      <c r="H31" s="29" t="s">
        <v>57</v>
      </c>
      <c r="I31" s="27" t="s">
        <v>246</v>
      </c>
      <c r="J31" s="25" t="s">
        <v>189</v>
      </c>
      <c r="K31" s="27" t="s">
        <v>58</v>
      </c>
      <c r="L31" s="27" t="s">
        <v>59</v>
      </c>
      <c r="M31" s="27" t="s">
        <v>57</v>
      </c>
      <c r="N31" s="25" t="s">
        <v>61</v>
      </c>
      <c r="O31" s="25" t="s">
        <v>247</v>
      </c>
      <c r="P31" s="27" t="s">
        <v>57</v>
      </c>
      <c r="Q31" s="27" t="s">
        <v>57</v>
      </c>
      <c r="R31" s="27" t="s">
        <v>57</v>
      </c>
      <c r="S31" s="27">
        <v>3.195821829E9</v>
      </c>
      <c r="T31" s="27" t="s">
        <v>82</v>
      </c>
      <c r="U31" s="26" t="s">
        <v>129</v>
      </c>
      <c r="V31" s="27" t="s">
        <v>65</v>
      </c>
      <c r="W31" s="27" t="s">
        <v>78</v>
      </c>
      <c r="X31" s="25" t="s">
        <v>57</v>
      </c>
      <c r="Y31" s="31" t="s">
        <v>57</v>
      </c>
      <c r="Z31" s="31" t="s">
        <v>57</v>
      </c>
      <c r="AA31" s="31" t="s">
        <v>57</v>
      </c>
      <c r="AB31" s="31" t="s">
        <v>57</v>
      </c>
      <c r="AC31" s="32" t="s">
        <v>66</v>
      </c>
      <c r="AD31" s="27" t="s">
        <v>57</v>
      </c>
      <c r="AE31" s="25" t="s">
        <v>57</v>
      </c>
      <c r="AF31" s="33" t="s">
        <v>68</v>
      </c>
      <c r="AG31" s="34" t="s">
        <v>69</v>
      </c>
      <c r="AH31" s="35"/>
      <c r="AI31" s="43" t="s">
        <v>70</v>
      </c>
      <c r="AJ31" s="60" t="b">
        <v>1</v>
      </c>
      <c r="AK31" s="61"/>
      <c r="AL31" s="24"/>
      <c r="AM31" s="24"/>
      <c r="AN31" s="24"/>
    </row>
    <row r="32" ht="15.75" customHeight="1">
      <c r="A32" s="25">
        <v>2024.0</v>
      </c>
      <c r="B32" s="26">
        <v>4.0</v>
      </c>
      <c r="C32" s="27" t="s">
        <v>200</v>
      </c>
      <c r="D32" s="28">
        <v>2.02400029E8</v>
      </c>
      <c r="E32" s="27" t="s">
        <v>132</v>
      </c>
      <c r="F32" s="37" t="s">
        <v>154</v>
      </c>
      <c r="G32" s="51" t="s">
        <v>248</v>
      </c>
      <c r="H32" s="29" t="s">
        <v>57</v>
      </c>
      <c r="I32" s="27" t="s">
        <v>230</v>
      </c>
      <c r="J32" s="25" t="s">
        <v>163</v>
      </c>
      <c r="K32" s="27" t="s">
        <v>58</v>
      </c>
      <c r="L32" s="27" t="s">
        <v>59</v>
      </c>
      <c r="M32" s="27" t="s">
        <v>99</v>
      </c>
      <c r="N32" s="25" t="s">
        <v>61</v>
      </c>
      <c r="O32" s="25" t="s">
        <v>157</v>
      </c>
      <c r="P32" s="27" t="s">
        <v>57</v>
      </c>
      <c r="Q32" s="25" t="s">
        <v>164</v>
      </c>
      <c r="R32" s="27" t="s">
        <v>57</v>
      </c>
      <c r="S32" s="26">
        <v>3.204086453E9</v>
      </c>
      <c r="T32" s="26" t="s">
        <v>154</v>
      </c>
      <c r="U32" s="26" t="s">
        <v>64</v>
      </c>
      <c r="V32" s="27" t="s">
        <v>65</v>
      </c>
      <c r="W32" s="27" t="s">
        <v>149</v>
      </c>
      <c r="X32" s="25" t="s">
        <v>249</v>
      </c>
      <c r="Y32" s="32">
        <v>45365.0</v>
      </c>
      <c r="Z32" s="32">
        <v>45365.0</v>
      </c>
      <c r="AA32" s="77" t="s">
        <v>250</v>
      </c>
      <c r="AB32" s="78">
        <v>45387.0</v>
      </c>
      <c r="AC32" s="32" t="s">
        <v>66</v>
      </c>
      <c r="AD32" s="27" t="s">
        <v>57</v>
      </c>
      <c r="AE32" s="25" t="s">
        <v>166</v>
      </c>
      <c r="AF32" s="33" t="s">
        <v>68</v>
      </c>
      <c r="AG32" s="34" t="s">
        <v>69</v>
      </c>
      <c r="AH32" s="35"/>
      <c r="AI32" s="43" t="s">
        <v>251</v>
      </c>
      <c r="AJ32" s="60" t="b">
        <v>0</v>
      </c>
      <c r="AK32" s="59"/>
      <c r="AL32" s="24"/>
      <c r="AM32" s="24"/>
      <c r="AN32" s="24"/>
    </row>
    <row r="33" ht="15.75" customHeight="1">
      <c r="A33" s="25">
        <v>2024.0</v>
      </c>
      <c r="B33" s="26">
        <v>4.0</v>
      </c>
      <c r="C33" s="27" t="s">
        <v>200</v>
      </c>
      <c r="D33" s="28">
        <v>2.0240003E8</v>
      </c>
      <c r="E33" s="27" t="s">
        <v>132</v>
      </c>
      <c r="F33" s="37" t="s">
        <v>82</v>
      </c>
      <c r="G33" s="30" t="s">
        <v>208</v>
      </c>
      <c r="H33" s="29" t="s">
        <v>57</v>
      </c>
      <c r="I33" s="27" t="s">
        <v>145</v>
      </c>
      <c r="J33" s="25" t="s">
        <v>183</v>
      </c>
      <c r="K33" s="27" t="s">
        <v>58</v>
      </c>
      <c r="L33" s="27" t="s">
        <v>59</v>
      </c>
      <c r="M33" s="27" t="s">
        <v>184</v>
      </c>
      <c r="N33" s="27" t="s">
        <v>61</v>
      </c>
      <c r="O33" s="25" t="s">
        <v>252</v>
      </c>
      <c r="P33" s="79">
        <v>4.1361571E7</v>
      </c>
      <c r="Q33" s="25" t="s">
        <v>253</v>
      </c>
      <c r="R33" s="27" t="s">
        <v>57</v>
      </c>
      <c r="S33" s="27">
        <v>3.002678422E9</v>
      </c>
      <c r="T33" s="27" t="s">
        <v>82</v>
      </c>
      <c r="U33" s="26" t="s">
        <v>64</v>
      </c>
      <c r="V33" s="26" t="s">
        <v>65</v>
      </c>
      <c r="W33" s="27" t="s">
        <v>78</v>
      </c>
      <c r="X33" s="41" t="s">
        <v>254</v>
      </c>
      <c r="Y33" s="31" t="s">
        <v>57</v>
      </c>
      <c r="Z33" s="31" t="s">
        <v>57</v>
      </c>
      <c r="AA33" s="75" t="s">
        <v>255</v>
      </c>
      <c r="AB33" s="41" t="s">
        <v>256</v>
      </c>
      <c r="AC33" s="32" t="s">
        <v>66</v>
      </c>
      <c r="AD33" s="27" t="s">
        <v>57</v>
      </c>
      <c r="AE33" s="25" t="s">
        <v>257</v>
      </c>
      <c r="AF33" s="33" t="s">
        <v>68</v>
      </c>
      <c r="AG33" s="34" t="s">
        <v>69</v>
      </c>
      <c r="AH33" s="35"/>
      <c r="AI33" s="63" t="s">
        <v>258</v>
      </c>
      <c r="AJ33" s="60" t="b">
        <v>0</v>
      </c>
      <c r="AK33" s="59"/>
      <c r="AL33" s="24"/>
      <c r="AM33" s="24"/>
      <c r="AN33" s="24"/>
    </row>
    <row r="34" ht="15.75" customHeight="1">
      <c r="A34" s="25">
        <v>2024.0</v>
      </c>
      <c r="B34" s="26">
        <v>4.0</v>
      </c>
      <c r="C34" s="27" t="s">
        <v>200</v>
      </c>
      <c r="D34" s="28">
        <v>2.02400031E8</v>
      </c>
      <c r="E34" s="27" t="s">
        <v>71</v>
      </c>
      <c r="F34" s="29" t="s">
        <v>259</v>
      </c>
      <c r="G34" s="43" t="s">
        <v>260</v>
      </c>
      <c r="H34" s="29" t="s">
        <v>57</v>
      </c>
      <c r="I34" s="27" t="s">
        <v>121</v>
      </c>
      <c r="J34" s="25" t="s">
        <v>217</v>
      </c>
      <c r="K34" s="27" t="s">
        <v>58</v>
      </c>
      <c r="L34" s="27" t="s">
        <v>59</v>
      </c>
      <c r="M34" s="27" t="s">
        <v>60</v>
      </c>
      <c r="N34" s="27" t="s">
        <v>61</v>
      </c>
      <c r="O34" s="25" t="s">
        <v>261</v>
      </c>
      <c r="P34" s="25" t="s">
        <v>57</v>
      </c>
      <c r="Q34" s="25" t="s">
        <v>262</v>
      </c>
      <c r="R34" s="27" t="s">
        <v>57</v>
      </c>
      <c r="S34" s="27" t="s">
        <v>57</v>
      </c>
      <c r="T34" s="26" t="s">
        <v>63</v>
      </c>
      <c r="U34" s="26" t="s">
        <v>64</v>
      </c>
      <c r="V34" s="26" t="s">
        <v>65</v>
      </c>
      <c r="W34" s="26" t="s">
        <v>78</v>
      </c>
      <c r="X34" s="25" t="s">
        <v>57</v>
      </c>
      <c r="Y34" s="32">
        <v>45377.0</v>
      </c>
      <c r="Z34" s="32">
        <v>45377.0</v>
      </c>
      <c r="AA34" s="31" t="s">
        <v>57</v>
      </c>
      <c r="AB34" s="31" t="s">
        <v>57</v>
      </c>
      <c r="AC34" s="32" t="s">
        <v>66</v>
      </c>
      <c r="AD34" s="27" t="s">
        <v>80</v>
      </c>
      <c r="AE34" s="25" t="s">
        <v>221</v>
      </c>
      <c r="AF34" s="33" t="s">
        <v>68</v>
      </c>
      <c r="AG34" s="34" t="s">
        <v>69</v>
      </c>
      <c r="AH34" s="35"/>
      <c r="AI34" s="42" t="s">
        <v>263</v>
      </c>
      <c r="AJ34" s="58" t="b">
        <v>0</v>
      </c>
      <c r="AK34" s="59"/>
      <c r="AL34" s="24"/>
      <c r="AM34" s="24"/>
      <c r="AN34" s="24"/>
    </row>
    <row r="35" ht="15.75" customHeight="1">
      <c r="A35" s="25">
        <v>2024.0</v>
      </c>
      <c r="B35" s="26">
        <v>3.0</v>
      </c>
      <c r="C35" s="27" t="s">
        <v>179</v>
      </c>
      <c r="D35" s="28">
        <v>2.02400032E8</v>
      </c>
      <c r="E35" s="27" t="s">
        <v>71</v>
      </c>
      <c r="F35" s="37" t="s">
        <v>154</v>
      </c>
      <c r="G35" s="30" t="s">
        <v>264</v>
      </c>
      <c r="H35" s="29" t="s">
        <v>57</v>
      </c>
      <c r="I35" s="27" t="s">
        <v>265</v>
      </c>
      <c r="J35" s="25" t="s">
        <v>183</v>
      </c>
      <c r="K35" s="27" t="s">
        <v>58</v>
      </c>
      <c r="L35" s="27" t="s">
        <v>59</v>
      </c>
      <c r="M35" s="27" t="s">
        <v>184</v>
      </c>
      <c r="N35" s="25" t="s">
        <v>61</v>
      </c>
      <c r="O35" s="25" t="s">
        <v>252</v>
      </c>
      <c r="P35" s="79">
        <v>4.1361571E7</v>
      </c>
      <c r="Q35" s="25" t="s">
        <v>266</v>
      </c>
      <c r="R35" s="27" t="s">
        <v>57</v>
      </c>
      <c r="S35" s="27">
        <v>3.002678422E9</v>
      </c>
      <c r="T35" s="26" t="s">
        <v>154</v>
      </c>
      <c r="U35" s="26" t="s">
        <v>64</v>
      </c>
      <c r="V35" s="27" t="s">
        <v>65</v>
      </c>
      <c r="W35" s="27" t="s">
        <v>78</v>
      </c>
      <c r="X35" s="25" t="s">
        <v>267</v>
      </c>
      <c r="Y35" s="32">
        <v>45380.0</v>
      </c>
      <c r="Z35" s="32">
        <v>45380.0</v>
      </c>
      <c r="AA35" s="31" t="s">
        <v>57</v>
      </c>
      <c r="AB35" s="31" t="s">
        <v>57</v>
      </c>
      <c r="AC35" s="32" t="s">
        <v>66</v>
      </c>
      <c r="AD35" s="27" t="s">
        <v>57</v>
      </c>
      <c r="AE35" s="25" t="s">
        <v>268</v>
      </c>
      <c r="AF35" s="33" t="s">
        <v>68</v>
      </c>
      <c r="AG35" s="34" t="s">
        <v>69</v>
      </c>
      <c r="AH35" s="35"/>
      <c r="AI35" s="43" t="s">
        <v>269</v>
      </c>
      <c r="AJ35" s="60" t="b">
        <v>1</v>
      </c>
      <c r="AK35" s="61"/>
      <c r="AL35" s="24"/>
      <c r="AM35" s="24"/>
      <c r="AN35" s="24"/>
    </row>
    <row r="36" ht="15.75" customHeight="1">
      <c r="A36" s="25">
        <v>2024.0</v>
      </c>
      <c r="B36" s="26">
        <v>4.0</v>
      </c>
      <c r="C36" s="27" t="s">
        <v>200</v>
      </c>
      <c r="D36" s="28">
        <v>2.02400033E8</v>
      </c>
      <c r="E36" s="27" t="s">
        <v>132</v>
      </c>
      <c r="F36" s="37" t="s">
        <v>82</v>
      </c>
      <c r="G36" s="30" t="s">
        <v>270</v>
      </c>
      <c r="H36" s="29" t="s">
        <v>57</v>
      </c>
      <c r="I36" s="26" t="s">
        <v>271</v>
      </c>
      <c r="J36" s="25" t="s">
        <v>272</v>
      </c>
      <c r="K36" s="27" t="s">
        <v>58</v>
      </c>
      <c r="L36" s="27" t="s">
        <v>59</v>
      </c>
      <c r="M36" s="27" t="s">
        <v>99</v>
      </c>
      <c r="N36" s="25" t="s">
        <v>91</v>
      </c>
      <c r="O36" s="25" t="s">
        <v>273</v>
      </c>
      <c r="P36" s="25" t="s">
        <v>57</v>
      </c>
      <c r="Q36" s="25" t="s">
        <v>274</v>
      </c>
      <c r="R36" s="27" t="s">
        <v>57</v>
      </c>
      <c r="S36" s="27" t="s">
        <v>57</v>
      </c>
      <c r="T36" s="26" t="s">
        <v>82</v>
      </c>
      <c r="U36" s="26" t="s">
        <v>129</v>
      </c>
      <c r="V36" s="27" t="s">
        <v>65</v>
      </c>
      <c r="W36" s="27" t="s">
        <v>57</v>
      </c>
      <c r="X36" s="48" t="s">
        <v>275</v>
      </c>
      <c r="Y36" s="31" t="s">
        <v>57</v>
      </c>
      <c r="Z36" s="31" t="s">
        <v>57</v>
      </c>
      <c r="AA36" s="31" t="s">
        <v>57</v>
      </c>
      <c r="AB36" s="31" t="s">
        <v>57</v>
      </c>
      <c r="AC36" s="32" t="s">
        <v>66</v>
      </c>
      <c r="AD36" s="27" t="s">
        <v>57</v>
      </c>
      <c r="AE36" s="25" t="s">
        <v>276</v>
      </c>
      <c r="AF36" s="33" t="s">
        <v>68</v>
      </c>
      <c r="AG36" s="34" t="s">
        <v>69</v>
      </c>
      <c r="AH36" s="35"/>
      <c r="AI36" s="43" t="s">
        <v>70</v>
      </c>
      <c r="AJ36" s="60" t="b">
        <v>1</v>
      </c>
      <c r="AK36" s="61"/>
      <c r="AL36" s="24"/>
      <c r="AM36" s="24"/>
      <c r="AN36" s="24"/>
    </row>
    <row r="37" ht="18.0" customHeight="1">
      <c r="A37" s="25">
        <v>2024.0</v>
      </c>
      <c r="B37" s="26">
        <v>4.0</v>
      </c>
      <c r="C37" s="27" t="s">
        <v>200</v>
      </c>
      <c r="D37" s="28">
        <v>2.02400034E8</v>
      </c>
      <c r="E37" s="27" t="s">
        <v>132</v>
      </c>
      <c r="F37" s="37" t="s">
        <v>82</v>
      </c>
      <c r="G37" s="30" t="s">
        <v>277</v>
      </c>
      <c r="H37" s="29" t="s">
        <v>57</v>
      </c>
      <c r="I37" s="26" t="s">
        <v>271</v>
      </c>
      <c r="J37" s="25" t="s">
        <v>90</v>
      </c>
      <c r="K37" s="27" t="s">
        <v>58</v>
      </c>
      <c r="L37" s="27" t="s">
        <v>59</v>
      </c>
      <c r="M37" s="26" t="s">
        <v>60</v>
      </c>
      <c r="N37" s="25" t="s">
        <v>91</v>
      </c>
      <c r="O37" s="25" t="s">
        <v>278</v>
      </c>
      <c r="P37" s="25" t="s">
        <v>57</v>
      </c>
      <c r="Q37" s="25" t="s">
        <v>279</v>
      </c>
      <c r="R37" s="27" t="s">
        <v>57</v>
      </c>
      <c r="S37" s="26">
        <v>3.112448321E9</v>
      </c>
      <c r="T37" s="26" t="s">
        <v>82</v>
      </c>
      <c r="U37" s="26" t="s">
        <v>129</v>
      </c>
      <c r="V37" s="27" t="s">
        <v>65</v>
      </c>
      <c r="W37" s="26" t="s">
        <v>78</v>
      </c>
      <c r="X37" s="25" t="s">
        <v>280</v>
      </c>
      <c r="Y37" s="32">
        <v>45390.0</v>
      </c>
      <c r="Z37" s="32">
        <v>45390.0</v>
      </c>
      <c r="AA37" s="31" t="s">
        <v>57</v>
      </c>
      <c r="AB37" s="31" t="s">
        <v>57</v>
      </c>
      <c r="AC37" s="32" t="s">
        <v>66</v>
      </c>
      <c r="AD37" s="27" t="s">
        <v>80</v>
      </c>
      <c r="AE37" s="34" t="s">
        <v>281</v>
      </c>
      <c r="AF37" s="33" t="s">
        <v>68</v>
      </c>
      <c r="AG37" s="34" t="s">
        <v>69</v>
      </c>
      <c r="AH37" s="35"/>
      <c r="AI37" s="42" t="s">
        <v>282</v>
      </c>
      <c r="AJ37" s="60" t="b">
        <v>0</v>
      </c>
      <c r="AK37" s="59"/>
      <c r="AL37" s="24"/>
      <c r="AM37" s="24"/>
      <c r="AN37" s="24"/>
    </row>
    <row r="38" ht="15.75" customHeight="1">
      <c r="A38" s="25">
        <v>2024.0</v>
      </c>
      <c r="B38" s="26">
        <v>4.0</v>
      </c>
      <c r="C38" s="27" t="s">
        <v>200</v>
      </c>
      <c r="D38" s="28">
        <v>2.02400035E8</v>
      </c>
      <c r="E38" s="27" t="s">
        <v>132</v>
      </c>
      <c r="F38" s="37" t="s">
        <v>82</v>
      </c>
      <c r="G38" s="51" t="s">
        <v>283</v>
      </c>
      <c r="H38" s="29" t="s">
        <v>57</v>
      </c>
      <c r="I38" s="27" t="s">
        <v>145</v>
      </c>
      <c r="J38" s="25" t="s">
        <v>209</v>
      </c>
      <c r="K38" s="27" t="s">
        <v>58</v>
      </c>
      <c r="L38" s="27" t="s">
        <v>59</v>
      </c>
      <c r="M38" s="27" t="s">
        <v>184</v>
      </c>
      <c r="N38" s="27" t="s">
        <v>61</v>
      </c>
      <c r="O38" s="27" t="s">
        <v>210</v>
      </c>
      <c r="P38" s="25" t="s">
        <v>57</v>
      </c>
      <c r="Q38" s="27" t="s">
        <v>284</v>
      </c>
      <c r="R38" s="27" t="s">
        <v>57</v>
      </c>
      <c r="S38" s="25" t="s">
        <v>57</v>
      </c>
      <c r="T38" s="27" t="s">
        <v>82</v>
      </c>
      <c r="U38" s="41" t="s">
        <v>64</v>
      </c>
      <c r="V38" s="27" t="s">
        <v>65</v>
      </c>
      <c r="W38" s="26" t="s">
        <v>149</v>
      </c>
      <c r="X38" s="25" t="s">
        <v>285</v>
      </c>
      <c r="Y38" s="32">
        <v>45394.0</v>
      </c>
      <c r="Z38" s="32">
        <v>45394.0</v>
      </c>
      <c r="AA38" s="31" t="s">
        <v>57</v>
      </c>
      <c r="AB38" s="31" t="s">
        <v>57</v>
      </c>
      <c r="AC38" s="32" t="s">
        <v>66</v>
      </c>
      <c r="AD38" s="27" t="s">
        <v>57</v>
      </c>
      <c r="AE38" s="25" t="s">
        <v>286</v>
      </c>
      <c r="AF38" s="33" t="s">
        <v>68</v>
      </c>
      <c r="AG38" s="34" t="s">
        <v>69</v>
      </c>
      <c r="AH38" s="35"/>
      <c r="AI38" s="43" t="s">
        <v>70</v>
      </c>
      <c r="AJ38" s="60" t="b">
        <v>1</v>
      </c>
      <c r="AK38" s="61"/>
      <c r="AL38" s="24"/>
      <c r="AM38" s="24"/>
      <c r="AN38" s="24"/>
    </row>
    <row r="39" ht="15.75" customHeight="1">
      <c r="A39" s="25">
        <v>2024.0</v>
      </c>
      <c r="B39" s="26">
        <v>4.0</v>
      </c>
      <c r="C39" s="27" t="s">
        <v>200</v>
      </c>
      <c r="D39" s="28">
        <v>2.02400036E8</v>
      </c>
      <c r="E39" s="26" t="s">
        <v>2</v>
      </c>
      <c r="F39" s="29" t="s">
        <v>88</v>
      </c>
      <c r="G39" s="51" t="s">
        <v>287</v>
      </c>
      <c r="H39" s="29" t="s">
        <v>57</v>
      </c>
      <c r="I39" s="27" t="s">
        <v>57</v>
      </c>
      <c r="J39" s="25" t="s">
        <v>189</v>
      </c>
      <c r="K39" s="27" t="s">
        <v>58</v>
      </c>
      <c r="L39" s="27" t="s">
        <v>59</v>
      </c>
      <c r="M39" s="27" t="s">
        <v>57</v>
      </c>
      <c r="N39" s="25" t="s">
        <v>57</v>
      </c>
      <c r="O39" s="25" t="s">
        <v>57</v>
      </c>
      <c r="P39" s="25" t="s">
        <v>57</v>
      </c>
      <c r="Q39" s="25" t="s">
        <v>57</v>
      </c>
      <c r="R39" s="27" t="s">
        <v>57</v>
      </c>
      <c r="S39" s="25" t="s">
        <v>57</v>
      </c>
      <c r="T39" s="26" t="s">
        <v>63</v>
      </c>
      <c r="U39" s="41" t="s">
        <v>129</v>
      </c>
      <c r="V39" s="27" t="s">
        <v>57</v>
      </c>
      <c r="W39" s="27" t="s">
        <v>57</v>
      </c>
      <c r="X39" s="25" t="s">
        <v>57</v>
      </c>
      <c r="Y39" s="31" t="s">
        <v>57</v>
      </c>
      <c r="Z39" s="31" t="s">
        <v>57</v>
      </c>
      <c r="AA39" s="31" t="s">
        <v>57</v>
      </c>
      <c r="AB39" s="31" t="s">
        <v>57</v>
      </c>
      <c r="AC39" s="32" t="s">
        <v>66</v>
      </c>
      <c r="AD39" s="27" t="s">
        <v>57</v>
      </c>
      <c r="AE39" s="25" t="s">
        <v>57</v>
      </c>
      <c r="AF39" s="33" t="s">
        <v>68</v>
      </c>
      <c r="AG39" s="34" t="s">
        <v>69</v>
      </c>
      <c r="AH39" s="35"/>
      <c r="AI39" s="43" t="s">
        <v>288</v>
      </c>
      <c r="AJ39" s="60" t="b">
        <v>0</v>
      </c>
      <c r="AK39" s="59"/>
      <c r="AL39" s="24"/>
      <c r="AM39" s="24"/>
      <c r="AN39" s="24"/>
    </row>
    <row r="40" ht="15.75" customHeight="1">
      <c r="A40" s="25">
        <v>2024.0</v>
      </c>
      <c r="B40" s="26">
        <v>4.0</v>
      </c>
      <c r="C40" s="27" t="s">
        <v>200</v>
      </c>
      <c r="D40" s="28">
        <v>2.02400037E8</v>
      </c>
      <c r="E40" s="26" t="s">
        <v>2</v>
      </c>
      <c r="F40" s="29" t="s">
        <v>289</v>
      </c>
      <c r="G40" s="51" t="s">
        <v>290</v>
      </c>
      <c r="H40" s="29" t="s">
        <v>57</v>
      </c>
      <c r="I40" s="27" t="s">
        <v>57</v>
      </c>
      <c r="J40" s="25" t="s">
        <v>189</v>
      </c>
      <c r="K40" s="27" t="s">
        <v>58</v>
      </c>
      <c r="L40" s="27" t="s">
        <v>59</v>
      </c>
      <c r="M40" s="27" t="s">
        <v>57</v>
      </c>
      <c r="N40" s="25" t="s">
        <v>61</v>
      </c>
      <c r="O40" s="25" t="s">
        <v>57</v>
      </c>
      <c r="P40" s="25" t="s">
        <v>57</v>
      </c>
      <c r="Q40" s="25" t="s">
        <v>57</v>
      </c>
      <c r="R40" s="27" t="s">
        <v>57</v>
      </c>
      <c r="S40" s="25" t="s">
        <v>57</v>
      </c>
      <c r="T40" s="26" t="s">
        <v>63</v>
      </c>
      <c r="U40" s="41" t="s">
        <v>129</v>
      </c>
      <c r="V40" s="27" t="s">
        <v>57</v>
      </c>
      <c r="W40" s="27" t="s">
        <v>57</v>
      </c>
      <c r="X40" s="25" t="s">
        <v>57</v>
      </c>
      <c r="Y40" s="31" t="s">
        <v>57</v>
      </c>
      <c r="Z40" s="31" t="s">
        <v>57</v>
      </c>
      <c r="AA40" s="31" t="s">
        <v>57</v>
      </c>
      <c r="AB40" s="31" t="s">
        <v>57</v>
      </c>
      <c r="AC40" s="32" t="s">
        <v>66</v>
      </c>
      <c r="AD40" s="27" t="s">
        <v>57</v>
      </c>
      <c r="AE40" s="25" t="s">
        <v>57</v>
      </c>
      <c r="AF40" s="33" t="s">
        <v>68</v>
      </c>
      <c r="AG40" s="34" t="s">
        <v>69</v>
      </c>
      <c r="AH40" s="35"/>
      <c r="AI40" s="50" t="s">
        <v>291</v>
      </c>
      <c r="AJ40" s="60" t="b">
        <v>1</v>
      </c>
      <c r="AK40" s="61"/>
      <c r="AL40" s="24"/>
      <c r="AM40" s="24"/>
      <c r="AN40" s="24"/>
    </row>
    <row r="41" ht="15.75" customHeight="1">
      <c r="A41" s="25">
        <v>2024.0</v>
      </c>
      <c r="B41" s="26">
        <v>4.0</v>
      </c>
      <c r="C41" s="27" t="s">
        <v>200</v>
      </c>
      <c r="D41" s="28">
        <v>2.02400038E8</v>
      </c>
      <c r="E41" s="26" t="s">
        <v>2</v>
      </c>
      <c r="F41" s="37" t="s">
        <v>124</v>
      </c>
      <c r="G41" s="51" t="s">
        <v>292</v>
      </c>
      <c r="H41" s="29" t="s">
        <v>57</v>
      </c>
      <c r="I41" s="27" t="s">
        <v>191</v>
      </c>
      <c r="J41" s="41" t="s">
        <v>293</v>
      </c>
      <c r="K41" s="27" t="s">
        <v>58</v>
      </c>
      <c r="L41" s="27" t="s">
        <v>59</v>
      </c>
      <c r="M41" s="26" t="s">
        <v>57</v>
      </c>
      <c r="N41" s="25" t="s">
        <v>61</v>
      </c>
      <c r="O41" s="25" t="s">
        <v>57</v>
      </c>
      <c r="P41" s="25" t="s">
        <v>57</v>
      </c>
      <c r="Q41" s="41" t="s">
        <v>294</v>
      </c>
      <c r="R41" s="25" t="s">
        <v>57</v>
      </c>
      <c r="S41" s="25" t="s">
        <v>57</v>
      </c>
      <c r="T41" s="27" t="s">
        <v>63</v>
      </c>
      <c r="U41" s="41" t="s">
        <v>64</v>
      </c>
      <c r="V41" s="27" t="s">
        <v>65</v>
      </c>
      <c r="W41" s="27" t="s">
        <v>149</v>
      </c>
      <c r="X41" s="25" t="s">
        <v>295</v>
      </c>
      <c r="Y41" s="32">
        <v>45404.0</v>
      </c>
      <c r="Z41" s="32">
        <v>45404.0</v>
      </c>
      <c r="AA41" s="31" t="s">
        <v>57</v>
      </c>
      <c r="AB41" s="31" t="s">
        <v>57</v>
      </c>
      <c r="AC41" s="32" t="s">
        <v>66</v>
      </c>
      <c r="AD41" s="27" t="s">
        <v>57</v>
      </c>
      <c r="AE41" s="25" t="s">
        <v>296</v>
      </c>
      <c r="AF41" s="33" t="s">
        <v>68</v>
      </c>
      <c r="AG41" s="34" t="s">
        <v>69</v>
      </c>
      <c r="AH41" s="35"/>
      <c r="AI41" s="43" t="s">
        <v>70</v>
      </c>
      <c r="AJ41" s="60" t="b">
        <v>1</v>
      </c>
      <c r="AK41" s="61"/>
      <c r="AL41" s="24"/>
      <c r="AM41" s="24"/>
      <c r="AN41" s="24"/>
    </row>
    <row r="42" ht="15.75" customHeight="1">
      <c r="A42" s="25">
        <v>2024.0</v>
      </c>
      <c r="B42" s="26">
        <v>4.0</v>
      </c>
      <c r="C42" s="27" t="s">
        <v>200</v>
      </c>
      <c r="D42" s="28">
        <v>2.02400039E8</v>
      </c>
      <c r="E42" s="27" t="s">
        <v>132</v>
      </c>
      <c r="F42" s="37" t="s">
        <v>82</v>
      </c>
      <c r="G42" s="51" t="s">
        <v>297</v>
      </c>
      <c r="H42" s="29" t="s">
        <v>57</v>
      </c>
      <c r="I42" s="26" t="s">
        <v>271</v>
      </c>
      <c r="J42" s="25" t="s">
        <v>90</v>
      </c>
      <c r="K42" s="27" t="s">
        <v>58</v>
      </c>
      <c r="L42" s="27" t="s">
        <v>59</v>
      </c>
      <c r="M42" s="27" t="s">
        <v>60</v>
      </c>
      <c r="N42" s="25" t="s">
        <v>91</v>
      </c>
      <c r="O42" s="25" t="s">
        <v>278</v>
      </c>
      <c r="P42" s="25" t="s">
        <v>57</v>
      </c>
      <c r="Q42" s="25" t="s">
        <v>279</v>
      </c>
      <c r="R42" s="25" t="s">
        <v>57</v>
      </c>
      <c r="S42" s="27">
        <v>3.112448321E9</v>
      </c>
      <c r="T42" s="26" t="s">
        <v>82</v>
      </c>
      <c r="U42" s="26" t="s">
        <v>64</v>
      </c>
      <c r="V42" s="27" t="s">
        <v>65</v>
      </c>
      <c r="W42" s="27" t="s">
        <v>57</v>
      </c>
      <c r="X42" s="25" t="s">
        <v>298</v>
      </c>
      <c r="Y42" s="32">
        <v>45404.0</v>
      </c>
      <c r="Z42" s="32">
        <v>45421.0</v>
      </c>
      <c r="AA42" s="31" t="s">
        <v>57</v>
      </c>
      <c r="AB42" s="31" t="s">
        <v>57</v>
      </c>
      <c r="AC42" s="32" t="s">
        <v>66</v>
      </c>
      <c r="AD42" s="27" t="s">
        <v>80</v>
      </c>
      <c r="AE42" s="25" t="s">
        <v>299</v>
      </c>
      <c r="AF42" s="33" t="s">
        <v>68</v>
      </c>
      <c r="AG42" s="34" t="s">
        <v>69</v>
      </c>
      <c r="AH42" s="35"/>
      <c r="AI42" s="43" t="s">
        <v>70</v>
      </c>
      <c r="AJ42" s="60" t="b">
        <v>1</v>
      </c>
      <c r="AK42" s="61"/>
      <c r="AL42" s="24"/>
      <c r="AM42" s="24"/>
      <c r="AN42" s="24"/>
    </row>
    <row r="43" ht="15.75" customHeight="1">
      <c r="A43" s="25">
        <v>2024.0</v>
      </c>
      <c r="B43" s="26">
        <v>4.0</v>
      </c>
      <c r="C43" s="27" t="s">
        <v>200</v>
      </c>
      <c r="D43" s="28">
        <v>2.0240004E8</v>
      </c>
      <c r="E43" s="27" t="s">
        <v>132</v>
      </c>
      <c r="F43" s="37" t="s">
        <v>82</v>
      </c>
      <c r="G43" s="51" t="s">
        <v>300</v>
      </c>
      <c r="H43" s="29" t="s">
        <v>57</v>
      </c>
      <c r="I43" s="27" t="s">
        <v>145</v>
      </c>
      <c r="J43" s="25" t="s">
        <v>90</v>
      </c>
      <c r="K43" s="27" t="s">
        <v>58</v>
      </c>
      <c r="L43" s="27" t="s">
        <v>59</v>
      </c>
      <c r="M43" s="27" t="s">
        <v>60</v>
      </c>
      <c r="N43" s="25" t="s">
        <v>61</v>
      </c>
      <c r="O43" s="25" t="s">
        <v>278</v>
      </c>
      <c r="P43" s="25" t="s">
        <v>57</v>
      </c>
      <c r="Q43" s="25" t="s">
        <v>279</v>
      </c>
      <c r="R43" s="25" t="s">
        <v>57</v>
      </c>
      <c r="S43" s="27">
        <v>3.112448321E9</v>
      </c>
      <c r="T43" s="27" t="s">
        <v>82</v>
      </c>
      <c r="U43" s="26" t="s">
        <v>64</v>
      </c>
      <c r="V43" s="27" t="s">
        <v>65</v>
      </c>
      <c r="W43" s="27" t="s">
        <v>78</v>
      </c>
      <c r="X43" s="25" t="s">
        <v>301</v>
      </c>
      <c r="Y43" s="32">
        <v>45404.0</v>
      </c>
      <c r="Z43" s="32">
        <v>45420.0</v>
      </c>
      <c r="AA43" s="31" t="s">
        <v>57</v>
      </c>
      <c r="AB43" s="31" t="s">
        <v>57</v>
      </c>
      <c r="AC43" s="32" t="s">
        <v>66</v>
      </c>
      <c r="AD43" s="27" t="s">
        <v>80</v>
      </c>
      <c r="AE43" s="25" t="s">
        <v>299</v>
      </c>
      <c r="AF43" s="33" t="s">
        <v>68</v>
      </c>
      <c r="AG43" s="34" t="s">
        <v>69</v>
      </c>
      <c r="AH43" s="35"/>
      <c r="AI43" s="43" t="s">
        <v>302</v>
      </c>
      <c r="AJ43" s="60" t="b">
        <v>0</v>
      </c>
      <c r="AK43" s="59"/>
      <c r="AL43" s="24"/>
      <c r="AM43" s="24"/>
      <c r="AN43" s="24"/>
    </row>
    <row r="44" ht="15.75" customHeight="1">
      <c r="A44" s="25">
        <v>2024.0</v>
      </c>
      <c r="B44" s="26">
        <v>4.0</v>
      </c>
      <c r="C44" s="27" t="s">
        <v>200</v>
      </c>
      <c r="D44" s="28">
        <v>2.02400041E8</v>
      </c>
      <c r="E44" s="27" t="s">
        <v>71</v>
      </c>
      <c r="F44" s="37" t="s">
        <v>82</v>
      </c>
      <c r="G44" s="51" t="s">
        <v>303</v>
      </c>
      <c r="H44" s="29" t="s">
        <v>57</v>
      </c>
      <c r="I44" s="27" t="s">
        <v>145</v>
      </c>
      <c r="J44" s="25" t="s">
        <v>183</v>
      </c>
      <c r="K44" s="27" t="s">
        <v>58</v>
      </c>
      <c r="L44" s="27" t="s">
        <v>59</v>
      </c>
      <c r="M44" s="27" t="s">
        <v>184</v>
      </c>
      <c r="N44" s="25" t="s">
        <v>61</v>
      </c>
      <c r="O44" s="25" t="s">
        <v>252</v>
      </c>
      <c r="P44" s="79">
        <v>4.1361571E7</v>
      </c>
      <c r="Q44" s="25" t="s">
        <v>266</v>
      </c>
      <c r="R44" s="25" t="s">
        <v>57</v>
      </c>
      <c r="S44" s="27">
        <v>3.002678422E9</v>
      </c>
      <c r="T44" s="26" t="s">
        <v>82</v>
      </c>
      <c r="U44" s="41" t="s">
        <v>64</v>
      </c>
      <c r="V44" s="26" t="s">
        <v>65</v>
      </c>
      <c r="W44" s="26" t="s">
        <v>78</v>
      </c>
      <c r="X44" s="41" t="s">
        <v>304</v>
      </c>
      <c r="Y44" s="32">
        <v>45404.0</v>
      </c>
      <c r="Z44" s="80">
        <v>45420.0</v>
      </c>
      <c r="AA44" s="41">
        <v>2.02461201527142E14</v>
      </c>
      <c r="AB44" s="31" t="s">
        <v>57</v>
      </c>
      <c r="AC44" s="32" t="s">
        <v>66</v>
      </c>
      <c r="AD44" s="27" t="s">
        <v>57</v>
      </c>
      <c r="AE44" s="25" t="s">
        <v>305</v>
      </c>
      <c r="AF44" s="33" t="s">
        <v>68</v>
      </c>
      <c r="AG44" s="34" t="s">
        <v>69</v>
      </c>
      <c r="AH44" s="76" t="s">
        <v>306</v>
      </c>
      <c r="AI44" s="42" t="s">
        <v>70</v>
      </c>
      <c r="AJ44" s="58" t="b">
        <v>1</v>
      </c>
      <c r="AK44" s="59"/>
      <c r="AL44" s="24"/>
      <c r="AM44" s="24"/>
      <c r="AN44" s="24"/>
    </row>
    <row r="45" ht="15.75" customHeight="1">
      <c r="A45" s="25">
        <v>2024.0</v>
      </c>
      <c r="B45" s="26">
        <v>4.0</v>
      </c>
      <c r="C45" s="27" t="s">
        <v>200</v>
      </c>
      <c r="D45" s="28">
        <v>2.02400042E8</v>
      </c>
      <c r="E45" s="26" t="s">
        <v>2</v>
      </c>
      <c r="F45" s="37" t="s">
        <v>119</v>
      </c>
      <c r="G45" s="51" t="s">
        <v>307</v>
      </c>
      <c r="H45" s="29" t="s">
        <v>57</v>
      </c>
      <c r="I45" s="27" t="s">
        <v>84</v>
      </c>
      <c r="J45" s="25" t="s">
        <v>308</v>
      </c>
      <c r="K45" s="27" t="s">
        <v>58</v>
      </c>
      <c r="L45" s="27" t="s">
        <v>59</v>
      </c>
      <c r="M45" s="27" t="s">
        <v>60</v>
      </c>
      <c r="N45" s="25" t="s">
        <v>61</v>
      </c>
      <c r="O45" s="25" t="s">
        <v>309</v>
      </c>
      <c r="P45" s="25" t="s">
        <v>57</v>
      </c>
      <c r="Q45" s="25" t="s">
        <v>310</v>
      </c>
      <c r="R45" s="25" t="s">
        <v>57</v>
      </c>
      <c r="S45" s="25" t="s">
        <v>57</v>
      </c>
      <c r="T45" s="27" t="s">
        <v>63</v>
      </c>
      <c r="U45" s="41" t="s">
        <v>64</v>
      </c>
      <c r="V45" s="27" t="s">
        <v>65</v>
      </c>
      <c r="W45" s="27" t="s">
        <v>78</v>
      </c>
      <c r="X45" s="81"/>
      <c r="Y45" s="32">
        <v>45405.0</v>
      </c>
      <c r="Z45" s="32">
        <v>45405.0</v>
      </c>
      <c r="AA45" s="31" t="s">
        <v>57</v>
      </c>
      <c r="AB45" s="31" t="s">
        <v>57</v>
      </c>
      <c r="AC45" s="32" t="s">
        <v>66</v>
      </c>
      <c r="AD45" s="27" t="s">
        <v>57</v>
      </c>
      <c r="AE45" s="34" t="s">
        <v>311</v>
      </c>
      <c r="AF45" s="33" t="s">
        <v>68</v>
      </c>
      <c r="AG45" s="34" t="s">
        <v>69</v>
      </c>
      <c r="AH45" s="35"/>
      <c r="AI45" s="43" t="s">
        <v>269</v>
      </c>
      <c r="AJ45" s="60" t="b">
        <v>1</v>
      </c>
      <c r="AK45" s="61"/>
      <c r="AL45" s="24"/>
      <c r="AM45" s="24"/>
      <c r="AN45" s="24"/>
    </row>
    <row r="46" ht="15.75" customHeight="1">
      <c r="A46" s="25">
        <v>2024.0</v>
      </c>
      <c r="B46" s="26">
        <v>5.0</v>
      </c>
      <c r="C46" s="34" t="s">
        <v>312</v>
      </c>
      <c r="D46" s="28">
        <v>2.02400043E8</v>
      </c>
      <c r="E46" s="27" t="s">
        <v>239</v>
      </c>
      <c r="F46" s="37" t="s">
        <v>124</v>
      </c>
      <c r="G46" s="51" t="s">
        <v>313</v>
      </c>
      <c r="H46" s="29" t="s">
        <v>57</v>
      </c>
      <c r="I46" s="27" t="s">
        <v>170</v>
      </c>
      <c r="J46" s="25" t="s">
        <v>189</v>
      </c>
      <c r="K46" s="27" t="s">
        <v>58</v>
      </c>
      <c r="L46" s="27" t="s">
        <v>59</v>
      </c>
      <c r="M46" s="27" t="s">
        <v>57</v>
      </c>
      <c r="N46" s="25" t="s">
        <v>61</v>
      </c>
      <c r="O46" s="25" t="s">
        <v>314</v>
      </c>
      <c r="P46" s="25" t="s">
        <v>57</v>
      </c>
      <c r="Q46" s="25" t="s">
        <v>315</v>
      </c>
      <c r="R46" s="25" t="s">
        <v>57</v>
      </c>
      <c r="S46" s="25" t="s">
        <v>57</v>
      </c>
      <c r="T46" s="27" t="s">
        <v>63</v>
      </c>
      <c r="U46" s="41" t="s">
        <v>57</v>
      </c>
      <c r="V46" s="27" t="s">
        <v>65</v>
      </c>
      <c r="W46" s="26" t="s">
        <v>149</v>
      </c>
      <c r="X46" s="25" t="s">
        <v>316</v>
      </c>
      <c r="Y46" s="32">
        <v>45414.0</v>
      </c>
      <c r="Z46" s="32">
        <v>45414.0</v>
      </c>
      <c r="AA46" s="31" t="s">
        <v>57</v>
      </c>
      <c r="AB46" s="31" t="s">
        <v>57</v>
      </c>
      <c r="AC46" s="32" t="s">
        <v>66</v>
      </c>
      <c r="AD46" s="27" t="s">
        <v>80</v>
      </c>
      <c r="AE46" s="25" t="s">
        <v>317</v>
      </c>
      <c r="AF46" s="33" t="s">
        <v>68</v>
      </c>
      <c r="AG46" s="34" t="s">
        <v>69</v>
      </c>
      <c r="AH46" s="35"/>
      <c r="AI46" s="43" t="s">
        <v>269</v>
      </c>
      <c r="AJ46" s="60" t="b">
        <v>1</v>
      </c>
      <c r="AK46" s="61"/>
      <c r="AL46" s="24"/>
      <c r="AM46" s="24"/>
      <c r="AN46" s="24"/>
    </row>
    <row r="47" ht="15.75" customHeight="1">
      <c r="A47" s="25">
        <v>2024.0</v>
      </c>
      <c r="B47" s="26">
        <v>5.0</v>
      </c>
      <c r="C47" s="34" t="s">
        <v>312</v>
      </c>
      <c r="D47" s="28">
        <v>2.02400044E8</v>
      </c>
      <c r="E47" s="26" t="s">
        <v>2</v>
      </c>
      <c r="F47" s="37" t="s">
        <v>124</v>
      </c>
      <c r="G47" s="30" t="s">
        <v>318</v>
      </c>
      <c r="H47" s="29" t="s">
        <v>57</v>
      </c>
      <c r="I47" s="27" t="s">
        <v>191</v>
      </c>
      <c r="J47" s="25" t="s">
        <v>319</v>
      </c>
      <c r="K47" s="27" t="s">
        <v>58</v>
      </c>
      <c r="L47" s="27" t="s">
        <v>59</v>
      </c>
      <c r="M47" s="27" t="s">
        <v>57</v>
      </c>
      <c r="N47" s="25" t="s">
        <v>61</v>
      </c>
      <c r="O47" s="25" t="s">
        <v>320</v>
      </c>
      <c r="P47" s="25" t="s">
        <v>57</v>
      </c>
      <c r="Q47" s="25" t="s">
        <v>321</v>
      </c>
      <c r="R47" s="25" t="s">
        <v>57</v>
      </c>
      <c r="S47" s="25" t="s">
        <v>57</v>
      </c>
      <c r="T47" s="27" t="s">
        <v>63</v>
      </c>
      <c r="U47" s="41" t="s">
        <v>64</v>
      </c>
      <c r="V47" s="27" t="s">
        <v>65</v>
      </c>
      <c r="W47" s="27" t="s">
        <v>149</v>
      </c>
      <c r="X47" s="25" t="s">
        <v>322</v>
      </c>
      <c r="Y47" s="32">
        <v>45414.0</v>
      </c>
      <c r="Z47" s="32">
        <v>45417.0</v>
      </c>
      <c r="AA47" s="31" t="s">
        <v>57</v>
      </c>
      <c r="AB47" s="31" t="s">
        <v>57</v>
      </c>
      <c r="AC47" s="32" t="s">
        <v>66</v>
      </c>
      <c r="AD47" s="27" t="s">
        <v>57</v>
      </c>
      <c r="AE47" s="25" t="s">
        <v>323</v>
      </c>
      <c r="AF47" s="33" t="s">
        <v>68</v>
      </c>
      <c r="AG47" s="34" t="s">
        <v>69</v>
      </c>
      <c r="AH47" s="35"/>
      <c r="AI47" s="43" t="s">
        <v>70</v>
      </c>
      <c r="AJ47" s="60" t="b">
        <v>1</v>
      </c>
      <c r="AK47" s="61"/>
      <c r="AL47" s="24"/>
      <c r="AM47" s="24"/>
      <c r="AN47" s="24"/>
    </row>
    <row r="48" ht="15.75" customHeight="1">
      <c r="A48" s="25">
        <v>2024.0</v>
      </c>
      <c r="B48" s="26">
        <v>5.0</v>
      </c>
      <c r="C48" s="34" t="s">
        <v>312</v>
      </c>
      <c r="D48" s="28">
        <v>2.02400045E8</v>
      </c>
      <c r="E48" s="26" t="s">
        <v>2</v>
      </c>
      <c r="F48" s="37" t="s">
        <v>124</v>
      </c>
      <c r="G48" s="30" t="s">
        <v>324</v>
      </c>
      <c r="H48" s="29" t="s">
        <v>57</v>
      </c>
      <c r="I48" s="27" t="s">
        <v>191</v>
      </c>
      <c r="J48" s="25" t="s">
        <v>325</v>
      </c>
      <c r="K48" s="27" t="s">
        <v>58</v>
      </c>
      <c r="L48" s="27" t="s">
        <v>59</v>
      </c>
      <c r="M48" s="27" t="s">
        <v>60</v>
      </c>
      <c r="N48" s="25" t="s">
        <v>61</v>
      </c>
      <c r="O48" s="25" t="s">
        <v>326</v>
      </c>
      <c r="P48" s="27">
        <v>1.030582958E9</v>
      </c>
      <c r="Q48" s="25" t="s">
        <v>327</v>
      </c>
      <c r="R48" s="25" t="s">
        <v>57</v>
      </c>
      <c r="S48" s="41">
        <v>3.212302438E9</v>
      </c>
      <c r="T48" s="26" t="s">
        <v>63</v>
      </c>
      <c r="U48" s="41" t="s">
        <v>64</v>
      </c>
      <c r="V48" s="27" t="s">
        <v>65</v>
      </c>
      <c r="W48" s="27" t="s">
        <v>78</v>
      </c>
      <c r="X48" s="25" t="s">
        <v>328</v>
      </c>
      <c r="Y48" s="32">
        <v>45414.0</v>
      </c>
      <c r="Z48" s="32">
        <v>45417.0</v>
      </c>
      <c r="AA48" s="31" t="s">
        <v>57</v>
      </c>
      <c r="AB48" s="31" t="s">
        <v>57</v>
      </c>
      <c r="AC48" s="32" t="s">
        <v>66</v>
      </c>
      <c r="AD48" s="27" t="s">
        <v>57</v>
      </c>
      <c r="AE48" s="25" t="s">
        <v>329</v>
      </c>
      <c r="AF48" s="33" t="s">
        <v>68</v>
      </c>
      <c r="AG48" s="34" t="s">
        <v>69</v>
      </c>
      <c r="AH48" s="35"/>
      <c r="AI48" s="43" t="s">
        <v>330</v>
      </c>
      <c r="AJ48" s="60" t="b">
        <v>1</v>
      </c>
      <c r="AK48" s="61"/>
      <c r="AL48" s="24"/>
      <c r="AM48" s="24"/>
      <c r="AN48" s="24"/>
    </row>
    <row r="49" ht="15.75" customHeight="1">
      <c r="A49" s="25">
        <v>2024.0</v>
      </c>
      <c r="B49" s="26">
        <v>5.0</v>
      </c>
      <c r="C49" s="34" t="s">
        <v>312</v>
      </c>
      <c r="D49" s="28">
        <v>2.02400046E8</v>
      </c>
      <c r="E49" s="26" t="s">
        <v>2</v>
      </c>
      <c r="F49" s="37" t="s">
        <v>124</v>
      </c>
      <c r="G49" s="51" t="s">
        <v>331</v>
      </c>
      <c r="H49" s="29" t="s">
        <v>57</v>
      </c>
      <c r="I49" s="27" t="s">
        <v>191</v>
      </c>
      <c r="J49" s="25" t="s">
        <v>332</v>
      </c>
      <c r="K49" s="27" t="s">
        <v>58</v>
      </c>
      <c r="L49" s="27" t="s">
        <v>59</v>
      </c>
      <c r="M49" s="27" t="s">
        <v>136</v>
      </c>
      <c r="N49" s="25" t="s">
        <v>61</v>
      </c>
      <c r="O49" s="25" t="s">
        <v>333</v>
      </c>
      <c r="P49" s="27" t="s">
        <v>334</v>
      </c>
      <c r="Q49" s="25" t="s">
        <v>335</v>
      </c>
      <c r="R49" s="25" t="s">
        <v>57</v>
      </c>
      <c r="S49" s="25" t="s">
        <v>57</v>
      </c>
      <c r="T49" s="26" t="s">
        <v>63</v>
      </c>
      <c r="U49" s="41" t="s">
        <v>64</v>
      </c>
      <c r="V49" s="27" t="s">
        <v>65</v>
      </c>
      <c r="W49" s="27" t="s">
        <v>78</v>
      </c>
      <c r="X49" s="25" t="s">
        <v>336</v>
      </c>
      <c r="Y49" s="32">
        <v>45414.0</v>
      </c>
      <c r="Z49" s="32">
        <v>45417.0</v>
      </c>
      <c r="AA49" s="31" t="s">
        <v>57</v>
      </c>
      <c r="AB49" s="31" t="s">
        <v>57</v>
      </c>
      <c r="AC49" s="32" t="s">
        <v>66</v>
      </c>
      <c r="AD49" s="27" t="s">
        <v>80</v>
      </c>
      <c r="AE49" s="25" t="s">
        <v>337</v>
      </c>
      <c r="AF49" s="33" t="s">
        <v>68</v>
      </c>
      <c r="AG49" s="34" t="s">
        <v>69</v>
      </c>
      <c r="AH49" s="35"/>
      <c r="AI49" s="50" t="s">
        <v>269</v>
      </c>
      <c r="AJ49" s="60" t="b">
        <v>1</v>
      </c>
      <c r="AK49" s="61"/>
      <c r="AL49" s="24"/>
      <c r="AM49" s="24"/>
      <c r="AN49" s="24"/>
    </row>
    <row r="50" ht="15.75" customHeight="1">
      <c r="A50" s="25">
        <v>2024.0</v>
      </c>
      <c r="B50" s="26">
        <v>5.0</v>
      </c>
      <c r="C50" s="34" t="s">
        <v>312</v>
      </c>
      <c r="D50" s="28">
        <v>2.02400047E8</v>
      </c>
      <c r="E50" s="27" t="s">
        <v>132</v>
      </c>
      <c r="F50" s="37" t="s">
        <v>82</v>
      </c>
      <c r="G50" s="51" t="s">
        <v>338</v>
      </c>
      <c r="H50" s="29" t="s">
        <v>57</v>
      </c>
      <c r="I50" s="26" t="s">
        <v>271</v>
      </c>
      <c r="J50" s="25" t="s">
        <v>209</v>
      </c>
      <c r="K50" s="27" t="s">
        <v>58</v>
      </c>
      <c r="L50" s="27" t="s">
        <v>59</v>
      </c>
      <c r="M50" s="27" t="s">
        <v>184</v>
      </c>
      <c r="N50" s="25" t="s">
        <v>61</v>
      </c>
      <c r="O50" s="25" t="s">
        <v>210</v>
      </c>
      <c r="P50" s="25" t="s">
        <v>57</v>
      </c>
      <c r="Q50" s="25" t="s">
        <v>339</v>
      </c>
      <c r="R50" s="25" t="s">
        <v>57</v>
      </c>
      <c r="S50" s="26">
        <v>3.214853867E9</v>
      </c>
      <c r="T50" s="26" t="s">
        <v>82</v>
      </c>
      <c r="U50" s="41" t="s">
        <v>64</v>
      </c>
      <c r="V50" s="26" t="s">
        <v>65</v>
      </c>
      <c r="W50" s="26" t="s">
        <v>78</v>
      </c>
      <c r="X50" s="25" t="s">
        <v>340</v>
      </c>
      <c r="Y50" s="32">
        <v>45418.0</v>
      </c>
      <c r="Z50" s="31" t="s">
        <v>57</v>
      </c>
      <c r="AA50" s="31" t="s">
        <v>57</v>
      </c>
      <c r="AB50" s="31" t="s">
        <v>57</v>
      </c>
      <c r="AC50" s="32" t="s">
        <v>66</v>
      </c>
      <c r="AD50" s="27" t="s">
        <v>57</v>
      </c>
      <c r="AE50" s="25" t="s">
        <v>341</v>
      </c>
      <c r="AF50" s="33" t="s">
        <v>68</v>
      </c>
      <c r="AG50" s="34" t="s">
        <v>69</v>
      </c>
      <c r="AH50" s="35"/>
      <c r="AI50" s="50" t="s">
        <v>342</v>
      </c>
      <c r="AJ50" s="60" t="b">
        <v>0</v>
      </c>
      <c r="AK50" s="59"/>
      <c r="AL50" s="24"/>
      <c r="AM50" s="24"/>
      <c r="AN50" s="24"/>
    </row>
    <row r="51" ht="15.75" customHeight="1">
      <c r="A51" s="25">
        <v>2024.0</v>
      </c>
      <c r="B51" s="26">
        <v>5.0</v>
      </c>
      <c r="C51" s="34" t="s">
        <v>312</v>
      </c>
      <c r="D51" s="28">
        <v>2.02400048E8</v>
      </c>
      <c r="E51" s="27" t="s">
        <v>132</v>
      </c>
      <c r="F51" s="37" t="s">
        <v>154</v>
      </c>
      <c r="G51" s="30" t="s">
        <v>343</v>
      </c>
      <c r="H51" s="29" t="s">
        <v>57</v>
      </c>
      <c r="I51" s="27" t="s">
        <v>230</v>
      </c>
      <c r="J51" s="25" t="s">
        <v>344</v>
      </c>
      <c r="K51" s="27" t="s">
        <v>58</v>
      </c>
      <c r="L51" s="27" t="s">
        <v>59</v>
      </c>
      <c r="M51" s="27" t="s">
        <v>184</v>
      </c>
      <c r="N51" s="25" t="s">
        <v>91</v>
      </c>
      <c r="O51" s="25" t="s">
        <v>345</v>
      </c>
      <c r="P51" s="25" t="s">
        <v>57</v>
      </c>
      <c r="Q51" s="25" t="s">
        <v>346</v>
      </c>
      <c r="R51" s="25" t="s">
        <v>57</v>
      </c>
      <c r="S51" s="41">
        <v>3.004954221E9</v>
      </c>
      <c r="T51" s="26" t="s">
        <v>154</v>
      </c>
      <c r="U51" s="41" t="s">
        <v>64</v>
      </c>
      <c r="V51" s="26" t="s">
        <v>65</v>
      </c>
      <c r="W51" s="26" t="s">
        <v>149</v>
      </c>
      <c r="X51" s="63" t="s">
        <v>347</v>
      </c>
      <c r="Y51" s="32">
        <v>45418.0</v>
      </c>
      <c r="Z51" s="31" t="s">
        <v>57</v>
      </c>
      <c r="AA51" s="31" t="s">
        <v>57</v>
      </c>
      <c r="AB51" s="31" t="s">
        <v>57</v>
      </c>
      <c r="AC51" s="32" t="s">
        <v>66</v>
      </c>
      <c r="AD51" s="27" t="s">
        <v>57</v>
      </c>
      <c r="AE51" s="25" t="s">
        <v>348</v>
      </c>
      <c r="AF51" s="33" t="s">
        <v>68</v>
      </c>
      <c r="AG51" s="34" t="s">
        <v>69</v>
      </c>
      <c r="AH51" s="35"/>
      <c r="AI51" s="63" t="s">
        <v>70</v>
      </c>
      <c r="AJ51" s="58" t="b">
        <v>1</v>
      </c>
      <c r="AK51" s="61"/>
      <c r="AL51" s="24"/>
      <c r="AM51" s="24"/>
      <c r="AN51" s="24"/>
    </row>
    <row r="52" ht="15.75" customHeight="1">
      <c r="A52" s="25">
        <v>2024.0</v>
      </c>
      <c r="B52" s="26">
        <v>5.0</v>
      </c>
      <c r="C52" s="34" t="s">
        <v>312</v>
      </c>
      <c r="D52" s="28">
        <v>2.02400049E8</v>
      </c>
      <c r="E52" s="27" t="s">
        <v>132</v>
      </c>
      <c r="F52" s="37" t="s">
        <v>82</v>
      </c>
      <c r="G52" s="30" t="s">
        <v>349</v>
      </c>
      <c r="H52" s="29" t="s">
        <v>57</v>
      </c>
      <c r="I52" s="27" t="s">
        <v>202</v>
      </c>
      <c r="J52" s="25" t="s">
        <v>272</v>
      </c>
      <c r="K52" s="27" t="s">
        <v>58</v>
      </c>
      <c r="L52" s="27" t="s">
        <v>59</v>
      </c>
      <c r="M52" s="27" t="s">
        <v>99</v>
      </c>
      <c r="N52" s="25" t="s">
        <v>91</v>
      </c>
      <c r="O52" s="25" t="s">
        <v>273</v>
      </c>
      <c r="P52" s="25" t="s">
        <v>57</v>
      </c>
      <c r="Q52" s="25" t="s">
        <v>274</v>
      </c>
      <c r="R52" s="25" t="s">
        <v>57</v>
      </c>
      <c r="S52" s="27">
        <v>3.229106365E9</v>
      </c>
      <c r="T52" s="27" t="s">
        <v>82</v>
      </c>
      <c r="U52" s="26" t="s">
        <v>129</v>
      </c>
      <c r="V52" s="26" t="s">
        <v>65</v>
      </c>
      <c r="W52" s="26" t="s">
        <v>78</v>
      </c>
      <c r="X52" s="25" t="s">
        <v>350</v>
      </c>
      <c r="Y52" s="32">
        <v>45421.0</v>
      </c>
      <c r="Z52" s="31" t="s">
        <v>57</v>
      </c>
      <c r="AA52" s="31" t="s">
        <v>57</v>
      </c>
      <c r="AB52" s="31" t="s">
        <v>57</v>
      </c>
      <c r="AC52" s="32" t="s">
        <v>66</v>
      </c>
      <c r="AD52" s="27" t="s">
        <v>57</v>
      </c>
      <c r="AE52" s="25" t="s">
        <v>351</v>
      </c>
      <c r="AF52" s="33" t="s">
        <v>68</v>
      </c>
      <c r="AG52" s="34" t="s">
        <v>69</v>
      </c>
      <c r="AH52" s="35"/>
      <c r="AI52" s="63" t="s">
        <v>352</v>
      </c>
      <c r="AJ52" s="60" t="b">
        <v>0</v>
      </c>
      <c r="AK52" s="59"/>
      <c r="AL52" s="24"/>
      <c r="AM52" s="24"/>
      <c r="AN52" s="24"/>
    </row>
    <row r="53" ht="15.75" customHeight="1">
      <c r="A53" s="25">
        <v>2024.0</v>
      </c>
      <c r="B53" s="26">
        <v>5.0</v>
      </c>
      <c r="C53" s="34" t="s">
        <v>312</v>
      </c>
      <c r="D53" s="28">
        <v>2.0240005E8</v>
      </c>
      <c r="E53" s="26" t="s">
        <v>2</v>
      </c>
      <c r="F53" s="37" t="s">
        <v>124</v>
      </c>
      <c r="G53" s="30" t="s">
        <v>353</v>
      </c>
      <c r="H53" s="29" t="s">
        <v>57</v>
      </c>
      <c r="I53" s="26" t="s">
        <v>121</v>
      </c>
      <c r="J53" s="25" t="s">
        <v>57</v>
      </c>
      <c r="K53" s="27" t="s">
        <v>58</v>
      </c>
      <c r="L53" s="27" t="s">
        <v>59</v>
      </c>
      <c r="M53" s="27" t="s">
        <v>136</v>
      </c>
      <c r="N53" s="25" t="s">
        <v>61</v>
      </c>
      <c r="O53" s="25" t="s">
        <v>354</v>
      </c>
      <c r="P53" s="27">
        <v>8.0049913E7</v>
      </c>
      <c r="Q53" s="25" t="s">
        <v>355</v>
      </c>
      <c r="R53" s="82" t="s">
        <v>356</v>
      </c>
      <c r="S53" s="27">
        <v>3.133573341E9</v>
      </c>
      <c r="T53" s="26" t="s">
        <v>63</v>
      </c>
      <c r="U53" s="26" t="s">
        <v>64</v>
      </c>
      <c r="V53" s="27" t="s">
        <v>65</v>
      </c>
      <c r="W53" s="27" t="s">
        <v>149</v>
      </c>
      <c r="X53" s="25" t="s">
        <v>357</v>
      </c>
      <c r="Y53" s="32">
        <v>45418.0</v>
      </c>
      <c r="Z53" s="31" t="s">
        <v>57</v>
      </c>
      <c r="AA53" s="31" t="s">
        <v>57</v>
      </c>
      <c r="AB53" s="31" t="s">
        <v>57</v>
      </c>
      <c r="AC53" s="32" t="s">
        <v>66</v>
      </c>
      <c r="AD53" s="27" t="s">
        <v>57</v>
      </c>
      <c r="AE53" s="25" t="s">
        <v>57</v>
      </c>
      <c r="AF53" s="33" t="s">
        <v>68</v>
      </c>
      <c r="AG53" s="34" t="s">
        <v>69</v>
      </c>
      <c r="AH53" s="35"/>
      <c r="AI53" s="50" t="s">
        <v>269</v>
      </c>
      <c r="AJ53" s="60" t="b">
        <v>1</v>
      </c>
      <c r="AK53" s="61"/>
      <c r="AL53" s="24"/>
      <c r="AM53" s="24"/>
      <c r="AN53" s="24"/>
    </row>
    <row r="54" ht="15.75" customHeight="1">
      <c r="A54" s="25">
        <v>2024.0</v>
      </c>
      <c r="B54" s="26">
        <v>5.0</v>
      </c>
      <c r="C54" s="34" t="s">
        <v>312</v>
      </c>
      <c r="D54" s="28">
        <v>2.02400051E8</v>
      </c>
      <c r="E54" s="27" t="s">
        <v>132</v>
      </c>
      <c r="F54" s="29" t="s">
        <v>358</v>
      </c>
      <c r="G54" s="30" t="s">
        <v>359</v>
      </c>
      <c r="H54" s="29" t="s">
        <v>57</v>
      </c>
      <c r="I54" s="27" t="s">
        <v>84</v>
      </c>
      <c r="J54" s="25" t="s">
        <v>360</v>
      </c>
      <c r="K54" s="27" t="s">
        <v>58</v>
      </c>
      <c r="L54" s="27" t="s">
        <v>59</v>
      </c>
      <c r="M54" s="27" t="s">
        <v>57</v>
      </c>
      <c r="N54" s="25" t="s">
        <v>61</v>
      </c>
      <c r="O54" s="25" t="s">
        <v>361</v>
      </c>
      <c r="P54" s="25" t="s">
        <v>57</v>
      </c>
      <c r="Q54" s="25" t="s">
        <v>362</v>
      </c>
      <c r="R54" s="25" t="s">
        <v>57</v>
      </c>
      <c r="S54" s="27">
        <v>3.134904443E9</v>
      </c>
      <c r="T54" s="27" t="s">
        <v>63</v>
      </c>
      <c r="U54" s="26" t="s">
        <v>64</v>
      </c>
      <c r="V54" s="27" t="s">
        <v>65</v>
      </c>
      <c r="W54" s="27" t="s">
        <v>78</v>
      </c>
      <c r="X54" s="25" t="s">
        <v>363</v>
      </c>
      <c r="Y54" s="32">
        <v>45428.0</v>
      </c>
      <c r="Z54" s="32">
        <v>45439.0</v>
      </c>
      <c r="AA54" s="31" t="s">
        <v>57</v>
      </c>
      <c r="AB54" s="31" t="s">
        <v>57</v>
      </c>
      <c r="AC54" s="32" t="s">
        <v>66</v>
      </c>
      <c r="AD54" s="27" t="s">
        <v>57</v>
      </c>
      <c r="AE54" s="25" t="s">
        <v>364</v>
      </c>
      <c r="AF54" s="33" t="s">
        <v>68</v>
      </c>
      <c r="AG54" s="34" t="s">
        <v>69</v>
      </c>
      <c r="AH54" s="35"/>
      <c r="AI54" s="50" t="s">
        <v>269</v>
      </c>
      <c r="AJ54" s="58" t="b">
        <v>1</v>
      </c>
      <c r="AK54" s="59"/>
      <c r="AL54" s="24"/>
      <c r="AM54" s="24"/>
      <c r="AN54" s="24"/>
    </row>
    <row r="55" ht="15.75" customHeight="1">
      <c r="A55" s="25">
        <v>2024.0</v>
      </c>
      <c r="B55" s="26">
        <v>5.0</v>
      </c>
      <c r="C55" s="34" t="s">
        <v>312</v>
      </c>
      <c r="D55" s="28">
        <v>2.02400052E8</v>
      </c>
      <c r="E55" s="27" t="s">
        <v>132</v>
      </c>
      <c r="F55" s="37" t="s">
        <v>82</v>
      </c>
      <c r="G55" s="30" t="s">
        <v>365</v>
      </c>
      <c r="H55" s="29" t="s">
        <v>57</v>
      </c>
      <c r="I55" s="26" t="s">
        <v>271</v>
      </c>
      <c r="J55" s="25" t="s">
        <v>90</v>
      </c>
      <c r="K55" s="27" t="s">
        <v>58</v>
      </c>
      <c r="L55" s="27" t="s">
        <v>59</v>
      </c>
      <c r="M55" s="27" t="s">
        <v>60</v>
      </c>
      <c r="N55" s="25" t="s">
        <v>91</v>
      </c>
      <c r="O55" s="25" t="s">
        <v>278</v>
      </c>
      <c r="P55" s="27" t="s">
        <v>57</v>
      </c>
      <c r="Q55" s="25" t="s">
        <v>279</v>
      </c>
      <c r="R55" s="25" t="s">
        <v>57</v>
      </c>
      <c r="S55" s="27">
        <v>3.112448321E9</v>
      </c>
      <c r="T55" s="27" t="s">
        <v>82</v>
      </c>
      <c r="U55" s="26" t="s">
        <v>64</v>
      </c>
      <c r="V55" s="26" t="s">
        <v>65</v>
      </c>
      <c r="W55" s="26" t="s">
        <v>78</v>
      </c>
      <c r="X55" s="41" t="s">
        <v>366</v>
      </c>
      <c r="Y55" s="32">
        <v>45419.0</v>
      </c>
      <c r="Z55" s="32">
        <v>45426.0</v>
      </c>
      <c r="AA55" s="31" t="s">
        <v>57</v>
      </c>
      <c r="AB55" s="31" t="s">
        <v>57</v>
      </c>
      <c r="AC55" s="32" t="s">
        <v>66</v>
      </c>
      <c r="AD55" s="27" t="s">
        <v>80</v>
      </c>
      <c r="AE55" s="25" t="s">
        <v>299</v>
      </c>
      <c r="AF55" s="33" t="s">
        <v>68</v>
      </c>
      <c r="AG55" s="34" t="s">
        <v>69</v>
      </c>
      <c r="AH55" s="35"/>
      <c r="AI55" s="42" t="s">
        <v>282</v>
      </c>
      <c r="AJ55" s="60" t="b">
        <v>0</v>
      </c>
      <c r="AK55" s="59"/>
      <c r="AL55" s="24"/>
      <c r="AM55" s="24"/>
      <c r="AN55" s="24"/>
    </row>
    <row r="56" ht="15.75" customHeight="1">
      <c r="A56" s="25">
        <v>2024.0</v>
      </c>
      <c r="B56" s="26">
        <v>5.0</v>
      </c>
      <c r="C56" s="34" t="s">
        <v>312</v>
      </c>
      <c r="D56" s="28">
        <v>2.02400053E8</v>
      </c>
      <c r="E56" s="27" t="s">
        <v>239</v>
      </c>
      <c r="F56" s="37" t="s">
        <v>124</v>
      </c>
      <c r="G56" s="51" t="s">
        <v>367</v>
      </c>
      <c r="H56" s="29" t="s">
        <v>57</v>
      </c>
      <c r="I56" s="27" t="s">
        <v>170</v>
      </c>
      <c r="J56" s="25" t="s">
        <v>189</v>
      </c>
      <c r="K56" s="27" t="s">
        <v>58</v>
      </c>
      <c r="L56" s="27" t="s">
        <v>59</v>
      </c>
      <c r="M56" s="27" t="s">
        <v>57</v>
      </c>
      <c r="N56" s="25" t="s">
        <v>61</v>
      </c>
      <c r="O56" s="25" t="s">
        <v>368</v>
      </c>
      <c r="P56" s="27" t="s">
        <v>57</v>
      </c>
      <c r="Q56" s="25" t="s">
        <v>315</v>
      </c>
      <c r="R56" s="25" t="s">
        <v>57</v>
      </c>
      <c r="S56" s="27" t="s">
        <v>57</v>
      </c>
      <c r="T56" s="27" t="s">
        <v>63</v>
      </c>
      <c r="U56" s="26" t="s">
        <v>129</v>
      </c>
      <c r="V56" s="27" t="s">
        <v>65</v>
      </c>
      <c r="W56" s="27" t="s">
        <v>78</v>
      </c>
      <c r="X56" s="25" t="s">
        <v>369</v>
      </c>
      <c r="Y56" s="32">
        <v>45421.0</v>
      </c>
      <c r="Z56" s="32">
        <v>45432.0</v>
      </c>
      <c r="AA56" s="41" t="s">
        <v>370</v>
      </c>
      <c r="AB56" s="31" t="s">
        <v>57</v>
      </c>
      <c r="AC56" s="32" t="s">
        <v>66</v>
      </c>
      <c r="AD56" s="27" t="s">
        <v>57</v>
      </c>
      <c r="AE56" s="25" t="s">
        <v>317</v>
      </c>
      <c r="AF56" s="33" t="s">
        <v>68</v>
      </c>
      <c r="AG56" s="34" t="s">
        <v>69</v>
      </c>
      <c r="AH56" s="35"/>
      <c r="AI56" s="63" t="s">
        <v>371</v>
      </c>
      <c r="AJ56" s="60" t="b">
        <v>0</v>
      </c>
      <c r="AK56" s="59"/>
      <c r="AL56" s="24"/>
      <c r="AM56" s="24"/>
      <c r="AN56" s="24"/>
    </row>
    <row r="57" ht="15.75" customHeight="1">
      <c r="A57" s="25">
        <v>2024.0</v>
      </c>
      <c r="B57" s="26">
        <v>5.0</v>
      </c>
      <c r="C57" s="34" t="s">
        <v>312</v>
      </c>
      <c r="D57" s="28">
        <v>2.02400054E8</v>
      </c>
      <c r="E57" s="27" t="s">
        <v>105</v>
      </c>
      <c r="F57" s="37" t="s">
        <v>119</v>
      </c>
      <c r="G57" s="63" t="s">
        <v>372</v>
      </c>
      <c r="H57" s="29" t="s">
        <v>57</v>
      </c>
      <c r="I57" s="27" t="s">
        <v>373</v>
      </c>
      <c r="J57" s="25" t="s">
        <v>189</v>
      </c>
      <c r="K57" s="27" t="s">
        <v>58</v>
      </c>
      <c r="L57" s="27" t="s">
        <v>59</v>
      </c>
      <c r="M57" s="27" t="s">
        <v>57</v>
      </c>
      <c r="N57" s="25" t="s">
        <v>61</v>
      </c>
      <c r="O57" s="25" t="s">
        <v>374</v>
      </c>
      <c r="P57" s="27" t="s">
        <v>57</v>
      </c>
      <c r="Q57" s="25" t="s">
        <v>375</v>
      </c>
      <c r="R57" s="25" t="s">
        <v>57</v>
      </c>
      <c r="S57" s="83">
        <v>3.147706444E9</v>
      </c>
      <c r="T57" s="27" t="s">
        <v>63</v>
      </c>
      <c r="U57" s="84" t="s">
        <v>129</v>
      </c>
      <c r="V57" s="26" t="s">
        <v>65</v>
      </c>
      <c r="W57" s="27" t="s">
        <v>204</v>
      </c>
      <c r="X57" s="25" t="s">
        <v>57</v>
      </c>
      <c r="Y57" s="32">
        <v>45419.0</v>
      </c>
      <c r="Z57" s="31" t="s">
        <v>57</v>
      </c>
      <c r="AA57" s="41" t="s">
        <v>376</v>
      </c>
      <c r="AB57" s="41" t="s">
        <v>377</v>
      </c>
      <c r="AC57" s="32" t="s">
        <v>66</v>
      </c>
      <c r="AD57" s="27" t="s">
        <v>57</v>
      </c>
      <c r="AE57" s="25" t="s">
        <v>378</v>
      </c>
      <c r="AF57" s="33" t="s">
        <v>68</v>
      </c>
      <c r="AG57" s="34" t="s">
        <v>69</v>
      </c>
      <c r="AH57" s="85" t="s">
        <v>379</v>
      </c>
      <c r="AI57" s="50" t="s">
        <v>380</v>
      </c>
      <c r="AJ57" s="60" t="b">
        <v>0</v>
      </c>
      <c r="AK57" s="59"/>
      <c r="AL57" s="24"/>
      <c r="AM57" s="24"/>
      <c r="AN57" s="24"/>
    </row>
    <row r="58" ht="15.75" customHeight="1">
      <c r="A58" s="25">
        <v>2024.0</v>
      </c>
      <c r="B58" s="26">
        <v>5.0</v>
      </c>
      <c r="C58" s="34" t="s">
        <v>312</v>
      </c>
      <c r="D58" s="28">
        <v>2.02400055E8</v>
      </c>
      <c r="E58" s="26" t="s">
        <v>2</v>
      </c>
      <c r="F58" s="37" t="s">
        <v>381</v>
      </c>
      <c r="G58" s="51" t="s">
        <v>382</v>
      </c>
      <c r="H58" s="29" t="s">
        <v>57</v>
      </c>
      <c r="I58" s="27" t="s">
        <v>373</v>
      </c>
      <c r="J58" s="25" t="s">
        <v>57</v>
      </c>
      <c r="K58" s="27" t="s">
        <v>58</v>
      </c>
      <c r="L58" s="27" t="s">
        <v>59</v>
      </c>
      <c r="M58" s="27" t="s">
        <v>57</v>
      </c>
      <c r="N58" s="25" t="s">
        <v>61</v>
      </c>
      <c r="O58" s="25" t="s">
        <v>383</v>
      </c>
      <c r="P58" s="27">
        <v>8.0235776E7</v>
      </c>
      <c r="Q58" s="25" t="s">
        <v>384</v>
      </c>
      <c r="R58" s="82" t="s">
        <v>385</v>
      </c>
      <c r="S58" s="27">
        <v>3.214902032E9</v>
      </c>
      <c r="T58" s="26" t="s">
        <v>63</v>
      </c>
      <c r="U58" s="26" t="s">
        <v>129</v>
      </c>
      <c r="V58" s="26" t="s">
        <v>65</v>
      </c>
      <c r="W58" s="26" t="s">
        <v>149</v>
      </c>
      <c r="X58" s="41" t="s">
        <v>386</v>
      </c>
      <c r="Y58" s="32">
        <v>45421.0</v>
      </c>
      <c r="Z58" s="31" t="s">
        <v>57</v>
      </c>
      <c r="AA58" s="41" t="s">
        <v>387</v>
      </c>
      <c r="AB58" s="41" t="s">
        <v>388</v>
      </c>
      <c r="AC58" s="32" t="s">
        <v>66</v>
      </c>
      <c r="AD58" s="27" t="s">
        <v>57</v>
      </c>
      <c r="AE58" s="25" t="s">
        <v>57</v>
      </c>
      <c r="AF58" s="33" t="s">
        <v>68</v>
      </c>
      <c r="AG58" s="34" t="s">
        <v>69</v>
      </c>
      <c r="AH58" s="86" t="s">
        <v>389</v>
      </c>
      <c r="AI58" s="63" t="s">
        <v>390</v>
      </c>
      <c r="AJ58" s="60" t="b">
        <v>0</v>
      </c>
      <c r="AK58" s="59"/>
      <c r="AL58" s="24"/>
      <c r="AM58" s="24"/>
      <c r="AN58" s="24"/>
    </row>
    <row r="59" ht="15.75" customHeight="1">
      <c r="A59" s="25">
        <v>2024.0</v>
      </c>
      <c r="B59" s="26">
        <v>5.0</v>
      </c>
      <c r="C59" s="34" t="s">
        <v>312</v>
      </c>
      <c r="D59" s="28">
        <v>2.02400056E8</v>
      </c>
      <c r="E59" s="27" t="s">
        <v>105</v>
      </c>
      <c r="F59" s="29" t="s">
        <v>128</v>
      </c>
      <c r="G59" s="51" t="s">
        <v>391</v>
      </c>
      <c r="H59" s="29" t="s">
        <v>57</v>
      </c>
      <c r="I59" s="27" t="s">
        <v>182</v>
      </c>
      <c r="J59" s="25" t="s">
        <v>189</v>
      </c>
      <c r="K59" s="27" t="s">
        <v>58</v>
      </c>
      <c r="L59" s="27" t="s">
        <v>59</v>
      </c>
      <c r="M59" s="27" t="s">
        <v>57</v>
      </c>
      <c r="N59" s="25" t="s">
        <v>61</v>
      </c>
      <c r="O59" s="25" t="s">
        <v>57</v>
      </c>
      <c r="P59" s="27" t="s">
        <v>57</v>
      </c>
      <c r="Q59" s="25" t="s">
        <v>384</v>
      </c>
      <c r="R59" s="25" t="s">
        <v>57</v>
      </c>
      <c r="S59" s="27" t="s">
        <v>57</v>
      </c>
      <c r="T59" s="26" t="s">
        <v>128</v>
      </c>
      <c r="U59" s="26" t="s">
        <v>57</v>
      </c>
      <c r="V59" s="27" t="s">
        <v>65</v>
      </c>
      <c r="W59" s="27" t="s">
        <v>78</v>
      </c>
      <c r="X59" s="25" t="s">
        <v>392</v>
      </c>
      <c r="Y59" s="32">
        <v>45422.0</v>
      </c>
      <c r="Z59" s="32">
        <v>45436.0</v>
      </c>
      <c r="AA59" s="31" t="s">
        <v>57</v>
      </c>
      <c r="AB59" s="31" t="s">
        <v>57</v>
      </c>
      <c r="AC59" s="32" t="s">
        <v>66</v>
      </c>
      <c r="AD59" s="27" t="s">
        <v>57</v>
      </c>
      <c r="AE59" s="25" t="s">
        <v>57</v>
      </c>
      <c r="AF59" s="33" t="s">
        <v>68</v>
      </c>
      <c r="AG59" s="34" t="s">
        <v>69</v>
      </c>
      <c r="AH59" s="35"/>
      <c r="AI59" s="50" t="s">
        <v>269</v>
      </c>
      <c r="AJ59" s="60" t="b">
        <v>1</v>
      </c>
      <c r="AK59" s="61"/>
      <c r="AL59" s="24"/>
      <c r="AM59" s="24"/>
      <c r="AN59" s="24"/>
    </row>
    <row r="60" ht="15.75" customHeight="1">
      <c r="A60" s="25">
        <v>2024.0</v>
      </c>
      <c r="B60" s="26">
        <v>5.0</v>
      </c>
      <c r="C60" s="34" t="s">
        <v>312</v>
      </c>
      <c r="D60" s="28">
        <v>2.02400057E8</v>
      </c>
      <c r="E60" s="27" t="s">
        <v>132</v>
      </c>
      <c r="F60" s="29" t="s">
        <v>358</v>
      </c>
      <c r="G60" s="30" t="s">
        <v>393</v>
      </c>
      <c r="H60" s="29" t="s">
        <v>57</v>
      </c>
      <c r="I60" s="27" t="s">
        <v>84</v>
      </c>
      <c r="J60" s="25" t="s">
        <v>360</v>
      </c>
      <c r="K60" s="27" t="s">
        <v>58</v>
      </c>
      <c r="L60" s="27" t="s">
        <v>59</v>
      </c>
      <c r="M60" s="27" t="s">
        <v>57</v>
      </c>
      <c r="N60" s="25" t="s">
        <v>61</v>
      </c>
      <c r="O60" s="25" t="s">
        <v>361</v>
      </c>
      <c r="P60" s="25" t="s">
        <v>57</v>
      </c>
      <c r="Q60" s="25" t="s">
        <v>362</v>
      </c>
      <c r="R60" s="25" t="s">
        <v>57</v>
      </c>
      <c r="S60" s="27">
        <v>3.134904443E9</v>
      </c>
      <c r="T60" s="27" t="s">
        <v>63</v>
      </c>
      <c r="U60" s="26" t="s">
        <v>64</v>
      </c>
      <c r="V60" s="27" t="s">
        <v>65</v>
      </c>
      <c r="W60" s="26" t="s">
        <v>78</v>
      </c>
      <c r="X60" s="25" t="s">
        <v>363</v>
      </c>
      <c r="Y60" s="32">
        <v>45428.0</v>
      </c>
      <c r="Z60" s="32">
        <v>45439.0</v>
      </c>
      <c r="AA60" s="31" t="s">
        <v>57</v>
      </c>
      <c r="AB60" s="31" t="s">
        <v>57</v>
      </c>
      <c r="AC60" s="32" t="s">
        <v>66</v>
      </c>
      <c r="AD60" s="27" t="s">
        <v>57</v>
      </c>
      <c r="AE60" s="25" t="s">
        <v>364</v>
      </c>
      <c r="AF60" s="33" t="s">
        <v>68</v>
      </c>
      <c r="AG60" s="34" t="s">
        <v>69</v>
      </c>
      <c r="AH60" s="35"/>
      <c r="AI60" s="50" t="s">
        <v>394</v>
      </c>
      <c r="AJ60" s="60" t="b">
        <v>0</v>
      </c>
      <c r="AK60" s="59"/>
      <c r="AL60" s="24"/>
      <c r="AM60" s="24"/>
      <c r="AN60" s="24"/>
    </row>
    <row r="61" ht="15.75" customHeight="1">
      <c r="A61" s="25">
        <v>2024.0</v>
      </c>
      <c r="B61" s="26">
        <v>5.0</v>
      </c>
      <c r="C61" s="34" t="s">
        <v>312</v>
      </c>
      <c r="D61" s="28">
        <v>2.02400058E8</v>
      </c>
      <c r="E61" s="27" t="s">
        <v>132</v>
      </c>
      <c r="F61" s="37" t="s">
        <v>82</v>
      </c>
      <c r="G61" s="30" t="s">
        <v>395</v>
      </c>
      <c r="H61" s="29" t="s">
        <v>57</v>
      </c>
      <c r="I61" s="27" t="s">
        <v>145</v>
      </c>
      <c r="J61" s="25" t="s">
        <v>396</v>
      </c>
      <c r="K61" s="27" t="s">
        <v>58</v>
      </c>
      <c r="L61" s="27" t="s">
        <v>59</v>
      </c>
      <c r="M61" s="27" t="s">
        <v>184</v>
      </c>
      <c r="N61" s="25" t="s">
        <v>61</v>
      </c>
      <c r="O61" s="25" t="s">
        <v>397</v>
      </c>
      <c r="P61" s="25" t="s">
        <v>57</v>
      </c>
      <c r="Q61" s="25" t="s">
        <v>398</v>
      </c>
      <c r="R61" s="25" t="s">
        <v>57</v>
      </c>
      <c r="S61" s="27">
        <v>3.164668849E9</v>
      </c>
      <c r="T61" s="27" t="s">
        <v>82</v>
      </c>
      <c r="U61" s="26" t="s">
        <v>64</v>
      </c>
      <c r="V61" s="26" t="s">
        <v>65</v>
      </c>
      <c r="W61" s="26" t="s">
        <v>57</v>
      </c>
      <c r="X61" s="25" t="s">
        <v>57</v>
      </c>
      <c r="Y61" s="32">
        <v>45428.0</v>
      </c>
      <c r="Z61" s="31" t="s">
        <v>57</v>
      </c>
      <c r="AA61" s="31" t="s">
        <v>57</v>
      </c>
      <c r="AB61" s="31" t="s">
        <v>57</v>
      </c>
      <c r="AC61" s="32" t="s">
        <v>66</v>
      </c>
      <c r="AD61" s="27" t="s">
        <v>57</v>
      </c>
      <c r="AE61" s="25" t="s">
        <v>399</v>
      </c>
      <c r="AF61" s="33" t="s">
        <v>68</v>
      </c>
      <c r="AG61" s="34" t="s">
        <v>69</v>
      </c>
      <c r="AH61" s="35"/>
      <c r="AI61" s="63" t="s">
        <v>400</v>
      </c>
      <c r="AJ61" s="60" t="b">
        <v>0</v>
      </c>
      <c r="AK61" s="59"/>
      <c r="AL61" s="24"/>
      <c r="AM61" s="24"/>
      <c r="AN61" s="24"/>
    </row>
    <row r="62" ht="15.75" customHeight="1">
      <c r="A62" s="25">
        <v>2024.0</v>
      </c>
      <c r="B62" s="26">
        <v>5.0</v>
      </c>
      <c r="C62" s="34" t="s">
        <v>312</v>
      </c>
      <c r="D62" s="28">
        <v>2.02400059E8</v>
      </c>
      <c r="E62" s="27" t="s">
        <v>132</v>
      </c>
      <c r="F62" s="37" t="s">
        <v>82</v>
      </c>
      <c r="G62" s="30" t="s">
        <v>401</v>
      </c>
      <c r="H62" s="29" t="s">
        <v>57</v>
      </c>
      <c r="I62" s="27" t="s">
        <v>145</v>
      </c>
      <c r="J62" s="25" t="s">
        <v>209</v>
      </c>
      <c r="K62" s="27" t="s">
        <v>58</v>
      </c>
      <c r="L62" s="27" t="s">
        <v>59</v>
      </c>
      <c r="M62" s="27" t="s">
        <v>184</v>
      </c>
      <c r="N62" s="25" t="s">
        <v>61</v>
      </c>
      <c r="O62" s="25" t="s">
        <v>402</v>
      </c>
      <c r="P62" s="25" t="s">
        <v>57</v>
      </c>
      <c r="Q62" s="25" t="s">
        <v>284</v>
      </c>
      <c r="R62" s="25" t="s">
        <v>57</v>
      </c>
      <c r="S62" s="26">
        <v>3.214853867E9</v>
      </c>
      <c r="T62" s="27" t="s">
        <v>82</v>
      </c>
      <c r="U62" s="26" t="s">
        <v>64</v>
      </c>
      <c r="V62" s="26" t="s">
        <v>65</v>
      </c>
      <c r="W62" s="26" t="s">
        <v>78</v>
      </c>
      <c r="X62" s="25" t="s">
        <v>403</v>
      </c>
      <c r="Y62" s="32">
        <v>45428.0</v>
      </c>
      <c r="Z62" s="32">
        <v>45439.0</v>
      </c>
      <c r="AA62" s="41" t="s">
        <v>404</v>
      </c>
      <c r="AB62" s="41" t="s">
        <v>405</v>
      </c>
      <c r="AC62" s="32" t="s">
        <v>66</v>
      </c>
      <c r="AD62" s="27" t="s">
        <v>57</v>
      </c>
      <c r="AE62" s="25" t="s">
        <v>406</v>
      </c>
      <c r="AF62" s="33" t="s">
        <v>68</v>
      </c>
      <c r="AG62" s="34" t="s">
        <v>69</v>
      </c>
      <c r="AH62" s="76" t="s">
        <v>306</v>
      </c>
      <c r="AI62" s="50" t="s">
        <v>407</v>
      </c>
      <c r="AJ62" s="60" t="b">
        <v>0</v>
      </c>
      <c r="AK62" s="59"/>
      <c r="AL62" s="24"/>
      <c r="AM62" s="24"/>
      <c r="AN62" s="24"/>
    </row>
    <row r="63" ht="15.75" customHeight="1">
      <c r="A63" s="25">
        <v>2024.0</v>
      </c>
      <c r="B63" s="26">
        <v>5.0</v>
      </c>
      <c r="C63" s="34" t="s">
        <v>312</v>
      </c>
      <c r="D63" s="28">
        <v>2.0240006E8</v>
      </c>
      <c r="E63" s="27" t="s">
        <v>132</v>
      </c>
      <c r="F63" s="37" t="s">
        <v>154</v>
      </c>
      <c r="G63" s="51" t="s">
        <v>408</v>
      </c>
      <c r="H63" s="29" t="s">
        <v>57</v>
      </c>
      <c r="I63" s="27" t="s">
        <v>230</v>
      </c>
      <c r="J63" s="25" t="s">
        <v>272</v>
      </c>
      <c r="K63" s="27" t="s">
        <v>58</v>
      </c>
      <c r="L63" s="27" t="s">
        <v>59</v>
      </c>
      <c r="M63" s="27" t="s">
        <v>99</v>
      </c>
      <c r="N63" s="25" t="s">
        <v>61</v>
      </c>
      <c r="O63" s="25" t="s">
        <v>409</v>
      </c>
      <c r="P63" s="27" t="s">
        <v>57</v>
      </c>
      <c r="Q63" s="25" t="s">
        <v>410</v>
      </c>
      <c r="R63" s="25" t="s">
        <v>57</v>
      </c>
      <c r="S63" s="25">
        <v>3.123747574E9</v>
      </c>
      <c r="T63" s="26" t="s">
        <v>154</v>
      </c>
      <c r="U63" s="41" t="s">
        <v>64</v>
      </c>
      <c r="V63" s="27" t="s">
        <v>65</v>
      </c>
      <c r="W63" s="27" t="s">
        <v>78</v>
      </c>
      <c r="X63" s="25" t="s">
        <v>411</v>
      </c>
      <c r="Y63" s="32">
        <v>45428.0</v>
      </c>
      <c r="Z63" s="32">
        <v>45442.0</v>
      </c>
      <c r="AA63" s="31" t="s">
        <v>57</v>
      </c>
      <c r="AB63" s="31" t="s">
        <v>57</v>
      </c>
      <c r="AC63" s="32" t="s">
        <v>66</v>
      </c>
      <c r="AD63" s="27" t="s">
        <v>57</v>
      </c>
      <c r="AE63" s="25" t="s">
        <v>412</v>
      </c>
      <c r="AF63" s="33" t="s">
        <v>68</v>
      </c>
      <c r="AG63" s="34" t="s">
        <v>69</v>
      </c>
      <c r="AH63" s="35"/>
      <c r="AI63" s="50" t="s">
        <v>413</v>
      </c>
      <c r="AJ63" s="60" t="b">
        <v>0</v>
      </c>
      <c r="AK63" s="61"/>
      <c r="AL63" s="24"/>
      <c r="AM63" s="24"/>
      <c r="AN63" s="24"/>
    </row>
    <row r="64" ht="15.75" customHeight="1">
      <c r="A64" s="25">
        <v>2024.0</v>
      </c>
      <c r="B64" s="26">
        <v>5.0</v>
      </c>
      <c r="C64" s="34" t="s">
        <v>312</v>
      </c>
      <c r="D64" s="28">
        <v>2.02400061E8</v>
      </c>
      <c r="E64" s="26" t="s">
        <v>2</v>
      </c>
      <c r="F64" s="37" t="s">
        <v>124</v>
      </c>
      <c r="G64" s="51" t="s">
        <v>414</v>
      </c>
      <c r="H64" s="29" t="s">
        <v>57</v>
      </c>
      <c r="I64" s="27" t="s">
        <v>191</v>
      </c>
      <c r="J64" s="25" t="s">
        <v>332</v>
      </c>
      <c r="K64" s="27" t="s">
        <v>58</v>
      </c>
      <c r="L64" s="27" t="s">
        <v>59</v>
      </c>
      <c r="M64" s="27" t="s">
        <v>136</v>
      </c>
      <c r="N64" s="25" t="s">
        <v>61</v>
      </c>
      <c r="O64" s="25" t="s">
        <v>415</v>
      </c>
      <c r="P64" s="27">
        <v>3.1499333E7</v>
      </c>
      <c r="Q64" s="25" t="s">
        <v>204</v>
      </c>
      <c r="R64" s="87" t="s">
        <v>416</v>
      </c>
      <c r="S64" s="27">
        <v>3.123731154E9</v>
      </c>
      <c r="T64" s="26" t="s">
        <v>63</v>
      </c>
      <c r="U64" s="26" t="s">
        <v>64</v>
      </c>
      <c r="V64" s="27" t="s">
        <v>65</v>
      </c>
      <c r="W64" s="27" t="s">
        <v>149</v>
      </c>
      <c r="X64" s="25" t="s">
        <v>417</v>
      </c>
      <c r="Y64" s="32">
        <v>45432.0</v>
      </c>
      <c r="Z64" s="32"/>
      <c r="AA64" s="88"/>
      <c r="AB64" s="31" t="s">
        <v>57</v>
      </c>
      <c r="AC64" s="32" t="s">
        <v>66</v>
      </c>
      <c r="AD64" s="27" t="s">
        <v>57</v>
      </c>
      <c r="AE64" s="25" t="s">
        <v>57</v>
      </c>
      <c r="AF64" s="33" t="s">
        <v>68</v>
      </c>
      <c r="AG64" s="34" t="s">
        <v>69</v>
      </c>
      <c r="AH64" s="35"/>
      <c r="AI64" s="50" t="s">
        <v>269</v>
      </c>
      <c r="AJ64" s="60" t="b">
        <v>1</v>
      </c>
      <c r="AK64" s="61"/>
      <c r="AL64" s="24"/>
      <c r="AM64" s="24"/>
      <c r="AN64" s="24"/>
    </row>
    <row r="65" ht="15.75" customHeight="1">
      <c r="A65" s="25">
        <v>2024.0</v>
      </c>
      <c r="B65" s="26">
        <v>5.0</v>
      </c>
      <c r="C65" s="34" t="s">
        <v>312</v>
      </c>
      <c r="D65" s="28">
        <v>2.02400062E8</v>
      </c>
      <c r="E65" s="26" t="s">
        <v>71</v>
      </c>
      <c r="F65" s="37" t="s">
        <v>154</v>
      </c>
      <c r="G65" s="51" t="s">
        <v>418</v>
      </c>
      <c r="H65" s="29" t="s">
        <v>57</v>
      </c>
      <c r="I65" s="27" t="s">
        <v>194</v>
      </c>
      <c r="J65" s="25" t="s">
        <v>209</v>
      </c>
      <c r="K65" s="27" t="s">
        <v>58</v>
      </c>
      <c r="L65" s="27" t="s">
        <v>59</v>
      </c>
      <c r="M65" s="27" t="s">
        <v>184</v>
      </c>
      <c r="N65" s="25" t="s">
        <v>61</v>
      </c>
      <c r="O65" s="25" t="s">
        <v>402</v>
      </c>
      <c r="P65" s="25" t="s">
        <v>57</v>
      </c>
      <c r="Q65" s="25" t="s">
        <v>419</v>
      </c>
      <c r="R65" s="25" t="s">
        <v>57</v>
      </c>
      <c r="S65" s="26">
        <v>3.214853867E9</v>
      </c>
      <c r="T65" s="26" t="s">
        <v>154</v>
      </c>
      <c r="U65" s="26" t="s">
        <v>129</v>
      </c>
      <c r="V65" s="26" t="s">
        <v>65</v>
      </c>
      <c r="W65" s="26" t="s">
        <v>78</v>
      </c>
      <c r="X65" s="41" t="s">
        <v>420</v>
      </c>
      <c r="Y65" s="32">
        <v>45432.0</v>
      </c>
      <c r="Z65" s="88">
        <v>45475.0</v>
      </c>
      <c r="AA65" s="89" t="s">
        <v>421</v>
      </c>
      <c r="AB65" s="31" t="s">
        <v>57</v>
      </c>
      <c r="AC65" s="32" t="s">
        <v>66</v>
      </c>
      <c r="AD65" s="27" t="s">
        <v>57</v>
      </c>
      <c r="AE65" s="34" t="s">
        <v>422</v>
      </c>
      <c r="AF65" s="33" t="s">
        <v>68</v>
      </c>
      <c r="AG65" s="34" t="s">
        <v>69</v>
      </c>
      <c r="AH65" s="90" t="s">
        <v>423</v>
      </c>
      <c r="AI65" s="63" t="s">
        <v>424</v>
      </c>
      <c r="AJ65" s="58" t="b">
        <v>0</v>
      </c>
      <c r="AK65" s="59"/>
      <c r="AL65" s="24"/>
      <c r="AM65" s="24"/>
      <c r="AN65" s="24"/>
    </row>
    <row r="66" ht="15.75" customHeight="1">
      <c r="A66" s="25">
        <v>2024.0</v>
      </c>
      <c r="B66" s="26">
        <v>6.0</v>
      </c>
      <c r="C66" s="34" t="s">
        <v>425</v>
      </c>
      <c r="D66" s="28">
        <v>2.02400063E8</v>
      </c>
      <c r="E66" s="27" t="s">
        <v>132</v>
      </c>
      <c r="F66" s="29" t="s">
        <v>259</v>
      </c>
      <c r="G66" s="51" t="s">
        <v>426</v>
      </c>
      <c r="H66" s="29" t="s">
        <v>57</v>
      </c>
      <c r="I66" s="27" t="s">
        <v>170</v>
      </c>
      <c r="J66" s="25" t="s">
        <v>427</v>
      </c>
      <c r="K66" s="27" t="s">
        <v>58</v>
      </c>
      <c r="L66" s="27" t="s">
        <v>59</v>
      </c>
      <c r="M66" s="27" t="s">
        <v>184</v>
      </c>
      <c r="N66" s="25" t="s">
        <v>61</v>
      </c>
      <c r="O66" s="41" t="s">
        <v>345</v>
      </c>
      <c r="P66" s="25" t="s">
        <v>57</v>
      </c>
      <c r="Q66" s="25" t="s">
        <v>428</v>
      </c>
      <c r="R66" s="25" t="s">
        <v>57</v>
      </c>
      <c r="S66" s="41">
        <v>3.004954221E9</v>
      </c>
      <c r="T66" s="26" t="s">
        <v>63</v>
      </c>
      <c r="U66" s="26" t="s">
        <v>64</v>
      </c>
      <c r="V66" s="26" t="s">
        <v>65</v>
      </c>
      <c r="W66" s="26" t="s">
        <v>78</v>
      </c>
      <c r="X66" s="41" t="s">
        <v>429</v>
      </c>
      <c r="Y66" s="32">
        <v>45448.0</v>
      </c>
      <c r="Z66" s="31" t="s">
        <v>57</v>
      </c>
      <c r="AA66" s="31" t="s">
        <v>57</v>
      </c>
      <c r="AB66" s="31" t="s">
        <v>57</v>
      </c>
      <c r="AC66" s="32" t="s">
        <v>66</v>
      </c>
      <c r="AD66" s="27" t="s">
        <v>57</v>
      </c>
      <c r="AE66" s="34" t="s">
        <v>430</v>
      </c>
      <c r="AF66" s="33" t="s">
        <v>68</v>
      </c>
      <c r="AG66" s="34" t="s">
        <v>69</v>
      </c>
      <c r="AH66" s="35"/>
      <c r="AI66" s="50" t="s">
        <v>431</v>
      </c>
      <c r="AJ66" s="60" t="b">
        <v>0</v>
      </c>
      <c r="AK66" s="59"/>
      <c r="AL66" s="24"/>
      <c r="AM66" s="24"/>
      <c r="AN66" s="24"/>
    </row>
    <row r="67" ht="15.75" customHeight="1">
      <c r="A67" s="25">
        <v>2024.0</v>
      </c>
      <c r="B67" s="26">
        <v>6.0</v>
      </c>
      <c r="C67" s="34" t="s">
        <v>425</v>
      </c>
      <c r="D67" s="28">
        <v>2.02400064E8</v>
      </c>
      <c r="E67" s="27" t="s">
        <v>71</v>
      </c>
      <c r="F67" s="37" t="s">
        <v>154</v>
      </c>
      <c r="G67" s="30" t="s">
        <v>432</v>
      </c>
      <c r="H67" s="29" t="s">
        <v>57</v>
      </c>
      <c r="I67" s="27" t="s">
        <v>194</v>
      </c>
      <c r="J67" s="25" t="s">
        <v>433</v>
      </c>
      <c r="K67" s="27" t="s">
        <v>58</v>
      </c>
      <c r="L67" s="27" t="s">
        <v>59</v>
      </c>
      <c r="M67" s="27" t="s">
        <v>57</v>
      </c>
      <c r="N67" s="25" t="s">
        <v>61</v>
      </c>
      <c r="O67" s="25" t="s">
        <v>434</v>
      </c>
      <c r="P67" s="27" t="s">
        <v>57</v>
      </c>
      <c r="Q67" s="25" t="s">
        <v>435</v>
      </c>
      <c r="R67" s="25" t="s">
        <v>57</v>
      </c>
      <c r="S67" s="27" t="s">
        <v>57</v>
      </c>
      <c r="T67" s="26" t="s">
        <v>154</v>
      </c>
      <c r="U67" s="26" t="s">
        <v>129</v>
      </c>
      <c r="V67" s="26" t="s">
        <v>65</v>
      </c>
      <c r="W67" s="26" t="s">
        <v>204</v>
      </c>
      <c r="X67" s="41" t="s">
        <v>436</v>
      </c>
      <c r="Y67" s="32">
        <v>45448.0</v>
      </c>
      <c r="Z67" s="88">
        <v>45475.0</v>
      </c>
      <c r="AA67" s="41" t="s">
        <v>437</v>
      </c>
      <c r="AB67" s="31" t="s">
        <v>57</v>
      </c>
      <c r="AC67" s="32" t="s">
        <v>66</v>
      </c>
      <c r="AD67" s="27" t="s">
        <v>57</v>
      </c>
      <c r="AE67" s="25" t="s">
        <v>438</v>
      </c>
      <c r="AF67" s="33" t="s">
        <v>68</v>
      </c>
      <c r="AG67" s="34" t="s">
        <v>69</v>
      </c>
      <c r="AH67" s="76" t="s">
        <v>439</v>
      </c>
      <c r="AI67" s="63" t="s">
        <v>440</v>
      </c>
      <c r="AJ67" s="60" t="b">
        <v>0</v>
      </c>
      <c r="AK67" s="59"/>
      <c r="AL67" s="24"/>
      <c r="AM67" s="24"/>
      <c r="AN67" s="24"/>
    </row>
    <row r="68" ht="15.75" customHeight="1">
      <c r="A68" s="25">
        <v>2024.0</v>
      </c>
      <c r="B68" s="26">
        <v>6.0</v>
      </c>
      <c r="C68" s="27" t="s">
        <v>425</v>
      </c>
      <c r="D68" s="28">
        <v>2.02400065E8</v>
      </c>
      <c r="E68" s="27" t="s">
        <v>132</v>
      </c>
      <c r="F68" s="37" t="s">
        <v>55</v>
      </c>
      <c r="G68" s="42" t="s">
        <v>441</v>
      </c>
      <c r="H68" s="29" t="s">
        <v>57</v>
      </c>
      <c r="I68" s="27" t="s">
        <v>107</v>
      </c>
      <c r="J68" s="27" t="s">
        <v>442</v>
      </c>
      <c r="K68" s="27" t="s">
        <v>58</v>
      </c>
      <c r="L68" s="27" t="s">
        <v>59</v>
      </c>
      <c r="M68" s="27" t="s">
        <v>136</v>
      </c>
      <c r="N68" s="25" t="s">
        <v>91</v>
      </c>
      <c r="O68" s="27" t="s">
        <v>443</v>
      </c>
      <c r="P68" s="27" t="s">
        <v>57</v>
      </c>
      <c r="Q68" s="25" t="s">
        <v>444</v>
      </c>
      <c r="R68" s="25" t="s">
        <v>57</v>
      </c>
      <c r="S68" s="25">
        <v>3.112972548E9</v>
      </c>
      <c r="T68" s="26" t="s">
        <v>63</v>
      </c>
      <c r="U68" s="41" t="s">
        <v>64</v>
      </c>
      <c r="V68" s="26" t="s">
        <v>65</v>
      </c>
      <c r="W68" s="26" t="s">
        <v>78</v>
      </c>
      <c r="X68" s="42" t="s">
        <v>445</v>
      </c>
      <c r="Y68" s="31">
        <v>45446.0</v>
      </c>
      <c r="Z68" s="31" t="s">
        <v>57</v>
      </c>
      <c r="AA68" s="91" t="s">
        <v>446</v>
      </c>
      <c r="AB68" s="92" t="s">
        <v>447</v>
      </c>
      <c r="AC68" s="27" t="s">
        <v>66</v>
      </c>
      <c r="AD68" s="27" t="s">
        <v>57</v>
      </c>
      <c r="AE68" s="25" t="s">
        <v>448</v>
      </c>
      <c r="AF68" s="33" t="s">
        <v>68</v>
      </c>
      <c r="AG68" s="34" t="s">
        <v>69</v>
      </c>
      <c r="AH68" s="35"/>
      <c r="AI68" s="63" t="s">
        <v>449</v>
      </c>
      <c r="AJ68" s="60" t="b">
        <v>0</v>
      </c>
      <c r="AK68" s="59"/>
      <c r="AL68" s="24"/>
      <c r="AM68" s="24"/>
      <c r="AN68" s="24"/>
    </row>
    <row r="69" ht="15.75" customHeight="1">
      <c r="A69" s="44">
        <v>2024.0</v>
      </c>
      <c r="B69" s="84">
        <v>6.0</v>
      </c>
      <c r="C69" s="93" t="s">
        <v>425</v>
      </c>
      <c r="D69" s="83" t="s">
        <v>450</v>
      </c>
      <c r="E69" s="93" t="s">
        <v>71</v>
      </c>
      <c r="F69" s="93" t="s">
        <v>154</v>
      </c>
      <c r="G69" s="57" t="s">
        <v>451</v>
      </c>
      <c r="H69" s="29" t="s">
        <v>57</v>
      </c>
      <c r="I69" s="27" t="s">
        <v>230</v>
      </c>
      <c r="J69" s="25" t="s">
        <v>452</v>
      </c>
      <c r="K69" s="27" t="s">
        <v>58</v>
      </c>
      <c r="L69" s="27" t="s">
        <v>59</v>
      </c>
      <c r="M69" s="63" t="s">
        <v>184</v>
      </c>
      <c r="N69" s="25" t="s">
        <v>61</v>
      </c>
      <c r="O69" s="27" t="s">
        <v>453</v>
      </c>
      <c r="P69" s="25" t="s">
        <v>57</v>
      </c>
      <c r="Q69" s="27" t="s">
        <v>454</v>
      </c>
      <c r="R69" s="25" t="s">
        <v>455</v>
      </c>
      <c r="S69" s="27">
        <v>3.125322919E9</v>
      </c>
      <c r="T69" s="26" t="s">
        <v>63</v>
      </c>
      <c r="U69" s="26" t="s">
        <v>64</v>
      </c>
      <c r="V69" s="26" t="s">
        <v>65</v>
      </c>
      <c r="W69" s="26" t="s">
        <v>149</v>
      </c>
      <c r="X69" s="41" t="s">
        <v>456</v>
      </c>
      <c r="Y69" s="31">
        <v>45448.0</v>
      </c>
      <c r="Z69" s="80">
        <v>45529.0</v>
      </c>
      <c r="AA69" s="31" t="s">
        <v>457</v>
      </c>
      <c r="AB69" s="25"/>
      <c r="AC69" s="27" t="s">
        <v>66</v>
      </c>
      <c r="AD69" s="27" t="s">
        <v>57</v>
      </c>
      <c r="AE69" s="83" t="s">
        <v>458</v>
      </c>
      <c r="AF69" s="33" t="s">
        <v>68</v>
      </c>
      <c r="AG69" s="34" t="s">
        <v>69</v>
      </c>
      <c r="AH69" s="35"/>
      <c r="AI69" s="50"/>
      <c r="AJ69" s="60" t="b">
        <v>0</v>
      </c>
      <c r="AK69" s="61"/>
      <c r="AL69" s="24"/>
      <c r="AM69" s="24"/>
      <c r="AN69" s="24"/>
    </row>
    <row r="70" ht="15.75" customHeight="1">
      <c r="A70" s="25">
        <v>2024.0</v>
      </c>
      <c r="B70" s="26">
        <v>6.0</v>
      </c>
      <c r="C70" s="27" t="s">
        <v>425</v>
      </c>
      <c r="D70" s="27" t="s">
        <v>459</v>
      </c>
      <c r="E70" s="26" t="s">
        <v>2</v>
      </c>
      <c r="F70" s="37" t="s">
        <v>124</v>
      </c>
      <c r="G70" s="30" t="s">
        <v>460</v>
      </c>
      <c r="H70" s="29" t="s">
        <v>57</v>
      </c>
      <c r="I70" s="27" t="s">
        <v>191</v>
      </c>
      <c r="J70" s="25" t="s">
        <v>461</v>
      </c>
      <c r="K70" s="27" t="s">
        <v>58</v>
      </c>
      <c r="L70" s="27" t="s">
        <v>59</v>
      </c>
      <c r="M70" s="27" t="s">
        <v>136</v>
      </c>
      <c r="N70" s="25" t="s">
        <v>61</v>
      </c>
      <c r="O70" s="25" t="s">
        <v>462</v>
      </c>
      <c r="P70" s="27">
        <v>1.048212691E9</v>
      </c>
      <c r="Q70" s="25" t="s">
        <v>463</v>
      </c>
      <c r="R70" s="25" t="s">
        <v>464</v>
      </c>
      <c r="S70" s="27">
        <v>3.18498869E9</v>
      </c>
      <c r="T70" s="26" t="s">
        <v>63</v>
      </c>
      <c r="U70" s="26" t="s">
        <v>64</v>
      </c>
      <c r="V70" s="27" t="s">
        <v>65</v>
      </c>
      <c r="W70" s="27" t="s">
        <v>78</v>
      </c>
      <c r="X70" s="25" t="s">
        <v>465</v>
      </c>
      <c r="Y70" s="31">
        <v>45468.0</v>
      </c>
      <c r="Z70" s="31">
        <v>45482.0</v>
      </c>
      <c r="AA70" s="31" t="s">
        <v>466</v>
      </c>
      <c r="AB70" s="25" t="s">
        <v>467</v>
      </c>
      <c r="AC70" s="27" t="s">
        <v>66</v>
      </c>
      <c r="AD70" s="27" t="s">
        <v>57</v>
      </c>
      <c r="AE70" s="25" t="s">
        <v>468</v>
      </c>
      <c r="AF70" s="33" t="s">
        <v>68</v>
      </c>
      <c r="AG70" s="34" t="s">
        <v>69</v>
      </c>
      <c r="AH70" s="35"/>
      <c r="AI70" s="50" t="s">
        <v>70</v>
      </c>
      <c r="AJ70" s="60" t="b">
        <v>1</v>
      </c>
      <c r="AK70" s="61"/>
      <c r="AL70" s="24"/>
      <c r="AM70" s="24"/>
      <c r="AN70" s="24"/>
    </row>
    <row r="71" ht="15.75" customHeight="1">
      <c r="A71" s="25">
        <v>2024.0</v>
      </c>
      <c r="B71" s="26">
        <v>6.0</v>
      </c>
      <c r="C71" s="27" t="s">
        <v>425</v>
      </c>
      <c r="D71" s="28">
        <v>2.02400067E8</v>
      </c>
      <c r="E71" s="26" t="s">
        <v>2</v>
      </c>
      <c r="F71" s="37" t="s">
        <v>124</v>
      </c>
      <c r="G71" s="30" t="s">
        <v>460</v>
      </c>
      <c r="H71" s="29" t="s">
        <v>57</v>
      </c>
      <c r="I71" s="27" t="s">
        <v>191</v>
      </c>
      <c r="J71" s="25" t="s">
        <v>469</v>
      </c>
      <c r="K71" s="27" t="s">
        <v>58</v>
      </c>
      <c r="L71" s="27" t="s">
        <v>59</v>
      </c>
      <c r="M71" s="27" t="s">
        <v>60</v>
      </c>
      <c r="N71" s="25" t="s">
        <v>61</v>
      </c>
      <c r="O71" s="25" t="s">
        <v>470</v>
      </c>
      <c r="P71" s="27">
        <v>1.030590152E9</v>
      </c>
      <c r="Q71" s="25" t="s">
        <v>471</v>
      </c>
      <c r="R71" s="25" t="s">
        <v>472</v>
      </c>
      <c r="S71" s="27">
        <v>3.137802152E9</v>
      </c>
      <c r="T71" s="26" t="s">
        <v>63</v>
      </c>
      <c r="U71" s="26" t="s">
        <v>64</v>
      </c>
      <c r="V71" s="27" t="s">
        <v>65</v>
      </c>
      <c r="W71" s="27" t="s">
        <v>78</v>
      </c>
      <c r="X71" s="25" t="s">
        <v>473</v>
      </c>
      <c r="Y71" s="31" t="s">
        <v>57</v>
      </c>
      <c r="Z71" s="31" t="s">
        <v>57</v>
      </c>
      <c r="AA71" s="31" t="s">
        <v>57</v>
      </c>
      <c r="AB71" s="31" t="s">
        <v>57</v>
      </c>
      <c r="AC71" s="32" t="s">
        <v>66</v>
      </c>
      <c r="AD71" s="27" t="s">
        <v>57</v>
      </c>
      <c r="AE71" s="25" t="s">
        <v>474</v>
      </c>
      <c r="AF71" s="33" t="s">
        <v>68</v>
      </c>
      <c r="AG71" s="34" t="s">
        <v>69</v>
      </c>
      <c r="AH71" s="35"/>
      <c r="AI71" s="50" t="s">
        <v>70</v>
      </c>
      <c r="AJ71" s="60" t="b">
        <v>1</v>
      </c>
      <c r="AK71" s="61"/>
      <c r="AL71" s="24"/>
      <c r="AM71" s="24"/>
      <c r="AN71" s="24"/>
    </row>
    <row r="72" ht="15.75" customHeight="1">
      <c r="A72" s="25">
        <v>2024.0</v>
      </c>
      <c r="B72" s="26">
        <v>6.0</v>
      </c>
      <c r="C72" s="27" t="s">
        <v>425</v>
      </c>
      <c r="D72" s="28">
        <v>2.02400068E8</v>
      </c>
      <c r="E72" s="27" t="s">
        <v>71</v>
      </c>
      <c r="F72" s="37" t="s">
        <v>154</v>
      </c>
      <c r="G72" s="30" t="s">
        <v>475</v>
      </c>
      <c r="H72" s="29" t="s">
        <v>57</v>
      </c>
      <c r="I72" s="27" t="s">
        <v>265</v>
      </c>
      <c r="J72" s="25" t="s">
        <v>183</v>
      </c>
      <c r="K72" s="27" t="s">
        <v>58</v>
      </c>
      <c r="L72" s="27" t="s">
        <v>59</v>
      </c>
      <c r="M72" s="27" t="s">
        <v>184</v>
      </c>
      <c r="N72" s="25" t="s">
        <v>61</v>
      </c>
      <c r="O72" s="25" t="s">
        <v>252</v>
      </c>
      <c r="P72" s="79">
        <v>4.1361571E7</v>
      </c>
      <c r="Q72" s="25" t="s">
        <v>476</v>
      </c>
      <c r="R72" s="25" t="s">
        <v>57</v>
      </c>
      <c r="S72" s="27">
        <v>3.002678422E9</v>
      </c>
      <c r="T72" s="26" t="s">
        <v>154</v>
      </c>
      <c r="U72" s="26" t="s">
        <v>64</v>
      </c>
      <c r="V72" s="27" t="s">
        <v>65</v>
      </c>
      <c r="W72" s="27" t="s">
        <v>78</v>
      </c>
      <c r="X72" s="25" t="s">
        <v>477</v>
      </c>
      <c r="Y72" s="31" t="s">
        <v>57</v>
      </c>
      <c r="Z72" s="31" t="s">
        <v>57</v>
      </c>
      <c r="AA72" s="31" t="s">
        <v>57</v>
      </c>
      <c r="AB72" s="31" t="s">
        <v>57</v>
      </c>
      <c r="AC72" s="32" t="s">
        <v>66</v>
      </c>
      <c r="AD72" s="27" t="s">
        <v>57</v>
      </c>
      <c r="AE72" s="34" t="s">
        <v>478</v>
      </c>
      <c r="AF72" s="33" t="s">
        <v>68</v>
      </c>
      <c r="AG72" s="34" t="s">
        <v>69</v>
      </c>
      <c r="AH72" s="35"/>
      <c r="AI72" s="63" t="s">
        <v>479</v>
      </c>
      <c r="AJ72" s="58" t="b">
        <v>1</v>
      </c>
      <c r="AK72" s="61"/>
      <c r="AL72" s="24"/>
      <c r="AM72" s="24"/>
      <c r="AN72" s="24"/>
    </row>
    <row r="73" ht="15.75" customHeight="1">
      <c r="A73" s="25">
        <v>2024.0</v>
      </c>
      <c r="B73" s="26">
        <v>7.0</v>
      </c>
      <c r="C73" s="34" t="s">
        <v>480</v>
      </c>
      <c r="D73" s="27">
        <v>2.02400069E8</v>
      </c>
      <c r="E73" s="26" t="s">
        <v>2</v>
      </c>
      <c r="F73" s="37" t="s">
        <v>381</v>
      </c>
      <c r="G73" s="30" t="s">
        <v>481</v>
      </c>
      <c r="H73" s="29" t="s">
        <v>57</v>
      </c>
      <c r="I73" s="27" t="s">
        <v>482</v>
      </c>
      <c r="J73" s="25" t="s">
        <v>483</v>
      </c>
      <c r="K73" s="27" t="s">
        <v>58</v>
      </c>
      <c r="L73" s="27" t="s">
        <v>59</v>
      </c>
      <c r="M73" s="27" t="s">
        <v>99</v>
      </c>
      <c r="N73" s="25" t="s">
        <v>61</v>
      </c>
      <c r="O73" s="25" t="s">
        <v>484</v>
      </c>
      <c r="P73" s="27">
        <v>4096540.0</v>
      </c>
      <c r="Q73" s="25" t="s">
        <v>485</v>
      </c>
      <c r="R73" s="25" t="s">
        <v>486</v>
      </c>
      <c r="S73" s="27">
        <v>3.133039438E9</v>
      </c>
      <c r="T73" s="26" t="s">
        <v>63</v>
      </c>
      <c r="U73" s="26" t="s">
        <v>64</v>
      </c>
      <c r="V73" s="26" t="s">
        <v>65</v>
      </c>
      <c r="W73" s="49" t="s">
        <v>149</v>
      </c>
      <c r="X73" s="63" t="s">
        <v>487</v>
      </c>
      <c r="Y73" s="31">
        <v>45475.0</v>
      </c>
      <c r="Z73" s="31">
        <v>45486.0</v>
      </c>
      <c r="AA73" s="47" t="s">
        <v>488</v>
      </c>
      <c r="AB73" s="31">
        <v>45475.0</v>
      </c>
      <c r="AC73" s="32" t="s">
        <v>66</v>
      </c>
      <c r="AD73" s="27" t="s">
        <v>57</v>
      </c>
      <c r="AE73" s="34" t="s">
        <v>489</v>
      </c>
      <c r="AF73" s="33" t="s">
        <v>68</v>
      </c>
      <c r="AG73" s="34" t="s">
        <v>69</v>
      </c>
      <c r="AH73" s="35"/>
      <c r="AI73" s="63" t="s">
        <v>490</v>
      </c>
      <c r="AJ73" s="58" t="b">
        <v>0</v>
      </c>
      <c r="AK73" s="61"/>
      <c r="AL73" s="24"/>
      <c r="AM73" s="24"/>
      <c r="AN73" s="24"/>
    </row>
    <row r="74" ht="24.75" customHeight="1">
      <c r="A74" s="25">
        <v>2024.0</v>
      </c>
      <c r="B74" s="26">
        <v>7.0</v>
      </c>
      <c r="C74" s="34" t="s">
        <v>480</v>
      </c>
      <c r="D74" s="27">
        <v>2.0240007E8</v>
      </c>
      <c r="E74" s="26" t="s">
        <v>2</v>
      </c>
      <c r="F74" s="37" t="s">
        <v>124</v>
      </c>
      <c r="G74" s="30" t="s">
        <v>491</v>
      </c>
      <c r="H74" s="29" t="s">
        <v>57</v>
      </c>
      <c r="I74" s="27" t="s">
        <v>191</v>
      </c>
      <c r="J74" s="25" t="s">
        <v>461</v>
      </c>
      <c r="K74" s="27" t="s">
        <v>58</v>
      </c>
      <c r="L74" s="27" t="s">
        <v>59</v>
      </c>
      <c r="M74" s="27" t="s">
        <v>136</v>
      </c>
      <c r="N74" s="25" t="s">
        <v>61</v>
      </c>
      <c r="O74" s="25" t="s">
        <v>462</v>
      </c>
      <c r="P74" s="27">
        <v>1.048212691E9</v>
      </c>
      <c r="Q74" s="25" t="s">
        <v>463</v>
      </c>
      <c r="R74" s="25" t="s">
        <v>464</v>
      </c>
      <c r="S74" s="27">
        <v>3.18498869E9</v>
      </c>
      <c r="T74" s="26" t="s">
        <v>63</v>
      </c>
      <c r="U74" s="26" t="s">
        <v>64</v>
      </c>
      <c r="V74" s="27" t="s">
        <v>65</v>
      </c>
      <c r="W74" s="34" t="s">
        <v>78</v>
      </c>
      <c r="X74" s="63" t="s">
        <v>492</v>
      </c>
      <c r="Y74" s="25" t="s">
        <v>493</v>
      </c>
      <c r="Z74" s="31">
        <v>45495.0</v>
      </c>
      <c r="AA74" s="94" t="s">
        <v>494</v>
      </c>
      <c r="AB74" s="95" t="s">
        <v>495</v>
      </c>
      <c r="AC74" s="27" t="s">
        <v>66</v>
      </c>
      <c r="AD74" s="27" t="s">
        <v>57</v>
      </c>
      <c r="AE74" s="25" t="s">
        <v>468</v>
      </c>
      <c r="AF74" s="33" t="s">
        <v>68</v>
      </c>
      <c r="AG74" s="34" t="s">
        <v>69</v>
      </c>
      <c r="AH74" s="96" t="s">
        <v>496</v>
      </c>
      <c r="AI74" s="51" t="s">
        <v>70</v>
      </c>
      <c r="AJ74" s="60" t="b">
        <v>1</v>
      </c>
      <c r="AK74" s="61"/>
      <c r="AL74" s="24"/>
      <c r="AM74" s="24"/>
      <c r="AN74" s="24"/>
    </row>
    <row r="75" ht="24.75" customHeight="1">
      <c r="A75" s="25">
        <v>2024.0</v>
      </c>
      <c r="B75" s="26">
        <v>7.0</v>
      </c>
      <c r="C75" s="34" t="s">
        <v>480</v>
      </c>
      <c r="D75" s="27">
        <v>2.02400071E8</v>
      </c>
      <c r="E75" s="26" t="s">
        <v>2</v>
      </c>
      <c r="F75" s="37" t="s">
        <v>180</v>
      </c>
      <c r="G75" s="30" t="s">
        <v>497</v>
      </c>
      <c r="H75" s="29" t="s">
        <v>57</v>
      </c>
      <c r="I75" s="27" t="s">
        <v>182</v>
      </c>
      <c r="J75" s="25" t="s">
        <v>498</v>
      </c>
      <c r="K75" s="27" t="s">
        <v>58</v>
      </c>
      <c r="L75" s="27" t="s">
        <v>59</v>
      </c>
      <c r="M75" s="27" t="s">
        <v>60</v>
      </c>
      <c r="N75" s="25" t="s">
        <v>61</v>
      </c>
      <c r="O75" s="27" t="s">
        <v>499</v>
      </c>
      <c r="P75" s="27">
        <v>3019588.0</v>
      </c>
      <c r="Q75" s="25" t="s">
        <v>500</v>
      </c>
      <c r="R75" s="25" t="s">
        <v>57</v>
      </c>
      <c r="S75" s="27">
        <v>3.173456091E9</v>
      </c>
      <c r="T75" s="26" t="s">
        <v>63</v>
      </c>
      <c r="U75" s="26" t="s">
        <v>64</v>
      </c>
      <c r="V75" s="26" t="s">
        <v>65</v>
      </c>
      <c r="W75" s="34" t="s">
        <v>204</v>
      </c>
      <c r="X75" s="41" t="s">
        <v>501</v>
      </c>
      <c r="Y75" s="97">
        <v>45491.0</v>
      </c>
      <c r="Z75" s="32"/>
      <c r="AA75" s="47">
        <v>2.0245810117422E13</v>
      </c>
      <c r="AB75" s="32"/>
      <c r="AC75" s="32" t="s">
        <v>66</v>
      </c>
      <c r="AD75" s="27" t="s">
        <v>57</v>
      </c>
      <c r="AE75" s="25" t="s">
        <v>502</v>
      </c>
      <c r="AF75" s="33" t="s">
        <v>68</v>
      </c>
      <c r="AG75" s="34" t="s">
        <v>69</v>
      </c>
      <c r="AH75" s="35"/>
      <c r="AI75" s="63" t="s">
        <v>503</v>
      </c>
      <c r="AJ75" s="98" t="b">
        <v>0</v>
      </c>
      <c r="AK75" s="59"/>
      <c r="AL75" s="24"/>
      <c r="AM75" s="24"/>
      <c r="AN75" s="24"/>
    </row>
    <row r="76" ht="24.75" customHeight="1">
      <c r="A76" s="25">
        <v>2024.0</v>
      </c>
      <c r="B76" s="26">
        <v>7.0</v>
      </c>
      <c r="C76" s="34" t="s">
        <v>480</v>
      </c>
      <c r="D76" s="27">
        <v>2.02400072E8</v>
      </c>
      <c r="E76" s="27" t="s">
        <v>132</v>
      </c>
      <c r="F76" s="37" t="s">
        <v>82</v>
      </c>
      <c r="G76" s="30" t="s">
        <v>504</v>
      </c>
      <c r="H76" s="29" t="s">
        <v>57</v>
      </c>
      <c r="I76" s="27" t="s">
        <v>84</v>
      </c>
      <c r="J76" s="25" t="s">
        <v>505</v>
      </c>
      <c r="K76" s="27" t="s">
        <v>58</v>
      </c>
      <c r="L76" s="27" t="s">
        <v>59</v>
      </c>
      <c r="M76" s="27" t="s">
        <v>99</v>
      </c>
      <c r="N76" s="25" t="s">
        <v>61</v>
      </c>
      <c r="O76" s="25" t="s">
        <v>100</v>
      </c>
      <c r="P76" s="45">
        <v>6742994.0</v>
      </c>
      <c r="Q76" s="25" t="s">
        <v>101</v>
      </c>
      <c r="R76" s="25" t="s">
        <v>57</v>
      </c>
      <c r="S76" s="27">
        <v>3.208170206E9</v>
      </c>
      <c r="T76" s="26" t="s">
        <v>82</v>
      </c>
      <c r="U76" s="26" t="s">
        <v>64</v>
      </c>
      <c r="V76" s="26" t="s">
        <v>65</v>
      </c>
      <c r="W76" s="49" t="s">
        <v>78</v>
      </c>
      <c r="X76" s="41" t="s">
        <v>506</v>
      </c>
      <c r="Y76" s="97">
        <v>45491.0</v>
      </c>
      <c r="Z76" s="32"/>
      <c r="AA76" s="32"/>
      <c r="AB76" s="32"/>
      <c r="AC76" s="32" t="s">
        <v>66</v>
      </c>
      <c r="AD76" s="27" t="s">
        <v>57</v>
      </c>
      <c r="AE76" s="25" t="s">
        <v>507</v>
      </c>
      <c r="AF76" s="33" t="s">
        <v>68</v>
      </c>
      <c r="AG76" s="34" t="s">
        <v>69</v>
      </c>
      <c r="AH76" s="35"/>
      <c r="AI76" s="75" t="s">
        <v>508</v>
      </c>
      <c r="AJ76" s="98" t="b">
        <v>0</v>
      </c>
      <c r="AK76" s="59"/>
      <c r="AL76" s="24"/>
      <c r="AM76" s="24"/>
      <c r="AN76" s="24"/>
    </row>
    <row r="77" ht="24.75" customHeight="1">
      <c r="A77" s="25">
        <v>2024.0</v>
      </c>
      <c r="B77" s="26">
        <v>7.0</v>
      </c>
      <c r="C77" s="34" t="s">
        <v>480</v>
      </c>
      <c r="D77" s="27">
        <v>2.02400073E8</v>
      </c>
      <c r="E77" s="26" t="s">
        <v>2</v>
      </c>
      <c r="F77" s="37" t="s">
        <v>180</v>
      </c>
      <c r="G77" s="30" t="s">
        <v>509</v>
      </c>
      <c r="H77" s="29" t="s">
        <v>57</v>
      </c>
      <c r="I77" s="27" t="s">
        <v>182</v>
      </c>
      <c r="J77" s="25" t="s">
        <v>510</v>
      </c>
      <c r="K77" s="27" t="s">
        <v>58</v>
      </c>
      <c r="L77" s="27" t="s">
        <v>59</v>
      </c>
      <c r="M77" s="27" t="s">
        <v>99</v>
      </c>
      <c r="N77" s="25" t="s">
        <v>61</v>
      </c>
      <c r="O77" s="25" t="s">
        <v>511</v>
      </c>
      <c r="P77" s="27">
        <v>2.8433551E7</v>
      </c>
      <c r="Q77" s="25" t="s">
        <v>512</v>
      </c>
      <c r="R77" s="25" t="s">
        <v>57</v>
      </c>
      <c r="S77" s="27">
        <v>3.016030358E9</v>
      </c>
      <c r="T77" s="26" t="s">
        <v>63</v>
      </c>
      <c r="U77" s="26" t="s">
        <v>129</v>
      </c>
      <c r="V77" s="27" t="s">
        <v>65</v>
      </c>
      <c r="W77" s="49" t="s">
        <v>78</v>
      </c>
      <c r="X77" s="75" t="s">
        <v>513</v>
      </c>
      <c r="Y77" s="97">
        <v>45491.0</v>
      </c>
      <c r="Z77" s="88">
        <v>45545.0</v>
      </c>
      <c r="AA77" s="47">
        <v>2.0245810117752E13</v>
      </c>
      <c r="AB77" s="32"/>
      <c r="AC77" s="32" t="s">
        <v>66</v>
      </c>
      <c r="AD77" s="27" t="s">
        <v>57</v>
      </c>
      <c r="AE77" s="25" t="s">
        <v>514</v>
      </c>
      <c r="AF77" s="33" t="s">
        <v>68</v>
      </c>
      <c r="AG77" s="34" t="s">
        <v>69</v>
      </c>
      <c r="AH77" s="35"/>
      <c r="AI77" s="63" t="s">
        <v>70</v>
      </c>
      <c r="AJ77" s="98" t="b">
        <v>1</v>
      </c>
      <c r="AK77" s="59"/>
      <c r="AL77" s="24"/>
      <c r="AM77" s="24"/>
      <c r="AN77" s="24"/>
    </row>
    <row r="78" ht="24.75" customHeight="1">
      <c r="A78" s="25">
        <v>2024.0</v>
      </c>
      <c r="B78" s="26">
        <v>7.0</v>
      </c>
      <c r="C78" s="34" t="s">
        <v>480</v>
      </c>
      <c r="D78" s="27">
        <v>2.02400074E8</v>
      </c>
      <c r="E78" s="26" t="s">
        <v>105</v>
      </c>
      <c r="F78" s="37" t="s">
        <v>82</v>
      </c>
      <c r="G78" s="30" t="s">
        <v>515</v>
      </c>
      <c r="H78" s="29" t="s">
        <v>57</v>
      </c>
      <c r="I78" s="27" t="s">
        <v>84</v>
      </c>
      <c r="J78" s="25" t="s">
        <v>217</v>
      </c>
      <c r="K78" s="27" t="s">
        <v>58</v>
      </c>
      <c r="L78" s="27" t="s">
        <v>59</v>
      </c>
      <c r="M78" s="27" t="s">
        <v>60</v>
      </c>
      <c r="N78" s="25" t="s">
        <v>61</v>
      </c>
      <c r="O78" s="25" t="s">
        <v>516</v>
      </c>
      <c r="P78" s="25" t="s">
        <v>57</v>
      </c>
      <c r="Q78" s="25" t="s">
        <v>517</v>
      </c>
      <c r="R78" s="25" t="s">
        <v>57</v>
      </c>
      <c r="S78" s="27">
        <v>3.204244269E9</v>
      </c>
      <c r="T78" s="26" t="s">
        <v>82</v>
      </c>
      <c r="U78" s="26" t="s">
        <v>64</v>
      </c>
      <c r="V78" s="26" t="s">
        <v>65</v>
      </c>
      <c r="W78" s="49" t="s">
        <v>78</v>
      </c>
      <c r="X78" s="63" t="s">
        <v>518</v>
      </c>
      <c r="Y78" s="97">
        <v>45491.0</v>
      </c>
      <c r="Z78" s="88">
        <v>45677.0</v>
      </c>
      <c r="AA78" s="75" t="s">
        <v>519</v>
      </c>
      <c r="AB78" s="32"/>
      <c r="AC78" s="32" t="s">
        <v>66</v>
      </c>
      <c r="AD78" s="27" t="s">
        <v>57</v>
      </c>
      <c r="AE78" s="25" t="s">
        <v>520</v>
      </c>
      <c r="AF78" s="33" t="s">
        <v>68</v>
      </c>
      <c r="AG78" s="34" t="s">
        <v>69</v>
      </c>
      <c r="AH78" s="35"/>
      <c r="AI78" s="50"/>
      <c r="AJ78" s="98" t="b">
        <v>0</v>
      </c>
      <c r="AK78" s="59"/>
      <c r="AL78" s="24"/>
      <c r="AM78" s="24"/>
      <c r="AN78" s="24"/>
    </row>
    <row r="79" ht="27.0" customHeight="1">
      <c r="A79" s="25">
        <v>2024.0</v>
      </c>
      <c r="B79" s="26">
        <v>7.0</v>
      </c>
      <c r="C79" s="34" t="s">
        <v>480</v>
      </c>
      <c r="D79" s="27">
        <v>2.02400075E8</v>
      </c>
      <c r="E79" s="27" t="s">
        <v>132</v>
      </c>
      <c r="F79" s="37" t="s">
        <v>154</v>
      </c>
      <c r="G79" s="42" t="s">
        <v>521</v>
      </c>
      <c r="H79" s="29" t="s">
        <v>57</v>
      </c>
      <c r="I79" s="27" t="s">
        <v>230</v>
      </c>
      <c r="J79" s="27" t="s">
        <v>427</v>
      </c>
      <c r="K79" s="27" t="s">
        <v>58</v>
      </c>
      <c r="L79" s="27" t="s">
        <v>59</v>
      </c>
      <c r="M79" s="27" t="s">
        <v>184</v>
      </c>
      <c r="N79" s="25" t="s">
        <v>61</v>
      </c>
      <c r="O79" s="25" t="s">
        <v>345</v>
      </c>
      <c r="P79" s="25" t="s">
        <v>57</v>
      </c>
      <c r="Q79" s="27" t="s">
        <v>522</v>
      </c>
      <c r="R79" s="25" t="s">
        <v>57</v>
      </c>
      <c r="S79" s="41">
        <v>3.004954221E9</v>
      </c>
      <c r="T79" s="26" t="s">
        <v>154</v>
      </c>
      <c r="U79" s="63" t="s">
        <v>64</v>
      </c>
      <c r="V79" s="27" t="s">
        <v>65</v>
      </c>
      <c r="W79" s="34" t="s">
        <v>149</v>
      </c>
      <c r="X79" s="25" t="s">
        <v>523</v>
      </c>
      <c r="Y79" s="97">
        <v>45496.0</v>
      </c>
      <c r="Z79" s="31">
        <v>45504.0</v>
      </c>
      <c r="AA79" s="77" t="s">
        <v>524</v>
      </c>
      <c r="AB79" s="94" t="s">
        <v>525</v>
      </c>
      <c r="AC79" s="27" t="s">
        <v>66</v>
      </c>
      <c r="AD79" s="26" t="s">
        <v>57</v>
      </c>
      <c r="AE79" s="25" t="s">
        <v>526</v>
      </c>
      <c r="AF79" s="33" t="s">
        <v>68</v>
      </c>
      <c r="AG79" s="34" t="s">
        <v>69</v>
      </c>
      <c r="AH79" s="35"/>
      <c r="AI79" s="50" t="s">
        <v>527</v>
      </c>
      <c r="AJ79" s="98" t="b">
        <v>1</v>
      </c>
      <c r="AK79" s="59"/>
      <c r="AL79" s="24"/>
      <c r="AM79" s="24"/>
      <c r="AN79" s="24"/>
    </row>
    <row r="80" ht="24.75" customHeight="1">
      <c r="A80" s="25">
        <v>2024.0</v>
      </c>
      <c r="B80" s="26">
        <v>8.0</v>
      </c>
      <c r="C80" s="25" t="s">
        <v>528</v>
      </c>
      <c r="D80" s="27">
        <v>2.02400076E8</v>
      </c>
      <c r="E80" s="27" t="s">
        <v>71</v>
      </c>
      <c r="F80" s="27" t="s">
        <v>82</v>
      </c>
      <c r="G80" s="30" t="s">
        <v>529</v>
      </c>
      <c r="H80" s="29" t="s">
        <v>57</v>
      </c>
      <c r="I80" s="27" t="s">
        <v>84</v>
      </c>
      <c r="J80" s="25" t="s">
        <v>396</v>
      </c>
      <c r="K80" s="27" t="s">
        <v>58</v>
      </c>
      <c r="L80" s="51" t="s">
        <v>59</v>
      </c>
      <c r="M80" s="51" t="s">
        <v>184</v>
      </c>
      <c r="N80" s="51" t="s">
        <v>61</v>
      </c>
      <c r="O80" s="83" t="s">
        <v>530</v>
      </c>
      <c r="P80" s="27">
        <v>4.1343646E7</v>
      </c>
      <c r="Q80" s="83" t="s">
        <v>531</v>
      </c>
      <c r="R80" s="99" t="s">
        <v>532</v>
      </c>
      <c r="S80" s="25" t="s">
        <v>57</v>
      </c>
      <c r="T80" s="26" t="s">
        <v>82</v>
      </c>
      <c r="U80" s="63" t="s">
        <v>64</v>
      </c>
      <c r="V80" s="26" t="s">
        <v>65</v>
      </c>
      <c r="W80" s="27" t="s">
        <v>204</v>
      </c>
      <c r="X80" s="63" t="s">
        <v>533</v>
      </c>
      <c r="Y80" s="100">
        <v>45506.0</v>
      </c>
      <c r="Z80" s="32"/>
      <c r="AA80" s="75" t="s">
        <v>534</v>
      </c>
      <c r="AB80" s="32"/>
      <c r="AC80" s="32" t="s">
        <v>66</v>
      </c>
      <c r="AD80" s="26" t="s">
        <v>57</v>
      </c>
      <c r="AE80" s="25" t="s">
        <v>535</v>
      </c>
      <c r="AF80" s="44" t="s">
        <v>68</v>
      </c>
      <c r="AG80" s="34" t="s">
        <v>69</v>
      </c>
      <c r="AH80" s="35"/>
      <c r="AI80" s="63" t="s">
        <v>536</v>
      </c>
      <c r="AJ80" s="98" t="b">
        <v>0</v>
      </c>
      <c r="AK80" s="59"/>
      <c r="AL80" s="24"/>
      <c r="AM80" s="24"/>
      <c r="AN80" s="24"/>
    </row>
    <row r="81" ht="24.75" customHeight="1">
      <c r="A81" s="25">
        <v>2024.0</v>
      </c>
      <c r="B81" s="26">
        <v>8.0</v>
      </c>
      <c r="C81" s="25" t="s">
        <v>528</v>
      </c>
      <c r="D81" s="27">
        <v>2.02400077E8</v>
      </c>
      <c r="E81" s="27" t="s">
        <v>71</v>
      </c>
      <c r="F81" s="27" t="s">
        <v>82</v>
      </c>
      <c r="G81" s="30" t="s">
        <v>537</v>
      </c>
      <c r="H81" s="29" t="s">
        <v>57</v>
      </c>
      <c r="I81" s="27" t="s">
        <v>84</v>
      </c>
      <c r="J81" s="27" t="s">
        <v>538</v>
      </c>
      <c r="K81" s="27" t="s">
        <v>58</v>
      </c>
      <c r="L81" s="51" t="s">
        <v>59</v>
      </c>
      <c r="M81" s="51" t="s">
        <v>99</v>
      </c>
      <c r="N81" s="51" t="s">
        <v>61</v>
      </c>
      <c r="O81" s="27" t="s">
        <v>539</v>
      </c>
      <c r="P81" s="25" t="s">
        <v>57</v>
      </c>
      <c r="Q81" s="25" t="s">
        <v>540</v>
      </c>
      <c r="R81" s="25" t="s">
        <v>57</v>
      </c>
      <c r="S81" s="41">
        <v>3.134431741E9</v>
      </c>
      <c r="T81" s="26" t="s">
        <v>82</v>
      </c>
      <c r="U81" s="63" t="s">
        <v>64</v>
      </c>
      <c r="V81" s="26" t="s">
        <v>65</v>
      </c>
      <c r="W81" s="26" t="s">
        <v>78</v>
      </c>
      <c r="X81" s="63" t="s">
        <v>541</v>
      </c>
      <c r="Y81" s="100">
        <v>45506.0</v>
      </c>
      <c r="Z81" s="32"/>
      <c r="AA81" s="75" t="s">
        <v>542</v>
      </c>
      <c r="AB81" s="32"/>
      <c r="AC81" s="32" t="s">
        <v>66</v>
      </c>
      <c r="AD81" s="26" t="s">
        <v>57</v>
      </c>
      <c r="AE81" s="25" t="s">
        <v>543</v>
      </c>
      <c r="AF81" s="44" t="s">
        <v>68</v>
      </c>
      <c r="AG81" s="34" t="s">
        <v>69</v>
      </c>
      <c r="AH81" s="35"/>
      <c r="AI81" s="50"/>
      <c r="AJ81" s="98" t="b">
        <v>0</v>
      </c>
      <c r="AK81" s="59"/>
      <c r="AL81" s="24"/>
      <c r="AM81" s="24"/>
      <c r="AN81" s="24"/>
    </row>
    <row r="82" ht="24.75" customHeight="1">
      <c r="A82" s="25">
        <v>2024.0</v>
      </c>
      <c r="B82" s="26">
        <v>7.0</v>
      </c>
      <c r="C82" s="25" t="s">
        <v>480</v>
      </c>
      <c r="D82" s="27">
        <v>2.02400078E8</v>
      </c>
      <c r="E82" s="27" t="s">
        <v>132</v>
      </c>
      <c r="F82" s="27" t="s">
        <v>82</v>
      </c>
      <c r="G82" s="30" t="s">
        <v>544</v>
      </c>
      <c r="H82" s="29" t="s">
        <v>57</v>
      </c>
      <c r="I82" s="26" t="s">
        <v>271</v>
      </c>
      <c r="J82" s="25" t="s">
        <v>545</v>
      </c>
      <c r="K82" s="27" t="s">
        <v>58</v>
      </c>
      <c r="L82" s="27" t="s">
        <v>59</v>
      </c>
      <c r="M82" s="27" t="s">
        <v>57</v>
      </c>
      <c r="N82" s="25" t="s">
        <v>61</v>
      </c>
      <c r="O82" s="101" t="s">
        <v>546</v>
      </c>
      <c r="P82" s="27">
        <v>1.026304967E9</v>
      </c>
      <c r="Q82" s="25" t="s">
        <v>547</v>
      </c>
      <c r="R82" s="25" t="s">
        <v>57</v>
      </c>
      <c r="S82" s="101">
        <v>3.195554926E9</v>
      </c>
      <c r="T82" s="27" t="s">
        <v>82</v>
      </c>
      <c r="U82" s="102" t="s">
        <v>129</v>
      </c>
      <c r="V82" s="26" t="s">
        <v>65</v>
      </c>
      <c r="W82" s="26" t="s">
        <v>78</v>
      </c>
      <c r="X82" s="63" t="s">
        <v>548</v>
      </c>
      <c r="Y82" s="97">
        <v>45502.0</v>
      </c>
      <c r="Z82" s="80">
        <v>45512.0</v>
      </c>
      <c r="AA82" s="77" t="s">
        <v>549</v>
      </c>
      <c r="AB82" s="32"/>
      <c r="AC82" s="32" t="s">
        <v>66</v>
      </c>
      <c r="AD82" s="26" t="s">
        <v>57</v>
      </c>
      <c r="AE82" s="25" t="s">
        <v>550</v>
      </c>
      <c r="AF82" s="44" t="s">
        <v>68</v>
      </c>
      <c r="AG82" s="25" t="s">
        <v>69</v>
      </c>
      <c r="AH82" s="103" t="s">
        <v>551</v>
      </c>
      <c r="AI82" s="63" t="s">
        <v>70</v>
      </c>
      <c r="AJ82" s="58" t="b">
        <v>1</v>
      </c>
      <c r="AK82" s="59"/>
      <c r="AL82" s="24"/>
      <c r="AM82" s="24"/>
      <c r="AN82" s="24"/>
    </row>
    <row r="83" ht="24.75" customHeight="1">
      <c r="A83" s="25">
        <v>2024.0</v>
      </c>
      <c r="B83" s="26">
        <v>7.0</v>
      </c>
      <c r="C83" s="25" t="s">
        <v>480</v>
      </c>
      <c r="D83" s="27">
        <v>2.02400079E8</v>
      </c>
      <c r="E83" s="26" t="s">
        <v>71</v>
      </c>
      <c r="F83" s="27" t="s">
        <v>82</v>
      </c>
      <c r="G83" s="30" t="s">
        <v>552</v>
      </c>
      <c r="H83" s="29" t="s">
        <v>57</v>
      </c>
      <c r="I83" s="26" t="s">
        <v>271</v>
      </c>
      <c r="J83" s="27" t="s">
        <v>553</v>
      </c>
      <c r="K83" s="27" t="s">
        <v>58</v>
      </c>
      <c r="L83" s="51" t="s">
        <v>59</v>
      </c>
      <c r="M83" s="51" t="s">
        <v>60</v>
      </c>
      <c r="N83" s="51" t="s">
        <v>61</v>
      </c>
      <c r="O83" s="27" t="s">
        <v>554</v>
      </c>
      <c r="P83" s="25" t="s">
        <v>57</v>
      </c>
      <c r="Q83" s="26" t="s">
        <v>57</v>
      </c>
      <c r="R83" s="25" t="s">
        <v>57</v>
      </c>
      <c r="S83" s="25" t="s">
        <v>57</v>
      </c>
      <c r="T83" s="27" t="s">
        <v>82</v>
      </c>
      <c r="U83" s="63" t="s">
        <v>64</v>
      </c>
      <c r="V83" s="27" t="s">
        <v>65</v>
      </c>
      <c r="W83" s="27" t="s">
        <v>78</v>
      </c>
      <c r="X83" s="51" t="s">
        <v>555</v>
      </c>
      <c r="Y83" s="100">
        <v>45504.0</v>
      </c>
      <c r="Z83" s="32">
        <v>45528.0</v>
      </c>
      <c r="AA83" s="32">
        <v>2.02400546E8</v>
      </c>
      <c r="AB83" s="32"/>
      <c r="AC83" s="26" t="s">
        <v>556</v>
      </c>
      <c r="AD83" s="27" t="s">
        <v>80</v>
      </c>
      <c r="AE83" s="27"/>
      <c r="AF83" s="44" t="s">
        <v>68</v>
      </c>
      <c r="AG83" s="34" t="s">
        <v>69</v>
      </c>
      <c r="AH83" s="35"/>
      <c r="AI83" s="63" t="s">
        <v>70</v>
      </c>
      <c r="AJ83" s="58" t="b">
        <v>1</v>
      </c>
      <c r="AK83" s="59"/>
      <c r="AL83" s="24"/>
      <c r="AM83" s="24"/>
      <c r="AN83" s="24"/>
    </row>
    <row r="84" ht="24.75" customHeight="1">
      <c r="A84" s="25">
        <v>2024.0</v>
      </c>
      <c r="B84" s="26">
        <v>8.0</v>
      </c>
      <c r="C84" s="25" t="s">
        <v>528</v>
      </c>
      <c r="D84" s="27">
        <v>2.0240008E8</v>
      </c>
      <c r="E84" s="27" t="s">
        <v>132</v>
      </c>
      <c r="F84" s="27" t="s">
        <v>154</v>
      </c>
      <c r="G84" s="30" t="s">
        <v>557</v>
      </c>
      <c r="H84" s="29" t="s">
        <v>57</v>
      </c>
      <c r="I84" s="51" t="s">
        <v>230</v>
      </c>
      <c r="J84" s="27" t="s">
        <v>427</v>
      </c>
      <c r="K84" s="27" t="s">
        <v>58</v>
      </c>
      <c r="L84" s="51" t="s">
        <v>59</v>
      </c>
      <c r="M84" s="51" t="s">
        <v>184</v>
      </c>
      <c r="N84" s="51" t="s">
        <v>61</v>
      </c>
      <c r="O84" s="27" t="s">
        <v>345</v>
      </c>
      <c r="P84" s="25" t="s">
        <v>57</v>
      </c>
      <c r="Q84" s="27" t="s">
        <v>522</v>
      </c>
      <c r="R84" s="25" t="s">
        <v>57</v>
      </c>
      <c r="S84" s="41">
        <v>3.004954221E9</v>
      </c>
      <c r="T84" s="26" t="s">
        <v>154</v>
      </c>
      <c r="U84" s="63" t="s">
        <v>64</v>
      </c>
      <c r="V84" s="26" t="s">
        <v>65</v>
      </c>
      <c r="W84" s="26" t="s">
        <v>78</v>
      </c>
      <c r="X84" s="51" t="s">
        <v>558</v>
      </c>
      <c r="Y84" s="100">
        <v>45506.0</v>
      </c>
      <c r="Z84" s="32"/>
      <c r="AA84" s="72" t="s">
        <v>559</v>
      </c>
      <c r="AB84" s="32"/>
      <c r="AC84" s="32" t="s">
        <v>66</v>
      </c>
      <c r="AD84" s="26" t="s">
        <v>57</v>
      </c>
      <c r="AE84" s="25" t="s">
        <v>526</v>
      </c>
      <c r="AF84" s="44" t="s">
        <v>68</v>
      </c>
      <c r="AG84" s="34" t="s">
        <v>69</v>
      </c>
      <c r="AH84" s="35"/>
      <c r="AI84" s="63" t="s">
        <v>560</v>
      </c>
      <c r="AJ84" s="98" t="b">
        <v>0</v>
      </c>
      <c r="AK84" s="59"/>
      <c r="AL84" s="24"/>
      <c r="AM84" s="24"/>
      <c r="AN84" s="24"/>
    </row>
    <row r="85" ht="24.75" customHeight="1">
      <c r="A85" s="25">
        <v>2024.0</v>
      </c>
      <c r="B85" s="26">
        <v>8.0</v>
      </c>
      <c r="C85" s="25" t="s">
        <v>528</v>
      </c>
      <c r="D85" s="27">
        <v>2.02400081E8</v>
      </c>
      <c r="E85" s="27" t="s">
        <v>105</v>
      </c>
      <c r="F85" s="27" t="s">
        <v>154</v>
      </c>
      <c r="G85" s="30" t="s">
        <v>561</v>
      </c>
      <c r="H85" s="29" t="s">
        <v>57</v>
      </c>
      <c r="I85" s="27" t="s">
        <v>230</v>
      </c>
      <c r="J85" s="27" t="s">
        <v>90</v>
      </c>
      <c r="K85" s="26" t="s">
        <v>562</v>
      </c>
      <c r="L85" s="51" t="s">
        <v>59</v>
      </c>
      <c r="M85" s="51" t="s">
        <v>57</v>
      </c>
      <c r="N85" s="51" t="s">
        <v>61</v>
      </c>
      <c r="O85" s="27" t="s">
        <v>563</v>
      </c>
      <c r="P85" s="25" t="s">
        <v>57</v>
      </c>
      <c r="Q85" s="25" t="s">
        <v>564</v>
      </c>
      <c r="R85" s="25" t="s">
        <v>57</v>
      </c>
      <c r="S85" s="25" t="s">
        <v>57</v>
      </c>
      <c r="T85" s="26" t="s">
        <v>154</v>
      </c>
      <c r="U85" s="63" t="s">
        <v>64</v>
      </c>
      <c r="V85" s="26" t="s">
        <v>65</v>
      </c>
      <c r="W85" s="26" t="s">
        <v>78</v>
      </c>
      <c r="X85" s="63" t="s">
        <v>565</v>
      </c>
      <c r="Y85" s="100">
        <v>45506.0</v>
      </c>
      <c r="Z85" s="32"/>
      <c r="AA85" s="104" t="s">
        <v>566</v>
      </c>
      <c r="AB85" s="105" t="s">
        <v>567</v>
      </c>
      <c r="AC85" s="32" t="s">
        <v>66</v>
      </c>
      <c r="AD85" s="26" t="s">
        <v>57</v>
      </c>
      <c r="AE85" s="25" t="s">
        <v>568</v>
      </c>
      <c r="AF85" s="44" t="s">
        <v>68</v>
      </c>
      <c r="AG85" s="34" t="s">
        <v>69</v>
      </c>
      <c r="AH85" s="106" t="s">
        <v>234</v>
      </c>
      <c r="AI85" s="63" t="s">
        <v>569</v>
      </c>
      <c r="AJ85" s="98" t="b">
        <v>0</v>
      </c>
      <c r="AK85" s="59"/>
      <c r="AL85" s="24"/>
      <c r="AM85" s="24"/>
      <c r="AN85" s="24"/>
    </row>
    <row r="86" ht="24.75" customHeight="1">
      <c r="A86" s="25">
        <v>2024.0</v>
      </c>
      <c r="B86" s="26">
        <v>8.0</v>
      </c>
      <c r="C86" s="25" t="s">
        <v>528</v>
      </c>
      <c r="D86" s="27">
        <v>2.02400082E8</v>
      </c>
      <c r="E86" s="27" t="s">
        <v>132</v>
      </c>
      <c r="F86" s="27" t="s">
        <v>82</v>
      </c>
      <c r="G86" s="51" t="s">
        <v>570</v>
      </c>
      <c r="H86" s="29" t="s">
        <v>57</v>
      </c>
      <c r="I86" s="26" t="s">
        <v>145</v>
      </c>
      <c r="J86" s="27" t="s">
        <v>571</v>
      </c>
      <c r="K86" s="26" t="s">
        <v>562</v>
      </c>
      <c r="L86" s="51" t="s">
        <v>59</v>
      </c>
      <c r="M86" s="51" t="s">
        <v>184</v>
      </c>
      <c r="N86" s="51" t="s">
        <v>61</v>
      </c>
      <c r="O86" s="27" t="s">
        <v>572</v>
      </c>
      <c r="P86" s="25" t="s">
        <v>57</v>
      </c>
      <c r="Q86" s="27" t="s">
        <v>573</v>
      </c>
      <c r="R86" s="25" t="s">
        <v>57</v>
      </c>
      <c r="S86" s="25" t="s">
        <v>57</v>
      </c>
      <c r="T86" s="27" t="s">
        <v>82</v>
      </c>
      <c r="U86" s="63" t="s">
        <v>64</v>
      </c>
      <c r="V86" s="26" t="s">
        <v>65</v>
      </c>
      <c r="W86" s="26" t="s">
        <v>78</v>
      </c>
      <c r="X86" s="63" t="s">
        <v>574</v>
      </c>
      <c r="Y86" s="100">
        <v>45513.0</v>
      </c>
      <c r="Z86" s="80">
        <v>45541.0</v>
      </c>
      <c r="AA86" s="107" t="s">
        <v>575</v>
      </c>
      <c r="AB86" s="32"/>
      <c r="AC86" s="32" t="s">
        <v>66</v>
      </c>
      <c r="AD86" s="26" t="s">
        <v>57</v>
      </c>
      <c r="AE86" s="25" t="s">
        <v>576</v>
      </c>
      <c r="AF86" s="44" t="s">
        <v>68</v>
      </c>
      <c r="AG86" s="34" t="s">
        <v>69</v>
      </c>
      <c r="AH86" s="108"/>
      <c r="AI86" s="63"/>
      <c r="AJ86" s="109"/>
      <c r="AK86" s="110"/>
      <c r="AL86" s="24"/>
      <c r="AM86" s="24"/>
      <c r="AN86" s="24"/>
    </row>
    <row r="87" ht="24.75" customHeight="1">
      <c r="A87" s="25">
        <v>2024.0</v>
      </c>
      <c r="B87" s="26">
        <v>8.0</v>
      </c>
      <c r="C87" s="25" t="s">
        <v>528</v>
      </c>
      <c r="D87" s="27">
        <v>2.02400083E8</v>
      </c>
      <c r="E87" s="27" t="s">
        <v>132</v>
      </c>
      <c r="F87" s="27" t="s">
        <v>82</v>
      </c>
      <c r="G87" s="30" t="s">
        <v>577</v>
      </c>
      <c r="H87" s="29" t="s">
        <v>57</v>
      </c>
      <c r="I87" s="26" t="s">
        <v>271</v>
      </c>
      <c r="J87" s="27" t="s">
        <v>578</v>
      </c>
      <c r="K87" s="27" t="s">
        <v>58</v>
      </c>
      <c r="L87" s="51" t="s">
        <v>59</v>
      </c>
      <c r="M87" s="51" t="s">
        <v>57</v>
      </c>
      <c r="N87" s="51" t="s">
        <v>61</v>
      </c>
      <c r="O87" s="101" t="s">
        <v>546</v>
      </c>
      <c r="P87" s="27">
        <v>1.026304967E9</v>
      </c>
      <c r="Q87" s="25" t="s">
        <v>547</v>
      </c>
      <c r="R87" s="25" t="s">
        <v>57</v>
      </c>
      <c r="S87" s="101">
        <v>3.195554926E9</v>
      </c>
      <c r="T87" s="27" t="s">
        <v>82</v>
      </c>
      <c r="U87" s="102" t="s">
        <v>129</v>
      </c>
      <c r="V87" s="27" t="s">
        <v>204</v>
      </c>
      <c r="W87" s="27" t="s">
        <v>204</v>
      </c>
      <c r="X87" s="51" t="s">
        <v>579</v>
      </c>
      <c r="Y87" s="100">
        <v>45513.0</v>
      </c>
      <c r="Z87" s="32"/>
      <c r="AA87" s="32"/>
      <c r="AB87" s="32"/>
      <c r="AC87" s="32" t="s">
        <v>66</v>
      </c>
      <c r="AD87" s="26" t="s">
        <v>57</v>
      </c>
      <c r="AE87" s="25" t="s">
        <v>550</v>
      </c>
      <c r="AF87" s="44" t="s">
        <v>68</v>
      </c>
      <c r="AG87" s="34" t="s">
        <v>69</v>
      </c>
      <c r="AH87" s="35"/>
      <c r="AI87" s="111" t="s">
        <v>580</v>
      </c>
      <c r="AJ87" s="109"/>
      <c r="AK87" s="110"/>
      <c r="AL87" s="24"/>
      <c r="AM87" s="24"/>
      <c r="AN87" s="24"/>
    </row>
    <row r="88" ht="24.75" customHeight="1">
      <c r="A88" s="25">
        <v>2024.0</v>
      </c>
      <c r="B88" s="26">
        <v>8.0</v>
      </c>
      <c r="C88" s="25" t="s">
        <v>528</v>
      </c>
      <c r="D88" s="27">
        <v>2.02400084E8</v>
      </c>
      <c r="E88" s="26" t="s">
        <v>2</v>
      </c>
      <c r="F88" s="51" t="s">
        <v>381</v>
      </c>
      <c r="G88" s="42" t="s">
        <v>581</v>
      </c>
      <c r="H88" s="29" t="s">
        <v>57</v>
      </c>
      <c r="I88" s="51" t="s">
        <v>373</v>
      </c>
      <c r="J88" s="27"/>
      <c r="K88" s="27" t="s">
        <v>58</v>
      </c>
      <c r="L88" s="51" t="s">
        <v>59</v>
      </c>
      <c r="M88" s="51" t="s">
        <v>99</v>
      </c>
      <c r="N88" s="51" t="s">
        <v>61</v>
      </c>
      <c r="O88" s="25" t="s">
        <v>484</v>
      </c>
      <c r="P88" s="27">
        <v>4096540.0</v>
      </c>
      <c r="Q88" s="25" t="s">
        <v>485</v>
      </c>
      <c r="R88" s="25" t="s">
        <v>486</v>
      </c>
      <c r="S88" s="27">
        <v>3.133039438E9</v>
      </c>
      <c r="T88" s="26" t="s">
        <v>63</v>
      </c>
      <c r="U88" s="26" t="s">
        <v>64</v>
      </c>
      <c r="V88" s="26" t="s">
        <v>65</v>
      </c>
      <c r="W88" s="26" t="s">
        <v>78</v>
      </c>
      <c r="X88" s="63" t="s">
        <v>582</v>
      </c>
      <c r="Y88" s="100">
        <v>45532.0</v>
      </c>
      <c r="Z88" s="80">
        <v>45538.0</v>
      </c>
      <c r="AA88" s="49" t="s">
        <v>583</v>
      </c>
      <c r="AB88" s="32"/>
      <c r="AC88" s="32" t="s">
        <v>66</v>
      </c>
      <c r="AD88" s="26" t="s">
        <v>67</v>
      </c>
      <c r="AE88" s="34" t="s">
        <v>489</v>
      </c>
      <c r="AF88" s="44" t="s">
        <v>68</v>
      </c>
      <c r="AG88" s="34" t="s">
        <v>69</v>
      </c>
      <c r="AH88" s="112" t="s">
        <v>584</v>
      </c>
      <c r="AI88" s="63" t="s">
        <v>585</v>
      </c>
      <c r="AJ88" s="58" t="b">
        <v>0</v>
      </c>
      <c r="AK88" s="59"/>
      <c r="AL88" s="24"/>
      <c r="AM88" s="24"/>
      <c r="AN88" s="24"/>
    </row>
    <row r="89" ht="24.75" customHeight="1">
      <c r="A89" s="25">
        <v>2024.0</v>
      </c>
      <c r="B89" s="26">
        <v>8.0</v>
      </c>
      <c r="C89" s="25" t="s">
        <v>528</v>
      </c>
      <c r="D89" s="27">
        <v>2.02400085E8</v>
      </c>
      <c r="E89" s="26" t="s">
        <v>2</v>
      </c>
      <c r="F89" s="51" t="s">
        <v>381</v>
      </c>
      <c r="G89" s="42" t="s">
        <v>586</v>
      </c>
      <c r="H89" s="29" t="s">
        <v>57</v>
      </c>
      <c r="I89" s="51" t="s">
        <v>373</v>
      </c>
      <c r="J89" s="27"/>
      <c r="K89" s="27" t="s">
        <v>58</v>
      </c>
      <c r="L89" s="51" t="s">
        <v>59</v>
      </c>
      <c r="M89" s="51" t="s">
        <v>60</v>
      </c>
      <c r="N89" s="51" t="s">
        <v>61</v>
      </c>
      <c r="O89" s="27" t="s">
        <v>587</v>
      </c>
      <c r="P89" s="27">
        <v>1.9451049E7</v>
      </c>
      <c r="Q89" s="25" t="s">
        <v>57</v>
      </c>
      <c r="R89" s="51" t="s">
        <v>588</v>
      </c>
      <c r="S89" s="27" t="s">
        <v>589</v>
      </c>
      <c r="T89" s="26" t="s">
        <v>63</v>
      </c>
      <c r="U89" s="63" t="s">
        <v>64</v>
      </c>
      <c r="V89" s="26" t="s">
        <v>65</v>
      </c>
      <c r="W89" s="26" t="s">
        <v>78</v>
      </c>
      <c r="X89" s="51"/>
      <c r="Y89" s="100">
        <v>45532.0</v>
      </c>
      <c r="Z89" s="80">
        <v>45548.0</v>
      </c>
      <c r="AA89" s="113" t="s">
        <v>590</v>
      </c>
      <c r="AB89" s="32"/>
      <c r="AC89" s="26" t="s">
        <v>66</v>
      </c>
      <c r="AD89" s="26" t="s">
        <v>57</v>
      </c>
      <c r="AE89" s="27"/>
      <c r="AF89" s="44" t="s">
        <v>68</v>
      </c>
      <c r="AG89" s="34" t="s">
        <v>69</v>
      </c>
      <c r="AH89" s="112" t="s">
        <v>584</v>
      </c>
      <c r="AI89" s="63" t="s">
        <v>591</v>
      </c>
      <c r="AJ89" s="58" t="b">
        <v>1</v>
      </c>
      <c r="AK89" s="59"/>
      <c r="AL89" s="24"/>
      <c r="AM89" s="24"/>
      <c r="AN89" s="24"/>
    </row>
    <row r="90" ht="24.75" customHeight="1">
      <c r="A90" s="26">
        <v>2024.0</v>
      </c>
      <c r="B90" s="26">
        <v>8.0</v>
      </c>
      <c r="C90" s="25" t="s">
        <v>528</v>
      </c>
      <c r="D90" s="27">
        <v>2.02400086E8</v>
      </c>
      <c r="E90" s="63" t="s">
        <v>132</v>
      </c>
      <c r="F90" s="114" t="s">
        <v>133</v>
      </c>
      <c r="G90" s="63" t="s">
        <v>592</v>
      </c>
      <c r="H90" s="29" t="s">
        <v>57</v>
      </c>
      <c r="I90" s="63" t="s">
        <v>135</v>
      </c>
      <c r="J90" s="26" t="s">
        <v>90</v>
      </c>
      <c r="K90" s="26" t="s">
        <v>58</v>
      </c>
      <c r="L90" s="63" t="s">
        <v>59</v>
      </c>
      <c r="M90" s="63" t="s">
        <v>136</v>
      </c>
      <c r="N90" s="63" t="s">
        <v>61</v>
      </c>
      <c r="O90" s="26" t="s">
        <v>137</v>
      </c>
      <c r="P90" s="25" t="s">
        <v>57</v>
      </c>
      <c r="Q90" s="49" t="s">
        <v>138</v>
      </c>
      <c r="R90" s="25" t="s">
        <v>57</v>
      </c>
      <c r="S90" s="25" t="s">
        <v>57</v>
      </c>
      <c r="T90" s="26" t="s">
        <v>63</v>
      </c>
      <c r="U90" s="63" t="s">
        <v>129</v>
      </c>
      <c r="V90" s="26" t="s">
        <v>65</v>
      </c>
      <c r="W90" s="29" t="s">
        <v>78</v>
      </c>
      <c r="X90" s="63" t="s">
        <v>593</v>
      </c>
      <c r="Y90" s="115">
        <v>45532.0</v>
      </c>
      <c r="Z90" s="80">
        <v>45544.0</v>
      </c>
      <c r="AA90" s="32"/>
      <c r="AB90" s="32"/>
      <c r="AC90" s="26" t="s">
        <v>66</v>
      </c>
      <c r="AD90" s="26" t="s">
        <v>57</v>
      </c>
      <c r="AE90" s="49" t="s">
        <v>142</v>
      </c>
      <c r="AF90" s="44" t="s">
        <v>68</v>
      </c>
      <c r="AG90" s="34" t="s">
        <v>69</v>
      </c>
      <c r="AH90" s="35"/>
      <c r="AI90" s="116" t="s">
        <v>594</v>
      </c>
      <c r="AJ90" s="98" t="b">
        <v>0</v>
      </c>
      <c r="AK90" s="59"/>
      <c r="AL90" s="24"/>
      <c r="AM90" s="24"/>
      <c r="AN90" s="24"/>
    </row>
    <row r="91" ht="24.75" customHeight="1">
      <c r="A91" s="26">
        <v>2024.0</v>
      </c>
      <c r="B91" s="26">
        <v>8.0</v>
      </c>
      <c r="C91" s="25" t="s">
        <v>528</v>
      </c>
      <c r="D91" s="26">
        <v>2.02400087E8</v>
      </c>
      <c r="E91" s="63" t="s">
        <v>71</v>
      </c>
      <c r="F91" s="114" t="s">
        <v>154</v>
      </c>
      <c r="G91" s="42" t="s">
        <v>595</v>
      </c>
      <c r="H91" s="29" t="s">
        <v>57</v>
      </c>
      <c r="I91" s="63" t="s">
        <v>230</v>
      </c>
      <c r="J91" s="26" t="s">
        <v>596</v>
      </c>
      <c r="K91" s="26" t="s">
        <v>58</v>
      </c>
      <c r="L91" s="63" t="s">
        <v>59</v>
      </c>
      <c r="M91" s="63" t="s">
        <v>136</v>
      </c>
      <c r="N91" s="63" t="s">
        <v>91</v>
      </c>
      <c r="O91" s="29" t="s">
        <v>443</v>
      </c>
      <c r="P91" s="25" t="s">
        <v>57</v>
      </c>
      <c r="Q91" s="29" t="s">
        <v>597</v>
      </c>
      <c r="R91" s="25" t="s">
        <v>57</v>
      </c>
      <c r="S91" s="49">
        <v>3.112972548E9</v>
      </c>
      <c r="T91" s="26" t="s">
        <v>154</v>
      </c>
      <c r="U91" s="49" t="s">
        <v>64</v>
      </c>
      <c r="V91" s="26" t="s">
        <v>65</v>
      </c>
      <c r="W91" s="29" t="s">
        <v>78</v>
      </c>
      <c r="X91" s="51"/>
      <c r="Y91" s="115">
        <v>45532.0</v>
      </c>
      <c r="Z91" s="32"/>
      <c r="AA91" s="117" t="s">
        <v>598</v>
      </c>
      <c r="AB91" s="118" t="s">
        <v>567</v>
      </c>
      <c r="AC91" s="26" t="s">
        <v>66</v>
      </c>
      <c r="AD91" s="26" t="s">
        <v>57</v>
      </c>
      <c r="AE91" s="41" t="s">
        <v>599</v>
      </c>
      <c r="AF91" s="44" t="s">
        <v>68</v>
      </c>
      <c r="AG91" s="34" t="s">
        <v>69</v>
      </c>
      <c r="AH91" s="112" t="s">
        <v>234</v>
      </c>
      <c r="AI91" s="50"/>
      <c r="AJ91" s="98" t="b">
        <v>0</v>
      </c>
      <c r="AK91" s="59"/>
      <c r="AL91" s="24"/>
      <c r="AM91" s="24"/>
      <c r="AN91" s="24"/>
    </row>
    <row r="92" ht="24.75" customHeight="1">
      <c r="A92" s="26">
        <v>2024.0</v>
      </c>
      <c r="B92" s="26">
        <v>8.0</v>
      </c>
      <c r="C92" s="25" t="s">
        <v>528</v>
      </c>
      <c r="D92" s="26">
        <v>2.02400088E8</v>
      </c>
      <c r="E92" s="26" t="s">
        <v>71</v>
      </c>
      <c r="F92" s="29" t="s">
        <v>82</v>
      </c>
      <c r="G92" s="42" t="s">
        <v>600</v>
      </c>
      <c r="H92" s="29" t="s">
        <v>57</v>
      </c>
      <c r="I92" s="26" t="s">
        <v>84</v>
      </c>
      <c r="J92" s="41" t="s">
        <v>601</v>
      </c>
      <c r="K92" s="26" t="s">
        <v>58</v>
      </c>
      <c r="L92" s="26" t="s">
        <v>59</v>
      </c>
      <c r="M92" s="26" t="s">
        <v>60</v>
      </c>
      <c r="N92" s="41" t="s">
        <v>61</v>
      </c>
      <c r="O92" s="41" t="s">
        <v>195</v>
      </c>
      <c r="P92" s="25" t="s">
        <v>57</v>
      </c>
      <c r="Q92" s="41" t="s">
        <v>602</v>
      </c>
      <c r="R92" s="25" t="s">
        <v>57</v>
      </c>
      <c r="S92" s="26" t="s">
        <v>603</v>
      </c>
      <c r="T92" s="26" t="s">
        <v>82</v>
      </c>
      <c r="U92" s="26" t="s">
        <v>64</v>
      </c>
      <c r="V92" s="26" t="s">
        <v>65</v>
      </c>
      <c r="W92" s="26" t="s">
        <v>204</v>
      </c>
      <c r="X92" s="119" t="s">
        <v>604</v>
      </c>
      <c r="Y92" s="115">
        <v>45534.0</v>
      </c>
      <c r="Z92" s="32"/>
      <c r="AA92" s="120" t="s">
        <v>605</v>
      </c>
      <c r="AB92" s="32"/>
      <c r="AC92" s="26" t="s">
        <v>66</v>
      </c>
      <c r="AD92" s="26" t="s">
        <v>57</v>
      </c>
      <c r="AE92" s="41" t="s">
        <v>606</v>
      </c>
      <c r="AF92" s="44" t="s">
        <v>68</v>
      </c>
      <c r="AG92" s="34" t="s">
        <v>69</v>
      </c>
      <c r="AH92" s="35"/>
      <c r="AI92" s="36"/>
      <c r="AJ92" s="98" t="b">
        <v>0</v>
      </c>
      <c r="AK92" s="59"/>
      <c r="AL92" s="24"/>
      <c r="AM92" s="24"/>
      <c r="AN92" s="24"/>
    </row>
    <row r="93" ht="24.75" customHeight="1">
      <c r="A93" s="26">
        <v>2024.0</v>
      </c>
      <c r="B93" s="26">
        <v>8.0</v>
      </c>
      <c r="C93" s="25" t="s">
        <v>528</v>
      </c>
      <c r="D93" s="27">
        <v>2.02400089E8</v>
      </c>
      <c r="E93" s="26" t="s">
        <v>71</v>
      </c>
      <c r="F93" s="29" t="s">
        <v>82</v>
      </c>
      <c r="G93" s="42" t="s">
        <v>607</v>
      </c>
      <c r="H93" s="29" t="s">
        <v>57</v>
      </c>
      <c r="I93" s="26" t="s">
        <v>84</v>
      </c>
      <c r="J93" s="41" t="s">
        <v>608</v>
      </c>
      <c r="K93" s="26" t="s">
        <v>58</v>
      </c>
      <c r="L93" s="26" t="s">
        <v>59</v>
      </c>
      <c r="M93" s="26" t="s">
        <v>60</v>
      </c>
      <c r="N93" s="41" t="s">
        <v>61</v>
      </c>
      <c r="O93" s="41" t="s">
        <v>261</v>
      </c>
      <c r="P93" s="25" t="s">
        <v>57</v>
      </c>
      <c r="Q93" s="121" t="s">
        <v>609</v>
      </c>
      <c r="R93" s="25" t="s">
        <v>57</v>
      </c>
      <c r="S93" s="25" t="s">
        <v>57</v>
      </c>
      <c r="T93" s="26" t="s">
        <v>82</v>
      </c>
      <c r="U93" s="26" t="s">
        <v>64</v>
      </c>
      <c r="V93" s="26" t="s">
        <v>65</v>
      </c>
      <c r="W93" s="26" t="s">
        <v>204</v>
      </c>
      <c r="X93" s="122" t="s">
        <v>610</v>
      </c>
      <c r="Y93" s="115">
        <v>45537.0</v>
      </c>
      <c r="Z93" s="32"/>
      <c r="AA93" s="123" t="s">
        <v>611</v>
      </c>
      <c r="AB93" s="32"/>
      <c r="AC93" s="26" t="s">
        <v>66</v>
      </c>
      <c r="AD93" s="26" t="s">
        <v>57</v>
      </c>
      <c r="AE93" s="124" t="s">
        <v>612</v>
      </c>
      <c r="AF93" s="44" t="s">
        <v>68</v>
      </c>
      <c r="AG93" s="34" t="s">
        <v>69</v>
      </c>
      <c r="AH93" s="35"/>
      <c r="AI93" s="57" t="s">
        <v>613</v>
      </c>
      <c r="AJ93" s="58" t="b">
        <v>0</v>
      </c>
      <c r="AK93" s="59"/>
      <c r="AL93" s="24"/>
      <c r="AM93" s="24"/>
      <c r="AN93" s="24"/>
    </row>
    <row r="94" ht="24.75" customHeight="1">
      <c r="A94" s="26">
        <v>2024.0</v>
      </c>
      <c r="B94" s="26">
        <v>8.0</v>
      </c>
      <c r="C94" s="41" t="s">
        <v>528</v>
      </c>
      <c r="D94" s="26">
        <v>2.0240009E8</v>
      </c>
      <c r="E94" s="26" t="s">
        <v>2</v>
      </c>
      <c r="F94" s="29" t="s">
        <v>614</v>
      </c>
      <c r="G94" s="42" t="s">
        <v>615</v>
      </c>
      <c r="H94" s="29" t="s">
        <v>57</v>
      </c>
      <c r="I94" s="26" t="s">
        <v>170</v>
      </c>
      <c r="J94" s="41" t="s">
        <v>616</v>
      </c>
      <c r="K94" s="26" t="s">
        <v>58</v>
      </c>
      <c r="L94" s="26" t="s">
        <v>59</v>
      </c>
      <c r="M94" s="26" t="s">
        <v>60</v>
      </c>
      <c r="N94" s="41" t="s">
        <v>61</v>
      </c>
      <c r="O94" s="41" t="s">
        <v>617</v>
      </c>
      <c r="P94" s="25" t="s">
        <v>57</v>
      </c>
      <c r="Q94" s="41" t="s">
        <v>618</v>
      </c>
      <c r="R94" s="25" t="s">
        <v>57</v>
      </c>
      <c r="S94" s="26">
        <v>3.20201265E9</v>
      </c>
      <c r="T94" s="26" t="s">
        <v>63</v>
      </c>
      <c r="U94" s="26" t="s">
        <v>64</v>
      </c>
      <c r="V94" s="26" t="s">
        <v>65</v>
      </c>
      <c r="W94" s="26" t="s">
        <v>78</v>
      </c>
      <c r="X94" s="51"/>
      <c r="Y94" s="115">
        <v>45534.0</v>
      </c>
      <c r="Z94" s="26"/>
      <c r="AA94" s="120" t="s">
        <v>619</v>
      </c>
      <c r="AB94" s="32"/>
      <c r="AC94" s="26" t="s">
        <v>66</v>
      </c>
      <c r="AD94" s="26" t="s">
        <v>57</v>
      </c>
      <c r="AE94" s="41" t="s">
        <v>620</v>
      </c>
      <c r="AF94" s="44" t="s">
        <v>68</v>
      </c>
      <c r="AG94" s="34" t="s">
        <v>69</v>
      </c>
      <c r="AH94" s="106" t="s">
        <v>621</v>
      </c>
      <c r="AI94" s="36"/>
      <c r="AJ94" s="98" t="b">
        <v>0</v>
      </c>
      <c r="AK94" s="59"/>
      <c r="AL94" s="24"/>
      <c r="AM94" s="24"/>
      <c r="AN94" s="24"/>
    </row>
    <row r="95" ht="24.75" customHeight="1">
      <c r="A95" s="26">
        <v>2024.0</v>
      </c>
      <c r="B95" s="26">
        <v>8.0</v>
      </c>
      <c r="C95" s="41" t="s">
        <v>528</v>
      </c>
      <c r="D95" s="26">
        <v>2.02400091E8</v>
      </c>
      <c r="E95" s="26" t="s">
        <v>239</v>
      </c>
      <c r="F95" s="29" t="s">
        <v>82</v>
      </c>
      <c r="G95" s="42" t="s">
        <v>622</v>
      </c>
      <c r="H95" s="26"/>
      <c r="I95" s="26" t="s">
        <v>271</v>
      </c>
      <c r="J95" s="41"/>
      <c r="K95" s="26" t="s">
        <v>58</v>
      </c>
      <c r="L95" s="26" t="s">
        <v>59</v>
      </c>
      <c r="M95" s="26" t="s">
        <v>57</v>
      </c>
      <c r="N95" s="41" t="s">
        <v>61</v>
      </c>
      <c r="O95" s="41"/>
      <c r="P95" s="25" t="s">
        <v>57</v>
      </c>
      <c r="Q95" s="25" t="s">
        <v>57</v>
      </c>
      <c r="R95" s="25" t="s">
        <v>57</v>
      </c>
      <c r="S95" s="25" t="s">
        <v>57</v>
      </c>
      <c r="T95" s="26" t="s">
        <v>82</v>
      </c>
      <c r="U95" s="27"/>
      <c r="V95" s="26" t="s">
        <v>65</v>
      </c>
      <c r="W95" s="26" t="s">
        <v>204</v>
      </c>
      <c r="X95" s="63" t="s">
        <v>623</v>
      </c>
      <c r="Y95" s="115">
        <v>45534.0</v>
      </c>
      <c r="Z95" s="32"/>
      <c r="AA95" s="120"/>
      <c r="AB95" s="32"/>
      <c r="AC95" s="26" t="s">
        <v>66</v>
      </c>
      <c r="AD95" s="26" t="s">
        <v>57</v>
      </c>
      <c r="AE95" s="41"/>
      <c r="AF95" s="44" t="s">
        <v>68</v>
      </c>
      <c r="AG95" s="34" t="s">
        <v>69</v>
      </c>
      <c r="AH95" s="35"/>
      <c r="AI95" s="36"/>
      <c r="AJ95" s="98" t="b">
        <v>0</v>
      </c>
      <c r="AK95" s="59"/>
      <c r="AL95" s="24"/>
      <c r="AM95" s="24"/>
      <c r="AN95" s="24"/>
    </row>
    <row r="96" ht="24.75" customHeight="1">
      <c r="A96" s="26">
        <v>2024.0</v>
      </c>
      <c r="B96" s="26">
        <v>8.0</v>
      </c>
      <c r="C96" s="41" t="s">
        <v>528</v>
      </c>
      <c r="D96" s="27">
        <v>2.02400092E8</v>
      </c>
      <c r="E96" s="26" t="s">
        <v>239</v>
      </c>
      <c r="F96" s="29" t="s">
        <v>82</v>
      </c>
      <c r="G96" s="42" t="s">
        <v>624</v>
      </c>
      <c r="H96" s="26"/>
      <c r="I96" s="26" t="s">
        <v>84</v>
      </c>
      <c r="J96" s="41"/>
      <c r="K96" s="26" t="s">
        <v>58</v>
      </c>
      <c r="L96" s="26" t="s">
        <v>59</v>
      </c>
      <c r="M96" s="26" t="s">
        <v>57</v>
      </c>
      <c r="N96" s="41" t="s">
        <v>61</v>
      </c>
      <c r="O96" s="41"/>
      <c r="P96" s="25" t="s">
        <v>57</v>
      </c>
      <c r="Q96" s="25" t="s">
        <v>57</v>
      </c>
      <c r="R96" s="25" t="s">
        <v>57</v>
      </c>
      <c r="S96" s="25" t="s">
        <v>57</v>
      </c>
      <c r="T96" s="26" t="s">
        <v>82</v>
      </c>
      <c r="U96" s="27"/>
      <c r="V96" s="26" t="s">
        <v>65</v>
      </c>
      <c r="W96" s="26" t="s">
        <v>204</v>
      </c>
      <c r="X96" s="51"/>
      <c r="Y96" s="115">
        <v>45534.0</v>
      </c>
      <c r="Z96" s="32"/>
      <c r="AA96" s="120"/>
      <c r="AB96" s="32"/>
      <c r="AC96" s="26" t="s">
        <v>66</v>
      </c>
      <c r="AD96" s="26" t="s">
        <v>57</v>
      </c>
      <c r="AE96" s="41"/>
      <c r="AF96" s="44" t="s">
        <v>68</v>
      </c>
      <c r="AG96" s="34" t="s">
        <v>69</v>
      </c>
      <c r="AH96" s="35"/>
      <c r="AI96" s="36"/>
      <c r="AJ96" s="98" t="b">
        <v>0</v>
      </c>
      <c r="AK96" s="59"/>
      <c r="AL96" s="24"/>
      <c r="AM96" s="24"/>
      <c r="AN96" s="24"/>
    </row>
    <row r="97" ht="24.75" customHeight="1">
      <c r="A97" s="26">
        <v>2024.0</v>
      </c>
      <c r="B97" s="26">
        <v>9.0</v>
      </c>
      <c r="C97" s="41" t="s">
        <v>625</v>
      </c>
      <c r="D97" s="26">
        <v>2.02400093E8</v>
      </c>
      <c r="E97" s="26" t="s">
        <v>2</v>
      </c>
      <c r="F97" s="29" t="s">
        <v>180</v>
      </c>
      <c r="G97" s="42" t="s">
        <v>497</v>
      </c>
      <c r="H97" s="26"/>
      <c r="I97" s="26" t="s">
        <v>84</v>
      </c>
      <c r="J97" s="41" t="s">
        <v>626</v>
      </c>
      <c r="K97" s="26" t="s">
        <v>58</v>
      </c>
      <c r="L97" s="26" t="s">
        <v>59</v>
      </c>
      <c r="M97" s="26" t="s">
        <v>60</v>
      </c>
      <c r="N97" s="41" t="s">
        <v>61</v>
      </c>
      <c r="O97" s="41" t="s">
        <v>627</v>
      </c>
      <c r="P97" s="26">
        <v>1.9226837E7</v>
      </c>
      <c r="Q97" s="41" t="s">
        <v>628</v>
      </c>
      <c r="R97" s="25" t="s">
        <v>57</v>
      </c>
      <c r="S97" s="26">
        <v>3.118755624E9</v>
      </c>
      <c r="T97" s="26" t="s">
        <v>63</v>
      </c>
      <c r="U97" s="26" t="s">
        <v>64</v>
      </c>
      <c r="V97" s="26" t="s">
        <v>65</v>
      </c>
      <c r="W97" s="26" t="s">
        <v>78</v>
      </c>
      <c r="X97" s="63" t="s">
        <v>629</v>
      </c>
      <c r="Y97" s="115">
        <v>45537.0</v>
      </c>
      <c r="Z97" s="32"/>
      <c r="AA97" s="125" t="s">
        <v>630</v>
      </c>
      <c r="AB97" s="32"/>
      <c r="AC97" s="26" t="s">
        <v>66</v>
      </c>
      <c r="AD97" s="26" t="s">
        <v>57</v>
      </c>
      <c r="AE97" s="126" t="s">
        <v>631</v>
      </c>
      <c r="AF97" s="44" t="s">
        <v>68</v>
      </c>
      <c r="AG97" s="34" t="s">
        <v>69</v>
      </c>
      <c r="AH97" s="35"/>
      <c r="AI97" s="57" t="s">
        <v>632</v>
      </c>
      <c r="AJ97" s="98" t="b">
        <v>0</v>
      </c>
      <c r="AK97" s="59"/>
      <c r="AL97" s="24"/>
      <c r="AM97" s="24"/>
      <c r="AN97" s="24"/>
    </row>
    <row r="98" ht="24.75" customHeight="1">
      <c r="A98" s="26">
        <v>2024.0</v>
      </c>
      <c r="B98" s="26">
        <v>9.0</v>
      </c>
      <c r="C98" s="41" t="s">
        <v>625</v>
      </c>
      <c r="D98" s="26">
        <v>2.02400094E8</v>
      </c>
      <c r="E98" s="26" t="s">
        <v>71</v>
      </c>
      <c r="F98" s="29" t="s">
        <v>82</v>
      </c>
      <c r="G98" s="57" t="s">
        <v>633</v>
      </c>
      <c r="H98" s="26"/>
      <c r="I98" s="26" t="s">
        <v>84</v>
      </c>
      <c r="J98" s="41" t="s">
        <v>634</v>
      </c>
      <c r="K98" s="26" t="s">
        <v>58</v>
      </c>
      <c r="L98" s="26" t="s">
        <v>59</v>
      </c>
      <c r="M98" s="26" t="s">
        <v>99</v>
      </c>
      <c r="N98" s="41" t="s">
        <v>91</v>
      </c>
      <c r="O98" s="41" t="s">
        <v>100</v>
      </c>
      <c r="P98" s="26">
        <v>6742994.0</v>
      </c>
      <c r="Q98" s="116" t="s">
        <v>101</v>
      </c>
      <c r="R98" s="25" t="s">
        <v>57</v>
      </c>
      <c r="S98" s="45">
        <v>3.208170206E9</v>
      </c>
      <c r="T98" s="26" t="s">
        <v>82</v>
      </c>
      <c r="U98" s="26" t="s">
        <v>64</v>
      </c>
      <c r="V98" s="26" t="s">
        <v>65</v>
      </c>
      <c r="W98" s="26" t="s">
        <v>204</v>
      </c>
      <c r="X98" s="51"/>
      <c r="Y98" s="115">
        <v>45539.0</v>
      </c>
      <c r="Z98" s="32"/>
      <c r="AA98" s="92"/>
      <c r="AB98" s="32"/>
      <c r="AC98" s="26" t="s">
        <v>66</v>
      </c>
      <c r="AD98" s="26" t="s">
        <v>57</v>
      </c>
      <c r="AE98" s="127" t="s">
        <v>635</v>
      </c>
      <c r="AF98" s="44" t="s">
        <v>68</v>
      </c>
      <c r="AG98" s="34" t="s">
        <v>69</v>
      </c>
      <c r="AH98" s="35"/>
      <c r="AI98" s="36"/>
      <c r="AJ98" s="98" t="b">
        <v>0</v>
      </c>
      <c r="AK98" s="59"/>
      <c r="AL98" s="24"/>
      <c r="AM98" s="24"/>
      <c r="AN98" s="24"/>
    </row>
    <row r="99" ht="24.75" customHeight="1">
      <c r="A99" s="26">
        <v>2024.0</v>
      </c>
      <c r="B99" s="26">
        <v>9.0</v>
      </c>
      <c r="C99" s="41" t="s">
        <v>625</v>
      </c>
      <c r="D99" s="27">
        <v>2.02400095E8</v>
      </c>
      <c r="E99" s="26" t="s">
        <v>2</v>
      </c>
      <c r="F99" s="29" t="s">
        <v>72</v>
      </c>
      <c r="G99" s="42" t="s">
        <v>636</v>
      </c>
      <c r="H99" s="26"/>
      <c r="I99" s="26" t="s">
        <v>74</v>
      </c>
      <c r="J99" s="41" t="s">
        <v>75</v>
      </c>
      <c r="K99" s="26" t="s">
        <v>58</v>
      </c>
      <c r="L99" s="26" t="s">
        <v>59</v>
      </c>
      <c r="M99" s="26" t="s">
        <v>57</v>
      </c>
      <c r="N99" s="41" t="s">
        <v>61</v>
      </c>
      <c r="O99" s="41" t="s">
        <v>637</v>
      </c>
      <c r="P99" s="25" t="s">
        <v>57</v>
      </c>
      <c r="Q99" s="25" t="s">
        <v>77</v>
      </c>
      <c r="R99" s="25" t="s">
        <v>57</v>
      </c>
      <c r="S99" s="26">
        <v>3.014518096E9</v>
      </c>
      <c r="T99" s="26" t="s">
        <v>63</v>
      </c>
      <c r="U99" s="26" t="s">
        <v>129</v>
      </c>
      <c r="V99" s="26" t="s">
        <v>65</v>
      </c>
      <c r="W99" s="26" t="s">
        <v>78</v>
      </c>
      <c r="X99" s="63"/>
      <c r="Y99" s="115">
        <v>45537.0</v>
      </c>
      <c r="Z99" s="32"/>
      <c r="AA99" s="128" t="s">
        <v>638</v>
      </c>
      <c r="AB99" s="92" t="s">
        <v>639</v>
      </c>
      <c r="AC99" s="26" t="s">
        <v>66</v>
      </c>
      <c r="AD99" s="26" t="s">
        <v>57</v>
      </c>
      <c r="AE99" s="25" t="s">
        <v>81</v>
      </c>
      <c r="AF99" s="44" t="s">
        <v>68</v>
      </c>
      <c r="AG99" s="34" t="s">
        <v>69</v>
      </c>
      <c r="AH99" s="129" t="s">
        <v>640</v>
      </c>
      <c r="AI99" s="36"/>
      <c r="AJ99" s="98" t="b">
        <v>0</v>
      </c>
      <c r="AK99" s="59"/>
      <c r="AL99" s="24"/>
      <c r="AM99" s="24"/>
      <c r="AN99" s="24"/>
    </row>
    <row r="100" ht="24.75" customHeight="1">
      <c r="A100" s="84">
        <v>2024.0</v>
      </c>
      <c r="B100" s="84">
        <v>9.0</v>
      </c>
      <c r="C100" s="75" t="s">
        <v>625</v>
      </c>
      <c r="D100" s="84">
        <v>2.02400096E8</v>
      </c>
      <c r="E100" s="84" t="s">
        <v>132</v>
      </c>
      <c r="F100" s="130" t="s">
        <v>82</v>
      </c>
      <c r="G100" s="57" t="s">
        <v>641</v>
      </c>
      <c r="H100" s="84"/>
      <c r="I100" s="84" t="s">
        <v>84</v>
      </c>
      <c r="J100" s="75" t="s">
        <v>538</v>
      </c>
      <c r="K100" s="84" t="s">
        <v>58</v>
      </c>
      <c r="L100" s="84" t="s">
        <v>59</v>
      </c>
      <c r="M100" s="84" t="s">
        <v>99</v>
      </c>
      <c r="N100" s="75" t="s">
        <v>61</v>
      </c>
      <c r="O100" s="131" t="s">
        <v>642</v>
      </c>
      <c r="P100" s="44" t="s">
        <v>57</v>
      </c>
      <c r="Q100" s="75" t="s">
        <v>540</v>
      </c>
      <c r="R100" s="44" t="s">
        <v>57</v>
      </c>
      <c r="S100" s="75">
        <v>3.134431741E9</v>
      </c>
      <c r="T100" s="84" t="s">
        <v>82</v>
      </c>
      <c r="U100" s="84" t="s">
        <v>64</v>
      </c>
      <c r="V100" s="84" t="s">
        <v>65</v>
      </c>
      <c r="W100" s="84" t="s">
        <v>78</v>
      </c>
      <c r="X100" s="132"/>
      <c r="Y100" s="133">
        <v>45538.0</v>
      </c>
      <c r="Z100" s="47"/>
      <c r="AA100" s="134"/>
      <c r="AB100" s="135"/>
      <c r="AC100" s="84" t="s">
        <v>66</v>
      </c>
      <c r="AD100" s="84" t="s">
        <v>57</v>
      </c>
      <c r="AE100" s="120" t="s">
        <v>643</v>
      </c>
      <c r="AF100" s="44" t="s">
        <v>68</v>
      </c>
      <c r="AG100" s="33" t="s">
        <v>69</v>
      </c>
      <c r="AH100" s="136"/>
      <c r="AI100" s="57" t="s">
        <v>644</v>
      </c>
      <c r="AJ100" s="137" t="b">
        <v>0</v>
      </c>
      <c r="AK100" s="138"/>
      <c r="AL100" s="139"/>
      <c r="AM100" s="139"/>
      <c r="AN100" s="139"/>
    </row>
    <row r="101" ht="24.75" customHeight="1">
      <c r="A101" s="26">
        <v>2024.0</v>
      </c>
      <c r="B101" s="26">
        <v>9.0</v>
      </c>
      <c r="C101" s="41" t="s">
        <v>625</v>
      </c>
      <c r="D101" s="26">
        <v>2.02400097E8</v>
      </c>
      <c r="E101" s="26" t="s">
        <v>239</v>
      </c>
      <c r="F101" s="29" t="s">
        <v>154</v>
      </c>
      <c r="G101" s="42" t="s">
        <v>645</v>
      </c>
      <c r="H101" s="26"/>
      <c r="I101" s="26" t="s">
        <v>230</v>
      </c>
      <c r="J101" s="41" t="s">
        <v>344</v>
      </c>
      <c r="K101" s="26" t="s">
        <v>58</v>
      </c>
      <c r="L101" s="26" t="s">
        <v>59</v>
      </c>
      <c r="M101" s="26" t="s">
        <v>184</v>
      </c>
      <c r="N101" s="41" t="s">
        <v>61</v>
      </c>
      <c r="O101" s="41" t="s">
        <v>345</v>
      </c>
      <c r="P101" s="25" t="s">
        <v>57</v>
      </c>
      <c r="Q101" s="140" t="s">
        <v>646</v>
      </c>
      <c r="R101" s="25" t="s">
        <v>57</v>
      </c>
      <c r="S101" s="41">
        <v>3.004954221E9</v>
      </c>
      <c r="T101" s="26" t="s">
        <v>82</v>
      </c>
      <c r="U101" s="26" t="s">
        <v>64</v>
      </c>
      <c r="V101" s="26" t="s">
        <v>65</v>
      </c>
      <c r="W101" s="26" t="s">
        <v>78</v>
      </c>
      <c r="X101" s="51"/>
      <c r="Y101" s="115">
        <v>45539.0</v>
      </c>
      <c r="Z101" s="32"/>
      <c r="AA101" s="141" t="s">
        <v>647</v>
      </c>
      <c r="AB101" s="92"/>
      <c r="AC101" s="26" t="s">
        <v>66</v>
      </c>
      <c r="AD101" s="26" t="s">
        <v>57</v>
      </c>
      <c r="AE101" s="49" t="s">
        <v>648</v>
      </c>
      <c r="AF101" s="44" t="s">
        <v>68</v>
      </c>
      <c r="AG101" s="34" t="s">
        <v>69</v>
      </c>
      <c r="AH101" s="142" t="s">
        <v>649</v>
      </c>
      <c r="AI101" s="36"/>
      <c r="AJ101" s="98" t="b">
        <v>0</v>
      </c>
      <c r="AK101" s="59"/>
      <c r="AL101" s="24"/>
      <c r="AM101" s="24"/>
      <c r="AN101" s="24"/>
    </row>
    <row r="102" ht="24.75" customHeight="1">
      <c r="A102" s="26">
        <v>2024.0</v>
      </c>
      <c r="B102" s="26">
        <v>9.0</v>
      </c>
      <c r="C102" s="41" t="s">
        <v>625</v>
      </c>
      <c r="D102" s="26">
        <v>2.02400098E8</v>
      </c>
      <c r="E102" s="26" t="s">
        <v>71</v>
      </c>
      <c r="F102" s="29" t="s">
        <v>82</v>
      </c>
      <c r="G102" s="42" t="s">
        <v>650</v>
      </c>
      <c r="H102" s="26"/>
      <c r="I102" s="26" t="s">
        <v>202</v>
      </c>
      <c r="J102" s="41" t="s">
        <v>545</v>
      </c>
      <c r="K102" s="26" t="s">
        <v>58</v>
      </c>
      <c r="L102" s="26" t="s">
        <v>59</v>
      </c>
      <c r="M102" s="26" t="s">
        <v>57</v>
      </c>
      <c r="N102" s="41" t="s">
        <v>61</v>
      </c>
      <c r="O102" s="101" t="s">
        <v>546</v>
      </c>
      <c r="P102" s="27">
        <v>1.026304967E9</v>
      </c>
      <c r="Q102" s="25" t="s">
        <v>547</v>
      </c>
      <c r="R102" s="25" t="s">
        <v>57</v>
      </c>
      <c r="S102" s="101">
        <v>3.195554926E9</v>
      </c>
      <c r="T102" s="26" t="s">
        <v>82</v>
      </c>
      <c r="U102" s="26" t="s">
        <v>129</v>
      </c>
      <c r="V102" s="26" t="s">
        <v>65</v>
      </c>
      <c r="W102" s="26" t="s">
        <v>78</v>
      </c>
      <c r="X102" s="63" t="s">
        <v>651</v>
      </c>
      <c r="Y102" s="115">
        <v>45545.0</v>
      </c>
      <c r="Z102" s="32"/>
      <c r="AA102" s="143"/>
      <c r="AB102" s="92"/>
      <c r="AC102" s="26" t="s">
        <v>66</v>
      </c>
      <c r="AD102" s="26" t="s">
        <v>57</v>
      </c>
      <c r="AE102" s="25" t="s">
        <v>550</v>
      </c>
      <c r="AF102" s="44" t="s">
        <v>68</v>
      </c>
      <c r="AG102" s="34" t="s">
        <v>69</v>
      </c>
      <c r="AH102" s="144"/>
      <c r="AI102" s="145" t="s">
        <v>652</v>
      </c>
      <c r="AJ102" s="98" t="b">
        <v>0</v>
      </c>
      <c r="AK102" s="59"/>
      <c r="AL102" s="24"/>
      <c r="AM102" s="24"/>
      <c r="AN102" s="24"/>
    </row>
    <row r="103" ht="24.75" customHeight="1">
      <c r="A103" s="26">
        <v>2024.0</v>
      </c>
      <c r="B103" s="26">
        <v>9.0</v>
      </c>
      <c r="C103" s="41" t="s">
        <v>625</v>
      </c>
      <c r="D103" s="26">
        <v>2.02400099E8</v>
      </c>
      <c r="E103" s="26" t="s">
        <v>105</v>
      </c>
      <c r="F103" s="29" t="s">
        <v>259</v>
      </c>
      <c r="G103" s="42" t="s">
        <v>653</v>
      </c>
      <c r="H103" s="26"/>
      <c r="I103" s="26" t="s">
        <v>654</v>
      </c>
      <c r="J103" s="41" t="s">
        <v>189</v>
      </c>
      <c r="K103" s="26" t="s">
        <v>58</v>
      </c>
      <c r="L103" s="26" t="s">
        <v>59</v>
      </c>
      <c r="M103" s="26" t="s">
        <v>57</v>
      </c>
      <c r="N103" s="41" t="s">
        <v>57</v>
      </c>
      <c r="O103" s="41" t="s">
        <v>655</v>
      </c>
      <c r="P103" s="25" t="s">
        <v>57</v>
      </c>
      <c r="Q103" s="146" t="s">
        <v>656</v>
      </c>
      <c r="R103" s="26" t="s">
        <v>657</v>
      </c>
      <c r="S103" s="25" t="s">
        <v>57</v>
      </c>
      <c r="T103" s="26" t="s">
        <v>63</v>
      </c>
      <c r="U103" s="26" t="s">
        <v>129</v>
      </c>
      <c r="V103" s="26" t="s">
        <v>65</v>
      </c>
      <c r="W103" s="26" t="s">
        <v>78</v>
      </c>
      <c r="X103" s="42" t="s">
        <v>658</v>
      </c>
      <c r="Y103" s="115">
        <v>45545.0</v>
      </c>
      <c r="Z103" s="80">
        <v>45555.0</v>
      </c>
      <c r="AA103" s="143"/>
      <c r="AB103" s="92"/>
      <c r="AC103" s="26" t="s">
        <v>66</v>
      </c>
      <c r="AD103" s="26" t="s">
        <v>80</v>
      </c>
      <c r="AE103" s="49" t="s">
        <v>659</v>
      </c>
      <c r="AF103" s="75" t="s">
        <v>68</v>
      </c>
      <c r="AG103" s="34" t="s">
        <v>69</v>
      </c>
      <c r="AH103" s="144" t="s">
        <v>660</v>
      </c>
      <c r="AI103" s="57" t="s">
        <v>235</v>
      </c>
      <c r="AJ103" s="58" t="b">
        <v>1</v>
      </c>
      <c r="AK103" s="59"/>
      <c r="AL103" s="24"/>
      <c r="AM103" s="24"/>
      <c r="AN103" s="24"/>
    </row>
    <row r="104" ht="24.75" customHeight="1">
      <c r="A104" s="26">
        <v>2024.0</v>
      </c>
      <c r="B104" s="26">
        <v>9.0</v>
      </c>
      <c r="C104" s="41" t="s">
        <v>625</v>
      </c>
      <c r="D104" s="26">
        <v>2.024001E8</v>
      </c>
      <c r="E104" s="26" t="s">
        <v>105</v>
      </c>
      <c r="F104" s="29" t="s">
        <v>259</v>
      </c>
      <c r="G104" s="42" t="s">
        <v>661</v>
      </c>
      <c r="H104" s="26"/>
      <c r="I104" s="26" t="s">
        <v>662</v>
      </c>
      <c r="J104" s="41" t="s">
        <v>189</v>
      </c>
      <c r="K104" s="26" t="s">
        <v>58</v>
      </c>
      <c r="L104" s="26" t="s">
        <v>59</v>
      </c>
      <c r="M104" s="26" t="s">
        <v>57</v>
      </c>
      <c r="N104" s="41" t="s">
        <v>61</v>
      </c>
      <c r="O104" s="41" t="s">
        <v>663</v>
      </c>
      <c r="P104" s="25" t="s">
        <v>57</v>
      </c>
      <c r="Q104" s="126" t="s">
        <v>664</v>
      </c>
      <c r="R104" s="25" t="s">
        <v>57</v>
      </c>
      <c r="S104" s="26" t="s">
        <v>665</v>
      </c>
      <c r="T104" s="26" t="s">
        <v>63</v>
      </c>
      <c r="U104" s="26" t="s">
        <v>129</v>
      </c>
      <c r="V104" s="26" t="s">
        <v>65</v>
      </c>
      <c r="W104" s="26" t="s">
        <v>78</v>
      </c>
      <c r="X104" s="42"/>
      <c r="Y104" s="115">
        <v>45545.0</v>
      </c>
      <c r="Z104" s="80">
        <v>45574.0</v>
      </c>
      <c r="AA104" s="143"/>
      <c r="AB104" s="92"/>
      <c r="AC104" s="26" t="s">
        <v>66</v>
      </c>
      <c r="AD104" s="26" t="s">
        <v>57</v>
      </c>
      <c r="AE104" s="49" t="s">
        <v>666</v>
      </c>
      <c r="AF104" s="75" t="s">
        <v>68</v>
      </c>
      <c r="AG104" s="34" t="s">
        <v>69</v>
      </c>
      <c r="AH104" s="144" t="s">
        <v>667</v>
      </c>
      <c r="AI104" s="57" t="s">
        <v>235</v>
      </c>
      <c r="AJ104" s="58" t="b">
        <v>1</v>
      </c>
      <c r="AK104" s="59"/>
      <c r="AL104" s="24"/>
      <c r="AM104" s="24"/>
      <c r="AN104" s="24"/>
    </row>
    <row r="105" ht="24.75" customHeight="1">
      <c r="A105" s="26">
        <v>2024.0</v>
      </c>
      <c r="B105" s="26">
        <v>9.0</v>
      </c>
      <c r="C105" s="41" t="s">
        <v>625</v>
      </c>
      <c r="D105" s="27">
        <v>2.02400101E8</v>
      </c>
      <c r="E105" s="26" t="s">
        <v>132</v>
      </c>
      <c r="F105" s="29" t="s">
        <v>154</v>
      </c>
      <c r="G105" s="42" t="s">
        <v>668</v>
      </c>
      <c r="H105" s="26"/>
      <c r="I105" s="26" t="s">
        <v>230</v>
      </c>
      <c r="J105" s="41" t="s">
        <v>634</v>
      </c>
      <c r="K105" s="26" t="s">
        <v>58</v>
      </c>
      <c r="L105" s="26" t="s">
        <v>59</v>
      </c>
      <c r="M105" s="26" t="s">
        <v>99</v>
      </c>
      <c r="N105" s="41" t="s">
        <v>61</v>
      </c>
      <c r="O105" s="25" t="s">
        <v>100</v>
      </c>
      <c r="P105" s="45">
        <v>6742994.0</v>
      </c>
      <c r="Q105" s="25" t="s">
        <v>101</v>
      </c>
      <c r="R105" s="25" t="s">
        <v>57</v>
      </c>
      <c r="S105" s="27">
        <v>3.208170206E9</v>
      </c>
      <c r="T105" s="26" t="s">
        <v>154</v>
      </c>
      <c r="U105" s="26" t="s">
        <v>64</v>
      </c>
      <c r="V105" s="26" t="s">
        <v>65</v>
      </c>
      <c r="W105" s="26" t="s">
        <v>78</v>
      </c>
      <c r="X105" s="42"/>
      <c r="Y105" s="115">
        <v>45553.0</v>
      </c>
      <c r="Z105" s="32"/>
      <c r="AA105" s="147" t="s">
        <v>669</v>
      </c>
      <c r="AB105" s="148">
        <v>2.0244212989502E13</v>
      </c>
      <c r="AC105" s="26" t="s">
        <v>66</v>
      </c>
      <c r="AD105" s="26" t="s">
        <v>57</v>
      </c>
      <c r="AE105" s="149" t="s">
        <v>635</v>
      </c>
      <c r="AF105" s="75" t="s">
        <v>68</v>
      </c>
      <c r="AG105" s="34" t="s">
        <v>69</v>
      </c>
      <c r="AH105" s="142" t="s">
        <v>670</v>
      </c>
      <c r="AI105" s="57" t="s">
        <v>671</v>
      </c>
      <c r="AJ105" s="98"/>
      <c r="AK105" s="59"/>
      <c r="AL105" s="24"/>
      <c r="AM105" s="24"/>
      <c r="AN105" s="24"/>
    </row>
    <row r="106" ht="24.75" customHeight="1">
      <c r="A106" s="150">
        <v>2024.0</v>
      </c>
      <c r="B106" s="26">
        <v>9.0</v>
      </c>
      <c r="C106" s="41" t="s">
        <v>625</v>
      </c>
      <c r="D106" s="26">
        <v>2.02400102E8</v>
      </c>
      <c r="E106" s="26" t="s">
        <v>132</v>
      </c>
      <c r="F106" s="29" t="s">
        <v>82</v>
      </c>
      <c r="G106" s="42" t="s">
        <v>672</v>
      </c>
      <c r="H106" s="26"/>
      <c r="I106" s="26" t="s">
        <v>84</v>
      </c>
      <c r="J106" s="41" t="s">
        <v>673</v>
      </c>
      <c r="K106" s="26" t="s">
        <v>58</v>
      </c>
      <c r="L106" s="26" t="s">
        <v>59</v>
      </c>
      <c r="M106" s="26" t="s">
        <v>60</v>
      </c>
      <c r="N106" s="41" t="s">
        <v>61</v>
      </c>
      <c r="O106" s="41" t="s">
        <v>195</v>
      </c>
      <c r="P106" s="25" t="s">
        <v>57</v>
      </c>
      <c r="Q106" s="41" t="s">
        <v>602</v>
      </c>
      <c r="R106" s="25" t="s">
        <v>57</v>
      </c>
      <c r="S106" s="26" t="s">
        <v>603</v>
      </c>
      <c r="T106" s="26" t="s">
        <v>82</v>
      </c>
      <c r="U106" s="26" t="s">
        <v>64</v>
      </c>
      <c r="V106" s="26" t="s">
        <v>65</v>
      </c>
      <c r="W106" s="26" t="s">
        <v>78</v>
      </c>
      <c r="X106" s="42"/>
      <c r="Y106" s="115">
        <v>45553.0</v>
      </c>
      <c r="Z106" s="32"/>
      <c r="AA106" s="143"/>
      <c r="AB106" s="92"/>
      <c r="AC106" s="26" t="s">
        <v>66</v>
      </c>
      <c r="AD106" s="26" t="s">
        <v>57</v>
      </c>
      <c r="AE106" s="149" t="s">
        <v>606</v>
      </c>
      <c r="AF106" s="75" t="s">
        <v>68</v>
      </c>
      <c r="AG106" s="34" t="s">
        <v>69</v>
      </c>
      <c r="AH106" s="144"/>
      <c r="AI106" s="57" t="s">
        <v>674</v>
      </c>
      <c r="AJ106" s="98" t="b">
        <v>0</v>
      </c>
      <c r="AK106" s="59"/>
      <c r="AL106" s="24"/>
      <c r="AM106" s="24"/>
      <c r="AN106" s="24"/>
    </row>
    <row r="107" ht="24.75" customHeight="1">
      <c r="A107" s="26">
        <v>2024.0</v>
      </c>
      <c r="B107" s="26">
        <v>9.0</v>
      </c>
      <c r="C107" s="41" t="s">
        <v>625</v>
      </c>
      <c r="D107" s="26">
        <v>2.02400103E8</v>
      </c>
      <c r="E107" s="26" t="s">
        <v>2</v>
      </c>
      <c r="F107" s="29" t="s">
        <v>381</v>
      </c>
      <c r="G107" s="42" t="s">
        <v>675</v>
      </c>
      <c r="H107" s="26"/>
      <c r="I107" s="26" t="s">
        <v>373</v>
      </c>
      <c r="J107" s="41" t="s">
        <v>676</v>
      </c>
      <c r="K107" s="26" t="s">
        <v>58</v>
      </c>
      <c r="L107" s="26" t="s">
        <v>59</v>
      </c>
      <c r="M107" s="26" t="s">
        <v>99</v>
      </c>
      <c r="N107" s="41" t="s">
        <v>61</v>
      </c>
      <c r="O107" s="151" t="s">
        <v>677</v>
      </c>
      <c r="P107" s="152">
        <v>5.1853604E7</v>
      </c>
      <c r="Q107" s="126" t="s">
        <v>678</v>
      </c>
      <c r="R107" s="153" t="s">
        <v>679</v>
      </c>
      <c r="S107" s="154">
        <v>3.2094456E9</v>
      </c>
      <c r="T107" s="26" t="s">
        <v>63</v>
      </c>
      <c r="U107" s="26" t="s">
        <v>64</v>
      </c>
      <c r="V107" s="26" t="s">
        <v>65</v>
      </c>
      <c r="W107" s="26" t="s">
        <v>78</v>
      </c>
      <c r="X107" s="42" t="s">
        <v>680</v>
      </c>
      <c r="Y107" s="115">
        <v>45553.0</v>
      </c>
      <c r="Z107" s="80">
        <v>45574.0</v>
      </c>
      <c r="AA107" s="155" t="s">
        <v>681</v>
      </c>
      <c r="AB107" s="156" t="s">
        <v>682</v>
      </c>
      <c r="AC107" s="26" t="s">
        <v>66</v>
      </c>
      <c r="AD107" s="26" t="s">
        <v>57</v>
      </c>
      <c r="AE107" s="157" t="s">
        <v>683</v>
      </c>
      <c r="AF107" s="75" t="s">
        <v>68</v>
      </c>
      <c r="AG107" s="34" t="s">
        <v>69</v>
      </c>
      <c r="AH107" s="142" t="s">
        <v>684</v>
      </c>
      <c r="AI107" s="57" t="s">
        <v>235</v>
      </c>
      <c r="AJ107" s="58" t="b">
        <v>1</v>
      </c>
      <c r="AK107" s="59"/>
      <c r="AL107" s="24"/>
      <c r="AM107" s="24"/>
      <c r="AN107" s="24"/>
    </row>
    <row r="108" ht="24.75" customHeight="1">
      <c r="A108" s="26">
        <v>2024.0</v>
      </c>
      <c r="B108" s="26">
        <v>9.0</v>
      </c>
      <c r="C108" s="41" t="s">
        <v>625</v>
      </c>
      <c r="D108" s="27">
        <v>2.02400104E8</v>
      </c>
      <c r="E108" s="26" t="s">
        <v>105</v>
      </c>
      <c r="F108" s="29" t="s">
        <v>259</v>
      </c>
      <c r="G108" s="42" t="s">
        <v>685</v>
      </c>
      <c r="H108" s="26"/>
      <c r="I108" s="26" t="s">
        <v>84</v>
      </c>
      <c r="J108" s="41" t="s">
        <v>686</v>
      </c>
      <c r="K108" s="26" t="s">
        <v>58</v>
      </c>
      <c r="L108" s="26" t="s">
        <v>59</v>
      </c>
      <c r="M108" s="26" t="s">
        <v>57</v>
      </c>
      <c r="N108" s="41" t="s">
        <v>61</v>
      </c>
      <c r="O108" s="41" t="s">
        <v>687</v>
      </c>
      <c r="P108" s="25" t="s">
        <v>57</v>
      </c>
      <c r="Q108" s="25" t="s">
        <v>57</v>
      </c>
      <c r="R108" s="25" t="s">
        <v>57</v>
      </c>
      <c r="S108" s="25" t="s">
        <v>57</v>
      </c>
      <c r="T108" s="26" t="s">
        <v>63</v>
      </c>
      <c r="U108" s="26" t="s">
        <v>64</v>
      </c>
      <c r="V108" s="26" t="s">
        <v>65</v>
      </c>
      <c r="W108" s="26" t="s">
        <v>204</v>
      </c>
      <c r="X108" s="42" t="s">
        <v>688</v>
      </c>
      <c r="Y108" s="115">
        <v>45553.0</v>
      </c>
      <c r="Z108" s="80">
        <v>45573.0</v>
      </c>
      <c r="AA108" s="158" t="s">
        <v>689</v>
      </c>
      <c r="AB108" s="92"/>
      <c r="AC108" s="26" t="s">
        <v>66</v>
      </c>
      <c r="AD108" s="26" t="s">
        <v>57</v>
      </c>
      <c r="AE108" s="154" t="s">
        <v>690</v>
      </c>
      <c r="AF108" s="75" t="s">
        <v>68</v>
      </c>
      <c r="AG108" s="34" t="s">
        <v>69</v>
      </c>
      <c r="AH108" s="142" t="s">
        <v>691</v>
      </c>
      <c r="AI108" s="57" t="s">
        <v>692</v>
      </c>
      <c r="AJ108" s="58" t="b">
        <v>1</v>
      </c>
      <c r="AK108" s="59"/>
      <c r="AL108" s="24"/>
      <c r="AM108" s="24"/>
      <c r="AN108" s="24"/>
    </row>
    <row r="109" ht="24.75" customHeight="1">
      <c r="A109" s="26">
        <v>2024.0</v>
      </c>
      <c r="B109" s="26">
        <v>9.0</v>
      </c>
      <c r="C109" s="41" t="s">
        <v>625</v>
      </c>
      <c r="D109" s="27">
        <v>2.02400105E8</v>
      </c>
      <c r="E109" s="26" t="s">
        <v>132</v>
      </c>
      <c r="F109" s="29" t="s">
        <v>82</v>
      </c>
      <c r="G109" s="42" t="s">
        <v>693</v>
      </c>
      <c r="H109" s="26"/>
      <c r="I109" s="26" t="s">
        <v>145</v>
      </c>
      <c r="J109" s="41" t="s">
        <v>90</v>
      </c>
      <c r="K109" s="26" t="s">
        <v>58</v>
      </c>
      <c r="L109" s="26" t="s">
        <v>59</v>
      </c>
      <c r="M109" s="26" t="s">
        <v>136</v>
      </c>
      <c r="N109" s="41" t="s">
        <v>61</v>
      </c>
      <c r="O109" s="41" t="s">
        <v>694</v>
      </c>
      <c r="P109" s="92">
        <v>1.030661619E9</v>
      </c>
      <c r="Q109" s="92" t="s">
        <v>695</v>
      </c>
      <c r="R109" s="25" t="s">
        <v>57</v>
      </c>
      <c r="S109" s="92">
        <v>3.202378574E9</v>
      </c>
      <c r="T109" s="26" t="s">
        <v>82</v>
      </c>
      <c r="U109" s="26" t="s">
        <v>64</v>
      </c>
      <c r="V109" s="26" t="s">
        <v>65</v>
      </c>
      <c r="W109" s="26" t="s">
        <v>78</v>
      </c>
      <c r="X109" s="42" t="s">
        <v>696</v>
      </c>
      <c r="Y109" s="115">
        <v>45560.0</v>
      </c>
      <c r="Z109" s="32"/>
      <c r="AA109" s="141" t="s">
        <v>697</v>
      </c>
      <c r="AB109" s="125" t="s">
        <v>698</v>
      </c>
      <c r="AC109" s="26" t="s">
        <v>66</v>
      </c>
      <c r="AD109" s="26" t="s">
        <v>57</v>
      </c>
      <c r="AE109" s="159" t="s">
        <v>699</v>
      </c>
      <c r="AF109" s="75" t="s">
        <v>68</v>
      </c>
      <c r="AG109" s="34" t="s">
        <v>69</v>
      </c>
      <c r="AH109" s="160" t="s">
        <v>700</v>
      </c>
      <c r="AI109" s="36"/>
      <c r="AJ109" s="98" t="b">
        <v>0</v>
      </c>
      <c r="AK109" s="59"/>
      <c r="AL109" s="24"/>
      <c r="AM109" s="24"/>
      <c r="AN109" s="24"/>
    </row>
    <row r="110" ht="24.75" customHeight="1">
      <c r="A110" s="26">
        <v>2024.0</v>
      </c>
      <c r="B110" s="26">
        <v>9.0</v>
      </c>
      <c r="C110" s="41" t="s">
        <v>625</v>
      </c>
      <c r="D110" s="27">
        <v>2.02400106E8</v>
      </c>
      <c r="E110" s="26" t="s">
        <v>2</v>
      </c>
      <c r="F110" s="29" t="s">
        <v>381</v>
      </c>
      <c r="G110" s="42" t="s">
        <v>701</v>
      </c>
      <c r="H110" s="26"/>
      <c r="I110" s="26" t="s">
        <v>373</v>
      </c>
      <c r="J110" s="41" t="s">
        <v>702</v>
      </c>
      <c r="K110" s="26" t="s">
        <v>58</v>
      </c>
      <c r="L110" s="26" t="s">
        <v>59</v>
      </c>
      <c r="M110" s="26" t="s">
        <v>60</v>
      </c>
      <c r="N110" s="41" t="s">
        <v>61</v>
      </c>
      <c r="O110" s="41" t="s">
        <v>703</v>
      </c>
      <c r="P110" s="26">
        <v>1.7197269E7</v>
      </c>
      <c r="Q110" s="126" t="s">
        <v>704</v>
      </c>
      <c r="R110" s="41" t="s">
        <v>705</v>
      </c>
      <c r="S110" s="41" t="s">
        <v>706</v>
      </c>
      <c r="T110" s="26" t="s">
        <v>63</v>
      </c>
      <c r="U110" s="26" t="s">
        <v>64</v>
      </c>
      <c r="V110" s="26" t="s">
        <v>65</v>
      </c>
      <c r="W110" s="26" t="s">
        <v>78</v>
      </c>
      <c r="X110" s="42" t="s">
        <v>707</v>
      </c>
      <c r="Y110" s="115">
        <v>45560.0</v>
      </c>
      <c r="Z110" s="80">
        <v>45560.0</v>
      </c>
      <c r="AA110" s="161" t="s">
        <v>708</v>
      </c>
      <c r="AB110" s="156" t="s">
        <v>709</v>
      </c>
      <c r="AC110" s="26" t="s">
        <v>66</v>
      </c>
      <c r="AD110" s="26" t="s">
        <v>57</v>
      </c>
      <c r="AE110" s="151" t="s">
        <v>710</v>
      </c>
      <c r="AF110" s="75" t="s">
        <v>68</v>
      </c>
      <c r="AG110" s="34" t="s">
        <v>69</v>
      </c>
      <c r="AH110" s="162" t="s">
        <v>684</v>
      </c>
      <c r="AI110" s="57" t="s">
        <v>235</v>
      </c>
      <c r="AJ110" s="58" t="b">
        <v>1</v>
      </c>
      <c r="AK110" s="59"/>
      <c r="AL110" s="24"/>
      <c r="AM110" s="24"/>
      <c r="AN110" s="24"/>
    </row>
    <row r="111" ht="24.75" customHeight="1">
      <c r="A111" s="26">
        <v>2024.0</v>
      </c>
      <c r="B111" s="26">
        <v>10.0</v>
      </c>
      <c r="C111" s="41" t="s">
        <v>711</v>
      </c>
      <c r="D111" s="27">
        <v>2.02400107E8</v>
      </c>
      <c r="E111" s="26" t="s">
        <v>2</v>
      </c>
      <c r="F111" s="29" t="s">
        <v>381</v>
      </c>
      <c r="G111" s="42" t="s">
        <v>712</v>
      </c>
      <c r="H111" s="26"/>
      <c r="I111" s="26" t="s">
        <v>373</v>
      </c>
      <c r="J111" s="41" t="s">
        <v>713</v>
      </c>
      <c r="K111" s="26" t="s">
        <v>58</v>
      </c>
      <c r="L111" s="26" t="s">
        <v>714</v>
      </c>
      <c r="M111" s="26" t="s">
        <v>136</v>
      </c>
      <c r="N111" s="41" t="s">
        <v>61</v>
      </c>
      <c r="O111" s="41" t="s">
        <v>715</v>
      </c>
      <c r="P111" s="26">
        <v>2.8834677E7</v>
      </c>
      <c r="Q111" s="126" t="s">
        <v>716</v>
      </c>
      <c r="R111" s="41" t="s">
        <v>717</v>
      </c>
      <c r="S111" s="41">
        <v>3.114500159E9</v>
      </c>
      <c r="T111" s="26" t="s">
        <v>63</v>
      </c>
      <c r="U111" s="26" t="s">
        <v>64</v>
      </c>
      <c r="V111" s="26" t="s">
        <v>65</v>
      </c>
      <c r="W111" s="26" t="s">
        <v>78</v>
      </c>
      <c r="X111" s="42" t="s">
        <v>718</v>
      </c>
      <c r="Y111" s="115">
        <v>45568.0</v>
      </c>
      <c r="Z111" s="32"/>
      <c r="AA111" s="161" t="s">
        <v>719</v>
      </c>
      <c r="AB111" s="163" t="s">
        <v>720</v>
      </c>
      <c r="AC111" s="26" t="s">
        <v>66</v>
      </c>
      <c r="AD111" s="26" t="s">
        <v>57</v>
      </c>
      <c r="AE111" s="151" t="s">
        <v>721</v>
      </c>
      <c r="AF111" s="75" t="s">
        <v>68</v>
      </c>
      <c r="AG111" s="34" t="s">
        <v>69</v>
      </c>
      <c r="AH111" s="164" t="s">
        <v>722</v>
      </c>
      <c r="AI111" s="57" t="s">
        <v>723</v>
      </c>
      <c r="AJ111" s="98" t="b">
        <v>0</v>
      </c>
      <c r="AK111" s="59"/>
      <c r="AL111" s="24"/>
      <c r="AM111" s="24"/>
      <c r="AN111" s="24"/>
    </row>
    <row r="112" ht="24.75" customHeight="1">
      <c r="A112" s="26">
        <v>2024.0</v>
      </c>
      <c r="B112" s="26">
        <v>10.0</v>
      </c>
      <c r="C112" s="41" t="s">
        <v>711</v>
      </c>
      <c r="D112" s="27">
        <v>2.02400108E8</v>
      </c>
      <c r="E112" s="26" t="s">
        <v>132</v>
      </c>
      <c r="F112" s="29" t="s">
        <v>154</v>
      </c>
      <c r="G112" s="42" t="s">
        <v>724</v>
      </c>
      <c r="H112" s="26"/>
      <c r="I112" s="26" t="s">
        <v>230</v>
      </c>
      <c r="J112" s="41" t="s">
        <v>725</v>
      </c>
      <c r="K112" s="26" t="s">
        <v>58</v>
      </c>
      <c r="L112" s="26" t="s">
        <v>59</v>
      </c>
      <c r="M112" s="26" t="s">
        <v>726</v>
      </c>
      <c r="N112" s="41" t="s">
        <v>91</v>
      </c>
      <c r="O112" s="41" t="s">
        <v>92</v>
      </c>
      <c r="P112" s="25" t="s">
        <v>57</v>
      </c>
      <c r="Q112" s="120" t="s">
        <v>727</v>
      </c>
      <c r="R112" s="25" t="s">
        <v>57</v>
      </c>
      <c r="S112" s="25" t="s">
        <v>57</v>
      </c>
      <c r="T112" s="26" t="s">
        <v>154</v>
      </c>
      <c r="U112" s="26" t="s">
        <v>64</v>
      </c>
      <c r="V112" s="26" t="s">
        <v>65</v>
      </c>
      <c r="W112" s="26" t="s">
        <v>78</v>
      </c>
      <c r="X112" s="42"/>
      <c r="Y112" s="115">
        <v>45575.0</v>
      </c>
      <c r="Z112" s="32"/>
      <c r="AA112" s="165" t="s">
        <v>728</v>
      </c>
      <c r="AB112" s="166">
        <v>45576.0</v>
      </c>
      <c r="AC112" s="26" t="s">
        <v>66</v>
      </c>
      <c r="AD112" s="26" t="s">
        <v>67</v>
      </c>
      <c r="AE112" s="167" t="s">
        <v>729</v>
      </c>
      <c r="AF112" s="75" t="s">
        <v>68</v>
      </c>
      <c r="AG112" s="34" t="s">
        <v>69</v>
      </c>
      <c r="AH112" s="168" t="s">
        <v>670</v>
      </c>
      <c r="AI112" s="36"/>
      <c r="AJ112" s="98" t="b">
        <v>0</v>
      </c>
      <c r="AK112" s="59"/>
      <c r="AL112" s="24"/>
      <c r="AM112" s="24"/>
      <c r="AN112" s="24"/>
    </row>
    <row r="113" ht="24.75" customHeight="1">
      <c r="A113" s="84">
        <v>2024.0</v>
      </c>
      <c r="B113" s="84">
        <v>10.0</v>
      </c>
      <c r="C113" s="75" t="s">
        <v>711</v>
      </c>
      <c r="D113" s="83">
        <v>2.02400109E8</v>
      </c>
      <c r="E113" s="84" t="s">
        <v>132</v>
      </c>
      <c r="F113" s="130" t="s">
        <v>82</v>
      </c>
      <c r="G113" s="57" t="s">
        <v>730</v>
      </c>
      <c r="H113" s="84"/>
      <c r="I113" s="84" t="s">
        <v>202</v>
      </c>
      <c r="J113" s="75" t="s">
        <v>731</v>
      </c>
      <c r="K113" s="84" t="s">
        <v>58</v>
      </c>
      <c r="L113" s="84" t="s">
        <v>59</v>
      </c>
      <c r="M113" s="84" t="s">
        <v>99</v>
      </c>
      <c r="N113" s="75" t="s">
        <v>91</v>
      </c>
      <c r="O113" s="75" t="s">
        <v>732</v>
      </c>
      <c r="P113" s="44" t="s">
        <v>57</v>
      </c>
      <c r="Q113" s="126" t="s">
        <v>733</v>
      </c>
      <c r="R113" s="44" t="s">
        <v>57</v>
      </c>
      <c r="S113" s="44" t="s">
        <v>57</v>
      </c>
      <c r="T113" s="84" t="s">
        <v>82</v>
      </c>
      <c r="U113" s="84" t="s">
        <v>64</v>
      </c>
      <c r="V113" s="84" t="s">
        <v>65</v>
      </c>
      <c r="W113" s="84" t="s">
        <v>78</v>
      </c>
      <c r="X113" s="57" t="s">
        <v>734</v>
      </c>
      <c r="Y113" s="133">
        <v>45580.0</v>
      </c>
      <c r="Z113" s="47"/>
      <c r="AA113" s="169" t="s">
        <v>735</v>
      </c>
      <c r="AB113" s="156"/>
      <c r="AC113" s="84" t="s">
        <v>66</v>
      </c>
      <c r="AD113" s="84" t="s">
        <v>67</v>
      </c>
      <c r="AE113" s="170" t="s">
        <v>736</v>
      </c>
      <c r="AF113" s="171" t="s">
        <v>68</v>
      </c>
      <c r="AG113" s="33" t="s">
        <v>69</v>
      </c>
      <c r="AH113" s="168" t="s">
        <v>737</v>
      </c>
      <c r="AI113" s="36"/>
      <c r="AJ113" s="137" t="b">
        <v>0</v>
      </c>
      <c r="AK113" s="138"/>
      <c r="AL113" s="139"/>
      <c r="AM113" s="139"/>
      <c r="AN113" s="139"/>
    </row>
    <row r="114" ht="24.75" customHeight="1">
      <c r="A114" s="26">
        <v>2024.0</v>
      </c>
      <c r="B114" s="26">
        <v>10.0</v>
      </c>
      <c r="C114" s="41" t="s">
        <v>711</v>
      </c>
      <c r="D114" s="27">
        <v>2.0240011E8</v>
      </c>
      <c r="E114" s="26" t="s">
        <v>105</v>
      </c>
      <c r="F114" s="29" t="s">
        <v>180</v>
      </c>
      <c r="G114" s="42" t="s">
        <v>738</v>
      </c>
      <c r="H114" s="26"/>
      <c r="I114" s="26" t="s">
        <v>84</v>
      </c>
      <c r="J114" s="41" t="s">
        <v>57</v>
      </c>
      <c r="K114" s="26" t="s">
        <v>58</v>
      </c>
      <c r="L114" s="26" t="s">
        <v>59</v>
      </c>
      <c r="M114" s="26" t="s">
        <v>60</v>
      </c>
      <c r="N114" s="41" t="s">
        <v>61</v>
      </c>
      <c r="O114" s="41" t="s">
        <v>739</v>
      </c>
      <c r="P114" s="41" t="s">
        <v>57</v>
      </c>
      <c r="Q114" s="41" t="s">
        <v>57</v>
      </c>
      <c r="R114" s="41" t="s">
        <v>57</v>
      </c>
      <c r="S114" s="41">
        <v>3.115082744E9</v>
      </c>
      <c r="T114" s="26" t="s">
        <v>63</v>
      </c>
      <c r="U114" s="26" t="s">
        <v>64</v>
      </c>
      <c r="V114" s="26" t="s">
        <v>65</v>
      </c>
      <c r="W114" s="26" t="s">
        <v>78</v>
      </c>
      <c r="X114" s="42" t="s">
        <v>740</v>
      </c>
      <c r="Y114" s="115">
        <v>45575.0</v>
      </c>
      <c r="Z114" s="80">
        <v>45677.0</v>
      </c>
      <c r="AA114" s="161"/>
      <c r="AB114" s="156"/>
      <c r="AC114" s="26" t="s">
        <v>66</v>
      </c>
      <c r="AD114" s="26" t="s">
        <v>57</v>
      </c>
      <c r="AE114" s="151" t="s">
        <v>57</v>
      </c>
      <c r="AF114" s="75" t="s">
        <v>68</v>
      </c>
      <c r="AG114" s="34" t="s">
        <v>69</v>
      </c>
      <c r="AH114" s="172"/>
      <c r="AI114" s="57" t="s">
        <v>741</v>
      </c>
      <c r="AJ114" s="98" t="b">
        <v>0</v>
      </c>
      <c r="AK114" s="59"/>
      <c r="AL114" s="24"/>
      <c r="AM114" s="24"/>
      <c r="AN114" s="24"/>
    </row>
    <row r="115" ht="24.75" customHeight="1">
      <c r="A115" s="26">
        <v>2024.0</v>
      </c>
      <c r="B115" s="26">
        <v>10.0</v>
      </c>
      <c r="C115" s="41" t="s">
        <v>711</v>
      </c>
      <c r="D115" s="27">
        <v>2.02400111E8</v>
      </c>
      <c r="E115" s="26" t="s">
        <v>71</v>
      </c>
      <c r="F115" s="29" t="s">
        <v>82</v>
      </c>
      <c r="G115" s="42" t="s">
        <v>742</v>
      </c>
      <c r="H115" s="26"/>
      <c r="I115" s="26" t="s">
        <v>145</v>
      </c>
      <c r="J115" s="41" t="s">
        <v>90</v>
      </c>
      <c r="K115" s="26" t="s">
        <v>58</v>
      </c>
      <c r="L115" s="26" t="s">
        <v>59</v>
      </c>
      <c r="M115" s="26" t="s">
        <v>136</v>
      </c>
      <c r="N115" s="41" t="s">
        <v>61</v>
      </c>
      <c r="O115" s="41" t="s">
        <v>694</v>
      </c>
      <c r="P115" s="143">
        <v>1.030661619E9</v>
      </c>
      <c r="Q115" s="92" t="s">
        <v>695</v>
      </c>
      <c r="R115" s="25" t="s">
        <v>57</v>
      </c>
      <c r="S115" s="25" t="s">
        <v>57</v>
      </c>
      <c r="T115" s="26" t="s">
        <v>82</v>
      </c>
      <c r="U115" s="26" t="s">
        <v>64</v>
      </c>
      <c r="V115" s="26" t="s">
        <v>65</v>
      </c>
      <c r="W115" s="26" t="s">
        <v>204</v>
      </c>
      <c r="X115" s="42" t="s">
        <v>743</v>
      </c>
      <c r="Y115" s="115">
        <v>45583.0</v>
      </c>
      <c r="Z115" s="32"/>
      <c r="AA115" s="158" t="s">
        <v>744</v>
      </c>
      <c r="AB115" s="173" t="s">
        <v>745</v>
      </c>
      <c r="AC115" s="26" t="s">
        <v>66</v>
      </c>
      <c r="AD115" s="26" t="s">
        <v>67</v>
      </c>
      <c r="AE115" s="170" t="s">
        <v>746</v>
      </c>
      <c r="AF115" s="75" t="s">
        <v>68</v>
      </c>
      <c r="AG115" s="34" t="s">
        <v>69</v>
      </c>
      <c r="AH115" s="174" t="s">
        <v>747</v>
      </c>
      <c r="AI115" s="57" t="s">
        <v>0</v>
      </c>
      <c r="AJ115" s="98" t="b">
        <v>0</v>
      </c>
      <c r="AK115" s="59"/>
      <c r="AL115" s="24"/>
      <c r="AM115" s="24"/>
      <c r="AN115" s="24"/>
    </row>
    <row r="116" ht="24.75" customHeight="1">
      <c r="A116" s="26">
        <v>2024.0</v>
      </c>
      <c r="B116" s="26">
        <v>10.0</v>
      </c>
      <c r="C116" s="41" t="s">
        <v>711</v>
      </c>
      <c r="D116" s="27">
        <v>2.02400112E8</v>
      </c>
      <c r="E116" s="26" t="s">
        <v>239</v>
      </c>
      <c r="F116" s="29" t="s">
        <v>154</v>
      </c>
      <c r="G116" s="42" t="s">
        <v>748</v>
      </c>
      <c r="H116" s="26"/>
      <c r="I116" s="26" t="s">
        <v>749</v>
      </c>
      <c r="J116" s="41" t="s">
        <v>553</v>
      </c>
      <c r="K116" s="26" t="s">
        <v>58</v>
      </c>
      <c r="L116" s="26" t="s">
        <v>59</v>
      </c>
      <c r="M116" s="26" t="s">
        <v>57</v>
      </c>
      <c r="N116" s="41" t="s">
        <v>61</v>
      </c>
      <c r="O116" s="41" t="s">
        <v>57</v>
      </c>
      <c r="P116" s="41" t="s">
        <v>57</v>
      </c>
      <c r="Q116" s="41" t="s">
        <v>57</v>
      </c>
      <c r="R116" s="41" t="s">
        <v>57</v>
      </c>
      <c r="S116" s="41" t="s">
        <v>57</v>
      </c>
      <c r="T116" s="26" t="s">
        <v>154</v>
      </c>
      <c r="U116" s="26" t="s">
        <v>57</v>
      </c>
      <c r="V116" s="26" t="s">
        <v>65</v>
      </c>
      <c r="W116" s="26" t="s">
        <v>78</v>
      </c>
      <c r="X116" s="42" t="s">
        <v>750</v>
      </c>
      <c r="Y116" s="115">
        <v>45582.0</v>
      </c>
      <c r="Z116" s="32"/>
      <c r="AA116" s="175" t="s">
        <v>751</v>
      </c>
      <c r="AB116" s="156" t="s">
        <v>752</v>
      </c>
      <c r="AC116" s="26" t="s">
        <v>66</v>
      </c>
      <c r="AD116" s="26" t="s">
        <v>67</v>
      </c>
      <c r="AE116" s="151" t="s">
        <v>57</v>
      </c>
      <c r="AF116" s="75" t="s">
        <v>68</v>
      </c>
      <c r="AG116" s="34" t="s">
        <v>69</v>
      </c>
      <c r="AH116" s="176" t="s">
        <v>753</v>
      </c>
      <c r="AI116" s="36"/>
      <c r="AJ116" s="98" t="b">
        <v>0</v>
      </c>
      <c r="AK116" s="59"/>
      <c r="AL116" s="24"/>
      <c r="AM116" s="24"/>
      <c r="AN116" s="24"/>
    </row>
    <row r="117" ht="24.75" customHeight="1">
      <c r="A117" s="26">
        <v>2024.0</v>
      </c>
      <c r="B117" s="26">
        <v>10.0</v>
      </c>
      <c r="C117" s="41" t="s">
        <v>711</v>
      </c>
      <c r="D117" s="27">
        <v>2.02400113E8</v>
      </c>
      <c r="E117" s="26" t="s">
        <v>132</v>
      </c>
      <c r="F117" s="29" t="s">
        <v>82</v>
      </c>
      <c r="G117" s="42" t="s">
        <v>754</v>
      </c>
      <c r="H117" s="26"/>
      <c r="I117" s="26" t="s">
        <v>84</v>
      </c>
      <c r="J117" s="41" t="s">
        <v>505</v>
      </c>
      <c r="K117" s="26" t="s">
        <v>58</v>
      </c>
      <c r="L117" s="26" t="s">
        <v>59</v>
      </c>
      <c r="M117" s="26" t="s">
        <v>99</v>
      </c>
      <c r="N117" s="41" t="s">
        <v>61</v>
      </c>
      <c r="O117" s="41" t="s">
        <v>100</v>
      </c>
      <c r="P117" s="45">
        <v>6742994.0</v>
      </c>
      <c r="Q117" s="25" t="s">
        <v>101</v>
      </c>
      <c r="R117" s="25" t="s">
        <v>57</v>
      </c>
      <c r="S117" s="27">
        <v>3.208170206E9</v>
      </c>
      <c r="T117" s="26" t="s">
        <v>82</v>
      </c>
      <c r="U117" s="26" t="s">
        <v>64</v>
      </c>
      <c r="V117" s="26" t="s">
        <v>65</v>
      </c>
      <c r="W117" s="26" t="s">
        <v>78</v>
      </c>
      <c r="X117" s="42" t="s">
        <v>755</v>
      </c>
      <c r="Y117" s="115">
        <v>45580.0</v>
      </c>
      <c r="Z117" s="32"/>
      <c r="AA117" s="161"/>
      <c r="AB117" s="156"/>
      <c r="AC117" s="26" t="s">
        <v>66</v>
      </c>
      <c r="AD117" s="26" t="s">
        <v>67</v>
      </c>
      <c r="AE117" s="126" t="s">
        <v>756</v>
      </c>
      <c r="AF117" s="75" t="s">
        <v>68</v>
      </c>
      <c r="AG117" s="34" t="s">
        <v>69</v>
      </c>
      <c r="AH117" s="172"/>
      <c r="AI117" s="57" t="s">
        <v>757</v>
      </c>
      <c r="AJ117" s="58" t="b">
        <v>1</v>
      </c>
      <c r="AK117" s="59"/>
      <c r="AL117" s="24"/>
      <c r="AM117" s="24"/>
      <c r="AN117" s="24"/>
    </row>
    <row r="118" ht="24.75" customHeight="1">
      <c r="A118" s="26">
        <v>2024.0</v>
      </c>
      <c r="B118" s="26">
        <v>10.0</v>
      </c>
      <c r="C118" s="41" t="s">
        <v>711</v>
      </c>
      <c r="D118" s="27">
        <v>2.02400114E8</v>
      </c>
      <c r="E118" s="26" t="s">
        <v>71</v>
      </c>
      <c r="F118" s="29" t="s">
        <v>154</v>
      </c>
      <c r="G118" s="42" t="s">
        <v>758</v>
      </c>
      <c r="H118" s="26"/>
      <c r="I118" s="26" t="s">
        <v>194</v>
      </c>
      <c r="J118" s="41" t="s">
        <v>272</v>
      </c>
      <c r="K118" s="26" t="s">
        <v>58</v>
      </c>
      <c r="L118" s="26" t="s">
        <v>59</v>
      </c>
      <c r="M118" s="26" t="s">
        <v>99</v>
      </c>
      <c r="N118" s="41" t="s">
        <v>61</v>
      </c>
      <c r="O118" s="41" t="s">
        <v>759</v>
      </c>
      <c r="P118" s="25" t="s">
        <v>57</v>
      </c>
      <c r="Q118" s="41" t="s">
        <v>760</v>
      </c>
      <c r="R118" s="25" t="s">
        <v>57</v>
      </c>
      <c r="S118" s="41" t="s">
        <v>761</v>
      </c>
      <c r="T118" s="26" t="s">
        <v>154</v>
      </c>
      <c r="U118" s="26" t="s">
        <v>64</v>
      </c>
      <c r="V118" s="26" t="s">
        <v>65</v>
      </c>
      <c r="W118" s="26" t="s">
        <v>78</v>
      </c>
      <c r="X118" s="42" t="s">
        <v>762</v>
      </c>
      <c r="Y118" s="115">
        <v>45582.0</v>
      </c>
      <c r="Z118" s="32"/>
      <c r="AA118" s="177" t="s">
        <v>763</v>
      </c>
      <c r="AB118" s="178" t="s">
        <v>764</v>
      </c>
      <c r="AC118" s="26" t="s">
        <v>66</v>
      </c>
      <c r="AD118" s="26" t="s">
        <v>67</v>
      </c>
      <c r="AE118" s="126" t="s">
        <v>765</v>
      </c>
      <c r="AF118" s="75" t="s">
        <v>68</v>
      </c>
      <c r="AG118" s="34" t="s">
        <v>69</v>
      </c>
      <c r="AH118" s="172"/>
      <c r="AI118" s="36"/>
      <c r="AJ118" s="58" t="b">
        <v>0</v>
      </c>
      <c r="AK118" s="59"/>
      <c r="AL118" s="24"/>
      <c r="AM118" s="24"/>
      <c r="AN118" s="24"/>
    </row>
    <row r="119" ht="24.75" customHeight="1">
      <c r="A119" s="26">
        <v>2024.0</v>
      </c>
      <c r="B119" s="26">
        <v>10.0</v>
      </c>
      <c r="C119" s="41" t="s">
        <v>711</v>
      </c>
      <c r="D119" s="27">
        <v>2.02400115E8</v>
      </c>
      <c r="E119" s="26" t="s">
        <v>71</v>
      </c>
      <c r="F119" s="29" t="s">
        <v>154</v>
      </c>
      <c r="G119" s="42" t="s">
        <v>766</v>
      </c>
      <c r="H119" s="26"/>
      <c r="I119" s="26" t="s">
        <v>749</v>
      </c>
      <c r="J119" s="41" t="s">
        <v>505</v>
      </c>
      <c r="K119" s="26" t="s">
        <v>58</v>
      </c>
      <c r="L119" s="26" t="s">
        <v>59</v>
      </c>
      <c r="M119" s="26" t="s">
        <v>99</v>
      </c>
      <c r="N119" s="41" t="s">
        <v>61</v>
      </c>
      <c r="O119" s="41" t="s">
        <v>100</v>
      </c>
      <c r="P119" s="25" t="s">
        <v>57</v>
      </c>
      <c r="Q119" s="25" t="s">
        <v>57</v>
      </c>
      <c r="R119" s="25" t="s">
        <v>57</v>
      </c>
      <c r="S119" s="25" t="s">
        <v>57</v>
      </c>
      <c r="T119" s="26" t="s">
        <v>154</v>
      </c>
      <c r="U119" s="26" t="s">
        <v>64</v>
      </c>
      <c r="V119" s="26" t="s">
        <v>65</v>
      </c>
      <c r="W119" s="26" t="s">
        <v>204</v>
      </c>
      <c r="X119" s="42"/>
      <c r="Y119" s="115">
        <v>45597.0</v>
      </c>
      <c r="Z119" s="32"/>
      <c r="AA119" s="161"/>
      <c r="AB119" s="156"/>
      <c r="AC119" s="26" t="s">
        <v>66</v>
      </c>
      <c r="AD119" s="26" t="s">
        <v>57</v>
      </c>
      <c r="AE119" s="170" t="s">
        <v>736</v>
      </c>
      <c r="AF119" s="75" t="s">
        <v>68</v>
      </c>
      <c r="AG119" s="34" t="s">
        <v>69</v>
      </c>
      <c r="AH119" s="172"/>
      <c r="AI119" s="36"/>
      <c r="AJ119" s="58" t="b">
        <v>0</v>
      </c>
      <c r="AK119" s="59"/>
      <c r="AL119" s="24"/>
      <c r="AM119" s="24"/>
      <c r="AN119" s="24"/>
    </row>
    <row r="120" ht="24.75" customHeight="1">
      <c r="A120" s="26">
        <v>2024.0</v>
      </c>
      <c r="B120" s="26">
        <v>10.0</v>
      </c>
      <c r="C120" s="41" t="s">
        <v>711</v>
      </c>
      <c r="D120" s="26">
        <v>2.02400116E8</v>
      </c>
      <c r="E120" s="26" t="s">
        <v>105</v>
      </c>
      <c r="F120" s="29" t="s">
        <v>82</v>
      </c>
      <c r="G120" s="42" t="s">
        <v>767</v>
      </c>
      <c r="H120" s="26"/>
      <c r="I120" s="26" t="s">
        <v>194</v>
      </c>
      <c r="J120" s="41" t="s">
        <v>183</v>
      </c>
      <c r="K120" s="26" t="s">
        <v>58</v>
      </c>
      <c r="L120" s="26" t="s">
        <v>59</v>
      </c>
      <c r="M120" s="26" t="s">
        <v>184</v>
      </c>
      <c r="N120" s="41" t="s">
        <v>61</v>
      </c>
      <c r="O120" s="41" t="s">
        <v>768</v>
      </c>
      <c r="P120" s="25" t="s">
        <v>57</v>
      </c>
      <c r="Q120" s="25" t="s">
        <v>57</v>
      </c>
      <c r="R120" s="25" t="s">
        <v>57</v>
      </c>
      <c r="S120" s="25" t="s">
        <v>57</v>
      </c>
      <c r="T120" s="26" t="s">
        <v>82</v>
      </c>
      <c r="U120" s="26" t="s">
        <v>64</v>
      </c>
      <c r="V120" s="26" t="s">
        <v>65</v>
      </c>
      <c r="W120" s="26" t="s">
        <v>78</v>
      </c>
      <c r="X120" s="42" t="s">
        <v>769</v>
      </c>
      <c r="Y120" s="115">
        <v>45583.0</v>
      </c>
      <c r="Z120" s="80">
        <v>45593.0</v>
      </c>
      <c r="AA120" s="179" t="s">
        <v>770</v>
      </c>
      <c r="AB120" s="179" t="s">
        <v>771</v>
      </c>
      <c r="AC120" s="26" t="s">
        <v>66</v>
      </c>
      <c r="AD120" s="26" t="s">
        <v>67</v>
      </c>
      <c r="AE120" s="126" t="s">
        <v>772</v>
      </c>
      <c r="AF120" s="75" t="s">
        <v>68</v>
      </c>
      <c r="AG120" s="34" t="s">
        <v>69</v>
      </c>
      <c r="AH120" s="172"/>
      <c r="AI120" s="57" t="s">
        <v>773</v>
      </c>
      <c r="AJ120" s="58" t="b">
        <v>0</v>
      </c>
      <c r="AK120" s="59"/>
      <c r="AL120" s="24"/>
      <c r="AM120" s="24"/>
      <c r="AN120" s="24"/>
    </row>
    <row r="121" ht="24.75" customHeight="1">
      <c r="A121" s="26">
        <v>2024.0</v>
      </c>
      <c r="B121" s="26">
        <v>10.0</v>
      </c>
      <c r="C121" s="41" t="s">
        <v>711</v>
      </c>
      <c r="D121" s="27">
        <v>2.02400117E8</v>
      </c>
      <c r="E121" s="26" t="s">
        <v>71</v>
      </c>
      <c r="F121" s="29" t="s">
        <v>82</v>
      </c>
      <c r="G121" s="42" t="s">
        <v>774</v>
      </c>
      <c r="H121" s="26"/>
      <c r="I121" s="26" t="s">
        <v>84</v>
      </c>
      <c r="J121" s="41" t="s">
        <v>90</v>
      </c>
      <c r="K121" s="26" t="s">
        <v>58</v>
      </c>
      <c r="L121" s="26" t="s">
        <v>59</v>
      </c>
      <c r="M121" s="26" t="s">
        <v>60</v>
      </c>
      <c r="N121" s="41" t="s">
        <v>61</v>
      </c>
      <c r="O121" s="41" t="s">
        <v>775</v>
      </c>
      <c r="P121" s="25" t="s">
        <v>57</v>
      </c>
      <c r="Q121" s="41" t="s">
        <v>776</v>
      </c>
      <c r="R121" s="25" t="s">
        <v>57</v>
      </c>
      <c r="S121" s="26">
        <v>3.112448321E9</v>
      </c>
      <c r="T121" s="26" t="s">
        <v>82</v>
      </c>
      <c r="U121" s="26" t="s">
        <v>64</v>
      </c>
      <c r="V121" s="26" t="s">
        <v>65</v>
      </c>
      <c r="W121" s="26" t="s">
        <v>204</v>
      </c>
      <c r="X121" s="42"/>
      <c r="Y121" s="115">
        <v>45583.0</v>
      </c>
      <c r="Z121" s="32"/>
      <c r="AA121" s="161"/>
      <c r="AB121" s="156"/>
      <c r="AC121" s="26" t="s">
        <v>66</v>
      </c>
      <c r="AD121" s="26" t="s">
        <v>67</v>
      </c>
      <c r="AE121" s="126" t="s">
        <v>777</v>
      </c>
      <c r="AF121" s="75" t="s">
        <v>68</v>
      </c>
      <c r="AG121" s="34" t="s">
        <v>69</v>
      </c>
      <c r="AH121" s="172"/>
      <c r="AI121" s="36"/>
      <c r="AJ121" s="58" t="b">
        <v>0</v>
      </c>
      <c r="AK121" s="59"/>
      <c r="AL121" s="24"/>
      <c r="AM121" s="24"/>
      <c r="AN121" s="24"/>
    </row>
    <row r="122" ht="24.75" customHeight="1">
      <c r="A122" s="26">
        <v>2024.0</v>
      </c>
      <c r="B122" s="26">
        <v>10.0</v>
      </c>
      <c r="C122" s="41" t="s">
        <v>711</v>
      </c>
      <c r="D122" s="26">
        <v>2.02400118E8</v>
      </c>
      <c r="E122" s="26" t="s">
        <v>132</v>
      </c>
      <c r="F122" s="29" t="s">
        <v>154</v>
      </c>
      <c r="G122" s="42" t="s">
        <v>778</v>
      </c>
      <c r="H122" s="26"/>
      <c r="I122" s="26" t="s">
        <v>230</v>
      </c>
      <c r="J122" s="41" t="s">
        <v>731</v>
      </c>
      <c r="K122" s="26" t="s">
        <v>58</v>
      </c>
      <c r="L122" s="26" t="s">
        <v>59</v>
      </c>
      <c r="M122" s="26" t="s">
        <v>99</v>
      </c>
      <c r="N122" s="41" t="s">
        <v>91</v>
      </c>
      <c r="O122" s="41" t="s">
        <v>732</v>
      </c>
      <c r="P122" s="25" t="s">
        <v>57</v>
      </c>
      <c r="Q122" s="126" t="s">
        <v>733</v>
      </c>
      <c r="R122" s="25" t="s">
        <v>57</v>
      </c>
      <c r="S122" s="25" t="s">
        <v>57</v>
      </c>
      <c r="T122" s="26" t="s">
        <v>63</v>
      </c>
      <c r="U122" s="26" t="s">
        <v>64</v>
      </c>
      <c r="V122" s="26" t="s">
        <v>65</v>
      </c>
      <c r="W122" s="26" t="s">
        <v>78</v>
      </c>
      <c r="X122" s="42" t="s">
        <v>779</v>
      </c>
      <c r="Y122" s="115">
        <v>45583.0</v>
      </c>
      <c r="Z122" s="32"/>
      <c r="AA122" s="180" t="s">
        <v>780</v>
      </c>
      <c r="AB122" s="156" t="s">
        <v>781</v>
      </c>
      <c r="AC122" s="26" t="s">
        <v>66</v>
      </c>
      <c r="AD122" s="26" t="s">
        <v>67</v>
      </c>
      <c r="AE122" s="170" t="s">
        <v>736</v>
      </c>
      <c r="AF122" s="75" t="s">
        <v>68</v>
      </c>
      <c r="AG122" s="34" t="s">
        <v>69</v>
      </c>
      <c r="AH122" s="181" t="s">
        <v>782</v>
      </c>
      <c r="AI122" s="57" t="s">
        <v>741</v>
      </c>
      <c r="AJ122" s="58" t="b">
        <v>0</v>
      </c>
      <c r="AK122" s="59"/>
      <c r="AL122" s="24"/>
      <c r="AM122" s="24"/>
      <c r="AN122" s="24"/>
    </row>
    <row r="123" ht="24.75" customHeight="1">
      <c r="A123" s="26">
        <v>2024.0</v>
      </c>
      <c r="B123" s="26">
        <v>10.0</v>
      </c>
      <c r="C123" s="41" t="s">
        <v>711</v>
      </c>
      <c r="D123" s="26">
        <v>2.02400119E8</v>
      </c>
      <c r="E123" s="26" t="s">
        <v>239</v>
      </c>
      <c r="F123" s="29" t="s">
        <v>133</v>
      </c>
      <c r="G123" s="42" t="s">
        <v>783</v>
      </c>
      <c r="H123" s="26"/>
      <c r="I123" s="26" t="s">
        <v>135</v>
      </c>
      <c r="J123" s="41" t="s">
        <v>189</v>
      </c>
      <c r="K123" s="26" t="s">
        <v>58</v>
      </c>
      <c r="L123" s="26" t="s">
        <v>59</v>
      </c>
      <c r="M123" s="26" t="s">
        <v>57</v>
      </c>
      <c r="N123" s="41" t="s">
        <v>61</v>
      </c>
      <c r="O123" s="41" t="s">
        <v>57</v>
      </c>
      <c r="P123" s="41" t="s">
        <v>57</v>
      </c>
      <c r="Q123" s="41" t="s">
        <v>57</v>
      </c>
      <c r="R123" s="41" t="s">
        <v>57</v>
      </c>
      <c r="S123" s="41" t="s">
        <v>57</v>
      </c>
      <c r="T123" s="26" t="s">
        <v>63</v>
      </c>
      <c r="U123" s="26" t="s">
        <v>57</v>
      </c>
      <c r="V123" s="26" t="s">
        <v>65</v>
      </c>
      <c r="W123" s="26" t="s">
        <v>78</v>
      </c>
      <c r="X123" s="42"/>
      <c r="Y123" s="115"/>
      <c r="Z123" s="32"/>
      <c r="AA123" s="161"/>
      <c r="AB123" s="156"/>
      <c r="AC123" s="26" t="s">
        <v>66</v>
      </c>
      <c r="AD123" s="26"/>
      <c r="AE123" s="126"/>
      <c r="AF123" s="75" t="s">
        <v>68</v>
      </c>
      <c r="AG123" s="34" t="s">
        <v>69</v>
      </c>
      <c r="AH123" s="172"/>
      <c r="AI123" s="36"/>
      <c r="AJ123" s="58" t="b">
        <v>0</v>
      </c>
      <c r="AK123" s="59"/>
      <c r="AL123" s="24"/>
      <c r="AM123" s="24"/>
      <c r="AN123" s="24"/>
    </row>
    <row r="124" ht="24.75" customHeight="1">
      <c r="A124" s="26">
        <v>2024.0</v>
      </c>
      <c r="B124" s="26">
        <v>10.0</v>
      </c>
      <c r="C124" s="41" t="s">
        <v>711</v>
      </c>
      <c r="D124" s="26">
        <v>2.0240012E8</v>
      </c>
      <c r="E124" s="26" t="s">
        <v>239</v>
      </c>
      <c r="F124" s="29" t="s">
        <v>72</v>
      </c>
      <c r="G124" s="42" t="s">
        <v>784</v>
      </c>
      <c r="H124" s="26"/>
      <c r="I124" s="26" t="s">
        <v>74</v>
      </c>
      <c r="J124" s="41" t="s">
        <v>189</v>
      </c>
      <c r="K124" s="26" t="s">
        <v>58</v>
      </c>
      <c r="L124" s="26" t="s">
        <v>59</v>
      </c>
      <c r="M124" s="26" t="s">
        <v>60</v>
      </c>
      <c r="N124" s="41" t="s">
        <v>61</v>
      </c>
      <c r="O124" s="41"/>
      <c r="P124" s="25"/>
      <c r="Q124" s="41"/>
      <c r="R124" s="25"/>
      <c r="S124" s="25"/>
      <c r="T124" s="26" t="s">
        <v>63</v>
      </c>
      <c r="U124" s="26" t="s">
        <v>57</v>
      </c>
      <c r="V124" s="26" t="s">
        <v>65</v>
      </c>
      <c r="W124" s="26" t="s">
        <v>57</v>
      </c>
      <c r="X124" s="42"/>
      <c r="Y124" s="115"/>
      <c r="Z124" s="32"/>
      <c r="AA124" s="161"/>
      <c r="AB124" s="156"/>
      <c r="AC124" s="26" t="s">
        <v>66</v>
      </c>
      <c r="AD124" s="26"/>
      <c r="AE124" s="126"/>
      <c r="AF124" s="75" t="s">
        <v>68</v>
      </c>
      <c r="AG124" s="34" t="s">
        <v>69</v>
      </c>
      <c r="AH124" s="172"/>
      <c r="AI124" s="36"/>
      <c r="AJ124" s="58" t="b">
        <v>0</v>
      </c>
      <c r="AK124" s="59"/>
      <c r="AL124" s="24"/>
      <c r="AM124" s="24"/>
      <c r="AN124" s="24"/>
    </row>
    <row r="125" ht="24.75" customHeight="1">
      <c r="A125" s="26">
        <v>2024.0</v>
      </c>
      <c r="B125" s="26">
        <v>10.0</v>
      </c>
      <c r="C125" s="41" t="s">
        <v>711</v>
      </c>
      <c r="D125" s="26">
        <v>2.02400121E8</v>
      </c>
      <c r="E125" s="26" t="s">
        <v>71</v>
      </c>
      <c r="F125" s="29" t="s">
        <v>82</v>
      </c>
      <c r="G125" s="42" t="s">
        <v>785</v>
      </c>
      <c r="H125" s="26"/>
      <c r="I125" s="26" t="s">
        <v>145</v>
      </c>
      <c r="J125" s="41" t="s">
        <v>189</v>
      </c>
      <c r="K125" s="26" t="s">
        <v>58</v>
      </c>
      <c r="L125" s="26" t="s">
        <v>59</v>
      </c>
      <c r="M125" s="26" t="s">
        <v>184</v>
      </c>
      <c r="N125" s="41" t="s">
        <v>61</v>
      </c>
      <c r="O125" s="25" t="s">
        <v>252</v>
      </c>
      <c r="P125" s="79">
        <v>4.1361571E7</v>
      </c>
      <c r="Q125" s="25" t="s">
        <v>476</v>
      </c>
      <c r="R125" s="25" t="s">
        <v>57</v>
      </c>
      <c r="S125" s="27">
        <v>3.002678422E9</v>
      </c>
      <c r="T125" s="26" t="s">
        <v>82</v>
      </c>
      <c r="U125" s="26" t="s">
        <v>129</v>
      </c>
      <c r="V125" s="26" t="s">
        <v>65</v>
      </c>
      <c r="W125" s="26" t="s">
        <v>204</v>
      </c>
      <c r="X125" s="42" t="s">
        <v>786</v>
      </c>
      <c r="Y125" s="115">
        <v>45596.0</v>
      </c>
      <c r="Z125" s="32"/>
      <c r="AA125" s="117" t="s">
        <v>787</v>
      </c>
      <c r="AB125" s="173" t="s">
        <v>788</v>
      </c>
      <c r="AC125" s="26" t="s">
        <v>66</v>
      </c>
      <c r="AD125" s="26" t="s">
        <v>67</v>
      </c>
      <c r="AE125" s="170" t="s">
        <v>789</v>
      </c>
      <c r="AF125" s="75" t="s">
        <v>68</v>
      </c>
      <c r="AG125" s="34" t="s">
        <v>69</v>
      </c>
      <c r="AH125" s="182" t="s">
        <v>790</v>
      </c>
      <c r="AI125" s="36"/>
      <c r="AJ125" s="58" t="b">
        <v>0</v>
      </c>
      <c r="AK125" s="59"/>
      <c r="AL125" s="24"/>
      <c r="AM125" s="24"/>
      <c r="AN125" s="24"/>
    </row>
    <row r="126" ht="24.75" customHeight="1">
      <c r="A126" s="26">
        <v>2024.0</v>
      </c>
      <c r="B126" s="26">
        <v>10.0</v>
      </c>
      <c r="C126" s="41" t="s">
        <v>711</v>
      </c>
      <c r="D126" s="26">
        <v>2.02400122E8</v>
      </c>
      <c r="E126" s="26" t="s">
        <v>105</v>
      </c>
      <c r="F126" s="29" t="s">
        <v>82</v>
      </c>
      <c r="G126" s="42" t="s">
        <v>791</v>
      </c>
      <c r="H126" s="26"/>
      <c r="I126" s="26" t="s">
        <v>84</v>
      </c>
      <c r="J126" s="41" t="s">
        <v>75</v>
      </c>
      <c r="K126" s="26" t="s">
        <v>58</v>
      </c>
      <c r="L126" s="26" t="s">
        <v>59</v>
      </c>
      <c r="M126" s="26" t="s">
        <v>60</v>
      </c>
      <c r="N126" s="41" t="s">
        <v>61</v>
      </c>
      <c r="O126" s="25" t="s">
        <v>76</v>
      </c>
      <c r="P126" s="27" t="s">
        <v>57</v>
      </c>
      <c r="Q126" s="25" t="s">
        <v>77</v>
      </c>
      <c r="R126" s="27" t="s">
        <v>57</v>
      </c>
      <c r="S126" s="27" t="s">
        <v>57</v>
      </c>
      <c r="T126" s="26" t="s">
        <v>82</v>
      </c>
      <c r="U126" s="26" t="s">
        <v>64</v>
      </c>
      <c r="V126" s="26" t="s">
        <v>65</v>
      </c>
      <c r="W126" s="26" t="s">
        <v>204</v>
      </c>
      <c r="X126" s="42"/>
      <c r="Y126" s="115">
        <v>45596.0</v>
      </c>
      <c r="Z126" s="32"/>
      <c r="AA126" s="161"/>
      <c r="AB126" s="156"/>
      <c r="AC126" s="26" t="s">
        <v>66</v>
      </c>
      <c r="AD126" s="26" t="s">
        <v>67</v>
      </c>
      <c r="AE126" s="25" t="s">
        <v>81</v>
      </c>
      <c r="AF126" s="75" t="s">
        <v>68</v>
      </c>
      <c r="AG126" s="34" t="s">
        <v>69</v>
      </c>
      <c r="AH126" s="172"/>
      <c r="AI126" s="36"/>
      <c r="AJ126" s="58" t="b">
        <v>0</v>
      </c>
      <c r="AK126" s="59"/>
      <c r="AL126" s="24"/>
      <c r="AM126" s="24"/>
      <c r="AN126" s="24"/>
    </row>
    <row r="127" ht="24.75" customHeight="1">
      <c r="A127" s="26">
        <v>2024.0</v>
      </c>
      <c r="B127" s="26">
        <v>10.0</v>
      </c>
      <c r="C127" s="41" t="s">
        <v>711</v>
      </c>
      <c r="D127" s="26">
        <v>2.02400123E8</v>
      </c>
      <c r="E127" s="26" t="s">
        <v>105</v>
      </c>
      <c r="F127" s="29" t="s">
        <v>128</v>
      </c>
      <c r="G127" s="42" t="s">
        <v>792</v>
      </c>
      <c r="H127" s="26"/>
      <c r="I127" s="26" t="s">
        <v>793</v>
      </c>
      <c r="J127" s="41" t="s">
        <v>57</v>
      </c>
      <c r="K127" s="26" t="s">
        <v>58</v>
      </c>
      <c r="L127" s="26" t="s">
        <v>59</v>
      </c>
      <c r="M127" s="26" t="s">
        <v>57</v>
      </c>
      <c r="N127" s="41" t="s">
        <v>61</v>
      </c>
      <c r="O127" s="25" t="s">
        <v>224</v>
      </c>
      <c r="P127" s="27" t="s">
        <v>57</v>
      </c>
      <c r="Q127" s="27" t="s">
        <v>57</v>
      </c>
      <c r="R127" s="51" t="s">
        <v>225</v>
      </c>
      <c r="S127" s="37">
        <v>3.107726665E9</v>
      </c>
      <c r="T127" s="26" t="s">
        <v>128</v>
      </c>
      <c r="U127" s="26" t="s">
        <v>129</v>
      </c>
      <c r="V127" s="26" t="s">
        <v>65</v>
      </c>
      <c r="W127" s="26" t="s">
        <v>78</v>
      </c>
      <c r="X127" s="42" t="s">
        <v>794</v>
      </c>
      <c r="Y127" s="115">
        <v>45596.0</v>
      </c>
      <c r="Z127" s="32"/>
      <c r="AA127" s="183">
        <v>45625.0</v>
      </c>
      <c r="AB127" s="156"/>
      <c r="AC127" s="26" t="s">
        <v>66</v>
      </c>
      <c r="AD127" s="26" t="s">
        <v>67</v>
      </c>
      <c r="AE127" s="126" t="s">
        <v>57</v>
      </c>
      <c r="AF127" s="75" t="s">
        <v>68</v>
      </c>
      <c r="AG127" s="34" t="s">
        <v>69</v>
      </c>
      <c r="AH127" s="172"/>
      <c r="AI127" s="36"/>
      <c r="AJ127" s="58" t="b">
        <v>0</v>
      </c>
      <c r="AK127" s="59"/>
      <c r="AL127" s="24"/>
      <c r="AM127" s="24"/>
      <c r="AN127" s="24"/>
    </row>
    <row r="128" ht="24.75" customHeight="1">
      <c r="A128" s="26">
        <v>2024.0</v>
      </c>
      <c r="B128" s="26">
        <v>11.0</v>
      </c>
      <c r="C128" s="41" t="s">
        <v>795</v>
      </c>
      <c r="D128" s="26">
        <v>2.02400124E8</v>
      </c>
      <c r="E128" s="26" t="s">
        <v>71</v>
      </c>
      <c r="F128" s="29" t="s">
        <v>82</v>
      </c>
      <c r="G128" s="42" t="s">
        <v>796</v>
      </c>
      <c r="H128" s="26"/>
      <c r="I128" s="26" t="s">
        <v>84</v>
      </c>
      <c r="J128" s="41" t="s">
        <v>797</v>
      </c>
      <c r="K128" s="26" t="s">
        <v>58</v>
      </c>
      <c r="L128" s="26" t="s">
        <v>59</v>
      </c>
      <c r="M128" s="26" t="s">
        <v>184</v>
      </c>
      <c r="N128" s="41" t="s">
        <v>61</v>
      </c>
      <c r="O128" s="25"/>
      <c r="P128" s="27"/>
      <c r="Q128" s="26" t="s">
        <v>798</v>
      </c>
      <c r="R128" s="51"/>
      <c r="S128" s="37"/>
      <c r="T128" s="26" t="s">
        <v>63</v>
      </c>
      <c r="U128" s="26" t="s">
        <v>64</v>
      </c>
      <c r="V128" s="26" t="s">
        <v>65</v>
      </c>
      <c r="W128" s="26" t="s">
        <v>78</v>
      </c>
      <c r="X128" s="42" t="s">
        <v>799</v>
      </c>
      <c r="Y128" s="115">
        <v>45597.0</v>
      </c>
      <c r="Z128" s="80">
        <v>45680.0</v>
      </c>
      <c r="AA128" s="161"/>
      <c r="AB128" s="156"/>
      <c r="AC128" s="26" t="s">
        <v>66</v>
      </c>
      <c r="AD128" s="26" t="s">
        <v>67</v>
      </c>
      <c r="AE128" s="184" t="s">
        <v>800</v>
      </c>
      <c r="AF128" s="75" t="s">
        <v>68</v>
      </c>
      <c r="AG128" s="34" t="s">
        <v>69</v>
      </c>
      <c r="AH128" s="172"/>
      <c r="AI128" s="36"/>
      <c r="AJ128" s="58" t="b">
        <v>0</v>
      </c>
      <c r="AK128" s="59"/>
      <c r="AL128" s="24"/>
      <c r="AM128" s="24"/>
      <c r="AN128" s="24"/>
    </row>
    <row r="129" ht="24.75" customHeight="1">
      <c r="A129" s="26">
        <v>2024.0</v>
      </c>
      <c r="B129" s="26">
        <v>11.0</v>
      </c>
      <c r="C129" s="41" t="s">
        <v>795</v>
      </c>
      <c r="D129" s="26">
        <v>2.02400125E8</v>
      </c>
      <c r="E129" s="26" t="s">
        <v>71</v>
      </c>
      <c r="F129" s="29" t="s">
        <v>82</v>
      </c>
      <c r="G129" s="42" t="s">
        <v>801</v>
      </c>
      <c r="H129" s="26"/>
      <c r="I129" s="26" t="s">
        <v>202</v>
      </c>
      <c r="J129" s="41" t="s">
        <v>183</v>
      </c>
      <c r="K129" s="26" t="s">
        <v>58</v>
      </c>
      <c r="L129" s="26" t="s">
        <v>59</v>
      </c>
      <c r="M129" s="26" t="s">
        <v>184</v>
      </c>
      <c r="N129" s="41" t="s">
        <v>61</v>
      </c>
      <c r="O129" s="41" t="s">
        <v>768</v>
      </c>
      <c r="P129" s="27"/>
      <c r="Q129" s="27"/>
      <c r="R129" s="51"/>
      <c r="S129" s="37"/>
      <c r="T129" s="26" t="s">
        <v>82</v>
      </c>
      <c r="U129" s="26" t="s">
        <v>64</v>
      </c>
      <c r="V129" s="26" t="s">
        <v>65</v>
      </c>
      <c r="W129" s="26" t="s">
        <v>204</v>
      </c>
      <c r="X129" s="42" t="s">
        <v>802</v>
      </c>
      <c r="Y129" s="115">
        <v>45597.0</v>
      </c>
      <c r="Z129" s="32"/>
      <c r="AA129" s="161"/>
      <c r="AB129" s="156"/>
      <c r="AC129" s="26" t="s">
        <v>66</v>
      </c>
      <c r="AD129" s="26"/>
      <c r="AE129" s="126" t="s">
        <v>772</v>
      </c>
      <c r="AF129" s="75" t="s">
        <v>68</v>
      </c>
      <c r="AG129" s="34" t="s">
        <v>69</v>
      </c>
      <c r="AH129" s="172"/>
      <c r="AI129" s="36"/>
      <c r="AJ129" s="58" t="b">
        <v>0</v>
      </c>
      <c r="AK129" s="59"/>
      <c r="AL129" s="24"/>
      <c r="AM129" s="24"/>
      <c r="AN129" s="24"/>
    </row>
    <row r="130" ht="24.75" customHeight="1">
      <c r="A130" s="26">
        <v>2024.0</v>
      </c>
      <c r="B130" s="26">
        <v>11.0</v>
      </c>
      <c r="C130" s="41" t="s">
        <v>795</v>
      </c>
      <c r="D130" s="26">
        <v>2.02400126E8</v>
      </c>
      <c r="E130" s="26" t="s">
        <v>105</v>
      </c>
      <c r="F130" s="29" t="s">
        <v>82</v>
      </c>
      <c r="G130" s="42" t="s">
        <v>803</v>
      </c>
      <c r="H130" s="26"/>
      <c r="I130" s="26" t="s">
        <v>145</v>
      </c>
      <c r="J130" s="41" t="s">
        <v>804</v>
      </c>
      <c r="K130" s="26" t="s">
        <v>58</v>
      </c>
      <c r="L130" s="26" t="s">
        <v>59</v>
      </c>
      <c r="M130" s="26" t="s">
        <v>60</v>
      </c>
      <c r="N130" s="41" t="s">
        <v>61</v>
      </c>
      <c r="O130" s="41" t="s">
        <v>805</v>
      </c>
      <c r="P130" s="27"/>
      <c r="Q130" s="41" t="s">
        <v>806</v>
      </c>
      <c r="R130" s="51"/>
      <c r="S130" s="29">
        <v>3.208628934E9</v>
      </c>
      <c r="T130" s="26" t="s">
        <v>82</v>
      </c>
      <c r="U130" s="26" t="s">
        <v>64</v>
      </c>
      <c r="V130" s="26" t="s">
        <v>65</v>
      </c>
      <c r="W130" s="26" t="s">
        <v>78</v>
      </c>
      <c r="X130" s="42" t="s">
        <v>807</v>
      </c>
      <c r="Y130" s="115">
        <v>45597.0</v>
      </c>
      <c r="Z130" s="80">
        <v>45628.0</v>
      </c>
      <c r="AA130" s="158" t="s">
        <v>808</v>
      </c>
      <c r="AB130" s="185" t="s">
        <v>809</v>
      </c>
      <c r="AC130" s="26" t="s">
        <v>66</v>
      </c>
      <c r="AD130" s="26"/>
      <c r="AE130" s="126" t="s">
        <v>810</v>
      </c>
      <c r="AF130" s="75" t="s">
        <v>68</v>
      </c>
      <c r="AG130" s="34" t="s">
        <v>69</v>
      </c>
      <c r="AH130" s="162" t="s">
        <v>306</v>
      </c>
      <c r="AI130" s="36"/>
      <c r="AJ130" s="58" t="b">
        <v>0</v>
      </c>
      <c r="AK130" s="59"/>
      <c r="AL130" s="24"/>
      <c r="AM130" s="24"/>
      <c r="AN130" s="24"/>
    </row>
    <row r="131" ht="24.75" customHeight="1">
      <c r="A131" s="26">
        <v>2024.0</v>
      </c>
      <c r="B131" s="26">
        <v>11.0</v>
      </c>
      <c r="C131" s="41" t="s">
        <v>795</v>
      </c>
      <c r="D131" s="26">
        <v>2.02400127E8</v>
      </c>
      <c r="E131" s="26" t="s">
        <v>71</v>
      </c>
      <c r="F131" s="29" t="s">
        <v>154</v>
      </c>
      <c r="G131" s="42" t="s">
        <v>811</v>
      </c>
      <c r="H131" s="26"/>
      <c r="I131" s="26" t="s">
        <v>230</v>
      </c>
      <c r="J131" s="41" t="s">
        <v>90</v>
      </c>
      <c r="K131" s="26" t="s">
        <v>58</v>
      </c>
      <c r="L131" s="26" t="s">
        <v>59</v>
      </c>
      <c r="M131" s="26" t="s">
        <v>60</v>
      </c>
      <c r="N131" s="41" t="s">
        <v>61</v>
      </c>
      <c r="O131" s="41" t="s">
        <v>278</v>
      </c>
      <c r="P131" s="27"/>
      <c r="Q131" s="25" t="s">
        <v>279</v>
      </c>
      <c r="R131" s="25" t="s">
        <v>57</v>
      </c>
      <c r="S131" s="27">
        <v>3.112448321E9</v>
      </c>
      <c r="T131" s="26" t="s">
        <v>154</v>
      </c>
      <c r="U131" s="26" t="s">
        <v>64</v>
      </c>
      <c r="V131" s="26" t="s">
        <v>65</v>
      </c>
      <c r="W131" s="26" t="s">
        <v>149</v>
      </c>
      <c r="X131" s="42" t="s">
        <v>812</v>
      </c>
      <c r="Y131" s="115">
        <v>45602.0</v>
      </c>
      <c r="Z131" s="26" t="s">
        <v>813</v>
      </c>
      <c r="AA131" s="125" t="s">
        <v>814</v>
      </c>
      <c r="AB131" s="119" t="s">
        <v>815</v>
      </c>
      <c r="AC131" s="26" t="s">
        <v>66</v>
      </c>
      <c r="AD131" s="26" t="s">
        <v>67</v>
      </c>
      <c r="AE131" s="170" t="s">
        <v>816</v>
      </c>
      <c r="AF131" s="75" t="s">
        <v>68</v>
      </c>
      <c r="AG131" s="34" t="s">
        <v>69</v>
      </c>
      <c r="AH131" s="172"/>
      <c r="AI131" s="36"/>
      <c r="AJ131" s="58" t="b">
        <v>0</v>
      </c>
      <c r="AK131" s="59"/>
      <c r="AL131" s="24"/>
      <c r="AM131" s="24"/>
      <c r="AN131" s="24"/>
    </row>
    <row r="132" ht="24.75" customHeight="1">
      <c r="A132" s="26">
        <v>2024.0</v>
      </c>
      <c r="B132" s="26">
        <v>11.0</v>
      </c>
      <c r="C132" s="41" t="s">
        <v>795</v>
      </c>
      <c r="D132" s="26">
        <v>2.02400128E8</v>
      </c>
      <c r="E132" s="26" t="s">
        <v>132</v>
      </c>
      <c r="F132" s="29" t="s">
        <v>133</v>
      </c>
      <c r="G132" s="42" t="s">
        <v>817</v>
      </c>
      <c r="H132" s="26"/>
      <c r="I132" s="26" t="s">
        <v>135</v>
      </c>
      <c r="J132" s="41" t="s">
        <v>818</v>
      </c>
      <c r="K132" s="26" t="s">
        <v>58</v>
      </c>
      <c r="L132" s="26" t="s">
        <v>59</v>
      </c>
      <c r="M132" s="26" t="s">
        <v>184</v>
      </c>
      <c r="N132" s="41" t="s">
        <v>61</v>
      </c>
      <c r="O132" s="27" t="s">
        <v>453</v>
      </c>
      <c r="P132" s="27"/>
      <c r="Q132" s="41" t="s">
        <v>819</v>
      </c>
      <c r="R132" s="25" t="s">
        <v>455</v>
      </c>
      <c r="S132" s="27">
        <v>3.125322919E9</v>
      </c>
      <c r="T132" s="26" t="s">
        <v>63</v>
      </c>
      <c r="U132" s="26" t="s">
        <v>64</v>
      </c>
      <c r="V132" s="26" t="s">
        <v>65</v>
      </c>
      <c r="W132" s="26" t="s">
        <v>78</v>
      </c>
      <c r="X132" s="42" t="s">
        <v>820</v>
      </c>
      <c r="Y132" s="115">
        <v>45604.0</v>
      </c>
      <c r="Z132" s="32"/>
      <c r="AA132" s="125"/>
      <c r="AB132" s="119"/>
      <c r="AC132" s="26" t="s">
        <v>66</v>
      </c>
      <c r="AD132" s="26" t="s">
        <v>67</v>
      </c>
      <c r="AE132" s="120" t="s">
        <v>821</v>
      </c>
      <c r="AF132" s="75" t="s">
        <v>68</v>
      </c>
      <c r="AG132" s="34" t="s">
        <v>69</v>
      </c>
      <c r="AH132" s="172"/>
      <c r="AI132" s="36"/>
      <c r="AJ132" s="58" t="b">
        <v>0</v>
      </c>
      <c r="AK132" s="59"/>
      <c r="AL132" s="24"/>
      <c r="AM132" s="24"/>
      <c r="AN132" s="24"/>
    </row>
    <row r="133" ht="24.75" customHeight="1">
      <c r="A133" s="26">
        <v>2024.0</v>
      </c>
      <c r="B133" s="26">
        <v>11.0</v>
      </c>
      <c r="C133" s="41" t="s">
        <v>795</v>
      </c>
      <c r="D133" s="26">
        <v>2.02400129E8</v>
      </c>
      <c r="E133" s="26" t="s">
        <v>2</v>
      </c>
      <c r="F133" s="29" t="s">
        <v>180</v>
      </c>
      <c r="G133" s="42" t="s">
        <v>822</v>
      </c>
      <c r="H133" s="26"/>
      <c r="I133" s="26" t="s">
        <v>84</v>
      </c>
      <c r="J133" s="41"/>
      <c r="K133" s="26" t="s">
        <v>58</v>
      </c>
      <c r="L133" s="26" t="s">
        <v>59</v>
      </c>
      <c r="M133" s="26" t="s">
        <v>60</v>
      </c>
      <c r="N133" s="41" t="s">
        <v>61</v>
      </c>
      <c r="O133" s="41" t="s">
        <v>823</v>
      </c>
      <c r="P133" s="26">
        <v>2.4875041E7</v>
      </c>
      <c r="Q133" s="41"/>
      <c r="R133" s="25"/>
      <c r="S133" s="26">
        <v>3.22872016E9</v>
      </c>
      <c r="T133" s="26" t="s">
        <v>63</v>
      </c>
      <c r="U133" s="26" t="s">
        <v>64</v>
      </c>
      <c r="V133" s="26" t="s">
        <v>65</v>
      </c>
      <c r="W133" s="26" t="s">
        <v>78</v>
      </c>
      <c r="X133" s="42" t="s">
        <v>824</v>
      </c>
      <c r="Y133" s="115">
        <v>45609.0</v>
      </c>
      <c r="Z133" s="32"/>
      <c r="AA133" s="125" t="s">
        <v>825</v>
      </c>
      <c r="AB133" s="186" t="s">
        <v>826</v>
      </c>
      <c r="AC133" s="26" t="s">
        <v>66</v>
      </c>
      <c r="AD133" s="26" t="s">
        <v>67</v>
      </c>
      <c r="AE133" s="120"/>
      <c r="AF133" s="75" t="s">
        <v>68</v>
      </c>
      <c r="AG133" s="34" t="s">
        <v>69</v>
      </c>
      <c r="AH133" s="186" t="s">
        <v>826</v>
      </c>
      <c r="AI133" s="36"/>
      <c r="AJ133" s="58" t="b">
        <v>0</v>
      </c>
      <c r="AK133" s="59"/>
      <c r="AL133" s="24"/>
      <c r="AM133" s="24"/>
      <c r="AN133" s="24"/>
    </row>
    <row r="134" ht="24.75" customHeight="1">
      <c r="A134" s="26">
        <v>2024.0</v>
      </c>
      <c r="B134" s="26">
        <v>11.0</v>
      </c>
      <c r="C134" s="41" t="s">
        <v>795</v>
      </c>
      <c r="D134" s="26">
        <v>2.0240013E8</v>
      </c>
      <c r="E134" s="26" t="s">
        <v>105</v>
      </c>
      <c r="F134" s="29" t="s">
        <v>82</v>
      </c>
      <c r="G134" s="42" t="s">
        <v>827</v>
      </c>
      <c r="H134" s="26"/>
      <c r="I134" s="26" t="s">
        <v>202</v>
      </c>
      <c r="J134" s="41" t="s">
        <v>828</v>
      </c>
      <c r="K134" s="26" t="s">
        <v>58</v>
      </c>
      <c r="L134" s="26" t="s">
        <v>59</v>
      </c>
      <c r="M134" s="26" t="s">
        <v>57</v>
      </c>
      <c r="N134" s="41" t="s">
        <v>61</v>
      </c>
      <c r="O134" s="41"/>
      <c r="P134" s="27"/>
      <c r="Q134" s="27" t="s">
        <v>573</v>
      </c>
      <c r="R134" s="25"/>
      <c r="S134" s="27"/>
      <c r="T134" s="26" t="s">
        <v>82</v>
      </c>
      <c r="U134" s="26" t="s">
        <v>64</v>
      </c>
      <c r="V134" s="26" t="s">
        <v>65</v>
      </c>
      <c r="W134" s="26" t="s">
        <v>78</v>
      </c>
      <c r="X134" s="122" t="s">
        <v>829</v>
      </c>
      <c r="Y134" s="115">
        <v>45609.0</v>
      </c>
      <c r="Z134" s="80">
        <v>45611.0</v>
      </c>
      <c r="AA134" s="122">
        <v>2.02452601929642E14</v>
      </c>
      <c r="AB134" s="119"/>
      <c r="AC134" s="26" t="s">
        <v>66</v>
      </c>
      <c r="AD134" s="26" t="s">
        <v>67</v>
      </c>
      <c r="AE134" s="120" t="s">
        <v>830</v>
      </c>
      <c r="AF134" s="75" t="s">
        <v>68</v>
      </c>
      <c r="AG134" s="34" t="s">
        <v>69</v>
      </c>
      <c r="AH134" s="187" t="s">
        <v>831</v>
      </c>
      <c r="AI134" s="36"/>
      <c r="AJ134" s="58" t="b">
        <v>0</v>
      </c>
      <c r="AK134" s="59"/>
      <c r="AL134" s="24"/>
      <c r="AM134" s="24"/>
      <c r="AN134" s="24"/>
    </row>
    <row r="135" ht="24.75" customHeight="1">
      <c r="A135" s="26">
        <v>2024.0</v>
      </c>
      <c r="B135" s="26">
        <v>11.0</v>
      </c>
      <c r="C135" s="41" t="s">
        <v>795</v>
      </c>
      <c r="D135" s="26">
        <v>2.02400131E8</v>
      </c>
      <c r="E135" s="26" t="s">
        <v>105</v>
      </c>
      <c r="F135" s="29" t="s">
        <v>259</v>
      </c>
      <c r="G135" s="42" t="s">
        <v>832</v>
      </c>
      <c r="H135" s="26"/>
      <c r="I135" s="26" t="s">
        <v>833</v>
      </c>
      <c r="J135" s="41" t="s">
        <v>601</v>
      </c>
      <c r="K135" s="26" t="s">
        <v>58</v>
      </c>
      <c r="L135" s="26" t="s">
        <v>59</v>
      </c>
      <c r="M135" s="26" t="s">
        <v>60</v>
      </c>
      <c r="N135" s="41" t="s">
        <v>61</v>
      </c>
      <c r="O135" s="41" t="s">
        <v>195</v>
      </c>
      <c r="P135" s="25" t="s">
        <v>57</v>
      </c>
      <c r="Q135" s="41" t="s">
        <v>602</v>
      </c>
      <c r="R135" s="25" t="s">
        <v>57</v>
      </c>
      <c r="S135" s="26">
        <v>3.196422287E9</v>
      </c>
      <c r="T135" s="26" t="s">
        <v>63</v>
      </c>
      <c r="U135" s="26" t="s">
        <v>64</v>
      </c>
      <c r="V135" s="26" t="s">
        <v>57</v>
      </c>
      <c r="W135" s="26" t="s">
        <v>57</v>
      </c>
      <c r="X135" s="42"/>
      <c r="Y135" s="115"/>
      <c r="Z135" s="32"/>
      <c r="AA135" s="125"/>
      <c r="AB135" s="119"/>
      <c r="AC135" s="26" t="s">
        <v>66</v>
      </c>
      <c r="AD135" s="26" t="s">
        <v>67</v>
      </c>
      <c r="AE135" s="120" t="s">
        <v>834</v>
      </c>
      <c r="AF135" s="75" t="s">
        <v>68</v>
      </c>
      <c r="AG135" s="34" t="s">
        <v>69</v>
      </c>
      <c r="AH135" s="172"/>
      <c r="AI135" s="36"/>
      <c r="AJ135" s="58" t="b">
        <v>0</v>
      </c>
      <c r="AK135" s="59"/>
      <c r="AL135" s="24"/>
      <c r="AM135" s="24"/>
      <c r="AN135" s="24"/>
    </row>
    <row r="136" ht="24.75" customHeight="1">
      <c r="A136" s="26">
        <v>2024.0</v>
      </c>
      <c r="B136" s="26">
        <v>11.0</v>
      </c>
      <c r="C136" s="41" t="s">
        <v>795</v>
      </c>
      <c r="D136" s="26">
        <v>2.02400132E8</v>
      </c>
      <c r="E136" s="26" t="s">
        <v>71</v>
      </c>
      <c r="F136" s="29" t="s">
        <v>154</v>
      </c>
      <c r="G136" s="42" t="s">
        <v>835</v>
      </c>
      <c r="H136" s="41" t="s">
        <v>836</v>
      </c>
      <c r="I136" s="26" t="s">
        <v>749</v>
      </c>
      <c r="J136" s="41" t="s">
        <v>427</v>
      </c>
      <c r="K136" s="26" t="s">
        <v>58</v>
      </c>
      <c r="L136" s="26" t="s">
        <v>59</v>
      </c>
      <c r="M136" s="26" t="s">
        <v>184</v>
      </c>
      <c r="N136" s="41" t="s">
        <v>61</v>
      </c>
      <c r="O136" s="25" t="s">
        <v>345</v>
      </c>
      <c r="P136" s="25" t="s">
        <v>57</v>
      </c>
      <c r="Q136" s="27" t="s">
        <v>522</v>
      </c>
      <c r="R136" s="25" t="s">
        <v>57</v>
      </c>
      <c r="S136" s="41">
        <v>3.004954221E9</v>
      </c>
      <c r="T136" s="26" t="s">
        <v>154</v>
      </c>
      <c r="U136" s="26" t="s">
        <v>64</v>
      </c>
      <c r="V136" s="26" t="s">
        <v>65</v>
      </c>
      <c r="W136" s="26" t="s">
        <v>204</v>
      </c>
      <c r="X136" s="42" t="s">
        <v>837</v>
      </c>
      <c r="Y136" s="26"/>
      <c r="Z136" s="80">
        <v>45633.0</v>
      </c>
      <c r="AA136" s="92">
        <v>899979.0</v>
      </c>
      <c r="AB136" s="92" t="s">
        <v>838</v>
      </c>
      <c r="AC136" s="26" t="s">
        <v>66</v>
      </c>
      <c r="AD136" s="26" t="s">
        <v>67</v>
      </c>
      <c r="AE136" s="120" t="s">
        <v>839</v>
      </c>
      <c r="AF136" s="75" t="s">
        <v>68</v>
      </c>
      <c r="AG136" s="34" t="s">
        <v>69</v>
      </c>
      <c r="AH136" s="172"/>
      <c r="AI136" s="57" t="s">
        <v>840</v>
      </c>
      <c r="AJ136" s="58" t="b">
        <v>0</v>
      </c>
      <c r="AK136" s="59"/>
      <c r="AL136" s="24"/>
      <c r="AM136" s="24"/>
      <c r="AN136" s="24"/>
    </row>
    <row r="137" ht="24.75" customHeight="1">
      <c r="A137" s="26">
        <v>2024.0</v>
      </c>
      <c r="B137" s="26">
        <v>11.0</v>
      </c>
      <c r="C137" s="41" t="s">
        <v>795</v>
      </c>
      <c r="D137" s="26">
        <v>2.02400133E8</v>
      </c>
      <c r="E137" s="26" t="s">
        <v>132</v>
      </c>
      <c r="F137" s="29" t="s">
        <v>154</v>
      </c>
      <c r="G137" s="42" t="s">
        <v>841</v>
      </c>
      <c r="H137" s="26"/>
      <c r="I137" s="26" t="s">
        <v>170</v>
      </c>
      <c r="J137" s="41" t="s">
        <v>427</v>
      </c>
      <c r="K137" s="26" t="s">
        <v>58</v>
      </c>
      <c r="L137" s="26" t="s">
        <v>59</v>
      </c>
      <c r="M137" s="26" t="s">
        <v>184</v>
      </c>
      <c r="N137" s="41" t="s">
        <v>61</v>
      </c>
      <c r="O137" s="25" t="s">
        <v>345</v>
      </c>
      <c r="P137" s="25" t="s">
        <v>57</v>
      </c>
      <c r="Q137" s="27" t="s">
        <v>522</v>
      </c>
      <c r="R137" s="25" t="s">
        <v>57</v>
      </c>
      <c r="S137" s="41">
        <v>3.004954221E9</v>
      </c>
      <c r="T137" s="26" t="s">
        <v>154</v>
      </c>
      <c r="U137" s="26" t="s">
        <v>64</v>
      </c>
      <c r="V137" s="26" t="s">
        <v>65</v>
      </c>
      <c r="W137" s="26" t="s">
        <v>78</v>
      </c>
      <c r="X137" s="42" t="s">
        <v>842</v>
      </c>
      <c r="Y137" s="115">
        <v>45611.0</v>
      </c>
      <c r="Z137" s="32"/>
      <c r="AA137" s="158" t="s">
        <v>843</v>
      </c>
      <c r="AB137" s="119"/>
      <c r="AC137" s="26" t="s">
        <v>66</v>
      </c>
      <c r="AD137" s="26" t="s">
        <v>67</v>
      </c>
      <c r="AE137" s="120" t="s">
        <v>844</v>
      </c>
      <c r="AF137" s="75" t="s">
        <v>68</v>
      </c>
      <c r="AG137" s="34" t="s">
        <v>69</v>
      </c>
      <c r="AH137" s="172"/>
      <c r="AI137" s="36"/>
      <c r="AJ137" s="58" t="b">
        <v>0</v>
      </c>
      <c r="AK137" s="59"/>
      <c r="AL137" s="24"/>
      <c r="AM137" s="24"/>
      <c r="AN137" s="24"/>
    </row>
    <row r="138" ht="24.75" customHeight="1">
      <c r="A138" s="26">
        <v>2024.0</v>
      </c>
      <c r="B138" s="26">
        <v>11.0</v>
      </c>
      <c r="C138" s="41" t="s">
        <v>795</v>
      </c>
      <c r="D138" s="26">
        <v>2.02400134E8</v>
      </c>
      <c r="E138" s="26" t="s">
        <v>2</v>
      </c>
      <c r="F138" s="29" t="s">
        <v>128</v>
      </c>
      <c r="G138" s="42" t="s">
        <v>845</v>
      </c>
      <c r="H138" s="26"/>
      <c r="I138" s="26" t="s">
        <v>182</v>
      </c>
      <c r="J138" s="41" t="s">
        <v>171</v>
      </c>
      <c r="K138" s="26" t="s">
        <v>58</v>
      </c>
      <c r="L138" s="26" t="s">
        <v>59</v>
      </c>
      <c r="M138" s="26" t="s">
        <v>60</v>
      </c>
      <c r="N138" s="41" t="s">
        <v>61</v>
      </c>
      <c r="O138" s="41" t="s">
        <v>846</v>
      </c>
      <c r="P138" s="26" t="s">
        <v>847</v>
      </c>
      <c r="Q138" s="41" t="s">
        <v>848</v>
      </c>
      <c r="R138" s="41" t="s">
        <v>849</v>
      </c>
      <c r="S138" s="26">
        <v>3.242932531E9</v>
      </c>
      <c r="T138" s="26" t="s">
        <v>128</v>
      </c>
      <c r="U138" s="26" t="s">
        <v>64</v>
      </c>
      <c r="V138" s="26" t="s">
        <v>65</v>
      </c>
      <c r="W138" s="26" t="s">
        <v>78</v>
      </c>
      <c r="X138" s="188" t="s">
        <v>850</v>
      </c>
      <c r="Y138" s="115">
        <v>45611.0</v>
      </c>
      <c r="Z138" s="32"/>
      <c r="AA138" s="189" t="s">
        <v>851</v>
      </c>
      <c r="AB138" s="119"/>
      <c r="AC138" s="26" t="s">
        <v>66</v>
      </c>
      <c r="AD138" s="26" t="s">
        <v>67</v>
      </c>
      <c r="AE138" s="120" t="s">
        <v>852</v>
      </c>
      <c r="AF138" s="75" t="s">
        <v>68</v>
      </c>
      <c r="AG138" s="34" t="s">
        <v>69</v>
      </c>
      <c r="AH138" s="190" t="s">
        <v>853</v>
      </c>
      <c r="AI138" s="36"/>
      <c r="AJ138" s="58" t="b">
        <v>0</v>
      </c>
      <c r="AK138" s="59"/>
      <c r="AL138" s="24"/>
      <c r="AM138" s="24"/>
      <c r="AN138" s="24"/>
    </row>
    <row r="139" ht="24.75" customHeight="1">
      <c r="A139" s="26">
        <v>2024.0</v>
      </c>
      <c r="B139" s="26">
        <v>11.0</v>
      </c>
      <c r="C139" s="41" t="s">
        <v>795</v>
      </c>
      <c r="D139" s="26">
        <v>2.02400135E8</v>
      </c>
      <c r="E139" s="26" t="s">
        <v>2</v>
      </c>
      <c r="F139" s="29" t="s">
        <v>381</v>
      </c>
      <c r="G139" s="42" t="s">
        <v>854</v>
      </c>
      <c r="H139" s="26"/>
      <c r="I139" s="26" t="s">
        <v>373</v>
      </c>
      <c r="J139" s="41" t="s">
        <v>855</v>
      </c>
      <c r="K139" s="26" t="s">
        <v>58</v>
      </c>
      <c r="L139" s="26" t="s">
        <v>59</v>
      </c>
      <c r="M139" s="26" t="s">
        <v>99</v>
      </c>
      <c r="N139" s="41" t="s">
        <v>61</v>
      </c>
      <c r="O139" s="41" t="s">
        <v>856</v>
      </c>
      <c r="P139" s="26">
        <v>2.938395E7</v>
      </c>
      <c r="Q139" s="41" t="s">
        <v>857</v>
      </c>
      <c r="R139" s="41" t="s">
        <v>858</v>
      </c>
      <c r="S139" s="26">
        <v>3.202153191E9</v>
      </c>
      <c r="T139" s="26" t="s">
        <v>63</v>
      </c>
      <c r="U139" s="26" t="s">
        <v>64</v>
      </c>
      <c r="V139" s="26" t="s">
        <v>65</v>
      </c>
      <c r="W139" s="26" t="s">
        <v>204</v>
      </c>
      <c r="X139" s="42"/>
      <c r="Y139" s="115">
        <v>45611.0</v>
      </c>
      <c r="Z139" s="32"/>
      <c r="AA139" s="92" t="s">
        <v>859</v>
      </c>
      <c r="AB139" s="191" t="s">
        <v>860</v>
      </c>
      <c r="AC139" s="26" t="s">
        <v>66</v>
      </c>
      <c r="AD139" s="26" t="s">
        <v>67</v>
      </c>
      <c r="AE139" s="120" t="s">
        <v>861</v>
      </c>
      <c r="AF139" s="75" t="s">
        <v>68</v>
      </c>
      <c r="AG139" s="34" t="s">
        <v>69</v>
      </c>
      <c r="AH139" s="192" t="s">
        <v>862</v>
      </c>
      <c r="AI139" s="57" t="s">
        <v>863</v>
      </c>
      <c r="AJ139" s="58" t="b">
        <v>0</v>
      </c>
      <c r="AK139" s="59"/>
      <c r="AL139" s="24"/>
      <c r="AM139" s="24"/>
      <c r="AN139" s="24"/>
    </row>
    <row r="140" ht="24.75" customHeight="1">
      <c r="A140" s="26">
        <v>2024.0</v>
      </c>
      <c r="B140" s="26">
        <v>11.0</v>
      </c>
      <c r="C140" s="41" t="s">
        <v>795</v>
      </c>
      <c r="D140" s="26">
        <v>2.02400136E8</v>
      </c>
      <c r="E140" s="26" t="s">
        <v>2</v>
      </c>
      <c r="F140" s="29" t="s">
        <v>180</v>
      </c>
      <c r="G140" s="42" t="s">
        <v>864</v>
      </c>
      <c r="H140" s="26"/>
      <c r="I140" s="26" t="s">
        <v>84</v>
      </c>
      <c r="J140" s="41" t="s">
        <v>865</v>
      </c>
      <c r="K140" s="26" t="s">
        <v>58</v>
      </c>
      <c r="L140" s="26" t="s">
        <v>59</v>
      </c>
      <c r="M140" s="26" t="s">
        <v>184</v>
      </c>
      <c r="N140" s="41" t="s">
        <v>61</v>
      </c>
      <c r="O140" s="45" t="s">
        <v>866</v>
      </c>
      <c r="P140" s="26">
        <v>4.1561408E7</v>
      </c>
      <c r="Q140" s="41" t="s">
        <v>867</v>
      </c>
      <c r="R140" s="41"/>
      <c r="S140" s="26">
        <v>3.143937414E9</v>
      </c>
      <c r="T140" s="26" t="s">
        <v>63</v>
      </c>
      <c r="U140" s="26" t="s">
        <v>64</v>
      </c>
      <c r="V140" s="26" t="s">
        <v>65</v>
      </c>
      <c r="W140" s="26" t="s">
        <v>149</v>
      </c>
      <c r="X140" s="42" t="s">
        <v>868</v>
      </c>
      <c r="Y140" s="115">
        <v>45615.0</v>
      </c>
      <c r="Z140" s="32"/>
      <c r="AA140" s="193"/>
      <c r="AB140" s="191"/>
      <c r="AC140" s="26" t="s">
        <v>66</v>
      </c>
      <c r="AD140" s="26" t="s">
        <v>67</v>
      </c>
      <c r="AE140" s="194" t="s">
        <v>869</v>
      </c>
      <c r="AF140" s="75" t="s">
        <v>68</v>
      </c>
      <c r="AG140" s="34" t="s">
        <v>69</v>
      </c>
      <c r="AH140" s="195"/>
      <c r="AI140" s="36"/>
      <c r="AJ140" s="58" t="b">
        <v>0</v>
      </c>
      <c r="AK140" s="59"/>
      <c r="AL140" s="24"/>
      <c r="AM140" s="24"/>
      <c r="AN140" s="24"/>
    </row>
    <row r="141" ht="24.75" customHeight="1">
      <c r="A141" s="26">
        <v>2024.0</v>
      </c>
      <c r="B141" s="26">
        <v>11.0</v>
      </c>
      <c r="C141" s="41" t="s">
        <v>795</v>
      </c>
      <c r="D141" s="26">
        <v>2.02400137E8</v>
      </c>
      <c r="E141" s="26" t="s">
        <v>71</v>
      </c>
      <c r="F141" s="29" t="s">
        <v>82</v>
      </c>
      <c r="G141" s="42" t="s">
        <v>870</v>
      </c>
      <c r="H141" s="26"/>
      <c r="I141" s="26" t="s">
        <v>84</v>
      </c>
      <c r="J141" s="41" t="s">
        <v>272</v>
      </c>
      <c r="K141" s="26" t="s">
        <v>58</v>
      </c>
      <c r="L141" s="26" t="s">
        <v>59</v>
      </c>
      <c r="M141" s="26" t="s">
        <v>99</v>
      </c>
      <c r="N141" s="41" t="s">
        <v>61</v>
      </c>
      <c r="O141" s="41" t="s">
        <v>759</v>
      </c>
      <c r="P141" s="25" t="s">
        <v>57</v>
      </c>
      <c r="Q141" s="41" t="s">
        <v>760</v>
      </c>
      <c r="R141" s="25" t="s">
        <v>57</v>
      </c>
      <c r="S141" s="41">
        <v>3.212923898E9</v>
      </c>
      <c r="T141" s="26" t="s">
        <v>82</v>
      </c>
      <c r="U141" s="26" t="s">
        <v>64</v>
      </c>
      <c r="V141" s="26" t="s">
        <v>65</v>
      </c>
      <c r="W141" s="26" t="s">
        <v>204</v>
      </c>
      <c r="X141" s="122" t="s">
        <v>871</v>
      </c>
      <c r="Y141" s="115">
        <v>45629.0</v>
      </c>
      <c r="Z141" s="80">
        <v>45644.0</v>
      </c>
      <c r="AA141" s="196" t="s">
        <v>872</v>
      </c>
      <c r="AB141" s="191"/>
      <c r="AC141" s="26" t="s">
        <v>66</v>
      </c>
      <c r="AD141" s="26" t="s">
        <v>67</v>
      </c>
      <c r="AE141" s="197" t="s">
        <v>873</v>
      </c>
      <c r="AF141" s="75" t="s">
        <v>68</v>
      </c>
      <c r="AG141" s="34" t="s">
        <v>69</v>
      </c>
      <c r="AH141" s="195"/>
      <c r="AI141" s="36"/>
      <c r="AJ141" s="58" t="b">
        <v>0</v>
      </c>
      <c r="AK141" s="59"/>
      <c r="AL141" s="24"/>
      <c r="AM141" s="24"/>
      <c r="AN141" s="24"/>
    </row>
    <row r="142" ht="24.75" customHeight="1">
      <c r="A142" s="26">
        <v>2024.0</v>
      </c>
      <c r="B142" s="26">
        <v>11.0</v>
      </c>
      <c r="C142" s="41" t="s">
        <v>795</v>
      </c>
      <c r="D142" s="26">
        <v>2.02400138E8</v>
      </c>
      <c r="E142" s="26" t="s">
        <v>132</v>
      </c>
      <c r="F142" s="29" t="s">
        <v>154</v>
      </c>
      <c r="G142" s="42" t="s">
        <v>874</v>
      </c>
      <c r="H142" s="26"/>
      <c r="I142" s="26" t="s">
        <v>170</v>
      </c>
      <c r="J142" s="122" t="s">
        <v>163</v>
      </c>
      <c r="K142" s="26" t="s">
        <v>58</v>
      </c>
      <c r="L142" s="26" t="s">
        <v>59</v>
      </c>
      <c r="M142" s="26" t="s">
        <v>99</v>
      </c>
      <c r="N142" s="41" t="s">
        <v>61</v>
      </c>
      <c r="O142" s="41" t="s">
        <v>875</v>
      </c>
      <c r="P142" s="26"/>
      <c r="Q142" s="122" t="s">
        <v>876</v>
      </c>
      <c r="R142" s="41"/>
      <c r="S142" s="26">
        <v>3.5048467E9</v>
      </c>
      <c r="T142" s="26" t="s">
        <v>154</v>
      </c>
      <c r="U142" s="26" t="s">
        <v>64</v>
      </c>
      <c r="V142" s="26" t="s">
        <v>65</v>
      </c>
      <c r="W142" s="26" t="s">
        <v>78</v>
      </c>
      <c r="X142" s="42" t="s">
        <v>877</v>
      </c>
      <c r="Y142" s="115">
        <v>45615.0</v>
      </c>
      <c r="Z142" s="32"/>
      <c r="AA142" s="189" t="s">
        <v>878</v>
      </c>
      <c r="AB142" s="191"/>
      <c r="AC142" s="26" t="s">
        <v>66</v>
      </c>
      <c r="AD142" s="26" t="s">
        <v>67</v>
      </c>
      <c r="AE142" s="149" t="s">
        <v>879</v>
      </c>
      <c r="AF142" s="75" t="s">
        <v>68</v>
      </c>
      <c r="AG142" s="34" t="s">
        <v>69</v>
      </c>
      <c r="AH142" s="190" t="s">
        <v>880</v>
      </c>
      <c r="AI142" s="36"/>
      <c r="AJ142" s="58" t="b">
        <v>0</v>
      </c>
      <c r="AK142" s="59"/>
      <c r="AL142" s="24"/>
      <c r="AM142" s="24"/>
      <c r="AN142" s="24"/>
    </row>
    <row r="143" ht="24.75" customHeight="1">
      <c r="A143" s="26">
        <v>2024.0</v>
      </c>
      <c r="B143" s="26">
        <v>11.0</v>
      </c>
      <c r="C143" s="41" t="s">
        <v>795</v>
      </c>
      <c r="D143" s="26">
        <v>2.02400139E8</v>
      </c>
      <c r="E143" s="26" t="s">
        <v>132</v>
      </c>
      <c r="F143" s="29" t="s">
        <v>82</v>
      </c>
      <c r="G143" s="42" t="s">
        <v>881</v>
      </c>
      <c r="H143" s="26"/>
      <c r="I143" s="26" t="s">
        <v>145</v>
      </c>
      <c r="J143" s="41" t="s">
        <v>731</v>
      </c>
      <c r="K143" s="26" t="s">
        <v>58</v>
      </c>
      <c r="L143" s="26" t="s">
        <v>59</v>
      </c>
      <c r="M143" s="26" t="s">
        <v>99</v>
      </c>
      <c r="N143" s="41" t="s">
        <v>61</v>
      </c>
      <c r="O143" s="41" t="s">
        <v>882</v>
      </c>
      <c r="P143" s="26"/>
      <c r="Q143" s="41" t="s">
        <v>733</v>
      </c>
      <c r="R143" s="41"/>
      <c r="S143" s="26">
        <v>3.212848322E9</v>
      </c>
      <c r="T143" s="26" t="s">
        <v>82</v>
      </c>
      <c r="U143" s="26" t="s">
        <v>64</v>
      </c>
      <c r="V143" s="26" t="s">
        <v>65</v>
      </c>
      <c r="W143" s="26" t="s">
        <v>78</v>
      </c>
      <c r="X143" s="42"/>
      <c r="Y143" s="115">
        <v>45615.0</v>
      </c>
      <c r="Z143" s="32"/>
      <c r="AA143" s="54" t="s">
        <v>883</v>
      </c>
      <c r="AB143" s="191"/>
      <c r="AC143" s="26" t="s">
        <v>66</v>
      </c>
      <c r="AD143" s="26" t="s">
        <v>67</v>
      </c>
      <c r="AE143" s="149" t="s">
        <v>884</v>
      </c>
      <c r="AF143" s="75" t="s">
        <v>68</v>
      </c>
      <c r="AG143" s="34" t="s">
        <v>69</v>
      </c>
      <c r="AH143" s="190" t="s">
        <v>885</v>
      </c>
      <c r="AI143" s="36"/>
      <c r="AJ143" s="58" t="b">
        <v>0</v>
      </c>
      <c r="AK143" s="59"/>
      <c r="AL143" s="24"/>
      <c r="AM143" s="24"/>
      <c r="AN143" s="24"/>
    </row>
    <row r="144" ht="24.75" customHeight="1">
      <c r="A144" s="26">
        <v>2024.0</v>
      </c>
      <c r="B144" s="26">
        <v>11.0</v>
      </c>
      <c r="C144" s="41" t="s">
        <v>795</v>
      </c>
      <c r="D144" s="26">
        <v>2.0240014E8</v>
      </c>
      <c r="E144" s="26" t="s">
        <v>71</v>
      </c>
      <c r="F144" s="29" t="s">
        <v>154</v>
      </c>
      <c r="G144" s="42" t="s">
        <v>886</v>
      </c>
      <c r="H144" s="26"/>
      <c r="I144" s="26" t="s">
        <v>194</v>
      </c>
      <c r="J144" s="119" t="s">
        <v>163</v>
      </c>
      <c r="K144" s="26" t="s">
        <v>58</v>
      </c>
      <c r="L144" s="26" t="s">
        <v>59</v>
      </c>
      <c r="M144" s="26" t="s">
        <v>99</v>
      </c>
      <c r="N144" s="41" t="s">
        <v>61</v>
      </c>
      <c r="O144" s="41" t="s">
        <v>875</v>
      </c>
      <c r="P144" s="26"/>
      <c r="Q144" s="122" t="s">
        <v>876</v>
      </c>
      <c r="R144" s="41"/>
      <c r="S144" s="26">
        <v>3.5048467E9</v>
      </c>
      <c r="T144" s="26" t="s">
        <v>154</v>
      </c>
      <c r="U144" s="26" t="s">
        <v>64</v>
      </c>
      <c r="V144" s="26" t="s">
        <v>65</v>
      </c>
      <c r="W144" s="26" t="s">
        <v>149</v>
      </c>
      <c r="X144" s="42" t="s">
        <v>887</v>
      </c>
      <c r="Y144" s="115">
        <v>45615.0</v>
      </c>
      <c r="Z144" s="32"/>
      <c r="AA144" s="117" t="s">
        <v>888</v>
      </c>
      <c r="AB144" s="198" t="s">
        <v>889</v>
      </c>
      <c r="AC144" s="26" t="s">
        <v>66</v>
      </c>
      <c r="AD144" s="26" t="s">
        <v>67</v>
      </c>
      <c r="AE144" s="120" t="s">
        <v>890</v>
      </c>
      <c r="AF144" s="75" t="s">
        <v>68</v>
      </c>
      <c r="AG144" s="34" t="s">
        <v>69</v>
      </c>
      <c r="AH144" s="195"/>
      <c r="AI144" s="36"/>
      <c r="AJ144" s="58" t="b">
        <v>0</v>
      </c>
      <c r="AK144" s="59"/>
      <c r="AL144" s="24"/>
      <c r="AM144" s="24"/>
      <c r="AN144" s="24"/>
    </row>
    <row r="145" ht="24.75" customHeight="1">
      <c r="A145" s="26">
        <v>2024.0</v>
      </c>
      <c r="B145" s="26">
        <v>11.0</v>
      </c>
      <c r="C145" s="41" t="s">
        <v>795</v>
      </c>
      <c r="D145" s="26">
        <v>2.02400141E8</v>
      </c>
      <c r="E145" s="26" t="s">
        <v>71</v>
      </c>
      <c r="F145" s="29" t="s">
        <v>82</v>
      </c>
      <c r="G145" s="42" t="s">
        <v>891</v>
      </c>
      <c r="H145" s="26"/>
      <c r="I145" s="26" t="s">
        <v>145</v>
      </c>
      <c r="J145" s="92" t="s">
        <v>272</v>
      </c>
      <c r="K145" s="26" t="s">
        <v>58</v>
      </c>
      <c r="L145" s="26" t="s">
        <v>59</v>
      </c>
      <c r="M145" s="26" t="s">
        <v>99</v>
      </c>
      <c r="N145" s="41" t="s">
        <v>61</v>
      </c>
      <c r="O145" s="41" t="s">
        <v>759</v>
      </c>
      <c r="P145" s="25" t="s">
        <v>57</v>
      </c>
      <c r="Q145" s="41" t="s">
        <v>760</v>
      </c>
      <c r="R145" s="25" t="s">
        <v>57</v>
      </c>
      <c r="S145" s="41">
        <v>3.212923898E9</v>
      </c>
      <c r="T145" s="26" t="s">
        <v>63</v>
      </c>
      <c r="U145" s="26" t="s">
        <v>64</v>
      </c>
      <c r="V145" s="26" t="s">
        <v>65</v>
      </c>
      <c r="W145" s="26" t="s">
        <v>78</v>
      </c>
      <c r="X145" s="42" t="s">
        <v>892</v>
      </c>
      <c r="Y145" s="115">
        <v>45604.0</v>
      </c>
      <c r="Z145" s="32"/>
      <c r="AA145" s="119" t="s">
        <v>893</v>
      </c>
      <c r="AB145" s="122" t="s">
        <v>894</v>
      </c>
      <c r="AC145" s="26" t="s">
        <v>66</v>
      </c>
      <c r="AD145" s="26"/>
      <c r="AE145" s="120" t="s">
        <v>895</v>
      </c>
      <c r="AF145" s="75" t="s">
        <v>68</v>
      </c>
      <c r="AG145" s="34" t="s">
        <v>69</v>
      </c>
      <c r="AH145" s="195"/>
      <c r="AI145" s="36"/>
      <c r="AJ145" s="58" t="b">
        <v>0</v>
      </c>
      <c r="AK145" s="59"/>
      <c r="AL145" s="24"/>
      <c r="AM145" s="24"/>
      <c r="AN145" s="24"/>
    </row>
    <row r="146" ht="24.75" customHeight="1">
      <c r="A146" s="26">
        <v>2024.0</v>
      </c>
      <c r="B146" s="26">
        <v>11.0</v>
      </c>
      <c r="C146" s="41" t="s">
        <v>795</v>
      </c>
      <c r="D146" s="26">
        <v>2.02400142E8</v>
      </c>
      <c r="E146" s="26" t="s">
        <v>71</v>
      </c>
      <c r="F146" s="29" t="s">
        <v>82</v>
      </c>
      <c r="G146" s="42" t="s">
        <v>896</v>
      </c>
      <c r="H146" s="26"/>
      <c r="I146" s="26" t="s">
        <v>84</v>
      </c>
      <c r="J146" s="119" t="s">
        <v>897</v>
      </c>
      <c r="K146" s="26" t="s">
        <v>58</v>
      </c>
      <c r="L146" s="26" t="s">
        <v>59</v>
      </c>
      <c r="M146" s="26" t="s">
        <v>60</v>
      </c>
      <c r="N146" s="41" t="s">
        <v>61</v>
      </c>
      <c r="O146" s="41" t="s">
        <v>898</v>
      </c>
      <c r="P146" s="26"/>
      <c r="Q146" s="199" t="s">
        <v>899</v>
      </c>
      <c r="R146" s="41"/>
      <c r="S146" s="26">
        <v>3.1347283E9</v>
      </c>
      <c r="T146" s="26" t="s">
        <v>63</v>
      </c>
      <c r="U146" s="26" t="s">
        <v>64</v>
      </c>
      <c r="V146" s="26" t="s">
        <v>65</v>
      </c>
      <c r="W146" s="26" t="s">
        <v>204</v>
      </c>
      <c r="X146" s="42" t="s">
        <v>900</v>
      </c>
      <c r="Y146" s="115">
        <v>45617.0</v>
      </c>
      <c r="Z146" s="32"/>
      <c r="AA146" s="92"/>
      <c r="AB146" s="191"/>
      <c r="AC146" s="26" t="s">
        <v>66</v>
      </c>
      <c r="AD146" s="26" t="s">
        <v>67</v>
      </c>
      <c r="AE146" s="120" t="s">
        <v>901</v>
      </c>
      <c r="AF146" s="75" t="s">
        <v>68</v>
      </c>
      <c r="AG146" s="34" t="s">
        <v>69</v>
      </c>
      <c r="AH146" s="195"/>
      <c r="AI146" s="36"/>
      <c r="AJ146" s="58" t="b">
        <v>0</v>
      </c>
      <c r="AK146" s="59"/>
      <c r="AL146" s="24"/>
      <c r="AM146" s="24"/>
      <c r="AN146" s="24"/>
    </row>
    <row r="147" ht="24.75" customHeight="1">
      <c r="A147" s="26">
        <v>2024.0</v>
      </c>
      <c r="B147" s="26">
        <v>11.0</v>
      </c>
      <c r="C147" s="41" t="s">
        <v>795</v>
      </c>
      <c r="D147" s="26">
        <v>2.02400143E8</v>
      </c>
      <c r="E147" s="26" t="s">
        <v>105</v>
      </c>
      <c r="F147" s="29" t="s">
        <v>82</v>
      </c>
      <c r="G147" s="42" t="s">
        <v>902</v>
      </c>
      <c r="H147" s="26"/>
      <c r="I147" s="26" t="s">
        <v>202</v>
      </c>
      <c r="J147" s="119" t="s">
        <v>903</v>
      </c>
      <c r="K147" s="26" t="s">
        <v>58</v>
      </c>
      <c r="L147" s="26" t="s">
        <v>59</v>
      </c>
      <c r="M147" s="26" t="s">
        <v>184</v>
      </c>
      <c r="N147" s="41" t="s">
        <v>61</v>
      </c>
      <c r="O147" s="41" t="s">
        <v>904</v>
      </c>
      <c r="P147" s="26"/>
      <c r="Q147" s="200" t="s">
        <v>905</v>
      </c>
      <c r="R147" s="41"/>
      <c r="S147" s="26"/>
      <c r="T147" s="26" t="s">
        <v>82</v>
      </c>
      <c r="U147" s="26" t="s">
        <v>64</v>
      </c>
      <c r="V147" s="26" t="s">
        <v>65</v>
      </c>
      <c r="W147" s="26" t="s">
        <v>78</v>
      </c>
      <c r="X147" s="42" t="s">
        <v>906</v>
      </c>
      <c r="Y147" s="115">
        <v>45622.0</v>
      </c>
      <c r="Z147" s="80">
        <v>45642.0</v>
      </c>
      <c r="AA147" s="54" t="s">
        <v>907</v>
      </c>
      <c r="AB147" s="191"/>
      <c r="AC147" s="26" t="s">
        <v>66</v>
      </c>
      <c r="AD147" s="26" t="s">
        <v>67</v>
      </c>
      <c r="AE147" s="120" t="s">
        <v>908</v>
      </c>
      <c r="AF147" s="75" t="s">
        <v>68</v>
      </c>
      <c r="AG147" s="34" t="s">
        <v>69</v>
      </c>
      <c r="AH147" s="117" t="s">
        <v>909</v>
      </c>
      <c r="AI147" s="36"/>
      <c r="AJ147" s="58" t="b">
        <v>0</v>
      </c>
      <c r="AK147" s="59"/>
      <c r="AL147" s="24"/>
      <c r="AM147" s="24"/>
      <c r="AN147" s="24"/>
    </row>
    <row r="148" ht="24.75" customHeight="1">
      <c r="A148" s="26">
        <v>2024.0</v>
      </c>
      <c r="B148" s="26">
        <v>12.0</v>
      </c>
      <c r="C148" s="41" t="s">
        <v>910</v>
      </c>
      <c r="D148" s="26">
        <v>2.02400144E8</v>
      </c>
      <c r="E148" s="26" t="s">
        <v>105</v>
      </c>
      <c r="F148" s="29" t="s">
        <v>82</v>
      </c>
      <c r="G148" s="42" t="s">
        <v>911</v>
      </c>
      <c r="H148" s="26"/>
      <c r="I148" s="26" t="s">
        <v>84</v>
      </c>
      <c r="J148" s="92" t="s">
        <v>189</v>
      </c>
      <c r="K148" s="26" t="s">
        <v>58</v>
      </c>
      <c r="L148" s="26" t="s">
        <v>59</v>
      </c>
      <c r="M148" s="26" t="s">
        <v>57</v>
      </c>
      <c r="N148" s="41" t="s">
        <v>61</v>
      </c>
      <c r="O148" s="41" t="s">
        <v>57</v>
      </c>
      <c r="P148" s="41" t="s">
        <v>57</v>
      </c>
      <c r="Q148" s="41" t="s">
        <v>57</v>
      </c>
      <c r="R148" s="41" t="s">
        <v>57</v>
      </c>
      <c r="S148" s="41" t="s">
        <v>57</v>
      </c>
      <c r="T148" s="26" t="s">
        <v>82</v>
      </c>
      <c r="U148" s="26" t="s">
        <v>57</v>
      </c>
      <c r="V148" s="26" t="s">
        <v>65</v>
      </c>
      <c r="W148" s="26" t="s">
        <v>78</v>
      </c>
      <c r="X148" s="42"/>
      <c r="Y148" s="115">
        <v>45629.0</v>
      </c>
      <c r="Z148" s="80">
        <v>45644.0</v>
      </c>
      <c r="AA148" s="54"/>
      <c r="AB148" s="191"/>
      <c r="AC148" s="26" t="s">
        <v>66</v>
      </c>
      <c r="AD148" s="26" t="s">
        <v>67</v>
      </c>
      <c r="AE148" s="120"/>
      <c r="AF148" s="75" t="s">
        <v>68</v>
      </c>
      <c r="AG148" s="34" t="s">
        <v>69</v>
      </c>
      <c r="AH148" s="158"/>
      <c r="AI148" s="36"/>
      <c r="AJ148" s="58" t="b">
        <v>0</v>
      </c>
      <c r="AK148" s="59"/>
      <c r="AL148" s="24"/>
      <c r="AM148" s="24"/>
      <c r="AN148" s="24"/>
    </row>
    <row r="149" ht="24.75" customHeight="1">
      <c r="A149" s="26">
        <v>2024.0</v>
      </c>
      <c r="B149" s="26">
        <v>12.0</v>
      </c>
      <c r="C149" s="41" t="s">
        <v>910</v>
      </c>
      <c r="D149" s="26">
        <v>2.02400145E8</v>
      </c>
      <c r="E149" s="26" t="s">
        <v>132</v>
      </c>
      <c r="F149" s="29" t="s">
        <v>82</v>
      </c>
      <c r="G149" s="42" t="s">
        <v>912</v>
      </c>
      <c r="H149" s="26"/>
      <c r="I149" s="26" t="s">
        <v>84</v>
      </c>
      <c r="J149" s="119" t="s">
        <v>913</v>
      </c>
      <c r="K149" s="26" t="s">
        <v>58</v>
      </c>
      <c r="L149" s="26" t="s">
        <v>59</v>
      </c>
      <c r="M149" s="26" t="s">
        <v>136</v>
      </c>
      <c r="N149" s="41" t="s">
        <v>61</v>
      </c>
      <c r="O149" s="41" t="s">
        <v>914</v>
      </c>
      <c r="P149" s="26"/>
      <c r="Q149" s="201" t="s">
        <v>915</v>
      </c>
      <c r="R149" s="41"/>
      <c r="S149" s="26">
        <v>3.103355179E9</v>
      </c>
      <c r="T149" s="26" t="s">
        <v>82</v>
      </c>
      <c r="U149" s="26" t="s">
        <v>64</v>
      </c>
      <c r="V149" s="26" t="s">
        <v>65</v>
      </c>
      <c r="W149" s="26" t="s">
        <v>78</v>
      </c>
      <c r="X149" s="42"/>
      <c r="Y149" s="115">
        <v>45629.0</v>
      </c>
      <c r="Z149" s="32"/>
      <c r="AA149" s="189" t="s">
        <v>916</v>
      </c>
      <c r="AB149" s="191"/>
      <c r="AC149" s="26" t="s">
        <v>66</v>
      </c>
      <c r="AD149" s="26" t="s">
        <v>67</v>
      </c>
      <c r="AE149" s="120" t="s">
        <v>917</v>
      </c>
      <c r="AF149" s="75" t="s">
        <v>68</v>
      </c>
      <c r="AG149" s="34" t="s">
        <v>69</v>
      </c>
      <c r="AH149" s="190" t="s">
        <v>918</v>
      </c>
      <c r="AI149" s="36"/>
      <c r="AJ149" s="58" t="b">
        <v>0</v>
      </c>
      <c r="AK149" s="59"/>
      <c r="AL149" s="24"/>
      <c r="AM149" s="24"/>
      <c r="AN149" s="24"/>
    </row>
    <row r="150" ht="24.75" customHeight="1">
      <c r="A150" s="26">
        <v>2024.0</v>
      </c>
      <c r="B150" s="26">
        <v>12.0</v>
      </c>
      <c r="C150" s="41" t="s">
        <v>910</v>
      </c>
      <c r="D150" s="26">
        <v>2.02400146E8</v>
      </c>
      <c r="E150" s="26" t="s">
        <v>132</v>
      </c>
      <c r="F150" s="29" t="s">
        <v>259</v>
      </c>
      <c r="G150" s="42" t="s">
        <v>919</v>
      </c>
      <c r="H150" s="26"/>
      <c r="I150" s="26" t="s">
        <v>920</v>
      </c>
      <c r="J150" s="92" t="s">
        <v>921</v>
      </c>
      <c r="K150" s="26" t="s">
        <v>58</v>
      </c>
      <c r="L150" s="26" t="s">
        <v>59</v>
      </c>
      <c r="M150" s="26" t="s">
        <v>184</v>
      </c>
      <c r="N150" s="41" t="s">
        <v>61</v>
      </c>
      <c r="O150" s="41" t="s">
        <v>530</v>
      </c>
      <c r="P150" s="27">
        <v>4.1343646E7</v>
      </c>
      <c r="Q150" s="83" t="s">
        <v>531</v>
      </c>
      <c r="R150" s="99" t="s">
        <v>532</v>
      </c>
      <c r="S150" s="25" t="s">
        <v>57</v>
      </c>
      <c r="T150" s="26" t="s">
        <v>63</v>
      </c>
      <c r="U150" s="26" t="s">
        <v>64</v>
      </c>
      <c r="V150" s="26" t="s">
        <v>65</v>
      </c>
      <c r="W150" s="26" t="s">
        <v>149</v>
      </c>
      <c r="X150" s="42" t="s">
        <v>922</v>
      </c>
      <c r="Y150" s="115">
        <v>45629.0</v>
      </c>
      <c r="Z150" s="32"/>
      <c r="AA150" s="54" t="s">
        <v>923</v>
      </c>
      <c r="AB150" s="191"/>
      <c r="AC150" s="26" t="s">
        <v>66</v>
      </c>
      <c r="AD150" s="26" t="s">
        <v>67</v>
      </c>
      <c r="AE150" s="120" t="s">
        <v>924</v>
      </c>
      <c r="AF150" s="75" t="s">
        <v>68</v>
      </c>
      <c r="AG150" s="34" t="s">
        <v>69</v>
      </c>
      <c r="AH150" s="202" t="s">
        <v>670</v>
      </c>
      <c r="AI150" s="36"/>
      <c r="AJ150" s="58" t="b">
        <v>0</v>
      </c>
      <c r="AK150" s="59"/>
      <c r="AL150" s="24"/>
      <c r="AM150" s="24"/>
      <c r="AN150" s="24"/>
    </row>
    <row r="151" ht="24.75" customHeight="1">
      <c r="A151" s="26">
        <v>2024.0</v>
      </c>
      <c r="B151" s="26">
        <v>12.0</v>
      </c>
      <c r="C151" s="41" t="s">
        <v>910</v>
      </c>
      <c r="D151" s="26">
        <v>2.02400147E8</v>
      </c>
      <c r="E151" s="26" t="s">
        <v>2</v>
      </c>
      <c r="F151" s="29" t="s">
        <v>180</v>
      </c>
      <c r="G151" s="42" t="s">
        <v>925</v>
      </c>
      <c r="H151" s="26"/>
      <c r="I151" s="26" t="s">
        <v>84</v>
      </c>
      <c r="J151" s="119" t="s">
        <v>926</v>
      </c>
      <c r="K151" s="26" t="s">
        <v>58</v>
      </c>
      <c r="L151" s="26" t="s">
        <v>59</v>
      </c>
      <c r="M151" s="26" t="s">
        <v>57</v>
      </c>
      <c r="N151" s="41" t="s">
        <v>61</v>
      </c>
      <c r="O151" s="41" t="s">
        <v>927</v>
      </c>
      <c r="P151" s="26">
        <v>2.3627027E7</v>
      </c>
      <c r="Q151" s="200"/>
      <c r="R151" s="41" t="s">
        <v>928</v>
      </c>
      <c r="S151" s="26">
        <v>3.017956491E9</v>
      </c>
      <c r="T151" s="26" t="s">
        <v>63</v>
      </c>
      <c r="U151" s="26" t="s">
        <v>129</v>
      </c>
      <c r="V151" s="26" t="s">
        <v>65</v>
      </c>
      <c r="W151" s="26" t="s">
        <v>149</v>
      </c>
      <c r="X151" s="42" t="s">
        <v>929</v>
      </c>
      <c r="Y151" s="115">
        <v>45629.0</v>
      </c>
      <c r="Z151" s="80">
        <v>45676.0</v>
      </c>
      <c r="AA151" s="203" t="s">
        <v>930</v>
      </c>
      <c r="AB151" s="191"/>
      <c r="AC151" s="26" t="s">
        <v>66</v>
      </c>
      <c r="AD151" s="26" t="s">
        <v>67</v>
      </c>
      <c r="AE151" s="120"/>
      <c r="AF151" s="75" t="s">
        <v>68</v>
      </c>
      <c r="AG151" s="34" t="s">
        <v>69</v>
      </c>
      <c r="AH151" s="158"/>
      <c r="AI151" s="36"/>
      <c r="AJ151" s="58" t="b">
        <v>0</v>
      </c>
      <c r="AK151" s="59"/>
      <c r="AL151" s="24"/>
      <c r="AM151" s="24"/>
      <c r="AN151" s="24"/>
    </row>
    <row r="152" ht="24.75" customHeight="1">
      <c r="A152" s="26">
        <v>2024.0</v>
      </c>
      <c r="B152" s="26">
        <v>12.0</v>
      </c>
      <c r="C152" s="41" t="s">
        <v>910</v>
      </c>
      <c r="D152" s="26">
        <v>2.02400148E8</v>
      </c>
      <c r="E152" s="26" t="s">
        <v>132</v>
      </c>
      <c r="F152" s="29" t="s">
        <v>240</v>
      </c>
      <c r="G152" s="42" t="s">
        <v>931</v>
      </c>
      <c r="H152" s="26"/>
      <c r="I152" s="26" t="s">
        <v>170</v>
      </c>
      <c r="J152" s="119" t="s">
        <v>932</v>
      </c>
      <c r="K152" s="26" t="s">
        <v>58</v>
      </c>
      <c r="L152" s="26" t="s">
        <v>59</v>
      </c>
      <c r="M152" s="26" t="s">
        <v>57</v>
      </c>
      <c r="N152" s="41" t="s">
        <v>61</v>
      </c>
      <c r="O152" s="41" t="s">
        <v>933</v>
      </c>
      <c r="P152" s="26"/>
      <c r="Q152" s="200" t="s">
        <v>934</v>
      </c>
      <c r="R152" s="41"/>
      <c r="S152" s="26"/>
      <c r="T152" s="26" t="s">
        <v>82</v>
      </c>
      <c r="U152" s="26"/>
      <c r="V152" s="26" t="s">
        <v>226</v>
      </c>
      <c r="W152" s="26" t="s">
        <v>204</v>
      </c>
      <c r="X152" s="42"/>
      <c r="Y152" s="115">
        <v>45629.0</v>
      </c>
      <c r="Z152" s="32"/>
      <c r="AA152" s="189" t="s">
        <v>935</v>
      </c>
      <c r="AB152" s="191"/>
      <c r="AC152" s="26" t="s">
        <v>66</v>
      </c>
      <c r="AD152" s="26" t="s">
        <v>67</v>
      </c>
      <c r="AE152" s="120" t="s">
        <v>936</v>
      </c>
      <c r="AF152" s="75" t="s">
        <v>68</v>
      </c>
      <c r="AG152" s="34" t="s">
        <v>69</v>
      </c>
      <c r="AH152" s="187" t="s">
        <v>670</v>
      </c>
      <c r="AI152" s="36"/>
      <c r="AJ152" s="58" t="b">
        <v>0</v>
      </c>
      <c r="AK152" s="59"/>
      <c r="AL152" s="24"/>
      <c r="AM152" s="24"/>
      <c r="AN152" s="24"/>
    </row>
    <row r="153" ht="24.75" customHeight="1">
      <c r="A153" s="26">
        <v>2024.0</v>
      </c>
      <c r="B153" s="26">
        <v>12.0</v>
      </c>
      <c r="C153" s="41" t="s">
        <v>910</v>
      </c>
      <c r="D153" s="26">
        <v>2.02400149E8</v>
      </c>
      <c r="E153" s="26" t="s">
        <v>105</v>
      </c>
      <c r="F153" s="29" t="s">
        <v>259</v>
      </c>
      <c r="G153" s="42" t="s">
        <v>937</v>
      </c>
      <c r="H153" s="26"/>
      <c r="I153" s="26" t="s">
        <v>121</v>
      </c>
      <c r="J153" s="119" t="s">
        <v>189</v>
      </c>
      <c r="K153" s="26" t="s">
        <v>58</v>
      </c>
      <c r="L153" s="26" t="s">
        <v>59</v>
      </c>
      <c r="M153" s="26" t="s">
        <v>57</v>
      </c>
      <c r="N153" s="41" t="s">
        <v>61</v>
      </c>
      <c r="O153" s="41"/>
      <c r="P153" s="26"/>
      <c r="Q153" s="200"/>
      <c r="R153" s="41"/>
      <c r="S153" s="26"/>
      <c r="T153" s="26" t="s">
        <v>63</v>
      </c>
      <c r="U153" s="26"/>
      <c r="V153" s="26" t="s">
        <v>226</v>
      </c>
      <c r="W153" s="26" t="s">
        <v>204</v>
      </c>
      <c r="X153" s="42"/>
      <c r="Y153" s="115">
        <v>45630.0</v>
      </c>
      <c r="Z153" s="32"/>
      <c r="AA153" s="54"/>
      <c r="AB153" s="191"/>
      <c r="AC153" s="26" t="s">
        <v>66</v>
      </c>
      <c r="AD153" s="26" t="s">
        <v>57</v>
      </c>
      <c r="AE153" s="120"/>
      <c r="AF153" s="75" t="s">
        <v>68</v>
      </c>
      <c r="AG153" s="34" t="s">
        <v>69</v>
      </c>
      <c r="AH153" s="158"/>
      <c r="AI153" s="36"/>
      <c r="AJ153" s="58" t="b">
        <v>0</v>
      </c>
      <c r="AK153" s="59"/>
      <c r="AL153" s="24"/>
      <c r="AM153" s="24"/>
      <c r="AN153" s="24"/>
    </row>
    <row r="154" ht="24.75" customHeight="1">
      <c r="A154" s="26">
        <v>2024.0</v>
      </c>
      <c r="B154" s="26">
        <v>12.0</v>
      </c>
      <c r="C154" s="41" t="s">
        <v>910</v>
      </c>
      <c r="D154" s="26">
        <v>2.0240015E8</v>
      </c>
      <c r="E154" s="26" t="s">
        <v>132</v>
      </c>
      <c r="F154" s="29" t="s">
        <v>82</v>
      </c>
      <c r="G154" s="42" t="s">
        <v>938</v>
      </c>
      <c r="H154" s="26"/>
      <c r="I154" s="26" t="s">
        <v>194</v>
      </c>
      <c r="J154" s="119" t="s">
        <v>209</v>
      </c>
      <c r="K154" s="26" t="s">
        <v>58</v>
      </c>
      <c r="L154" s="26" t="s">
        <v>59</v>
      </c>
      <c r="M154" s="26"/>
      <c r="N154" s="41" t="s">
        <v>61</v>
      </c>
      <c r="O154" s="41"/>
      <c r="P154" s="26"/>
      <c r="Q154" s="201" t="s">
        <v>939</v>
      </c>
      <c r="R154" s="41"/>
      <c r="S154" s="26"/>
      <c r="T154" s="26" t="s">
        <v>82</v>
      </c>
      <c r="U154" s="26"/>
      <c r="V154" s="26" t="s">
        <v>65</v>
      </c>
      <c r="W154" s="26" t="s">
        <v>78</v>
      </c>
      <c r="X154" s="122" t="s">
        <v>940</v>
      </c>
      <c r="Y154" s="115">
        <v>45632.0</v>
      </c>
      <c r="Z154" s="80">
        <v>45665.0</v>
      </c>
      <c r="AA154" s="204" t="s">
        <v>941</v>
      </c>
      <c r="AB154" s="177" t="s">
        <v>942</v>
      </c>
      <c r="AC154" s="26" t="s">
        <v>66</v>
      </c>
      <c r="AD154" s="26" t="s">
        <v>67</v>
      </c>
      <c r="AE154" s="120" t="s">
        <v>943</v>
      </c>
      <c r="AF154" s="75" t="s">
        <v>68</v>
      </c>
      <c r="AG154" s="34" t="s">
        <v>69</v>
      </c>
      <c r="AH154" s="158"/>
      <c r="AI154" s="57" t="s">
        <v>944</v>
      </c>
      <c r="AJ154" s="58" t="b">
        <v>0</v>
      </c>
      <c r="AK154" s="59"/>
      <c r="AL154" s="24"/>
      <c r="AM154" s="24"/>
      <c r="AN154" s="24"/>
    </row>
    <row r="155" ht="24.75" customHeight="1">
      <c r="A155" s="26">
        <v>2024.0</v>
      </c>
      <c r="B155" s="26">
        <v>12.0</v>
      </c>
      <c r="C155" s="41" t="s">
        <v>910</v>
      </c>
      <c r="D155" s="26">
        <v>2.02400151E8</v>
      </c>
      <c r="E155" s="26" t="s">
        <v>132</v>
      </c>
      <c r="F155" s="29" t="s">
        <v>82</v>
      </c>
      <c r="G155" s="42" t="s">
        <v>945</v>
      </c>
      <c r="H155" s="26"/>
      <c r="I155" s="26" t="s">
        <v>170</v>
      </c>
      <c r="J155" s="119" t="s">
        <v>913</v>
      </c>
      <c r="K155" s="26" t="s">
        <v>58</v>
      </c>
      <c r="L155" s="26" t="s">
        <v>59</v>
      </c>
      <c r="M155" s="26" t="s">
        <v>136</v>
      </c>
      <c r="N155" s="41" t="s">
        <v>61</v>
      </c>
      <c r="O155" s="41" t="s">
        <v>914</v>
      </c>
      <c r="P155" s="26"/>
      <c r="Q155" s="201" t="s">
        <v>915</v>
      </c>
      <c r="R155" s="41"/>
      <c r="S155" s="26"/>
      <c r="T155" s="26" t="s">
        <v>82</v>
      </c>
      <c r="U155" s="26" t="s">
        <v>64</v>
      </c>
      <c r="V155" s="26" t="s">
        <v>204</v>
      </c>
      <c r="W155" s="26" t="s">
        <v>204</v>
      </c>
      <c r="X155" s="42" t="s">
        <v>946</v>
      </c>
      <c r="Y155" s="115">
        <v>45642.0</v>
      </c>
      <c r="Z155" s="32"/>
      <c r="AA155" s="117" t="s">
        <v>947</v>
      </c>
      <c r="AB155" s="177"/>
      <c r="AC155" s="26" t="s">
        <v>66</v>
      </c>
      <c r="AD155" s="26" t="s">
        <v>67</v>
      </c>
      <c r="AE155" s="120" t="s">
        <v>948</v>
      </c>
      <c r="AF155" s="75" t="s">
        <v>68</v>
      </c>
      <c r="AG155" s="34" t="s">
        <v>69</v>
      </c>
      <c r="AH155" s="190" t="s">
        <v>949</v>
      </c>
      <c r="AI155" s="36"/>
      <c r="AJ155" s="58" t="b">
        <v>0</v>
      </c>
      <c r="AK155" s="59"/>
      <c r="AL155" s="24"/>
      <c r="AM155" s="24"/>
      <c r="AN155" s="24"/>
    </row>
    <row r="156" ht="24.75" customHeight="1">
      <c r="A156" s="26">
        <v>2024.0</v>
      </c>
      <c r="B156" s="26">
        <v>12.0</v>
      </c>
      <c r="C156" s="41" t="s">
        <v>910</v>
      </c>
      <c r="D156" s="26">
        <v>2.02400152E8</v>
      </c>
      <c r="E156" s="26" t="s">
        <v>2</v>
      </c>
      <c r="F156" s="29" t="s">
        <v>124</v>
      </c>
      <c r="G156" s="42" t="s">
        <v>950</v>
      </c>
      <c r="H156" s="26"/>
      <c r="I156" s="26" t="s">
        <v>191</v>
      </c>
      <c r="J156" s="119" t="s">
        <v>319</v>
      </c>
      <c r="K156" s="26" t="s">
        <v>58</v>
      </c>
      <c r="L156" s="26" t="s">
        <v>59</v>
      </c>
      <c r="M156" s="26" t="s">
        <v>57</v>
      </c>
      <c r="N156" s="41" t="s">
        <v>61</v>
      </c>
      <c r="O156" s="41" t="s">
        <v>951</v>
      </c>
      <c r="P156" s="26">
        <v>1.068973412E9</v>
      </c>
      <c r="Q156" s="201"/>
      <c r="R156" s="158" t="s">
        <v>952</v>
      </c>
      <c r="S156" s="122" t="s">
        <v>953</v>
      </c>
      <c r="T156" s="26" t="s">
        <v>63</v>
      </c>
      <c r="U156" s="26"/>
      <c r="V156" s="26" t="s">
        <v>65</v>
      </c>
      <c r="W156" s="26" t="s">
        <v>149</v>
      </c>
      <c r="X156" s="42"/>
      <c r="Y156" s="115">
        <v>45642.0</v>
      </c>
      <c r="Z156" s="80">
        <v>45650.0</v>
      </c>
      <c r="AA156" s="117" t="s">
        <v>954</v>
      </c>
      <c r="AB156" s="158" t="s">
        <v>955</v>
      </c>
      <c r="AC156" s="26" t="s">
        <v>66</v>
      </c>
      <c r="AD156" s="26" t="s">
        <v>67</v>
      </c>
      <c r="AE156" s="120"/>
      <c r="AF156" s="75" t="s">
        <v>68</v>
      </c>
      <c r="AG156" s="34" t="s">
        <v>69</v>
      </c>
      <c r="AH156" s="205" t="s">
        <v>956</v>
      </c>
      <c r="AI156" s="36"/>
      <c r="AJ156" s="58" t="b">
        <v>0</v>
      </c>
      <c r="AK156" s="59"/>
      <c r="AL156" s="24"/>
      <c r="AM156" s="24"/>
      <c r="AN156" s="24"/>
    </row>
    <row r="157" ht="24.75" customHeight="1">
      <c r="A157" s="26">
        <v>2024.0</v>
      </c>
      <c r="B157" s="26">
        <v>12.0</v>
      </c>
      <c r="C157" s="41" t="s">
        <v>910</v>
      </c>
      <c r="D157" s="26">
        <v>2.02400153E8</v>
      </c>
      <c r="E157" s="26" t="s">
        <v>132</v>
      </c>
      <c r="F157" s="29" t="s">
        <v>55</v>
      </c>
      <c r="G157" s="42" t="s">
        <v>957</v>
      </c>
      <c r="H157" s="26"/>
      <c r="I157" s="26" t="s">
        <v>230</v>
      </c>
      <c r="J157" s="119" t="s">
        <v>90</v>
      </c>
      <c r="K157" s="26" t="s">
        <v>58</v>
      </c>
      <c r="L157" s="26" t="s">
        <v>59</v>
      </c>
      <c r="M157" s="26" t="s">
        <v>136</v>
      </c>
      <c r="N157" s="41" t="s">
        <v>61</v>
      </c>
      <c r="O157" s="41"/>
      <c r="P157" s="26"/>
      <c r="Q157" s="201" t="s">
        <v>958</v>
      </c>
      <c r="R157" s="41"/>
      <c r="S157" s="26"/>
      <c r="T157" s="26" t="s">
        <v>63</v>
      </c>
      <c r="U157" s="26" t="s">
        <v>64</v>
      </c>
      <c r="V157" s="26" t="s">
        <v>226</v>
      </c>
      <c r="W157" s="26" t="s">
        <v>204</v>
      </c>
      <c r="X157" s="42"/>
      <c r="Y157" s="115">
        <v>45642.0</v>
      </c>
      <c r="Z157" s="32"/>
      <c r="AA157" s="204"/>
      <c r="AB157" s="177"/>
      <c r="AC157" s="26" t="s">
        <v>66</v>
      </c>
      <c r="AD157" s="26" t="s">
        <v>67</v>
      </c>
      <c r="AE157" s="120" t="s">
        <v>959</v>
      </c>
      <c r="AF157" s="75" t="s">
        <v>68</v>
      </c>
      <c r="AG157" s="34" t="s">
        <v>69</v>
      </c>
      <c r="AH157" s="34"/>
      <c r="AI157" s="36"/>
      <c r="AJ157" s="58" t="b">
        <v>0</v>
      </c>
      <c r="AK157" s="59"/>
      <c r="AL157" s="24"/>
      <c r="AM157" s="24"/>
      <c r="AN157" s="24"/>
    </row>
    <row r="158" ht="24.75" customHeight="1">
      <c r="A158" s="26">
        <v>2024.0</v>
      </c>
      <c r="B158" s="26">
        <v>12.0</v>
      </c>
      <c r="C158" s="41" t="s">
        <v>910</v>
      </c>
      <c r="D158" s="26">
        <v>2.02400154E8</v>
      </c>
      <c r="E158" s="26" t="s">
        <v>132</v>
      </c>
      <c r="F158" s="29" t="s">
        <v>82</v>
      </c>
      <c r="G158" s="42" t="s">
        <v>960</v>
      </c>
      <c r="H158" s="26"/>
      <c r="I158" s="26" t="s">
        <v>202</v>
      </c>
      <c r="J158" s="119" t="s">
        <v>731</v>
      </c>
      <c r="K158" s="26" t="s">
        <v>58</v>
      </c>
      <c r="L158" s="26" t="s">
        <v>59</v>
      </c>
      <c r="M158" s="26" t="s">
        <v>99</v>
      </c>
      <c r="N158" s="41" t="s">
        <v>61</v>
      </c>
      <c r="O158" s="41"/>
      <c r="P158" s="26"/>
      <c r="Q158" s="201" t="s">
        <v>961</v>
      </c>
      <c r="R158" s="41"/>
      <c r="S158" s="26"/>
      <c r="T158" s="26" t="s">
        <v>82</v>
      </c>
      <c r="U158" s="26" t="s">
        <v>64</v>
      </c>
      <c r="V158" s="26" t="s">
        <v>226</v>
      </c>
      <c r="W158" s="26" t="s">
        <v>204</v>
      </c>
      <c r="X158" s="117" t="s">
        <v>962</v>
      </c>
      <c r="Y158" s="115">
        <v>45645.0</v>
      </c>
      <c r="Z158" s="32"/>
      <c r="AA158" s="122">
        <v>2.02452602144362E14</v>
      </c>
      <c r="AB158" s="177"/>
      <c r="AC158" s="26" t="s">
        <v>66</v>
      </c>
      <c r="AD158" s="26" t="s">
        <v>67</v>
      </c>
      <c r="AE158" s="120" t="s">
        <v>963</v>
      </c>
      <c r="AF158" s="171" t="s">
        <v>68</v>
      </c>
      <c r="AG158" s="206" t="s">
        <v>69</v>
      </c>
      <c r="AH158" s="202" t="s">
        <v>551</v>
      </c>
      <c r="AI158" s="36"/>
      <c r="AJ158" s="58" t="b">
        <v>0</v>
      </c>
      <c r="AK158" s="59"/>
      <c r="AL158" s="24"/>
      <c r="AM158" s="24"/>
      <c r="AN158" s="24"/>
    </row>
    <row r="159" ht="24.75" customHeight="1">
      <c r="A159" s="26">
        <v>2024.0</v>
      </c>
      <c r="B159" s="26">
        <v>12.0</v>
      </c>
      <c r="C159" s="41" t="s">
        <v>910</v>
      </c>
      <c r="D159" s="26">
        <v>2.02400155E8</v>
      </c>
      <c r="E159" s="26" t="s">
        <v>105</v>
      </c>
      <c r="F159" s="29" t="s">
        <v>964</v>
      </c>
      <c r="G159" s="42" t="s">
        <v>965</v>
      </c>
      <c r="H159" s="26"/>
      <c r="I159" s="26" t="s">
        <v>84</v>
      </c>
      <c r="J159" s="119" t="s">
        <v>189</v>
      </c>
      <c r="K159" s="26" t="s">
        <v>58</v>
      </c>
      <c r="L159" s="26" t="s">
        <v>59</v>
      </c>
      <c r="M159" s="26" t="s">
        <v>57</v>
      </c>
      <c r="N159" s="41" t="s">
        <v>61</v>
      </c>
      <c r="O159" s="41"/>
      <c r="P159" s="26"/>
      <c r="Q159" s="201"/>
      <c r="R159" s="41"/>
      <c r="S159" s="26"/>
      <c r="T159" s="26" t="s">
        <v>63</v>
      </c>
      <c r="U159" s="26" t="s">
        <v>57</v>
      </c>
      <c r="V159" s="26" t="s">
        <v>226</v>
      </c>
      <c r="W159" s="26" t="s">
        <v>204</v>
      </c>
      <c r="X159" s="42"/>
      <c r="Y159" s="115"/>
      <c r="Z159" s="32"/>
      <c r="AA159" s="204"/>
      <c r="AB159" s="177"/>
      <c r="AC159" s="26" t="s">
        <v>66</v>
      </c>
      <c r="AD159" s="26" t="s">
        <v>67</v>
      </c>
      <c r="AE159" s="120"/>
      <c r="AF159" s="171" t="s">
        <v>68</v>
      </c>
      <c r="AG159" s="206" t="s">
        <v>69</v>
      </c>
      <c r="AH159" s="158"/>
      <c r="AI159" s="36"/>
      <c r="AJ159" s="58" t="b">
        <v>0</v>
      </c>
      <c r="AK159" s="59"/>
      <c r="AL159" s="24"/>
      <c r="AM159" s="24"/>
      <c r="AN159" s="24"/>
    </row>
    <row r="160" ht="24.75" customHeight="1">
      <c r="A160" s="26">
        <v>2025.0</v>
      </c>
      <c r="B160" s="26">
        <v>1.0</v>
      </c>
      <c r="C160" s="41" t="s">
        <v>54</v>
      </c>
      <c r="D160" s="26">
        <v>2.02500001E8</v>
      </c>
      <c r="E160" s="26" t="s">
        <v>132</v>
      </c>
      <c r="F160" s="29" t="s">
        <v>82</v>
      </c>
      <c r="G160" s="42" t="s">
        <v>966</v>
      </c>
      <c r="H160" s="26"/>
      <c r="I160" s="26" t="s">
        <v>194</v>
      </c>
      <c r="J160" s="119" t="s">
        <v>913</v>
      </c>
      <c r="K160" s="26" t="s">
        <v>58</v>
      </c>
      <c r="L160" s="26" t="s">
        <v>59</v>
      </c>
      <c r="M160" s="26" t="s">
        <v>136</v>
      </c>
      <c r="N160" s="41" t="s">
        <v>967</v>
      </c>
      <c r="O160" s="41" t="s">
        <v>914</v>
      </c>
      <c r="P160" s="26"/>
      <c r="Q160" s="201" t="s">
        <v>915</v>
      </c>
      <c r="R160" s="41"/>
      <c r="S160" s="26"/>
      <c r="T160" s="26" t="s">
        <v>82</v>
      </c>
      <c r="U160" s="26" t="s">
        <v>64</v>
      </c>
      <c r="V160" s="26" t="s">
        <v>226</v>
      </c>
      <c r="W160" s="26" t="s">
        <v>204</v>
      </c>
      <c r="X160" s="42"/>
      <c r="Y160" s="115">
        <v>45672.0</v>
      </c>
      <c r="Z160" s="32"/>
      <c r="AA160" s="207" t="s">
        <v>968</v>
      </c>
      <c r="AB160" s="177"/>
      <c r="AC160" s="26" t="s">
        <v>66</v>
      </c>
      <c r="AD160" s="26" t="s">
        <v>67</v>
      </c>
      <c r="AE160" s="120" t="s">
        <v>948</v>
      </c>
      <c r="AF160" s="75" t="s">
        <v>68</v>
      </c>
      <c r="AG160" s="34" t="s">
        <v>69</v>
      </c>
      <c r="AH160" s="208" t="s">
        <v>969</v>
      </c>
      <c r="AI160" s="36"/>
      <c r="AJ160" s="58" t="b">
        <v>0</v>
      </c>
      <c r="AK160" s="59"/>
      <c r="AL160" s="24"/>
      <c r="AM160" s="24"/>
      <c r="AN160" s="24"/>
    </row>
    <row r="161" ht="24.75" customHeight="1">
      <c r="A161" s="26">
        <v>2025.0</v>
      </c>
      <c r="B161" s="209">
        <v>1.0</v>
      </c>
      <c r="C161" s="206" t="s">
        <v>54</v>
      </c>
      <c r="D161" s="210" t="s">
        <v>970</v>
      </c>
      <c r="E161" s="209" t="s">
        <v>2</v>
      </c>
      <c r="F161" s="209" t="s">
        <v>124</v>
      </c>
      <c r="G161" s="211" t="s">
        <v>491</v>
      </c>
      <c r="H161" s="209"/>
      <c r="I161" s="209" t="s">
        <v>191</v>
      </c>
      <c r="J161" s="119"/>
      <c r="K161" s="26" t="s">
        <v>58</v>
      </c>
      <c r="L161" s="26" t="s">
        <v>59</v>
      </c>
      <c r="M161" s="26" t="s">
        <v>99</v>
      </c>
      <c r="N161" s="41" t="s">
        <v>967</v>
      </c>
      <c r="O161" s="41" t="s">
        <v>971</v>
      </c>
      <c r="P161" s="26">
        <v>1.001345995E9</v>
      </c>
      <c r="Q161" s="201"/>
      <c r="R161" s="41" t="s">
        <v>972</v>
      </c>
      <c r="S161" s="26">
        <v>3.174579038E9</v>
      </c>
      <c r="T161" s="26" t="s">
        <v>63</v>
      </c>
      <c r="U161" s="26" t="s">
        <v>64</v>
      </c>
      <c r="V161" s="26" t="s">
        <v>65</v>
      </c>
      <c r="W161" s="26" t="s">
        <v>78</v>
      </c>
      <c r="X161" s="42"/>
      <c r="Y161" s="115">
        <v>45670.0</v>
      </c>
      <c r="Z161" s="80">
        <v>45689.0</v>
      </c>
      <c r="AA161" s="119" t="s">
        <v>973</v>
      </c>
      <c r="AB161" s="122" t="s">
        <v>974</v>
      </c>
      <c r="AC161" s="26" t="s">
        <v>66</v>
      </c>
      <c r="AD161" s="26" t="s">
        <v>67</v>
      </c>
      <c r="AE161" s="120"/>
      <c r="AF161" s="75" t="s">
        <v>68</v>
      </c>
      <c r="AG161" s="34" t="s">
        <v>69</v>
      </c>
      <c r="AH161" s="205" t="s">
        <v>975</v>
      </c>
      <c r="AI161" s="57" t="s">
        <v>976</v>
      </c>
      <c r="AJ161" s="58" t="b">
        <v>0</v>
      </c>
      <c r="AK161" s="59"/>
      <c r="AL161" s="24"/>
      <c r="AM161" s="24"/>
      <c r="AN161" s="24"/>
    </row>
    <row r="162" ht="24.75" customHeight="1">
      <c r="A162" s="26">
        <v>2025.0</v>
      </c>
      <c r="B162" s="209">
        <v>1.0</v>
      </c>
      <c r="C162" s="206" t="s">
        <v>54</v>
      </c>
      <c r="D162" s="210">
        <v>2.02500003E8</v>
      </c>
      <c r="E162" s="212" t="s">
        <v>105</v>
      </c>
      <c r="F162" s="212" t="s">
        <v>128</v>
      </c>
      <c r="G162" s="213" t="s">
        <v>977</v>
      </c>
      <c r="H162" s="212"/>
      <c r="I162" s="212" t="s">
        <v>135</v>
      </c>
      <c r="J162" s="119" t="s">
        <v>189</v>
      </c>
      <c r="K162" s="26" t="s">
        <v>58</v>
      </c>
      <c r="L162" s="26" t="s">
        <v>59</v>
      </c>
      <c r="M162" s="26" t="s">
        <v>57</v>
      </c>
      <c r="N162" s="41" t="s">
        <v>967</v>
      </c>
      <c r="O162" s="41"/>
      <c r="P162" s="26"/>
      <c r="Q162" s="201"/>
      <c r="R162" s="41"/>
      <c r="S162" s="26"/>
      <c r="T162" s="26" t="s">
        <v>63</v>
      </c>
      <c r="U162" s="26" t="s">
        <v>57</v>
      </c>
      <c r="V162" s="26" t="s">
        <v>65</v>
      </c>
      <c r="W162" s="26" t="s">
        <v>78</v>
      </c>
      <c r="X162" s="42"/>
      <c r="Y162" s="115">
        <v>45673.0</v>
      </c>
      <c r="Z162" s="80">
        <v>45695.0</v>
      </c>
      <c r="AA162" s="204"/>
      <c r="AB162" s="177"/>
      <c r="AC162" s="26" t="s">
        <v>66</v>
      </c>
      <c r="AD162" s="26" t="s">
        <v>67</v>
      </c>
      <c r="AE162" s="120"/>
      <c r="AF162" s="75" t="s">
        <v>68</v>
      </c>
      <c r="AG162" s="34" t="s">
        <v>69</v>
      </c>
      <c r="AH162" s="158"/>
      <c r="AI162" s="36"/>
      <c r="AJ162" s="58" t="b">
        <v>0</v>
      </c>
      <c r="AK162" s="59"/>
      <c r="AL162" s="24"/>
      <c r="AM162" s="24"/>
      <c r="AN162" s="24"/>
    </row>
    <row r="163" ht="24.75" customHeight="1">
      <c r="A163" s="26">
        <v>2025.0</v>
      </c>
      <c r="B163" s="209">
        <v>1.0</v>
      </c>
      <c r="C163" s="206" t="s">
        <v>54</v>
      </c>
      <c r="D163" s="210">
        <v>2.02500004E8</v>
      </c>
      <c r="E163" s="212" t="s">
        <v>105</v>
      </c>
      <c r="F163" s="212" t="s">
        <v>128</v>
      </c>
      <c r="G163" s="213" t="s">
        <v>978</v>
      </c>
      <c r="H163" s="212"/>
      <c r="I163" s="212" t="s">
        <v>121</v>
      </c>
      <c r="J163" s="119" t="s">
        <v>189</v>
      </c>
      <c r="K163" s="26" t="s">
        <v>58</v>
      </c>
      <c r="L163" s="26" t="s">
        <v>59</v>
      </c>
      <c r="M163" s="26" t="s">
        <v>57</v>
      </c>
      <c r="N163" s="41" t="s">
        <v>967</v>
      </c>
      <c r="O163" s="41"/>
      <c r="P163" s="26"/>
      <c r="Q163" s="201"/>
      <c r="R163" s="41"/>
      <c r="S163" s="26"/>
      <c r="T163" s="26" t="s">
        <v>63</v>
      </c>
      <c r="U163" s="26" t="s">
        <v>57</v>
      </c>
      <c r="V163" s="26" t="s">
        <v>65</v>
      </c>
      <c r="W163" s="26" t="s">
        <v>78</v>
      </c>
      <c r="X163" s="42"/>
      <c r="Y163" s="115">
        <v>45673.0</v>
      </c>
      <c r="Z163" s="80">
        <v>45685.0</v>
      </c>
      <c r="AA163" s="204"/>
      <c r="AB163" s="177"/>
      <c r="AC163" s="26" t="s">
        <v>66</v>
      </c>
      <c r="AD163" s="26" t="s">
        <v>67</v>
      </c>
      <c r="AE163" s="120"/>
      <c r="AF163" s="75" t="s">
        <v>68</v>
      </c>
      <c r="AG163" s="34" t="s">
        <v>69</v>
      </c>
      <c r="AH163" s="158"/>
      <c r="AI163" s="36"/>
      <c r="AJ163" s="58" t="b">
        <v>0</v>
      </c>
      <c r="AK163" s="59"/>
      <c r="AL163" s="24"/>
      <c r="AM163" s="24"/>
      <c r="AN163" s="24"/>
    </row>
    <row r="164" ht="24.75" customHeight="1">
      <c r="A164" s="26">
        <v>2025.0</v>
      </c>
      <c r="B164" s="209">
        <v>1.0</v>
      </c>
      <c r="C164" s="206" t="s">
        <v>54</v>
      </c>
      <c r="D164" s="210">
        <v>2.02500005E8</v>
      </c>
      <c r="E164" s="212" t="s">
        <v>105</v>
      </c>
      <c r="F164" s="212" t="s">
        <v>259</v>
      </c>
      <c r="G164" s="213" t="s">
        <v>979</v>
      </c>
      <c r="H164" s="212"/>
      <c r="I164" s="212" t="s">
        <v>833</v>
      </c>
      <c r="J164" s="119" t="s">
        <v>189</v>
      </c>
      <c r="K164" s="26" t="s">
        <v>58</v>
      </c>
      <c r="L164" s="26" t="s">
        <v>59</v>
      </c>
      <c r="M164" s="26" t="s">
        <v>57</v>
      </c>
      <c r="N164" s="41" t="s">
        <v>967</v>
      </c>
      <c r="O164" s="41"/>
      <c r="P164" s="26"/>
      <c r="Q164" s="201"/>
      <c r="R164" s="41"/>
      <c r="S164" s="26"/>
      <c r="T164" s="26" t="s">
        <v>63</v>
      </c>
      <c r="U164" s="26" t="s">
        <v>57</v>
      </c>
      <c r="V164" s="26" t="s">
        <v>65</v>
      </c>
      <c r="W164" s="26" t="s">
        <v>78</v>
      </c>
      <c r="X164" s="42"/>
      <c r="Y164" s="115">
        <v>45674.0</v>
      </c>
      <c r="Z164" s="80">
        <v>45694.0</v>
      </c>
      <c r="AA164" s="204"/>
      <c r="AB164" s="177"/>
      <c r="AC164" s="26" t="s">
        <v>66</v>
      </c>
      <c r="AD164" s="26" t="s">
        <v>67</v>
      </c>
      <c r="AE164" s="120"/>
      <c r="AF164" s="75" t="s">
        <v>68</v>
      </c>
      <c r="AG164" s="34" t="s">
        <v>69</v>
      </c>
      <c r="AH164" s="158"/>
      <c r="AI164" s="36"/>
      <c r="AJ164" s="58" t="b">
        <v>0</v>
      </c>
      <c r="AK164" s="59"/>
      <c r="AL164" s="24"/>
      <c r="AM164" s="24"/>
      <c r="AN164" s="24"/>
    </row>
    <row r="165" ht="24.75" customHeight="1">
      <c r="A165" s="26">
        <v>2025.0</v>
      </c>
      <c r="B165" s="209">
        <v>1.0</v>
      </c>
      <c r="C165" s="206" t="s">
        <v>54</v>
      </c>
      <c r="D165" s="210">
        <v>2.02500006E8</v>
      </c>
      <c r="E165" s="212" t="s">
        <v>105</v>
      </c>
      <c r="F165" s="212" t="s">
        <v>259</v>
      </c>
      <c r="G165" s="213" t="s">
        <v>980</v>
      </c>
      <c r="H165" s="212"/>
      <c r="I165" s="212" t="s">
        <v>920</v>
      </c>
      <c r="J165" s="119" t="s">
        <v>189</v>
      </c>
      <c r="K165" s="26" t="s">
        <v>58</v>
      </c>
      <c r="L165" s="26" t="s">
        <v>59</v>
      </c>
      <c r="M165" s="26" t="s">
        <v>57</v>
      </c>
      <c r="N165" s="41" t="s">
        <v>967</v>
      </c>
      <c r="O165" s="41"/>
      <c r="P165" s="26"/>
      <c r="Q165" s="201"/>
      <c r="R165" s="41"/>
      <c r="S165" s="26"/>
      <c r="T165" s="26" t="s">
        <v>63</v>
      </c>
      <c r="U165" s="26" t="s">
        <v>57</v>
      </c>
      <c r="V165" s="26" t="s">
        <v>65</v>
      </c>
      <c r="W165" s="26" t="s">
        <v>78</v>
      </c>
      <c r="X165" s="42"/>
      <c r="Y165" s="115">
        <v>45674.0</v>
      </c>
      <c r="Z165" s="80">
        <v>45685.0</v>
      </c>
      <c r="AA165" s="204"/>
      <c r="AB165" s="177"/>
      <c r="AC165" s="26" t="s">
        <v>66</v>
      </c>
      <c r="AD165" s="26" t="s">
        <v>67</v>
      </c>
      <c r="AE165" s="120"/>
      <c r="AF165" s="75" t="s">
        <v>68</v>
      </c>
      <c r="AG165" s="34" t="s">
        <v>69</v>
      </c>
      <c r="AH165" s="158"/>
      <c r="AI165" s="36"/>
      <c r="AJ165" s="58" t="b">
        <v>0</v>
      </c>
      <c r="AK165" s="59"/>
      <c r="AL165" s="24"/>
      <c r="AM165" s="24"/>
      <c r="AN165" s="24"/>
    </row>
    <row r="166" ht="24.75" customHeight="1">
      <c r="A166" s="26">
        <v>2025.0</v>
      </c>
      <c r="B166" s="209">
        <v>1.0</v>
      </c>
      <c r="C166" s="206" t="s">
        <v>54</v>
      </c>
      <c r="D166" s="210">
        <v>2.02500007E8</v>
      </c>
      <c r="E166" s="212" t="s">
        <v>105</v>
      </c>
      <c r="F166" s="212" t="s">
        <v>119</v>
      </c>
      <c r="G166" s="213" t="s">
        <v>981</v>
      </c>
      <c r="H166" s="212"/>
      <c r="I166" s="212" t="s">
        <v>982</v>
      </c>
      <c r="J166" s="119" t="s">
        <v>189</v>
      </c>
      <c r="K166" s="26" t="s">
        <v>58</v>
      </c>
      <c r="L166" s="26" t="s">
        <v>59</v>
      </c>
      <c r="M166" s="26" t="s">
        <v>57</v>
      </c>
      <c r="N166" s="41" t="s">
        <v>967</v>
      </c>
      <c r="O166" s="41"/>
      <c r="P166" s="26"/>
      <c r="Q166" s="201"/>
      <c r="R166" s="41"/>
      <c r="S166" s="26"/>
      <c r="T166" s="26" t="s">
        <v>63</v>
      </c>
      <c r="U166" s="26" t="s">
        <v>57</v>
      </c>
      <c r="V166" s="26" t="s">
        <v>65</v>
      </c>
      <c r="W166" s="26" t="s">
        <v>78</v>
      </c>
      <c r="X166" s="42"/>
      <c r="Y166" s="115">
        <v>45674.0</v>
      </c>
      <c r="Z166" s="80">
        <v>45694.0</v>
      </c>
      <c r="AA166" s="204"/>
      <c r="AB166" s="177"/>
      <c r="AC166" s="26" t="s">
        <v>66</v>
      </c>
      <c r="AD166" s="26" t="s">
        <v>67</v>
      </c>
      <c r="AE166" s="120"/>
      <c r="AF166" s="75" t="s">
        <v>68</v>
      </c>
      <c r="AG166" s="34" t="s">
        <v>69</v>
      </c>
      <c r="AH166" s="158"/>
      <c r="AI166" s="36"/>
      <c r="AJ166" s="58" t="b">
        <v>0</v>
      </c>
      <c r="AK166" s="59"/>
      <c r="AL166" s="24"/>
      <c r="AM166" s="24"/>
      <c r="AN166" s="24"/>
    </row>
    <row r="167" ht="24.75" customHeight="1">
      <c r="A167" s="26">
        <v>2025.0</v>
      </c>
      <c r="B167" s="209">
        <v>1.0</v>
      </c>
      <c r="C167" s="206" t="s">
        <v>54</v>
      </c>
      <c r="D167" s="210">
        <v>2.02500008E8</v>
      </c>
      <c r="E167" s="212" t="s">
        <v>105</v>
      </c>
      <c r="F167" s="212" t="s">
        <v>259</v>
      </c>
      <c r="G167" s="213" t="s">
        <v>983</v>
      </c>
      <c r="H167" s="212"/>
      <c r="I167" s="212" t="s">
        <v>662</v>
      </c>
      <c r="J167" s="119" t="s">
        <v>189</v>
      </c>
      <c r="K167" s="26" t="s">
        <v>58</v>
      </c>
      <c r="L167" s="26" t="s">
        <v>59</v>
      </c>
      <c r="M167" s="26" t="s">
        <v>57</v>
      </c>
      <c r="N167" s="41" t="s">
        <v>967</v>
      </c>
      <c r="O167" s="41"/>
      <c r="P167" s="26"/>
      <c r="Q167" s="201"/>
      <c r="R167" s="41"/>
      <c r="S167" s="26"/>
      <c r="T167" s="26" t="s">
        <v>63</v>
      </c>
      <c r="U167" s="26" t="s">
        <v>57</v>
      </c>
      <c r="V167" s="26" t="s">
        <v>65</v>
      </c>
      <c r="W167" s="26" t="s">
        <v>78</v>
      </c>
      <c r="X167" s="42"/>
      <c r="Y167" s="115">
        <v>45674.0</v>
      </c>
      <c r="Z167" s="80">
        <v>45694.0</v>
      </c>
      <c r="AA167" s="119" t="s">
        <v>984</v>
      </c>
      <c r="AB167" s="214" t="s">
        <v>985</v>
      </c>
      <c r="AC167" s="26" t="s">
        <v>66</v>
      </c>
      <c r="AD167" s="26" t="s">
        <v>67</v>
      </c>
      <c r="AE167" s="120"/>
      <c r="AF167" s="75" t="s">
        <v>68</v>
      </c>
      <c r="AG167" s="34" t="s">
        <v>69</v>
      </c>
      <c r="AH167" s="202" t="s">
        <v>986</v>
      </c>
      <c r="AI167" s="36"/>
      <c r="AJ167" s="58" t="b">
        <v>0</v>
      </c>
      <c r="AK167" s="59"/>
      <c r="AL167" s="24"/>
      <c r="AM167" s="24"/>
      <c r="AN167" s="24"/>
    </row>
    <row r="168" ht="24.75" customHeight="1">
      <c r="A168" s="26">
        <v>2025.0</v>
      </c>
      <c r="B168" s="209">
        <v>1.0</v>
      </c>
      <c r="C168" s="206" t="s">
        <v>54</v>
      </c>
      <c r="D168" s="210">
        <v>2.02500009E8</v>
      </c>
      <c r="E168" s="212" t="s">
        <v>105</v>
      </c>
      <c r="F168" s="212" t="s">
        <v>124</v>
      </c>
      <c r="G168" s="213" t="s">
        <v>987</v>
      </c>
      <c r="H168" s="212"/>
      <c r="I168" s="212" t="s">
        <v>191</v>
      </c>
      <c r="J168" s="119" t="s">
        <v>189</v>
      </c>
      <c r="K168" s="26" t="s">
        <v>58</v>
      </c>
      <c r="L168" s="26" t="s">
        <v>59</v>
      </c>
      <c r="M168" s="26" t="s">
        <v>57</v>
      </c>
      <c r="N168" s="41" t="s">
        <v>967</v>
      </c>
      <c r="O168" s="41"/>
      <c r="P168" s="26"/>
      <c r="Q168" s="201"/>
      <c r="R168" s="41"/>
      <c r="S168" s="26"/>
      <c r="T168" s="26" t="s">
        <v>63</v>
      </c>
      <c r="U168" s="26" t="s">
        <v>57</v>
      </c>
      <c r="V168" s="26" t="s">
        <v>65</v>
      </c>
      <c r="W168" s="26" t="s">
        <v>78</v>
      </c>
      <c r="X168" s="42"/>
      <c r="Y168" s="115">
        <v>45674.0</v>
      </c>
      <c r="Z168" s="115">
        <v>45674.0</v>
      </c>
      <c r="AA168" s="158" t="s">
        <v>988</v>
      </c>
      <c r="AB168" s="215" t="s">
        <v>989</v>
      </c>
      <c r="AC168" s="26" t="s">
        <v>66</v>
      </c>
      <c r="AD168" s="26" t="s">
        <v>67</v>
      </c>
      <c r="AE168" s="120"/>
      <c r="AF168" s="75" t="s">
        <v>68</v>
      </c>
      <c r="AG168" s="34" t="s">
        <v>69</v>
      </c>
      <c r="AH168" s="205" t="s">
        <v>990</v>
      </c>
      <c r="AI168" s="36"/>
      <c r="AJ168" s="58" t="b">
        <v>0</v>
      </c>
      <c r="AK168" s="59"/>
      <c r="AL168" s="24"/>
      <c r="AM168" s="24"/>
      <c r="AN168" s="24"/>
    </row>
    <row r="169" ht="24.75" customHeight="1">
      <c r="A169" s="26">
        <v>2025.0</v>
      </c>
      <c r="B169" s="209">
        <v>1.0</v>
      </c>
      <c r="C169" s="206" t="s">
        <v>54</v>
      </c>
      <c r="D169" s="210">
        <v>2.0250001E8</v>
      </c>
      <c r="E169" s="212" t="s">
        <v>105</v>
      </c>
      <c r="F169" s="212" t="s">
        <v>124</v>
      </c>
      <c r="G169" s="213" t="s">
        <v>987</v>
      </c>
      <c r="H169" s="212"/>
      <c r="I169" s="212" t="s">
        <v>991</v>
      </c>
      <c r="J169" s="119" t="s">
        <v>189</v>
      </c>
      <c r="K169" s="26" t="s">
        <v>58</v>
      </c>
      <c r="L169" s="26" t="s">
        <v>59</v>
      </c>
      <c r="M169" s="26" t="s">
        <v>57</v>
      </c>
      <c r="N169" s="41" t="s">
        <v>967</v>
      </c>
      <c r="O169" s="41"/>
      <c r="P169" s="26"/>
      <c r="Q169" s="201"/>
      <c r="R169" s="41"/>
      <c r="S169" s="26"/>
      <c r="T169" s="26" t="s">
        <v>63</v>
      </c>
      <c r="U169" s="26" t="s">
        <v>57</v>
      </c>
      <c r="V169" s="26" t="s">
        <v>65</v>
      </c>
      <c r="W169" s="26" t="s">
        <v>78</v>
      </c>
      <c r="X169" s="42"/>
      <c r="Y169" s="115">
        <v>45674.0</v>
      </c>
      <c r="Z169" s="80">
        <v>45695.0</v>
      </c>
      <c r="AA169" s="204"/>
      <c r="AB169" s="177"/>
      <c r="AC169" s="26" t="s">
        <v>66</v>
      </c>
      <c r="AD169" s="26" t="s">
        <v>67</v>
      </c>
      <c r="AE169" s="120"/>
      <c r="AF169" s="75" t="s">
        <v>68</v>
      </c>
      <c r="AG169" s="34" t="s">
        <v>69</v>
      </c>
      <c r="AH169" s="158"/>
      <c r="AI169" s="36"/>
      <c r="AJ169" s="58" t="b">
        <v>0</v>
      </c>
      <c r="AK169" s="59"/>
      <c r="AL169" s="24"/>
      <c r="AM169" s="24"/>
      <c r="AN169" s="24"/>
    </row>
    <row r="170" ht="24.75" customHeight="1">
      <c r="A170" s="26">
        <v>2025.0</v>
      </c>
      <c r="B170" s="209">
        <v>1.0</v>
      </c>
      <c r="C170" s="206" t="s">
        <v>54</v>
      </c>
      <c r="D170" s="210">
        <v>2.02500011E8</v>
      </c>
      <c r="E170" s="212" t="s">
        <v>105</v>
      </c>
      <c r="F170" s="212" t="s">
        <v>381</v>
      </c>
      <c r="G170" s="213" t="s">
        <v>992</v>
      </c>
      <c r="H170" s="212"/>
      <c r="I170" s="212" t="s">
        <v>373</v>
      </c>
      <c r="J170" s="119" t="s">
        <v>189</v>
      </c>
      <c r="K170" s="26" t="s">
        <v>58</v>
      </c>
      <c r="L170" s="26" t="s">
        <v>59</v>
      </c>
      <c r="M170" s="26" t="s">
        <v>57</v>
      </c>
      <c r="N170" s="41" t="s">
        <v>967</v>
      </c>
      <c r="O170" s="41"/>
      <c r="P170" s="26"/>
      <c r="Q170" s="201"/>
      <c r="R170" s="41"/>
      <c r="S170" s="26"/>
      <c r="T170" s="26" t="s">
        <v>63</v>
      </c>
      <c r="U170" s="26" t="s">
        <v>57</v>
      </c>
      <c r="V170" s="26" t="s">
        <v>65</v>
      </c>
      <c r="W170" s="26" t="s">
        <v>78</v>
      </c>
      <c r="X170" s="42"/>
      <c r="Y170" s="115">
        <v>45674.0</v>
      </c>
      <c r="Z170" s="26" t="s">
        <v>993</v>
      </c>
      <c r="AA170" s="216" t="s">
        <v>994</v>
      </c>
      <c r="AB170" s="163" t="s">
        <v>995</v>
      </c>
      <c r="AC170" s="26" t="s">
        <v>66</v>
      </c>
      <c r="AD170" s="26" t="s">
        <v>67</v>
      </c>
      <c r="AE170" s="120"/>
      <c r="AF170" s="75" t="s">
        <v>68</v>
      </c>
      <c r="AG170" s="34" t="s">
        <v>69</v>
      </c>
      <c r="AH170" s="217" t="s">
        <v>996</v>
      </c>
      <c r="AI170" s="36"/>
      <c r="AJ170" s="58" t="b">
        <v>0</v>
      </c>
      <c r="AK170" s="59"/>
      <c r="AL170" s="24"/>
      <c r="AM170" s="24"/>
      <c r="AN170" s="24"/>
    </row>
    <row r="171" ht="24.75" customHeight="1">
      <c r="A171" s="26">
        <v>2025.0</v>
      </c>
      <c r="B171" s="209">
        <v>1.0</v>
      </c>
      <c r="C171" s="206" t="s">
        <v>54</v>
      </c>
      <c r="D171" s="210">
        <v>2.02500012E8</v>
      </c>
      <c r="E171" s="212" t="s">
        <v>105</v>
      </c>
      <c r="F171" s="212" t="s">
        <v>128</v>
      </c>
      <c r="G171" s="213" t="s">
        <v>997</v>
      </c>
      <c r="H171" s="212"/>
      <c r="I171" s="212" t="s">
        <v>182</v>
      </c>
      <c r="J171" s="119" t="s">
        <v>189</v>
      </c>
      <c r="K171" s="26" t="s">
        <v>58</v>
      </c>
      <c r="L171" s="26" t="s">
        <v>59</v>
      </c>
      <c r="M171" s="26" t="s">
        <v>57</v>
      </c>
      <c r="N171" s="41" t="s">
        <v>967</v>
      </c>
      <c r="O171" s="41"/>
      <c r="P171" s="26"/>
      <c r="Q171" s="201"/>
      <c r="R171" s="41"/>
      <c r="S171" s="26"/>
      <c r="T171" s="26" t="s">
        <v>63</v>
      </c>
      <c r="U171" s="26" t="s">
        <v>57</v>
      </c>
      <c r="V171" s="26" t="s">
        <v>226</v>
      </c>
      <c r="W171" s="26" t="s">
        <v>204</v>
      </c>
      <c r="X171" s="42"/>
      <c r="Y171" s="115">
        <v>45674.0</v>
      </c>
      <c r="Z171" s="32"/>
      <c r="AA171" s="204"/>
      <c r="AB171" s="177"/>
      <c r="AC171" s="26" t="s">
        <v>66</v>
      </c>
      <c r="AD171" s="26" t="s">
        <v>67</v>
      </c>
      <c r="AE171" s="120"/>
      <c r="AF171" s="75" t="s">
        <v>68</v>
      </c>
      <c r="AG171" s="34" t="s">
        <v>69</v>
      </c>
      <c r="AH171" s="158"/>
      <c r="AI171" s="36"/>
      <c r="AJ171" s="58" t="b">
        <v>0</v>
      </c>
      <c r="AK171" s="59"/>
      <c r="AL171" s="24"/>
      <c r="AM171" s="24"/>
      <c r="AN171" s="24"/>
    </row>
    <row r="172" ht="24.75" customHeight="1">
      <c r="A172" s="26">
        <v>2025.0</v>
      </c>
      <c r="B172" s="209">
        <v>1.0</v>
      </c>
      <c r="C172" s="206" t="s">
        <v>54</v>
      </c>
      <c r="D172" s="210">
        <v>2.02500013E8</v>
      </c>
      <c r="E172" s="212" t="s">
        <v>105</v>
      </c>
      <c r="F172" s="212" t="s">
        <v>358</v>
      </c>
      <c r="G172" s="213" t="s">
        <v>998</v>
      </c>
      <c r="H172" s="212"/>
      <c r="I172" s="212" t="s">
        <v>999</v>
      </c>
      <c r="J172" s="119" t="s">
        <v>189</v>
      </c>
      <c r="K172" s="26" t="s">
        <v>58</v>
      </c>
      <c r="L172" s="26" t="s">
        <v>59</v>
      </c>
      <c r="M172" s="26" t="s">
        <v>57</v>
      </c>
      <c r="N172" s="41" t="s">
        <v>967</v>
      </c>
      <c r="O172" s="41"/>
      <c r="P172" s="26"/>
      <c r="Q172" s="201"/>
      <c r="R172" s="41"/>
      <c r="S172" s="26"/>
      <c r="T172" s="26" t="s">
        <v>63</v>
      </c>
      <c r="U172" s="26" t="s">
        <v>57</v>
      </c>
      <c r="V172" s="26" t="s">
        <v>65</v>
      </c>
      <c r="W172" s="26" t="s">
        <v>78</v>
      </c>
      <c r="X172" s="42"/>
      <c r="Y172" s="115">
        <v>45674.0</v>
      </c>
      <c r="Z172" s="80">
        <v>45691.0</v>
      </c>
      <c r="AA172" s="204">
        <v>2.02557100009342E14</v>
      </c>
      <c r="AB172" s="177"/>
      <c r="AC172" s="26" t="s">
        <v>66</v>
      </c>
      <c r="AD172" s="26" t="s">
        <v>67</v>
      </c>
      <c r="AE172" s="120"/>
      <c r="AF172" s="75" t="s">
        <v>68</v>
      </c>
      <c r="AG172" s="34" t="s">
        <v>69</v>
      </c>
      <c r="AH172" s="158"/>
      <c r="AI172" s="36"/>
      <c r="AJ172" s="58" t="b">
        <v>0</v>
      </c>
      <c r="AK172" s="59"/>
      <c r="AL172" s="24"/>
      <c r="AM172" s="24"/>
      <c r="AN172" s="24"/>
    </row>
    <row r="173" ht="24.75" customHeight="1">
      <c r="A173" s="26">
        <v>2025.0</v>
      </c>
      <c r="B173" s="209">
        <v>1.0</v>
      </c>
      <c r="C173" s="206" t="s">
        <v>54</v>
      </c>
      <c r="D173" s="210">
        <v>2.02500014E8</v>
      </c>
      <c r="E173" s="212" t="s">
        <v>105</v>
      </c>
      <c r="F173" s="212" t="s">
        <v>55</v>
      </c>
      <c r="G173" s="213" t="s">
        <v>1000</v>
      </c>
      <c r="H173" s="212"/>
      <c r="I173" s="212" t="s">
        <v>107</v>
      </c>
      <c r="J173" s="119" t="s">
        <v>189</v>
      </c>
      <c r="K173" s="26" t="s">
        <v>58</v>
      </c>
      <c r="L173" s="26" t="s">
        <v>59</v>
      </c>
      <c r="M173" s="26" t="s">
        <v>57</v>
      </c>
      <c r="N173" s="41" t="s">
        <v>967</v>
      </c>
      <c r="O173" s="41"/>
      <c r="P173" s="26"/>
      <c r="Q173" s="201"/>
      <c r="R173" s="41"/>
      <c r="S173" s="26"/>
      <c r="T173" s="26" t="s">
        <v>63</v>
      </c>
      <c r="U173" s="26" t="s">
        <v>57</v>
      </c>
      <c r="V173" s="26" t="s">
        <v>65</v>
      </c>
      <c r="W173" s="26" t="s">
        <v>78</v>
      </c>
      <c r="X173" s="42"/>
      <c r="Y173" s="115">
        <v>45674.0</v>
      </c>
      <c r="Z173" s="80">
        <v>45678.0</v>
      </c>
      <c r="AA173" s="218" t="s">
        <v>1001</v>
      </c>
      <c r="AB173" s="177"/>
      <c r="AC173" s="26" t="s">
        <v>66</v>
      </c>
      <c r="AD173" s="26" t="s">
        <v>67</v>
      </c>
      <c r="AE173" s="120"/>
      <c r="AF173" s="75" t="s">
        <v>68</v>
      </c>
      <c r="AG173" s="34" t="s">
        <v>69</v>
      </c>
      <c r="AH173" s="219" t="s">
        <v>1002</v>
      </c>
      <c r="AI173" s="36"/>
      <c r="AJ173" s="58" t="b">
        <v>0</v>
      </c>
      <c r="AK173" s="59"/>
      <c r="AL173" s="24"/>
      <c r="AM173" s="24"/>
      <c r="AN173" s="24"/>
    </row>
    <row r="174" ht="24.75" customHeight="1">
      <c r="A174" s="26">
        <v>2025.0</v>
      </c>
      <c r="B174" s="209">
        <v>1.0</v>
      </c>
      <c r="C174" s="206" t="s">
        <v>54</v>
      </c>
      <c r="D174" s="210">
        <v>2.02500015E8</v>
      </c>
      <c r="E174" s="212" t="s">
        <v>105</v>
      </c>
      <c r="F174" s="212" t="s">
        <v>82</v>
      </c>
      <c r="G174" s="213" t="s">
        <v>1003</v>
      </c>
      <c r="H174" s="212"/>
      <c r="I174" s="212" t="s">
        <v>145</v>
      </c>
      <c r="J174" s="119" t="s">
        <v>189</v>
      </c>
      <c r="K174" s="26" t="s">
        <v>58</v>
      </c>
      <c r="L174" s="26" t="s">
        <v>59</v>
      </c>
      <c r="M174" s="26" t="s">
        <v>57</v>
      </c>
      <c r="N174" s="41" t="s">
        <v>967</v>
      </c>
      <c r="O174" s="41"/>
      <c r="P174" s="26"/>
      <c r="Q174" s="201"/>
      <c r="R174" s="41"/>
      <c r="S174" s="26"/>
      <c r="T174" s="26" t="s">
        <v>63</v>
      </c>
      <c r="U174" s="26" t="s">
        <v>57</v>
      </c>
      <c r="V174" s="26" t="s">
        <v>65</v>
      </c>
      <c r="W174" s="26" t="s">
        <v>78</v>
      </c>
      <c r="X174" s="42"/>
      <c r="Y174" s="115">
        <v>45674.0</v>
      </c>
      <c r="Z174" s="115">
        <v>45674.0</v>
      </c>
      <c r="AA174" s="158" t="s">
        <v>1004</v>
      </c>
      <c r="AB174" s="220" t="s">
        <v>1005</v>
      </c>
      <c r="AC174" s="26" t="s">
        <v>66</v>
      </c>
      <c r="AD174" s="26" t="s">
        <v>67</v>
      </c>
      <c r="AE174" s="120"/>
      <c r="AF174" s="75" t="s">
        <v>68</v>
      </c>
      <c r="AG174" s="34" t="s">
        <v>69</v>
      </c>
      <c r="AH174" s="221" t="s">
        <v>1006</v>
      </c>
      <c r="AI174" s="36"/>
      <c r="AJ174" s="58" t="b">
        <v>0</v>
      </c>
      <c r="AK174" s="59"/>
      <c r="AL174" s="24"/>
      <c r="AM174" s="24"/>
      <c r="AN174" s="24"/>
    </row>
    <row r="175" ht="24.75" customHeight="1">
      <c r="A175" s="26">
        <v>2025.0</v>
      </c>
      <c r="B175" s="209">
        <v>1.0</v>
      </c>
      <c r="C175" s="206" t="s">
        <v>54</v>
      </c>
      <c r="D175" s="210">
        <v>2.02500016E8</v>
      </c>
      <c r="E175" s="212" t="s">
        <v>105</v>
      </c>
      <c r="F175" s="212" t="s">
        <v>259</v>
      </c>
      <c r="G175" s="213" t="s">
        <v>1007</v>
      </c>
      <c r="H175" s="212"/>
      <c r="I175" s="212" t="s">
        <v>242</v>
      </c>
      <c r="J175" s="119" t="s">
        <v>189</v>
      </c>
      <c r="K175" s="26" t="s">
        <v>58</v>
      </c>
      <c r="L175" s="26" t="s">
        <v>59</v>
      </c>
      <c r="M175" s="26" t="s">
        <v>57</v>
      </c>
      <c r="N175" s="41" t="s">
        <v>967</v>
      </c>
      <c r="O175" s="41"/>
      <c r="P175" s="26"/>
      <c r="Q175" s="201"/>
      <c r="R175" s="41"/>
      <c r="S175" s="26"/>
      <c r="T175" s="26" t="s">
        <v>63</v>
      </c>
      <c r="U175" s="26" t="s">
        <v>57</v>
      </c>
      <c r="V175" s="26" t="s">
        <v>226</v>
      </c>
      <c r="W175" s="26" t="s">
        <v>204</v>
      </c>
      <c r="X175" s="42" t="s">
        <v>1008</v>
      </c>
      <c r="Y175" s="115">
        <v>45674.0</v>
      </c>
      <c r="Z175" s="32"/>
      <c r="AA175" s="222" t="s">
        <v>1009</v>
      </c>
      <c r="AB175" s="177"/>
      <c r="AC175" s="26" t="s">
        <v>66</v>
      </c>
      <c r="AD175" s="26" t="s">
        <v>67</v>
      </c>
      <c r="AE175" s="120"/>
      <c r="AF175" s="75" t="s">
        <v>68</v>
      </c>
      <c r="AG175" s="34" t="s">
        <v>69</v>
      </c>
      <c r="AH175" s="190" t="s">
        <v>1010</v>
      </c>
      <c r="AI175" s="36"/>
      <c r="AJ175" s="58" t="b">
        <v>0</v>
      </c>
      <c r="AK175" s="59"/>
      <c r="AL175" s="24"/>
      <c r="AM175" s="24"/>
      <c r="AN175" s="24"/>
    </row>
    <row r="176" ht="24.75" customHeight="1">
      <c r="A176" s="26">
        <v>2025.0</v>
      </c>
      <c r="B176" s="209">
        <v>1.0</v>
      </c>
      <c r="C176" s="206" t="s">
        <v>54</v>
      </c>
      <c r="D176" s="210">
        <v>2.02500017E8</v>
      </c>
      <c r="E176" s="212" t="s">
        <v>105</v>
      </c>
      <c r="F176" s="212" t="s">
        <v>240</v>
      </c>
      <c r="G176" s="213" t="s">
        <v>1011</v>
      </c>
      <c r="H176" s="212"/>
      <c r="I176" s="212" t="s">
        <v>1012</v>
      </c>
      <c r="J176" s="119" t="s">
        <v>189</v>
      </c>
      <c r="K176" s="26" t="s">
        <v>58</v>
      </c>
      <c r="L176" s="26" t="s">
        <v>59</v>
      </c>
      <c r="M176" s="26" t="s">
        <v>57</v>
      </c>
      <c r="N176" s="41" t="s">
        <v>967</v>
      </c>
      <c r="O176" s="41"/>
      <c r="P176" s="26"/>
      <c r="Q176" s="201"/>
      <c r="R176" s="41"/>
      <c r="S176" s="26"/>
      <c r="T176" s="26" t="s">
        <v>63</v>
      </c>
      <c r="U176" s="26" t="s">
        <v>57</v>
      </c>
      <c r="V176" s="26" t="s">
        <v>65</v>
      </c>
      <c r="W176" s="26" t="s">
        <v>78</v>
      </c>
      <c r="X176" s="42"/>
      <c r="Y176" s="115">
        <v>45674.0</v>
      </c>
      <c r="Z176" s="80">
        <v>45691.0</v>
      </c>
      <c r="AA176" s="119" t="s">
        <v>1013</v>
      </c>
      <c r="AB176" s="122" t="s">
        <v>1014</v>
      </c>
      <c r="AC176" s="26" t="s">
        <v>66</v>
      </c>
      <c r="AD176" s="26" t="s">
        <v>67</v>
      </c>
      <c r="AE176" s="120"/>
      <c r="AF176" s="75" t="s">
        <v>68</v>
      </c>
      <c r="AG176" s="34" t="s">
        <v>69</v>
      </c>
      <c r="AH176" s="187" t="s">
        <v>1015</v>
      </c>
      <c r="AI176" s="36"/>
      <c r="AJ176" s="58" t="b">
        <v>0</v>
      </c>
      <c r="AK176" s="59"/>
      <c r="AL176" s="24"/>
      <c r="AM176" s="24"/>
      <c r="AN176" s="24"/>
    </row>
    <row r="177" ht="24.75" customHeight="1">
      <c r="A177" s="26">
        <v>2025.0</v>
      </c>
      <c r="B177" s="209">
        <v>1.0</v>
      </c>
      <c r="C177" s="206" t="s">
        <v>54</v>
      </c>
      <c r="D177" s="210">
        <v>2.02500018E8</v>
      </c>
      <c r="E177" s="212" t="s">
        <v>105</v>
      </c>
      <c r="F177" s="212" t="s">
        <v>82</v>
      </c>
      <c r="G177" s="213" t="s">
        <v>1016</v>
      </c>
      <c r="H177" s="212"/>
      <c r="I177" s="212" t="s">
        <v>246</v>
      </c>
      <c r="J177" s="119" t="s">
        <v>189</v>
      </c>
      <c r="K177" s="26" t="s">
        <v>58</v>
      </c>
      <c r="L177" s="26" t="s">
        <v>59</v>
      </c>
      <c r="M177" s="26" t="s">
        <v>57</v>
      </c>
      <c r="N177" s="41" t="s">
        <v>967</v>
      </c>
      <c r="O177" s="41"/>
      <c r="P177" s="26"/>
      <c r="Q177" s="201"/>
      <c r="R177" s="41"/>
      <c r="S177" s="26"/>
      <c r="T177" s="26" t="s">
        <v>63</v>
      </c>
      <c r="U177" s="26" t="s">
        <v>57</v>
      </c>
      <c r="V177" s="26" t="s">
        <v>65</v>
      </c>
      <c r="W177" s="26" t="s">
        <v>78</v>
      </c>
      <c r="X177" s="42"/>
      <c r="Y177" s="115">
        <v>45674.0</v>
      </c>
      <c r="Z177" s="80">
        <v>45687.0</v>
      </c>
      <c r="AA177" s="223" t="s">
        <v>1017</v>
      </c>
      <c r="AB177" s="177"/>
      <c r="AC177" s="26" t="s">
        <v>66</v>
      </c>
      <c r="AD177" s="26" t="s">
        <v>67</v>
      </c>
      <c r="AE177" s="120"/>
      <c r="AF177" s="75" t="s">
        <v>68</v>
      </c>
      <c r="AG177" s="34" t="s">
        <v>69</v>
      </c>
      <c r="AH177" s="158"/>
      <c r="AI177" s="36"/>
      <c r="AJ177" s="58" t="b">
        <v>0</v>
      </c>
      <c r="AK177" s="59"/>
      <c r="AL177" s="24"/>
      <c r="AM177" s="24"/>
      <c r="AN177" s="24"/>
    </row>
    <row r="178" ht="24.75" customHeight="1">
      <c r="A178" s="26">
        <v>2025.0</v>
      </c>
      <c r="B178" s="209">
        <v>1.0</v>
      </c>
      <c r="C178" s="206" t="s">
        <v>54</v>
      </c>
      <c r="D178" s="210">
        <v>2.02500019E8</v>
      </c>
      <c r="E178" s="212" t="s">
        <v>105</v>
      </c>
      <c r="F178" s="212" t="s">
        <v>1018</v>
      </c>
      <c r="G178" s="213" t="s">
        <v>1019</v>
      </c>
      <c r="H178" s="212"/>
      <c r="I178" s="212" t="s">
        <v>1020</v>
      </c>
      <c r="J178" s="119" t="s">
        <v>189</v>
      </c>
      <c r="K178" s="26" t="s">
        <v>58</v>
      </c>
      <c r="L178" s="26" t="s">
        <v>59</v>
      </c>
      <c r="M178" s="26" t="s">
        <v>57</v>
      </c>
      <c r="N178" s="41" t="s">
        <v>967</v>
      </c>
      <c r="O178" s="41"/>
      <c r="P178" s="26"/>
      <c r="Q178" s="201"/>
      <c r="R178" s="41"/>
      <c r="S178" s="26"/>
      <c r="T178" s="26" t="s">
        <v>63</v>
      </c>
      <c r="U178" s="26" t="s">
        <v>57</v>
      </c>
      <c r="V178" s="26" t="s">
        <v>65</v>
      </c>
      <c r="W178" s="26" t="s">
        <v>78</v>
      </c>
      <c r="X178" s="42"/>
      <c r="Y178" s="115">
        <v>45674.0</v>
      </c>
      <c r="Z178" s="80">
        <v>45691.0</v>
      </c>
      <c r="AA178" s="122" t="s">
        <v>1021</v>
      </c>
      <c r="AB178" s="177"/>
      <c r="AC178" s="26" t="s">
        <v>66</v>
      </c>
      <c r="AD178" s="26" t="s">
        <v>67</v>
      </c>
      <c r="AE178" s="120"/>
      <c r="AF178" s="75" t="s">
        <v>68</v>
      </c>
      <c r="AG178" s="34" t="s">
        <v>69</v>
      </c>
      <c r="AH178" s="158"/>
      <c r="AI178" s="36"/>
      <c r="AJ178" s="58" t="b">
        <v>0</v>
      </c>
      <c r="AK178" s="59"/>
      <c r="AL178" s="24"/>
      <c r="AM178" s="24"/>
      <c r="AN178" s="24"/>
    </row>
    <row r="179" ht="24.75" customHeight="1">
      <c r="A179" s="26">
        <v>2025.0</v>
      </c>
      <c r="B179" s="209">
        <v>1.0</v>
      </c>
      <c r="C179" s="206" t="s">
        <v>54</v>
      </c>
      <c r="D179" s="210">
        <v>2.0250002E8</v>
      </c>
      <c r="E179" s="212" t="s">
        <v>105</v>
      </c>
      <c r="F179" s="212" t="s">
        <v>133</v>
      </c>
      <c r="G179" s="213" t="s">
        <v>1022</v>
      </c>
      <c r="H179" s="212"/>
      <c r="I179" s="212" t="s">
        <v>1023</v>
      </c>
      <c r="J179" s="119" t="s">
        <v>189</v>
      </c>
      <c r="K179" s="26" t="s">
        <v>58</v>
      </c>
      <c r="L179" s="26" t="s">
        <v>59</v>
      </c>
      <c r="M179" s="26" t="s">
        <v>57</v>
      </c>
      <c r="N179" s="41" t="s">
        <v>967</v>
      </c>
      <c r="O179" s="41"/>
      <c r="P179" s="26"/>
      <c r="Q179" s="201"/>
      <c r="R179" s="41"/>
      <c r="S179" s="26"/>
      <c r="T179" s="26" t="s">
        <v>63</v>
      </c>
      <c r="U179" s="26" t="s">
        <v>57</v>
      </c>
      <c r="V179" s="26" t="s">
        <v>226</v>
      </c>
      <c r="W179" s="26" t="s">
        <v>204</v>
      </c>
      <c r="X179" s="42"/>
      <c r="Y179" s="115">
        <v>45674.0</v>
      </c>
      <c r="Z179" s="32"/>
      <c r="AA179" s="119" t="s">
        <v>1024</v>
      </c>
      <c r="AB179" s="224" t="s">
        <v>1025</v>
      </c>
      <c r="AC179" s="26" t="s">
        <v>66</v>
      </c>
      <c r="AD179" s="26" t="s">
        <v>67</v>
      </c>
      <c r="AE179" s="120"/>
      <c r="AF179" s="75" t="s">
        <v>68</v>
      </c>
      <c r="AG179" s="34" t="s">
        <v>69</v>
      </c>
      <c r="AH179" s="187" t="s">
        <v>1026</v>
      </c>
      <c r="AI179" s="36"/>
      <c r="AJ179" s="58" t="b">
        <v>0</v>
      </c>
      <c r="AK179" s="59"/>
      <c r="AL179" s="24"/>
      <c r="AM179" s="24"/>
      <c r="AN179" s="24"/>
    </row>
    <row r="180" ht="24.75" customHeight="1">
      <c r="A180" s="26">
        <v>2025.0</v>
      </c>
      <c r="B180" s="209">
        <v>1.0</v>
      </c>
      <c r="C180" s="206" t="s">
        <v>54</v>
      </c>
      <c r="D180" s="210">
        <v>2.02500021E8</v>
      </c>
      <c r="E180" s="212" t="s">
        <v>105</v>
      </c>
      <c r="F180" s="212" t="s">
        <v>259</v>
      </c>
      <c r="G180" s="213" t="s">
        <v>1027</v>
      </c>
      <c r="H180" s="212"/>
      <c r="I180" s="212" t="s">
        <v>84</v>
      </c>
      <c r="J180" s="119" t="s">
        <v>189</v>
      </c>
      <c r="K180" s="26" t="s">
        <v>58</v>
      </c>
      <c r="L180" s="26" t="s">
        <v>59</v>
      </c>
      <c r="M180" s="26" t="s">
        <v>57</v>
      </c>
      <c r="N180" s="41" t="s">
        <v>967</v>
      </c>
      <c r="O180" s="41"/>
      <c r="P180" s="26"/>
      <c r="Q180" s="201"/>
      <c r="R180" s="41"/>
      <c r="S180" s="26"/>
      <c r="T180" s="26" t="s">
        <v>63</v>
      </c>
      <c r="U180" s="26" t="s">
        <v>57</v>
      </c>
      <c r="V180" s="26" t="s">
        <v>65</v>
      </c>
      <c r="W180" s="26" t="s">
        <v>78</v>
      </c>
      <c r="X180" s="42"/>
      <c r="Y180" s="115">
        <v>45674.0</v>
      </c>
      <c r="Z180" s="80">
        <v>45686.0</v>
      </c>
      <c r="AA180" s="225">
        <v>2.0254210120612E13</v>
      </c>
      <c r="AB180" s="226">
        <v>45677.0</v>
      </c>
      <c r="AC180" s="26" t="s">
        <v>66</v>
      </c>
      <c r="AD180" s="26" t="s">
        <v>67</v>
      </c>
      <c r="AE180" s="120"/>
      <c r="AF180" s="75" t="s">
        <v>68</v>
      </c>
      <c r="AG180" s="34" t="s">
        <v>69</v>
      </c>
      <c r="AH180" s="190" t="s">
        <v>1028</v>
      </c>
      <c r="AI180" s="36"/>
      <c r="AJ180" s="58" t="b">
        <v>0</v>
      </c>
      <c r="AK180" s="59"/>
      <c r="AL180" s="24"/>
      <c r="AM180" s="24"/>
      <c r="AN180" s="24"/>
    </row>
    <row r="181" ht="24.75" customHeight="1">
      <c r="A181" s="26">
        <v>2025.0</v>
      </c>
      <c r="B181" s="209">
        <v>1.0</v>
      </c>
      <c r="C181" s="206" t="s">
        <v>54</v>
      </c>
      <c r="D181" s="210">
        <v>2.02500022E8</v>
      </c>
      <c r="E181" s="212" t="s">
        <v>2</v>
      </c>
      <c r="F181" s="212" t="s">
        <v>381</v>
      </c>
      <c r="G181" s="213" t="s">
        <v>1029</v>
      </c>
      <c r="H181" s="212"/>
      <c r="I181" s="212" t="s">
        <v>373</v>
      </c>
      <c r="J181" s="119" t="s">
        <v>98</v>
      </c>
      <c r="K181" s="26" t="s">
        <v>58</v>
      </c>
      <c r="L181" s="26" t="s">
        <v>59</v>
      </c>
      <c r="M181" s="26" t="s">
        <v>99</v>
      </c>
      <c r="N181" s="41" t="s">
        <v>967</v>
      </c>
      <c r="O181" s="41" t="s">
        <v>1030</v>
      </c>
      <c r="P181" s="26">
        <v>1.117485698E9</v>
      </c>
      <c r="Q181" s="201" t="s">
        <v>1031</v>
      </c>
      <c r="R181" s="41" t="s">
        <v>1032</v>
      </c>
      <c r="S181" s="26" t="s">
        <v>1033</v>
      </c>
      <c r="T181" s="26" t="s">
        <v>63</v>
      </c>
      <c r="U181" s="26"/>
      <c r="V181" s="26" t="s">
        <v>226</v>
      </c>
      <c r="W181" s="26" t="s">
        <v>204</v>
      </c>
      <c r="X181" s="122" t="s">
        <v>1034</v>
      </c>
      <c r="Y181" s="115">
        <v>45678.0</v>
      </c>
      <c r="Z181" s="32"/>
      <c r="AA181" s="119" t="s">
        <v>1035</v>
      </c>
      <c r="AB181" s="227" t="s">
        <v>1036</v>
      </c>
      <c r="AC181" s="26" t="s">
        <v>66</v>
      </c>
      <c r="AD181" s="26" t="s">
        <v>67</v>
      </c>
      <c r="AE181" s="120" t="s">
        <v>1037</v>
      </c>
      <c r="AF181" s="75" t="s">
        <v>68</v>
      </c>
      <c r="AG181" s="34" t="s">
        <v>69</v>
      </c>
      <c r="AH181" s="217" t="s">
        <v>1038</v>
      </c>
      <c r="AI181" s="36"/>
      <c r="AJ181" s="58" t="b">
        <v>0</v>
      </c>
      <c r="AK181" s="59"/>
      <c r="AL181" s="24"/>
      <c r="AM181" s="24"/>
      <c r="AN181" s="24"/>
    </row>
    <row r="182" ht="24.75" customHeight="1">
      <c r="A182" s="26">
        <v>2025.0</v>
      </c>
      <c r="B182" s="209">
        <v>1.0</v>
      </c>
      <c r="C182" s="206" t="s">
        <v>54</v>
      </c>
      <c r="D182" s="210">
        <v>2.02500023E8</v>
      </c>
      <c r="E182" s="212" t="s">
        <v>105</v>
      </c>
      <c r="F182" s="212" t="s">
        <v>964</v>
      </c>
      <c r="G182" s="213" t="s">
        <v>1039</v>
      </c>
      <c r="H182" s="212"/>
      <c r="I182" s="212" t="s">
        <v>182</v>
      </c>
      <c r="J182" s="119" t="s">
        <v>189</v>
      </c>
      <c r="K182" s="26" t="s">
        <v>58</v>
      </c>
      <c r="L182" s="26" t="s">
        <v>59</v>
      </c>
      <c r="M182" s="26" t="s">
        <v>57</v>
      </c>
      <c r="N182" s="41" t="s">
        <v>967</v>
      </c>
      <c r="O182" s="41"/>
      <c r="P182" s="26"/>
      <c r="Q182" s="201"/>
      <c r="R182" s="41"/>
      <c r="S182" s="26"/>
      <c r="T182" s="26" t="s">
        <v>63</v>
      </c>
      <c r="U182" s="26" t="s">
        <v>57</v>
      </c>
      <c r="V182" s="26" t="s">
        <v>65</v>
      </c>
      <c r="W182" s="26" t="s">
        <v>78</v>
      </c>
      <c r="X182" s="42"/>
      <c r="Y182" s="115">
        <v>45679.0</v>
      </c>
      <c r="Z182" s="80">
        <v>45691.0</v>
      </c>
      <c r="AA182" s="204"/>
      <c r="AB182" s="177"/>
      <c r="AC182" s="26" t="s">
        <v>66</v>
      </c>
      <c r="AD182" s="26" t="s">
        <v>67</v>
      </c>
      <c r="AE182" s="120"/>
      <c r="AF182" s="75" t="s">
        <v>68</v>
      </c>
      <c r="AG182" s="34" t="s">
        <v>69</v>
      </c>
      <c r="AH182" s="158"/>
      <c r="AI182" s="36"/>
      <c r="AJ182" s="58" t="b">
        <v>0</v>
      </c>
      <c r="AK182" s="59"/>
      <c r="AL182" s="24"/>
      <c r="AM182" s="24"/>
      <c r="AN182" s="24"/>
    </row>
    <row r="183" ht="24.75" customHeight="1">
      <c r="A183" s="26">
        <v>2025.0</v>
      </c>
      <c r="B183" s="209">
        <v>1.0</v>
      </c>
      <c r="C183" s="206" t="s">
        <v>54</v>
      </c>
      <c r="D183" s="210">
        <v>2.02500024E8</v>
      </c>
      <c r="E183" s="212" t="s">
        <v>132</v>
      </c>
      <c r="F183" s="212" t="s">
        <v>82</v>
      </c>
      <c r="G183" s="213" t="s">
        <v>1040</v>
      </c>
      <c r="H183" s="212"/>
      <c r="I183" s="212" t="s">
        <v>170</v>
      </c>
      <c r="J183" s="119" t="s">
        <v>913</v>
      </c>
      <c r="K183" s="26" t="s">
        <v>58</v>
      </c>
      <c r="L183" s="26" t="s">
        <v>59</v>
      </c>
      <c r="M183" s="26" t="s">
        <v>136</v>
      </c>
      <c r="N183" s="41" t="s">
        <v>967</v>
      </c>
      <c r="O183" s="41" t="s">
        <v>914</v>
      </c>
      <c r="P183" s="26"/>
      <c r="Q183" s="201" t="s">
        <v>915</v>
      </c>
      <c r="R183" s="41"/>
      <c r="S183" s="26"/>
      <c r="T183" s="26" t="s">
        <v>82</v>
      </c>
      <c r="U183" s="26" t="s">
        <v>64</v>
      </c>
      <c r="V183" s="26" t="s">
        <v>226</v>
      </c>
      <c r="W183" s="26" t="s">
        <v>204</v>
      </c>
      <c r="X183" s="42"/>
      <c r="Y183" s="115">
        <v>45680.0</v>
      </c>
      <c r="Z183" s="32"/>
      <c r="AA183" s="189" t="s">
        <v>1041</v>
      </c>
      <c r="AB183" s="226">
        <v>45680.0</v>
      </c>
      <c r="AC183" s="26" t="s">
        <v>66</v>
      </c>
      <c r="AD183" s="26" t="s">
        <v>67</v>
      </c>
      <c r="AE183" s="120" t="s">
        <v>1042</v>
      </c>
      <c r="AF183" s="75" t="s">
        <v>68</v>
      </c>
      <c r="AG183" s="34" t="s">
        <v>69</v>
      </c>
      <c r="AH183" s="202" t="s">
        <v>670</v>
      </c>
      <c r="AI183" s="36"/>
      <c r="AJ183" s="29" t="b">
        <v>0</v>
      </c>
      <c r="AK183" s="24"/>
      <c r="AL183" s="24"/>
      <c r="AM183" s="24"/>
      <c r="AN183" s="24"/>
    </row>
    <row r="184" ht="24.75" customHeight="1">
      <c r="A184" s="26">
        <v>2025.0</v>
      </c>
      <c r="B184" s="209">
        <v>1.0</v>
      </c>
      <c r="C184" s="206" t="s">
        <v>54</v>
      </c>
      <c r="D184" s="210">
        <v>2.02500025E8</v>
      </c>
      <c r="E184" s="212" t="s">
        <v>2</v>
      </c>
      <c r="F184" s="212" t="s">
        <v>124</v>
      </c>
      <c r="G184" s="213" t="s">
        <v>950</v>
      </c>
      <c r="H184" s="212"/>
      <c r="I184" s="212" t="s">
        <v>191</v>
      </c>
      <c r="J184" s="119" t="s">
        <v>1043</v>
      </c>
      <c r="K184" s="26" t="s">
        <v>58</v>
      </c>
      <c r="L184" s="26" t="s">
        <v>59</v>
      </c>
      <c r="M184" s="26" t="s">
        <v>99</v>
      </c>
      <c r="N184" s="41" t="s">
        <v>967</v>
      </c>
      <c r="O184" s="41" t="s">
        <v>1044</v>
      </c>
      <c r="P184" s="26" t="s">
        <v>1045</v>
      </c>
      <c r="Q184" s="201" t="s">
        <v>1046</v>
      </c>
      <c r="R184" s="41" t="s">
        <v>1047</v>
      </c>
      <c r="S184" s="26" t="s">
        <v>1048</v>
      </c>
      <c r="T184" s="26" t="s">
        <v>128</v>
      </c>
      <c r="U184" s="26" t="s">
        <v>64</v>
      </c>
      <c r="V184" s="26" t="s">
        <v>65</v>
      </c>
      <c r="W184" s="26" t="s">
        <v>78</v>
      </c>
      <c r="X184" s="42"/>
      <c r="Y184" s="115">
        <v>45686.0</v>
      </c>
      <c r="Z184" s="228">
        <v>45688.0</v>
      </c>
      <c r="AA184" s="125" t="s">
        <v>1049</v>
      </c>
      <c r="AB184" s="119" t="s">
        <v>1050</v>
      </c>
      <c r="AC184" s="26" t="s">
        <v>66</v>
      </c>
      <c r="AD184" s="26" t="s">
        <v>67</v>
      </c>
      <c r="AE184" s="120" t="s">
        <v>1051</v>
      </c>
      <c r="AF184" s="75" t="s">
        <v>68</v>
      </c>
      <c r="AG184" s="34" t="s">
        <v>69</v>
      </c>
      <c r="AH184" s="229" t="s">
        <v>1052</v>
      </c>
      <c r="AI184" s="36"/>
      <c r="AJ184" s="29" t="b">
        <v>0</v>
      </c>
      <c r="AK184" s="24"/>
      <c r="AL184" s="24"/>
      <c r="AM184" s="24"/>
      <c r="AN184" s="24"/>
    </row>
    <row r="185" ht="24.75" customHeight="1">
      <c r="A185" s="26">
        <v>2025.0</v>
      </c>
      <c r="B185" s="212">
        <v>2.0</v>
      </c>
      <c r="C185" s="210" t="s">
        <v>143</v>
      </c>
      <c r="D185" s="210">
        <v>2.02500026E8</v>
      </c>
      <c r="E185" s="212" t="s">
        <v>2</v>
      </c>
      <c r="F185" s="212" t="s">
        <v>124</v>
      </c>
      <c r="G185" s="213" t="s">
        <v>1053</v>
      </c>
      <c r="H185" s="212"/>
      <c r="I185" s="212" t="s">
        <v>191</v>
      </c>
      <c r="J185" s="119" t="s">
        <v>98</v>
      </c>
      <c r="K185" s="26" t="s">
        <v>58</v>
      </c>
      <c r="L185" s="26" t="s">
        <v>59</v>
      </c>
      <c r="M185" s="26" t="s">
        <v>99</v>
      </c>
      <c r="N185" s="41" t="s">
        <v>967</v>
      </c>
      <c r="O185" s="41" t="s">
        <v>1054</v>
      </c>
      <c r="P185" s="26"/>
      <c r="Q185" s="201"/>
      <c r="R185" s="41" t="s">
        <v>1055</v>
      </c>
      <c r="S185" s="26">
        <v>3.007751242E9</v>
      </c>
      <c r="T185" s="26" t="s">
        <v>128</v>
      </c>
      <c r="U185" s="26" t="s">
        <v>129</v>
      </c>
      <c r="V185" s="26" t="s">
        <v>65</v>
      </c>
      <c r="W185" s="26" t="s">
        <v>78</v>
      </c>
      <c r="X185" s="230" t="s">
        <v>1056</v>
      </c>
      <c r="Y185" s="115">
        <v>45693.0</v>
      </c>
      <c r="Z185" s="80">
        <v>45705.0</v>
      </c>
      <c r="AA185" s="119" t="s">
        <v>1057</v>
      </c>
      <c r="AB185" s="122" t="s">
        <v>1058</v>
      </c>
      <c r="AC185" s="26" t="s">
        <v>66</v>
      </c>
      <c r="AD185" s="26" t="s">
        <v>67</v>
      </c>
      <c r="AE185" s="120"/>
      <c r="AF185" s="75" t="s">
        <v>68</v>
      </c>
      <c r="AG185" s="34" t="s">
        <v>69</v>
      </c>
      <c r="AH185" s="231" t="s">
        <v>1059</v>
      </c>
      <c r="AI185" s="36"/>
      <c r="AJ185" s="29" t="b">
        <v>0</v>
      </c>
      <c r="AK185" s="24"/>
      <c r="AL185" s="24"/>
      <c r="AM185" s="24"/>
      <c r="AN185" s="24"/>
    </row>
    <row r="186" ht="24.75" customHeight="1">
      <c r="A186" s="26">
        <v>2025.0</v>
      </c>
      <c r="B186" s="212">
        <v>2.0</v>
      </c>
      <c r="C186" s="210" t="s">
        <v>143</v>
      </c>
      <c r="D186" s="210">
        <v>2.02500027E8</v>
      </c>
      <c r="E186" s="212" t="s">
        <v>71</v>
      </c>
      <c r="F186" s="212" t="s">
        <v>82</v>
      </c>
      <c r="G186" s="213" t="s">
        <v>1060</v>
      </c>
      <c r="H186" s="212"/>
      <c r="I186" s="212" t="s">
        <v>84</v>
      </c>
      <c r="J186" s="119" t="s">
        <v>98</v>
      </c>
      <c r="K186" s="26" t="s">
        <v>58</v>
      </c>
      <c r="L186" s="26" t="s">
        <v>59</v>
      </c>
      <c r="M186" s="26" t="s">
        <v>99</v>
      </c>
      <c r="N186" s="41" t="s">
        <v>967</v>
      </c>
      <c r="O186" s="25" t="s">
        <v>100</v>
      </c>
      <c r="P186" s="45">
        <v>6742994.0</v>
      </c>
      <c r="Q186" s="25" t="s">
        <v>101</v>
      </c>
      <c r="R186" s="25" t="s">
        <v>57</v>
      </c>
      <c r="S186" s="27">
        <v>3.208170206E9</v>
      </c>
      <c r="T186" s="26" t="s">
        <v>82</v>
      </c>
      <c r="U186" s="26" t="s">
        <v>64</v>
      </c>
      <c r="V186" s="26" t="s">
        <v>226</v>
      </c>
      <c r="W186" s="26" t="s">
        <v>204</v>
      </c>
      <c r="X186" s="42"/>
      <c r="Y186" s="115">
        <v>45692.0</v>
      </c>
      <c r="Z186" s="32"/>
      <c r="AA186" s="232" t="s">
        <v>1061</v>
      </c>
      <c r="AB186" s="177"/>
      <c r="AC186" s="26" t="s">
        <v>66</v>
      </c>
      <c r="AD186" s="26" t="s">
        <v>67</v>
      </c>
      <c r="AE186" s="120" t="s">
        <v>1062</v>
      </c>
      <c r="AF186" s="75" t="s">
        <v>68</v>
      </c>
      <c r="AG186" s="34" t="s">
        <v>69</v>
      </c>
      <c r="AH186" s="208" t="s">
        <v>1063</v>
      </c>
      <c r="AI186" s="36"/>
      <c r="AJ186" s="29" t="b">
        <v>0</v>
      </c>
      <c r="AK186" s="24"/>
      <c r="AL186" s="24"/>
      <c r="AM186" s="24"/>
      <c r="AN186" s="24"/>
    </row>
    <row r="187" ht="24.75" customHeight="1">
      <c r="A187" s="26">
        <v>2025.0</v>
      </c>
      <c r="B187" s="212">
        <v>2.0</v>
      </c>
      <c r="C187" s="210" t="s">
        <v>143</v>
      </c>
      <c r="D187" s="210">
        <v>2.02500028E8</v>
      </c>
      <c r="E187" s="212" t="s">
        <v>239</v>
      </c>
      <c r="F187" s="212" t="s">
        <v>119</v>
      </c>
      <c r="G187" s="213" t="s">
        <v>1064</v>
      </c>
      <c r="H187" s="212"/>
      <c r="I187" s="212" t="s">
        <v>662</v>
      </c>
      <c r="J187" s="119" t="s">
        <v>189</v>
      </c>
      <c r="K187" s="26" t="s">
        <v>58</v>
      </c>
      <c r="L187" s="26" t="s">
        <v>59</v>
      </c>
      <c r="M187" s="26" t="s">
        <v>57</v>
      </c>
      <c r="N187" s="41" t="s">
        <v>967</v>
      </c>
      <c r="O187" s="41"/>
      <c r="P187" s="26"/>
      <c r="Q187" s="201"/>
      <c r="R187" s="41"/>
      <c r="S187" s="26"/>
      <c r="T187" s="26" t="s">
        <v>63</v>
      </c>
      <c r="U187" s="26" t="s">
        <v>57</v>
      </c>
      <c r="V187" s="26" t="s">
        <v>226</v>
      </c>
      <c r="W187" s="26" t="s">
        <v>78</v>
      </c>
      <c r="X187" s="42"/>
      <c r="Y187" s="115">
        <v>45692.0</v>
      </c>
      <c r="Z187" s="80">
        <v>45694.0</v>
      </c>
      <c r="AA187" s="54" t="s">
        <v>1065</v>
      </c>
      <c r="AB187" s="177"/>
      <c r="AC187" s="26" t="s">
        <v>66</v>
      </c>
      <c r="AD187" s="26" t="s">
        <v>67</v>
      </c>
      <c r="AE187" s="120"/>
      <c r="AF187" s="75" t="s">
        <v>68</v>
      </c>
      <c r="AG187" s="34" t="s">
        <v>69</v>
      </c>
      <c r="AH187" s="208" t="s">
        <v>1066</v>
      </c>
      <c r="AI187" s="36"/>
      <c r="AJ187" s="29" t="b">
        <v>0</v>
      </c>
      <c r="AK187" s="24"/>
      <c r="AL187" s="24"/>
      <c r="AM187" s="24"/>
      <c r="AN187" s="24"/>
    </row>
    <row r="188" ht="24.75" customHeight="1">
      <c r="A188" s="26">
        <v>2025.0</v>
      </c>
      <c r="B188" s="212">
        <v>2.0</v>
      </c>
      <c r="C188" s="210" t="s">
        <v>143</v>
      </c>
      <c r="D188" s="210">
        <v>2.02500029E8</v>
      </c>
      <c r="E188" s="212" t="s">
        <v>132</v>
      </c>
      <c r="F188" s="212" t="s">
        <v>82</v>
      </c>
      <c r="G188" s="213" t="s">
        <v>1067</v>
      </c>
      <c r="H188" s="212"/>
      <c r="I188" s="212" t="s">
        <v>246</v>
      </c>
      <c r="J188" s="119" t="s">
        <v>1068</v>
      </c>
      <c r="K188" s="26" t="s">
        <v>58</v>
      </c>
      <c r="L188" s="26" t="s">
        <v>59</v>
      </c>
      <c r="M188" s="26" t="s">
        <v>99</v>
      </c>
      <c r="N188" s="41" t="s">
        <v>967</v>
      </c>
      <c r="O188" s="41"/>
      <c r="P188" s="26"/>
      <c r="Q188" s="201"/>
      <c r="R188" s="41"/>
      <c r="S188" s="26"/>
      <c r="T188" s="26" t="s">
        <v>82</v>
      </c>
      <c r="U188" s="26" t="s">
        <v>64</v>
      </c>
      <c r="V188" s="26" t="s">
        <v>226</v>
      </c>
      <c r="W188" s="26" t="s">
        <v>204</v>
      </c>
      <c r="X188" s="42"/>
      <c r="Y188" s="115">
        <v>45693.0</v>
      </c>
      <c r="Z188" s="32"/>
      <c r="AA188" s="189" t="s">
        <v>1069</v>
      </c>
      <c r="AB188" s="177"/>
      <c r="AC188" s="26" t="s">
        <v>66</v>
      </c>
      <c r="AD188" s="26" t="s">
        <v>67</v>
      </c>
      <c r="AE188" s="120"/>
      <c r="AF188" s="75" t="s">
        <v>68</v>
      </c>
      <c r="AG188" s="34" t="s">
        <v>69</v>
      </c>
      <c r="AH188" s="202" t="s">
        <v>1070</v>
      </c>
      <c r="AI188" s="36"/>
      <c r="AJ188" s="29" t="b">
        <v>0</v>
      </c>
      <c r="AK188" s="24"/>
      <c r="AL188" s="24"/>
      <c r="AM188" s="24"/>
      <c r="AN188" s="24"/>
    </row>
    <row r="189" ht="24.75" customHeight="1">
      <c r="A189" s="26">
        <v>2025.0</v>
      </c>
      <c r="B189" s="212">
        <v>2.0</v>
      </c>
      <c r="C189" s="210" t="s">
        <v>143</v>
      </c>
      <c r="D189" s="210">
        <v>2.0250003E8</v>
      </c>
      <c r="E189" s="212" t="s">
        <v>132</v>
      </c>
      <c r="F189" s="212" t="s">
        <v>358</v>
      </c>
      <c r="G189" s="213" t="s">
        <v>1071</v>
      </c>
      <c r="H189" s="212"/>
      <c r="I189" s="212" t="s">
        <v>1072</v>
      </c>
      <c r="J189" s="119" t="s">
        <v>272</v>
      </c>
      <c r="K189" s="26" t="s">
        <v>58</v>
      </c>
      <c r="L189" s="26" t="s">
        <v>59</v>
      </c>
      <c r="M189" s="26"/>
      <c r="N189" s="41" t="s">
        <v>967</v>
      </c>
      <c r="O189" s="41"/>
      <c r="P189" s="26"/>
      <c r="Q189" s="201"/>
      <c r="R189" s="41"/>
      <c r="S189" s="26"/>
      <c r="T189" s="26" t="s">
        <v>63</v>
      </c>
      <c r="U189" s="26"/>
      <c r="V189" s="26" t="s">
        <v>226</v>
      </c>
      <c r="W189" s="26" t="s">
        <v>204</v>
      </c>
      <c r="X189" s="42" t="s">
        <v>1073</v>
      </c>
      <c r="Y189" s="115">
        <v>45694.0</v>
      </c>
      <c r="Z189" s="32"/>
      <c r="AA189" s="158" t="s">
        <v>1074</v>
      </c>
      <c r="AB189" s="177"/>
      <c r="AC189" s="26" t="s">
        <v>66</v>
      </c>
      <c r="AD189" s="26" t="s">
        <v>67</v>
      </c>
      <c r="AE189" s="120"/>
      <c r="AF189" s="75" t="s">
        <v>68</v>
      </c>
      <c r="AG189" s="34" t="s">
        <v>69</v>
      </c>
      <c r="AH189" s="158"/>
      <c r="AI189" s="36"/>
      <c r="AJ189" s="29" t="b">
        <v>0</v>
      </c>
      <c r="AK189" s="24"/>
      <c r="AL189" s="24"/>
      <c r="AM189" s="24"/>
      <c r="AN189" s="24"/>
    </row>
    <row r="190" ht="24.75" customHeight="1">
      <c r="A190" s="26">
        <v>2025.0</v>
      </c>
      <c r="B190" s="212">
        <v>2.0</v>
      </c>
      <c r="C190" s="210" t="s">
        <v>143</v>
      </c>
      <c r="D190" s="210">
        <v>2.02500031E8</v>
      </c>
      <c r="E190" s="212" t="s">
        <v>132</v>
      </c>
      <c r="F190" s="212" t="s">
        <v>358</v>
      </c>
      <c r="G190" s="213" t="s">
        <v>1075</v>
      </c>
      <c r="H190" s="212"/>
      <c r="I190" s="212" t="s">
        <v>833</v>
      </c>
      <c r="J190" s="119" t="s">
        <v>1043</v>
      </c>
      <c r="K190" s="26" t="s">
        <v>58</v>
      </c>
      <c r="L190" s="26" t="s">
        <v>59</v>
      </c>
      <c r="M190" s="26"/>
      <c r="N190" s="41" t="s">
        <v>967</v>
      </c>
      <c r="O190" s="41"/>
      <c r="P190" s="26"/>
      <c r="Q190" s="201"/>
      <c r="R190" s="41"/>
      <c r="S190" s="26"/>
      <c r="T190" s="26" t="s">
        <v>63</v>
      </c>
      <c r="U190" s="26"/>
      <c r="V190" s="26" t="s">
        <v>226</v>
      </c>
      <c r="W190" s="26" t="s">
        <v>204</v>
      </c>
      <c r="X190" s="42"/>
      <c r="Y190" s="115">
        <v>45694.0</v>
      </c>
      <c r="Z190" s="32"/>
      <c r="AA190" s="54" t="s">
        <v>1076</v>
      </c>
      <c r="AB190" s="177"/>
      <c r="AC190" s="26" t="s">
        <v>66</v>
      </c>
      <c r="AD190" s="26" t="s">
        <v>67</v>
      </c>
      <c r="AE190" s="120"/>
      <c r="AF190" s="75" t="s">
        <v>68</v>
      </c>
      <c r="AG190" s="34" t="s">
        <v>69</v>
      </c>
      <c r="AH190" s="190" t="s">
        <v>1077</v>
      </c>
      <c r="AI190" s="36"/>
      <c r="AJ190" s="29" t="b">
        <v>0</v>
      </c>
      <c r="AK190" s="24"/>
      <c r="AL190" s="24"/>
      <c r="AM190" s="24"/>
      <c r="AN190" s="24"/>
    </row>
    <row r="191" ht="24.75" customHeight="1">
      <c r="A191" s="26">
        <v>2025.0</v>
      </c>
      <c r="B191" s="212">
        <v>2.0</v>
      </c>
      <c r="C191" s="210" t="s">
        <v>143</v>
      </c>
      <c r="D191" s="210">
        <v>2.02500032E8</v>
      </c>
      <c r="E191" s="212" t="s">
        <v>2</v>
      </c>
      <c r="F191" s="212" t="s">
        <v>180</v>
      </c>
      <c r="G191" s="213" t="s">
        <v>1078</v>
      </c>
      <c r="H191" s="212"/>
      <c r="I191" s="212" t="s">
        <v>182</v>
      </c>
      <c r="J191" s="119" t="s">
        <v>1079</v>
      </c>
      <c r="K191" s="26" t="s">
        <v>58</v>
      </c>
      <c r="L191" s="26" t="s">
        <v>59</v>
      </c>
      <c r="M191" s="26"/>
      <c r="N191" s="41" t="s">
        <v>967</v>
      </c>
      <c r="O191" s="41" t="s">
        <v>1080</v>
      </c>
      <c r="P191" s="26">
        <v>2970720.0</v>
      </c>
      <c r="Q191" s="201"/>
      <c r="R191" s="41" t="s">
        <v>1081</v>
      </c>
      <c r="S191" s="26">
        <v>3.10521907E9</v>
      </c>
      <c r="T191" s="26" t="s">
        <v>63</v>
      </c>
      <c r="U191" s="26"/>
      <c r="V191" s="26" t="s">
        <v>226</v>
      </c>
      <c r="W191" s="26" t="s">
        <v>204</v>
      </c>
      <c r="X191" s="42"/>
      <c r="Y191" s="115">
        <v>45695.0</v>
      </c>
      <c r="Z191" s="32"/>
      <c r="AA191" s="225">
        <v>2.0254210356362E13</v>
      </c>
      <c r="AB191" s="177"/>
      <c r="AC191" s="26" t="s">
        <v>66</v>
      </c>
      <c r="AD191" s="26" t="s">
        <v>67</v>
      </c>
      <c r="AE191" s="120"/>
      <c r="AF191" s="75" t="s">
        <v>68</v>
      </c>
      <c r="AG191" s="34" t="s">
        <v>69</v>
      </c>
      <c r="AH191" s="158"/>
      <c r="AI191" s="36"/>
      <c r="AJ191" s="29" t="b">
        <v>0</v>
      </c>
      <c r="AK191" s="24"/>
      <c r="AL191" s="24"/>
      <c r="AM191" s="24"/>
      <c r="AN191" s="24"/>
    </row>
    <row r="192" ht="24.75" customHeight="1">
      <c r="A192" s="26">
        <v>2025.0</v>
      </c>
      <c r="B192" s="212">
        <v>2.0</v>
      </c>
      <c r="C192" s="210" t="s">
        <v>143</v>
      </c>
      <c r="D192" s="210">
        <v>2.02500033E8</v>
      </c>
      <c r="E192" s="212" t="s">
        <v>2</v>
      </c>
      <c r="F192" s="212" t="s">
        <v>124</v>
      </c>
      <c r="G192" s="213" t="s">
        <v>1082</v>
      </c>
      <c r="H192" s="212"/>
      <c r="I192" s="212" t="s">
        <v>191</v>
      </c>
      <c r="J192" s="119" t="s">
        <v>272</v>
      </c>
      <c r="K192" s="26" t="s">
        <v>58</v>
      </c>
      <c r="L192" s="26" t="s">
        <v>59</v>
      </c>
      <c r="M192" s="26" t="s">
        <v>57</v>
      </c>
      <c r="N192" s="41" t="s">
        <v>967</v>
      </c>
      <c r="O192" s="41" t="s">
        <v>1083</v>
      </c>
      <c r="P192" s="26">
        <v>5.98479E7</v>
      </c>
      <c r="Q192" s="201" t="s">
        <v>1084</v>
      </c>
      <c r="R192" s="41" t="s">
        <v>1085</v>
      </c>
      <c r="S192" s="26">
        <v>3.003500539E9</v>
      </c>
      <c r="T192" s="26" t="s">
        <v>128</v>
      </c>
      <c r="U192" s="26" t="s">
        <v>129</v>
      </c>
      <c r="V192" s="26" t="s">
        <v>65</v>
      </c>
      <c r="W192" s="26" t="s">
        <v>78</v>
      </c>
      <c r="X192" s="230" t="s">
        <v>1086</v>
      </c>
      <c r="Y192" s="115">
        <v>45695.0</v>
      </c>
      <c r="Z192" s="80">
        <v>45705.0</v>
      </c>
      <c r="AA192" s="233" t="s">
        <v>1087</v>
      </c>
      <c r="AB192" s="122" t="s">
        <v>1088</v>
      </c>
      <c r="AC192" s="26" t="s">
        <v>66</v>
      </c>
      <c r="AD192" s="26" t="s">
        <v>67</v>
      </c>
      <c r="AE192" s="120"/>
      <c r="AF192" s="75" t="s">
        <v>68</v>
      </c>
      <c r="AG192" s="34" t="s">
        <v>69</v>
      </c>
      <c r="AH192" s="234" t="s">
        <v>1089</v>
      </c>
      <c r="AI192" s="36"/>
      <c r="AJ192" s="29" t="b">
        <v>0</v>
      </c>
      <c r="AK192" s="24"/>
      <c r="AL192" s="24"/>
      <c r="AM192" s="24"/>
      <c r="AN192" s="24"/>
    </row>
    <row r="193" ht="24.75" customHeight="1">
      <c r="A193" s="26">
        <v>2025.0</v>
      </c>
      <c r="B193" s="212">
        <v>2.0</v>
      </c>
      <c r="C193" s="210" t="s">
        <v>143</v>
      </c>
      <c r="D193" s="210">
        <v>2.02500034E8</v>
      </c>
      <c r="E193" s="212" t="s">
        <v>71</v>
      </c>
      <c r="F193" s="212" t="s">
        <v>82</v>
      </c>
      <c r="G193" s="213" t="s">
        <v>1090</v>
      </c>
      <c r="H193" s="212"/>
      <c r="I193" s="212" t="s">
        <v>84</v>
      </c>
      <c r="J193" s="119"/>
      <c r="K193" s="26" t="s">
        <v>58</v>
      </c>
      <c r="L193" s="26" t="s">
        <v>59</v>
      </c>
      <c r="M193" s="26"/>
      <c r="N193" s="41" t="s">
        <v>967</v>
      </c>
      <c r="O193" s="41"/>
      <c r="P193" s="26"/>
      <c r="Q193" s="201"/>
      <c r="R193" s="41"/>
      <c r="S193" s="26"/>
      <c r="T193" s="26" t="s">
        <v>82</v>
      </c>
      <c r="U193" s="26"/>
      <c r="V193" s="26" t="s">
        <v>226</v>
      </c>
      <c r="W193" s="26" t="s">
        <v>204</v>
      </c>
      <c r="X193" s="42"/>
      <c r="Y193" s="115">
        <v>45695.0</v>
      </c>
      <c r="Z193" s="32"/>
      <c r="AA193" s="54" t="s">
        <v>1091</v>
      </c>
      <c r="AB193" s="177"/>
      <c r="AC193" s="26" t="s">
        <v>66</v>
      </c>
      <c r="AD193" s="26" t="s">
        <v>67</v>
      </c>
      <c r="AE193" s="120"/>
      <c r="AF193" s="75" t="s">
        <v>68</v>
      </c>
      <c r="AG193" s="34" t="s">
        <v>69</v>
      </c>
      <c r="AH193" s="208" t="s">
        <v>1092</v>
      </c>
      <c r="AI193" s="36"/>
      <c r="AJ193" s="29" t="b">
        <v>0</v>
      </c>
      <c r="AK193" s="24"/>
      <c r="AL193" s="24"/>
      <c r="AM193" s="24"/>
      <c r="AN193" s="24"/>
    </row>
    <row r="194" ht="24.75" customHeight="1">
      <c r="A194" s="26">
        <v>2025.0</v>
      </c>
      <c r="B194" s="212">
        <v>2.0</v>
      </c>
      <c r="C194" s="210" t="s">
        <v>143</v>
      </c>
      <c r="D194" s="210">
        <v>2.02500035E8</v>
      </c>
      <c r="E194" s="212" t="s">
        <v>2</v>
      </c>
      <c r="F194" s="212" t="s">
        <v>124</v>
      </c>
      <c r="G194" s="213" t="s">
        <v>1093</v>
      </c>
      <c r="H194" s="212"/>
      <c r="I194" s="212" t="s">
        <v>191</v>
      </c>
      <c r="J194" s="119" t="s">
        <v>171</v>
      </c>
      <c r="K194" s="26" t="s">
        <v>58</v>
      </c>
      <c r="L194" s="26" t="s">
        <v>59</v>
      </c>
      <c r="M194" s="26" t="s">
        <v>99</v>
      </c>
      <c r="N194" s="41" t="s">
        <v>967</v>
      </c>
      <c r="O194" s="41" t="s">
        <v>1094</v>
      </c>
      <c r="P194" s="26">
        <v>5194849.0</v>
      </c>
      <c r="Q194" s="201"/>
      <c r="R194" s="41" t="s">
        <v>1095</v>
      </c>
      <c r="S194" s="26"/>
      <c r="T194" s="26" t="s">
        <v>128</v>
      </c>
      <c r="U194" s="26"/>
      <c r="V194" s="26" t="s">
        <v>226</v>
      </c>
      <c r="W194" s="26"/>
      <c r="X194" s="42"/>
      <c r="Y194" s="115"/>
      <c r="Z194" s="32"/>
      <c r="AA194" s="54"/>
      <c r="AB194" s="177"/>
      <c r="AC194" s="26"/>
      <c r="AD194" s="26"/>
      <c r="AE194" s="120"/>
      <c r="AF194" s="75"/>
      <c r="AG194" s="34"/>
      <c r="AH194" s="235"/>
      <c r="AI194" s="36"/>
      <c r="AJ194" s="29" t="b">
        <v>0</v>
      </c>
      <c r="AK194" s="24"/>
      <c r="AL194" s="24"/>
      <c r="AM194" s="24"/>
      <c r="AN194" s="24"/>
    </row>
    <row r="195" ht="24.75" customHeight="1">
      <c r="A195" s="26">
        <v>2025.0</v>
      </c>
      <c r="B195" s="212">
        <v>2.0</v>
      </c>
      <c r="C195" s="210" t="s">
        <v>143</v>
      </c>
      <c r="D195" s="210">
        <v>2.02500036E8</v>
      </c>
      <c r="E195" s="212" t="s">
        <v>105</v>
      </c>
      <c r="F195" s="212" t="s">
        <v>381</v>
      </c>
      <c r="G195" s="213" t="s">
        <v>1096</v>
      </c>
      <c r="H195" s="212"/>
      <c r="I195" s="212" t="s">
        <v>1097</v>
      </c>
      <c r="J195" s="119" t="s">
        <v>1098</v>
      </c>
      <c r="K195" s="26" t="s">
        <v>58</v>
      </c>
      <c r="L195" s="26" t="s">
        <v>59</v>
      </c>
      <c r="M195" s="26" t="s">
        <v>136</v>
      </c>
      <c r="N195" s="41" t="s">
        <v>967</v>
      </c>
      <c r="O195" s="41" t="s">
        <v>1099</v>
      </c>
      <c r="P195" s="26">
        <v>2.88344677E8</v>
      </c>
      <c r="Q195" s="201" t="s">
        <v>1100</v>
      </c>
      <c r="R195" s="41" t="s">
        <v>717</v>
      </c>
      <c r="S195" s="26">
        <v>3.114500159E9</v>
      </c>
      <c r="T195" s="26" t="s">
        <v>63</v>
      </c>
      <c r="U195" s="26" t="s">
        <v>64</v>
      </c>
      <c r="V195" s="26"/>
      <c r="W195" s="26"/>
      <c r="X195" s="42"/>
      <c r="Y195" s="115"/>
      <c r="Z195" s="32"/>
      <c r="AA195" s="54"/>
      <c r="AB195" s="177"/>
      <c r="AC195" s="26"/>
      <c r="AD195" s="26"/>
      <c r="AE195" s="120"/>
      <c r="AF195" s="75"/>
      <c r="AG195" s="34"/>
      <c r="AH195" s="235"/>
      <c r="AI195" s="36"/>
      <c r="AJ195" s="29" t="b">
        <v>0</v>
      </c>
      <c r="AK195" s="24"/>
      <c r="AL195" s="24"/>
      <c r="AM195" s="24"/>
      <c r="AN195" s="24"/>
    </row>
    <row r="196" ht="24.75" customHeight="1">
      <c r="A196" s="236"/>
      <c r="B196" s="237"/>
      <c r="C196" s="238"/>
      <c r="D196" s="238"/>
      <c r="E196" s="237"/>
      <c r="F196" s="237"/>
      <c r="G196" s="239"/>
      <c r="H196" s="237"/>
      <c r="I196" s="237"/>
      <c r="J196" s="240"/>
      <c r="K196" s="236"/>
      <c r="L196" s="236"/>
      <c r="M196" s="236"/>
      <c r="N196" s="241"/>
      <c r="O196" s="242"/>
      <c r="P196" s="236"/>
      <c r="Q196" s="243"/>
      <c r="R196" s="242"/>
      <c r="S196" s="236"/>
      <c r="T196" s="236"/>
      <c r="U196" s="236"/>
      <c r="V196" s="236"/>
      <c r="W196" s="236"/>
      <c r="X196" s="244"/>
      <c r="Y196" s="245"/>
      <c r="Z196" s="246"/>
      <c r="AA196" s="247"/>
      <c r="AB196" s="248"/>
      <c r="AC196" s="236"/>
      <c r="AD196" s="236"/>
      <c r="AE196" s="249"/>
      <c r="AF196" s="242"/>
      <c r="AG196" s="250"/>
      <c r="AH196" s="251"/>
      <c r="AI196" s="252"/>
      <c r="AJ196" s="253"/>
      <c r="AK196" s="24"/>
      <c r="AL196" s="24"/>
      <c r="AM196" s="24"/>
      <c r="AN196" s="24"/>
    </row>
    <row r="197" ht="24.75" customHeight="1">
      <c r="A197" s="26">
        <v>2026.0</v>
      </c>
      <c r="B197" s="212">
        <v>1.0</v>
      </c>
      <c r="C197" s="210" t="s">
        <v>54</v>
      </c>
      <c r="D197" s="210">
        <v>2.02600001E8</v>
      </c>
      <c r="E197" s="212" t="s">
        <v>2</v>
      </c>
      <c r="F197" s="212" t="s">
        <v>180</v>
      </c>
      <c r="G197" s="213" t="s">
        <v>1101</v>
      </c>
      <c r="H197" s="212"/>
      <c r="I197" s="212" t="s">
        <v>182</v>
      </c>
      <c r="J197" s="119" t="s">
        <v>189</v>
      </c>
      <c r="K197" s="26" t="s">
        <v>58</v>
      </c>
      <c r="L197" s="26" t="s">
        <v>59</v>
      </c>
      <c r="M197" s="26" t="s">
        <v>60</v>
      </c>
      <c r="N197" s="41" t="s">
        <v>1102</v>
      </c>
      <c r="O197" s="41"/>
      <c r="P197" s="26"/>
      <c r="Q197" s="254"/>
      <c r="R197" s="41"/>
      <c r="S197" s="26"/>
      <c r="T197" s="26"/>
      <c r="U197" s="26"/>
      <c r="V197" s="26"/>
      <c r="W197" s="26"/>
      <c r="X197" s="42"/>
      <c r="Y197" s="115"/>
      <c r="Z197" s="32"/>
      <c r="AA197" s="54"/>
      <c r="AB197" s="177"/>
      <c r="AC197" s="26"/>
      <c r="AD197" s="26"/>
      <c r="AE197" s="167"/>
      <c r="AF197" s="41"/>
      <c r="AG197" s="34"/>
      <c r="AH197" s="255"/>
      <c r="AI197" s="43"/>
      <c r="AJ197" s="29" t="b">
        <v>0</v>
      </c>
      <c r="AK197" s="24"/>
      <c r="AL197" s="24"/>
      <c r="AM197" s="24"/>
      <c r="AN197" s="24"/>
    </row>
    <row r="198" ht="24.75" customHeight="1">
      <c r="A198" s="26">
        <v>2026.0</v>
      </c>
      <c r="B198" s="212">
        <v>1.0</v>
      </c>
      <c r="C198" s="210" t="s">
        <v>54</v>
      </c>
      <c r="D198" s="210">
        <v>2.02600002E8</v>
      </c>
      <c r="E198" s="212" t="s">
        <v>2</v>
      </c>
      <c r="F198" s="212" t="s">
        <v>124</v>
      </c>
      <c r="G198" s="213" t="s">
        <v>1103</v>
      </c>
      <c r="H198" s="212"/>
      <c r="I198" s="212" t="s">
        <v>191</v>
      </c>
      <c r="J198" s="119" t="s">
        <v>189</v>
      </c>
      <c r="K198" s="26" t="s">
        <v>58</v>
      </c>
      <c r="L198" s="26" t="s">
        <v>59</v>
      </c>
      <c r="M198" s="26" t="s">
        <v>60</v>
      </c>
      <c r="N198" s="41" t="s">
        <v>1102</v>
      </c>
      <c r="O198" s="41" t="s">
        <v>1104</v>
      </c>
      <c r="P198" s="26">
        <v>5.2973908E7</v>
      </c>
      <c r="Q198" s="254" t="s">
        <v>1105</v>
      </c>
      <c r="R198" s="41" t="s">
        <v>1106</v>
      </c>
      <c r="S198" s="26">
        <v>3.226868254E9</v>
      </c>
      <c r="T198" s="26" t="s">
        <v>63</v>
      </c>
      <c r="U198" s="26"/>
      <c r="V198" s="26" t="s">
        <v>226</v>
      </c>
      <c r="W198" s="26" t="s">
        <v>204</v>
      </c>
      <c r="X198" s="42"/>
      <c r="Y198" s="115">
        <v>46044.0</v>
      </c>
      <c r="Z198" s="32"/>
      <c r="AA198" s="54" t="s">
        <v>1107</v>
      </c>
      <c r="AB198" s="177" t="s">
        <v>1108</v>
      </c>
      <c r="AC198" s="26" t="s">
        <v>66</v>
      </c>
      <c r="AD198" s="26" t="s">
        <v>152</v>
      </c>
      <c r="AE198" s="167"/>
      <c r="AF198" s="41" t="s">
        <v>68</v>
      </c>
      <c r="AG198" s="49" t="s">
        <v>68</v>
      </c>
      <c r="AH198" s="256" t="s">
        <v>1109</v>
      </c>
      <c r="AI198" s="43"/>
      <c r="AJ198" s="29" t="b">
        <v>0</v>
      </c>
      <c r="AK198" s="24"/>
      <c r="AL198" s="24"/>
      <c r="AM198" s="24"/>
      <c r="AN198" s="24"/>
    </row>
    <row r="199" ht="24.75" customHeight="1">
      <c r="A199" s="26">
        <v>2026.0</v>
      </c>
      <c r="B199" s="212">
        <v>1.0</v>
      </c>
      <c r="C199" s="210" t="s">
        <v>54</v>
      </c>
      <c r="D199" s="210">
        <v>2.02600003E8</v>
      </c>
      <c r="E199" s="212" t="s">
        <v>2</v>
      </c>
      <c r="F199" s="212" t="s">
        <v>154</v>
      </c>
      <c r="G199" s="213" t="s">
        <v>1110</v>
      </c>
      <c r="H199" s="212"/>
      <c r="I199" s="212" t="s">
        <v>265</v>
      </c>
      <c r="J199" s="119" t="s">
        <v>1111</v>
      </c>
      <c r="K199" s="26" t="s">
        <v>58</v>
      </c>
      <c r="L199" s="26" t="s">
        <v>59</v>
      </c>
      <c r="M199" s="26" t="s">
        <v>99</v>
      </c>
      <c r="N199" s="41" t="s">
        <v>1102</v>
      </c>
      <c r="O199" s="41" t="s">
        <v>1112</v>
      </c>
      <c r="P199" s="26"/>
      <c r="Q199" s="254" t="s">
        <v>1113</v>
      </c>
      <c r="R199" s="41" t="s">
        <v>1114</v>
      </c>
      <c r="S199" s="26"/>
      <c r="T199" s="26" t="s">
        <v>154</v>
      </c>
      <c r="U199" s="26" t="s">
        <v>64</v>
      </c>
      <c r="V199" s="26" t="s">
        <v>226</v>
      </c>
      <c r="W199" s="26" t="s">
        <v>204</v>
      </c>
      <c r="X199" s="42"/>
      <c r="Y199" s="115">
        <v>46044.0</v>
      </c>
      <c r="Z199" s="32"/>
      <c r="AA199" s="54"/>
      <c r="AB199" s="177"/>
      <c r="AC199" s="26"/>
      <c r="AD199" s="26"/>
      <c r="AE199" s="167"/>
      <c r="AF199" s="41"/>
      <c r="AG199" s="34"/>
      <c r="AH199" s="255"/>
      <c r="AI199" s="43"/>
      <c r="AJ199" s="29" t="b">
        <v>0</v>
      </c>
      <c r="AK199" s="24"/>
      <c r="AL199" s="24"/>
      <c r="AM199" s="24"/>
      <c r="AN199" s="24"/>
    </row>
    <row r="200" ht="24.75" customHeight="1">
      <c r="A200" s="26">
        <v>2026.0</v>
      </c>
      <c r="B200" s="212">
        <v>1.0</v>
      </c>
      <c r="C200" s="210" t="s">
        <v>54</v>
      </c>
      <c r="D200" s="210">
        <v>2.02600004E8</v>
      </c>
      <c r="E200" s="212" t="s">
        <v>239</v>
      </c>
      <c r="F200" s="212" t="s">
        <v>1115</v>
      </c>
      <c r="G200" s="213" t="s">
        <v>1116</v>
      </c>
      <c r="H200" s="212"/>
      <c r="I200" s="212" t="s">
        <v>84</v>
      </c>
      <c r="J200" s="119" t="s">
        <v>189</v>
      </c>
      <c r="K200" s="26" t="s">
        <v>58</v>
      </c>
      <c r="L200" s="26" t="s">
        <v>59</v>
      </c>
      <c r="M200" s="26" t="s">
        <v>57</v>
      </c>
      <c r="N200" s="41" t="s">
        <v>1102</v>
      </c>
      <c r="O200" s="41"/>
      <c r="P200" s="26"/>
      <c r="Q200" s="254"/>
      <c r="R200" s="41"/>
      <c r="S200" s="26"/>
      <c r="T200" s="26"/>
      <c r="U200" s="26"/>
      <c r="V200" s="26"/>
      <c r="W200" s="26"/>
      <c r="X200" s="42"/>
      <c r="Y200" s="115"/>
      <c r="Z200" s="32"/>
      <c r="AA200" s="54"/>
      <c r="AB200" s="177"/>
      <c r="AC200" s="26"/>
      <c r="AD200" s="26"/>
      <c r="AE200" s="167"/>
      <c r="AF200" s="41"/>
      <c r="AG200" s="34"/>
      <c r="AH200" s="255"/>
      <c r="AI200" s="43"/>
      <c r="AJ200" s="29" t="b">
        <v>0</v>
      </c>
      <c r="AK200" s="24"/>
      <c r="AL200" s="24"/>
      <c r="AM200" s="24"/>
      <c r="AN200" s="24"/>
    </row>
    <row r="201" ht="24.75" customHeight="1">
      <c r="A201" s="26">
        <v>2026.0</v>
      </c>
      <c r="B201" s="212">
        <v>1.0</v>
      </c>
      <c r="C201" s="210" t="s">
        <v>54</v>
      </c>
      <c r="D201" s="210">
        <v>2.02600005E8</v>
      </c>
      <c r="E201" s="212" t="s">
        <v>2</v>
      </c>
      <c r="F201" s="212" t="s">
        <v>124</v>
      </c>
      <c r="G201" s="213" t="s">
        <v>1117</v>
      </c>
      <c r="H201" s="212"/>
      <c r="I201" s="212"/>
      <c r="J201" s="119"/>
      <c r="K201" s="26"/>
      <c r="L201" s="26"/>
      <c r="M201" s="26"/>
      <c r="N201" s="41"/>
      <c r="O201" s="41"/>
      <c r="P201" s="26"/>
      <c r="Q201" s="254"/>
      <c r="R201" s="41"/>
      <c r="S201" s="26"/>
      <c r="T201" s="26"/>
      <c r="U201" s="26"/>
      <c r="V201" s="26"/>
      <c r="W201" s="26"/>
      <c r="X201" s="42"/>
      <c r="Y201" s="115"/>
      <c r="Z201" s="32"/>
      <c r="AA201" s="54"/>
      <c r="AB201" s="177"/>
      <c r="AC201" s="26"/>
      <c r="AD201" s="26"/>
      <c r="AE201" s="167"/>
      <c r="AF201" s="41"/>
      <c r="AG201" s="34"/>
      <c r="AH201" s="255"/>
      <c r="AI201" s="43"/>
      <c r="AJ201" s="29" t="b">
        <v>0</v>
      </c>
      <c r="AK201" s="24"/>
      <c r="AL201" s="24"/>
      <c r="AM201" s="24"/>
      <c r="AN201" s="24"/>
    </row>
    <row r="202" ht="24.75" customHeight="1">
      <c r="A202" s="26">
        <v>2026.0</v>
      </c>
      <c r="B202" s="212">
        <v>1.0</v>
      </c>
      <c r="C202" s="210" t="s">
        <v>54</v>
      </c>
      <c r="D202" s="210">
        <v>2.02600006E8</v>
      </c>
      <c r="E202" s="212" t="s">
        <v>71</v>
      </c>
      <c r="F202" s="212" t="s">
        <v>55</v>
      </c>
      <c r="G202" s="213" t="s">
        <v>1118</v>
      </c>
      <c r="H202" s="212"/>
      <c r="I202" s="212"/>
      <c r="J202" s="119"/>
      <c r="K202" s="26"/>
      <c r="L202" s="26"/>
      <c r="M202" s="26"/>
      <c r="N202" s="41"/>
      <c r="O202" s="41"/>
      <c r="P202" s="26"/>
      <c r="Q202" s="254"/>
      <c r="R202" s="41"/>
      <c r="S202" s="26"/>
      <c r="T202" s="26"/>
      <c r="U202" s="26"/>
      <c r="V202" s="26"/>
      <c r="W202" s="26"/>
      <c r="X202" s="42"/>
      <c r="Y202" s="115"/>
      <c r="Z202" s="32"/>
      <c r="AA202" s="54"/>
      <c r="AB202" s="177"/>
      <c r="AC202" s="26"/>
      <c r="AD202" s="26"/>
      <c r="AE202" s="167"/>
      <c r="AF202" s="41"/>
      <c r="AG202" s="34"/>
      <c r="AH202" s="255"/>
      <c r="AI202" s="43"/>
      <c r="AJ202" s="29" t="b">
        <v>0</v>
      </c>
      <c r="AK202" s="24"/>
      <c r="AL202" s="24"/>
      <c r="AM202" s="24"/>
      <c r="AN202" s="24"/>
    </row>
    <row r="203" ht="24.75" customHeight="1">
      <c r="A203" s="26">
        <v>2026.0</v>
      </c>
      <c r="B203" s="212">
        <v>2.0</v>
      </c>
      <c r="C203" s="210" t="s">
        <v>143</v>
      </c>
      <c r="D203" s="210">
        <v>2.02600007E8</v>
      </c>
      <c r="E203" s="212" t="s">
        <v>2</v>
      </c>
      <c r="F203" s="212" t="s">
        <v>55</v>
      </c>
      <c r="G203" s="213" t="s">
        <v>1119</v>
      </c>
      <c r="H203" s="212"/>
      <c r="I203" s="212"/>
      <c r="J203" s="119"/>
      <c r="K203" s="26"/>
      <c r="L203" s="26"/>
      <c r="M203" s="26"/>
      <c r="N203" s="41"/>
      <c r="O203" s="41"/>
      <c r="P203" s="26"/>
      <c r="Q203" s="254"/>
      <c r="R203" s="41"/>
      <c r="S203" s="26"/>
      <c r="T203" s="26"/>
      <c r="U203" s="26"/>
      <c r="V203" s="26"/>
      <c r="W203" s="26"/>
      <c r="X203" s="42"/>
      <c r="Y203" s="115"/>
      <c r="Z203" s="32"/>
      <c r="AA203" s="54"/>
      <c r="AB203" s="177"/>
      <c r="AC203" s="26"/>
      <c r="AD203" s="26"/>
      <c r="AE203" s="167"/>
      <c r="AF203" s="41"/>
      <c r="AG203" s="34"/>
      <c r="AH203" s="255"/>
      <c r="AI203" s="43"/>
      <c r="AJ203" s="29" t="b">
        <v>0</v>
      </c>
      <c r="AK203" s="24"/>
      <c r="AL203" s="24"/>
      <c r="AM203" s="24"/>
      <c r="AN203" s="24"/>
    </row>
    <row r="204" ht="24.75" customHeight="1">
      <c r="A204" s="26">
        <v>2026.0</v>
      </c>
      <c r="B204" s="212">
        <v>2.0</v>
      </c>
      <c r="C204" s="210" t="s">
        <v>143</v>
      </c>
      <c r="D204" s="210">
        <v>2.02600008E8</v>
      </c>
      <c r="E204" s="212" t="s">
        <v>105</v>
      </c>
      <c r="F204" s="212" t="s">
        <v>55</v>
      </c>
      <c r="G204" s="213" t="s">
        <v>1120</v>
      </c>
      <c r="H204" s="212"/>
      <c r="I204" s="212"/>
      <c r="J204" s="119"/>
      <c r="K204" s="26"/>
      <c r="L204" s="26"/>
      <c r="M204" s="26"/>
      <c r="N204" s="41"/>
      <c r="O204" s="41"/>
      <c r="P204" s="26"/>
      <c r="Q204" s="254"/>
      <c r="R204" s="41"/>
      <c r="S204" s="26"/>
      <c r="T204" s="26"/>
      <c r="U204" s="26"/>
      <c r="V204" s="26"/>
      <c r="W204" s="26"/>
      <c r="X204" s="42"/>
      <c r="Y204" s="115"/>
      <c r="Z204" s="32"/>
      <c r="AA204" s="54"/>
      <c r="AB204" s="177"/>
      <c r="AC204" s="26"/>
      <c r="AD204" s="26"/>
      <c r="AE204" s="167"/>
      <c r="AF204" s="41"/>
      <c r="AG204" s="34"/>
      <c r="AH204" s="255"/>
      <c r="AI204" s="43"/>
      <c r="AJ204" s="29" t="b">
        <v>0</v>
      </c>
      <c r="AK204" s="24"/>
      <c r="AL204" s="24"/>
      <c r="AM204" s="24"/>
      <c r="AN204" s="24"/>
    </row>
    <row r="205" ht="24.75" customHeight="1">
      <c r="A205" s="26">
        <v>2026.0</v>
      </c>
      <c r="B205" s="212">
        <v>2.0</v>
      </c>
      <c r="C205" s="210" t="s">
        <v>143</v>
      </c>
      <c r="D205" s="210">
        <v>2.02600009E8</v>
      </c>
      <c r="E205" s="212" t="s">
        <v>2</v>
      </c>
      <c r="F205" s="212" t="s">
        <v>133</v>
      </c>
      <c r="G205" s="213" t="s">
        <v>1121</v>
      </c>
      <c r="H205" s="212"/>
      <c r="I205" s="212" t="s">
        <v>135</v>
      </c>
      <c r="J205" s="119" t="s">
        <v>189</v>
      </c>
      <c r="K205" s="26" t="s">
        <v>58</v>
      </c>
      <c r="L205" s="26" t="s">
        <v>59</v>
      </c>
      <c r="M205" s="26" t="s">
        <v>57</v>
      </c>
      <c r="N205" s="41" t="s">
        <v>1102</v>
      </c>
      <c r="O205" s="41"/>
      <c r="P205" s="26"/>
      <c r="Q205" s="254"/>
      <c r="R205" s="41"/>
      <c r="S205" s="26"/>
      <c r="T205" s="26" t="s">
        <v>1122</v>
      </c>
      <c r="U205" s="26" t="s">
        <v>129</v>
      </c>
      <c r="V205" s="26" t="s">
        <v>65</v>
      </c>
      <c r="W205" s="26" t="s">
        <v>78</v>
      </c>
      <c r="X205" s="42"/>
      <c r="Y205" s="115"/>
      <c r="Z205" s="32"/>
      <c r="AA205" s="54"/>
      <c r="AB205" s="177"/>
      <c r="AC205" s="26"/>
      <c r="AD205" s="26"/>
      <c r="AE205" s="167"/>
      <c r="AF205" s="41"/>
      <c r="AG205" s="34"/>
      <c r="AH205" s="255"/>
      <c r="AI205" s="43"/>
      <c r="AJ205" s="29" t="b">
        <v>0</v>
      </c>
      <c r="AK205" s="24"/>
      <c r="AL205" s="24"/>
      <c r="AM205" s="24"/>
      <c r="AN205" s="24"/>
    </row>
    <row r="206" ht="24.75" customHeight="1">
      <c r="A206" s="26">
        <v>2026.0</v>
      </c>
      <c r="B206" s="212">
        <v>2.0</v>
      </c>
      <c r="C206" s="210" t="s">
        <v>143</v>
      </c>
      <c r="D206" s="210">
        <v>2.0260001E8</v>
      </c>
      <c r="E206" s="212" t="s">
        <v>2</v>
      </c>
      <c r="F206" s="212" t="s">
        <v>124</v>
      </c>
      <c r="G206" s="213" t="s">
        <v>1123</v>
      </c>
      <c r="H206" s="212"/>
      <c r="I206" s="212"/>
      <c r="J206" s="119"/>
      <c r="K206" s="26"/>
      <c r="L206" s="26"/>
      <c r="M206" s="26"/>
      <c r="N206" s="41"/>
      <c r="O206" s="41"/>
      <c r="P206" s="26"/>
      <c r="Q206" s="254"/>
      <c r="R206" s="41"/>
      <c r="S206" s="26"/>
      <c r="T206" s="26" t="s">
        <v>63</v>
      </c>
      <c r="U206" s="26" t="s">
        <v>129</v>
      </c>
      <c r="V206" s="26" t="s">
        <v>65</v>
      </c>
      <c r="W206" s="26" t="s">
        <v>78</v>
      </c>
      <c r="X206" s="42"/>
      <c r="Y206" s="115">
        <v>46065.0</v>
      </c>
      <c r="Z206" s="80">
        <v>46071.0</v>
      </c>
      <c r="AA206" s="54"/>
      <c r="AB206" s="177"/>
      <c r="AC206" s="26" t="s">
        <v>66</v>
      </c>
      <c r="AD206" s="26" t="s">
        <v>152</v>
      </c>
      <c r="AE206" s="167"/>
      <c r="AF206" s="41"/>
      <c r="AG206" s="34"/>
      <c r="AH206" s="255"/>
      <c r="AI206" s="43"/>
      <c r="AJ206" s="29" t="b">
        <v>0</v>
      </c>
      <c r="AK206" s="24"/>
      <c r="AL206" s="24"/>
      <c r="AM206" s="24"/>
      <c r="AN206" s="24"/>
    </row>
    <row r="207" ht="24.75" customHeight="1">
      <c r="A207" s="26">
        <v>2026.0</v>
      </c>
      <c r="B207" s="212">
        <v>2.0</v>
      </c>
      <c r="C207" s="210" t="s">
        <v>143</v>
      </c>
      <c r="D207" s="210">
        <v>2.02600011E8</v>
      </c>
      <c r="E207" s="212" t="s">
        <v>105</v>
      </c>
      <c r="F207" s="212" t="s">
        <v>119</v>
      </c>
      <c r="G207" s="213" t="s">
        <v>1124</v>
      </c>
      <c r="H207" s="212"/>
      <c r="I207" s="212"/>
      <c r="J207" s="119"/>
      <c r="K207" s="26"/>
      <c r="L207" s="26"/>
      <c r="M207" s="26"/>
      <c r="N207" s="41"/>
      <c r="O207" s="41"/>
      <c r="P207" s="26"/>
      <c r="Q207" s="254"/>
      <c r="R207" s="41"/>
      <c r="S207" s="26"/>
      <c r="T207" s="26"/>
      <c r="U207" s="26"/>
      <c r="V207" s="26"/>
      <c r="W207" s="26"/>
      <c r="X207" s="42"/>
      <c r="Y207" s="115"/>
      <c r="Z207" s="32"/>
      <c r="AA207" s="54"/>
      <c r="AB207" s="177"/>
      <c r="AC207" s="26"/>
      <c r="AD207" s="26"/>
      <c r="AE207" s="167"/>
      <c r="AF207" s="41"/>
      <c r="AG207" s="34"/>
      <c r="AH207" s="255"/>
      <c r="AI207" s="43"/>
      <c r="AJ207" s="29" t="b">
        <v>0</v>
      </c>
      <c r="AK207" s="24"/>
      <c r="AL207" s="24"/>
      <c r="AM207" s="24"/>
      <c r="AN207" s="24"/>
    </row>
    <row r="208" ht="24.75" customHeight="1">
      <c r="A208" s="26">
        <v>2026.0</v>
      </c>
      <c r="B208" s="212">
        <v>3.0</v>
      </c>
      <c r="C208" s="210" t="s">
        <v>179</v>
      </c>
      <c r="D208" s="210">
        <v>2.02600012E8</v>
      </c>
      <c r="E208" s="212" t="s">
        <v>105</v>
      </c>
      <c r="F208" s="212" t="s">
        <v>119</v>
      </c>
      <c r="G208" s="213" t="s">
        <v>1125</v>
      </c>
      <c r="H208" s="212"/>
      <c r="I208" s="212"/>
      <c r="J208" s="119"/>
      <c r="K208" s="26"/>
      <c r="L208" s="26"/>
      <c r="M208" s="26"/>
      <c r="N208" s="41"/>
      <c r="O208" s="41"/>
      <c r="P208" s="26"/>
      <c r="Q208" s="254"/>
      <c r="R208" s="41"/>
      <c r="S208" s="26"/>
      <c r="T208" s="26"/>
      <c r="U208" s="26"/>
      <c r="V208" s="26"/>
      <c r="W208" s="26"/>
      <c r="X208" s="42"/>
      <c r="Y208" s="115"/>
      <c r="Z208" s="32"/>
      <c r="AA208" s="54"/>
      <c r="AB208" s="177"/>
      <c r="AC208" s="26"/>
      <c r="AD208" s="26"/>
      <c r="AE208" s="167"/>
      <c r="AF208" s="41"/>
      <c r="AG208" s="34"/>
      <c r="AH208" s="255"/>
      <c r="AI208" s="43"/>
      <c r="AJ208" s="29" t="b">
        <v>0</v>
      </c>
      <c r="AK208" s="24"/>
      <c r="AL208" s="24"/>
      <c r="AM208" s="24"/>
      <c r="AN208" s="24"/>
    </row>
    <row r="209" ht="24.75" customHeight="1">
      <c r="A209" s="26">
        <v>2026.0</v>
      </c>
      <c r="B209" s="212">
        <v>3.0</v>
      </c>
      <c r="C209" s="210" t="s">
        <v>179</v>
      </c>
      <c r="D209" s="210">
        <v>2.02600013E8</v>
      </c>
      <c r="E209" s="212" t="s">
        <v>71</v>
      </c>
      <c r="F209" s="212" t="s">
        <v>381</v>
      </c>
      <c r="G209" s="213" t="s">
        <v>1126</v>
      </c>
      <c r="H209" s="212"/>
      <c r="I209" s="212"/>
      <c r="J209" s="119"/>
      <c r="K209" s="26"/>
      <c r="L209" s="26"/>
      <c r="M209" s="26"/>
      <c r="N209" s="41"/>
      <c r="O209" s="41"/>
      <c r="P209" s="26"/>
      <c r="Q209" s="254"/>
      <c r="R209" s="41"/>
      <c r="S209" s="26"/>
      <c r="T209" s="26"/>
      <c r="U209" s="26"/>
      <c r="V209" s="26"/>
      <c r="W209" s="26"/>
      <c r="X209" s="42"/>
      <c r="Y209" s="115"/>
      <c r="Z209" s="32"/>
      <c r="AA209" s="54"/>
      <c r="AB209" s="177"/>
      <c r="AC209" s="26"/>
      <c r="AD209" s="26"/>
      <c r="AE209" s="167"/>
      <c r="AF209" s="41"/>
      <c r="AG209" s="34"/>
      <c r="AH209" s="255"/>
      <c r="AI209" s="43"/>
      <c r="AJ209" s="29" t="b">
        <v>0</v>
      </c>
      <c r="AK209" s="24"/>
      <c r="AL209" s="24"/>
      <c r="AM209" s="24"/>
      <c r="AN209" s="24"/>
    </row>
    <row r="210" ht="24.75" customHeight="1">
      <c r="A210" s="26">
        <v>2026.0</v>
      </c>
      <c r="B210" s="212">
        <v>4.0</v>
      </c>
      <c r="C210" s="210" t="s">
        <v>200</v>
      </c>
      <c r="D210" s="210">
        <v>2.02600014E8</v>
      </c>
      <c r="E210" s="212" t="s">
        <v>132</v>
      </c>
      <c r="F210" s="212"/>
      <c r="G210" s="213" t="s">
        <v>1127</v>
      </c>
      <c r="H210" s="212"/>
      <c r="I210" s="212"/>
      <c r="J210" s="119"/>
      <c r="K210" s="26"/>
      <c r="L210" s="26"/>
      <c r="M210" s="26"/>
      <c r="N210" s="41"/>
      <c r="O210" s="41"/>
      <c r="P210" s="26"/>
      <c r="Q210" s="254"/>
      <c r="R210" s="41"/>
      <c r="S210" s="26"/>
      <c r="T210" s="26"/>
      <c r="U210" s="26"/>
      <c r="V210" s="26"/>
      <c r="W210" s="26"/>
      <c r="X210" s="42"/>
      <c r="Y210" s="115"/>
      <c r="Z210" s="32"/>
      <c r="AA210" s="54"/>
      <c r="AB210" s="177"/>
      <c r="AC210" s="26"/>
      <c r="AD210" s="26"/>
      <c r="AE210" s="167"/>
      <c r="AF210" s="41"/>
      <c r="AG210" s="34"/>
      <c r="AH210" s="255"/>
      <c r="AI210" s="43"/>
      <c r="AJ210" s="29" t="b">
        <v>0</v>
      </c>
      <c r="AK210" s="24"/>
      <c r="AL210" s="24"/>
      <c r="AM210" s="24"/>
      <c r="AN210" s="24"/>
    </row>
    <row r="211" ht="24.75" customHeight="1">
      <c r="A211" s="26">
        <v>2026.0</v>
      </c>
      <c r="B211" s="212">
        <v>4.0</v>
      </c>
      <c r="C211" s="210" t="s">
        <v>200</v>
      </c>
      <c r="D211" s="210">
        <v>2.02600015E8</v>
      </c>
      <c r="E211" s="212" t="s">
        <v>2</v>
      </c>
      <c r="F211" s="212" t="s">
        <v>180</v>
      </c>
      <c r="G211" s="213" t="s">
        <v>1128</v>
      </c>
      <c r="H211" s="212"/>
      <c r="I211" s="212"/>
      <c r="J211" s="119"/>
      <c r="K211" s="26"/>
      <c r="L211" s="26"/>
      <c r="M211" s="26"/>
      <c r="N211" s="41"/>
      <c r="O211" s="41"/>
      <c r="P211" s="26"/>
      <c r="Q211" s="254"/>
      <c r="R211" s="41"/>
      <c r="S211" s="26"/>
      <c r="T211" s="26"/>
      <c r="U211" s="26"/>
      <c r="V211" s="26"/>
      <c r="W211" s="26"/>
      <c r="X211" s="42"/>
      <c r="Y211" s="115"/>
      <c r="Z211" s="32"/>
      <c r="AA211" s="54"/>
      <c r="AB211" s="177"/>
      <c r="AC211" s="26"/>
      <c r="AD211" s="26"/>
      <c r="AE211" s="167"/>
      <c r="AF211" s="41"/>
      <c r="AG211" s="34"/>
      <c r="AH211" s="255"/>
      <c r="AI211" s="43"/>
      <c r="AJ211" s="29" t="b">
        <v>0</v>
      </c>
      <c r="AK211" s="24"/>
      <c r="AL211" s="24"/>
      <c r="AM211" s="24"/>
      <c r="AN211" s="24"/>
    </row>
    <row r="212" ht="24.75" customHeight="1">
      <c r="A212" s="26">
        <v>2026.0</v>
      </c>
      <c r="B212" s="212">
        <v>4.0</v>
      </c>
      <c r="C212" s="210" t="s">
        <v>200</v>
      </c>
      <c r="D212" s="210">
        <v>2.02600016E8</v>
      </c>
      <c r="E212" s="212" t="s">
        <v>71</v>
      </c>
      <c r="F212" s="212" t="s">
        <v>82</v>
      </c>
      <c r="G212" s="213" t="s">
        <v>1129</v>
      </c>
      <c r="H212" s="212"/>
      <c r="I212" s="212"/>
      <c r="J212" s="119"/>
      <c r="K212" s="26"/>
      <c r="L212" s="26"/>
      <c r="M212" s="26"/>
      <c r="N212" s="41"/>
      <c r="O212" s="41"/>
      <c r="P212" s="26"/>
      <c r="Q212" s="254"/>
      <c r="R212" s="41"/>
      <c r="S212" s="26"/>
      <c r="T212" s="26"/>
      <c r="U212" s="26"/>
      <c r="V212" s="26"/>
      <c r="W212" s="26"/>
      <c r="X212" s="42"/>
      <c r="Y212" s="115"/>
      <c r="Z212" s="32"/>
      <c r="AA212" s="54"/>
      <c r="AB212" s="177"/>
      <c r="AC212" s="26"/>
      <c r="AD212" s="26"/>
      <c r="AE212" s="167"/>
      <c r="AF212" s="41"/>
      <c r="AG212" s="34"/>
      <c r="AH212" s="255"/>
      <c r="AI212" s="43"/>
      <c r="AJ212" s="29" t="b">
        <v>0</v>
      </c>
      <c r="AK212" s="24"/>
      <c r="AL212" s="24"/>
      <c r="AM212" s="24"/>
      <c r="AN212" s="24"/>
    </row>
    <row r="213" ht="24.75" customHeight="1">
      <c r="A213" s="26">
        <v>2026.0</v>
      </c>
      <c r="B213" s="212">
        <v>4.0</v>
      </c>
      <c r="C213" s="210" t="s">
        <v>200</v>
      </c>
      <c r="D213" s="210">
        <v>2.02600017E8</v>
      </c>
      <c r="E213" s="212" t="s">
        <v>71</v>
      </c>
      <c r="F213" s="212" t="s">
        <v>55</v>
      </c>
      <c r="G213" s="213" t="s">
        <v>1130</v>
      </c>
      <c r="H213" s="212"/>
      <c r="I213" s="212"/>
      <c r="J213" s="119"/>
      <c r="K213" s="26"/>
      <c r="L213" s="26"/>
      <c r="M213" s="26"/>
      <c r="N213" s="41"/>
      <c r="O213" s="41"/>
      <c r="P213" s="26"/>
      <c r="Q213" s="254"/>
      <c r="R213" s="41"/>
      <c r="S213" s="26"/>
      <c r="T213" s="26"/>
      <c r="U213" s="26"/>
      <c r="V213" s="26"/>
      <c r="W213" s="26"/>
      <c r="X213" s="42"/>
      <c r="Y213" s="115"/>
      <c r="Z213" s="32"/>
      <c r="AA213" s="54"/>
      <c r="AB213" s="177"/>
      <c r="AC213" s="26"/>
      <c r="AD213" s="26"/>
      <c r="AE213" s="167"/>
      <c r="AF213" s="41"/>
      <c r="AG213" s="34"/>
      <c r="AH213" s="255"/>
      <c r="AI213" s="43"/>
      <c r="AJ213" s="29" t="b">
        <v>0</v>
      </c>
      <c r="AK213" s="24"/>
      <c r="AL213" s="24"/>
      <c r="AM213" s="24"/>
      <c r="AN213" s="24"/>
    </row>
    <row r="214" ht="24.75" customHeight="1">
      <c r="A214" s="26">
        <v>2026.0</v>
      </c>
      <c r="B214" s="212">
        <v>4.0</v>
      </c>
      <c r="C214" s="210" t="s">
        <v>200</v>
      </c>
      <c r="D214" s="210">
        <v>2.02600018E8</v>
      </c>
      <c r="E214" s="212" t="s">
        <v>2</v>
      </c>
      <c r="F214" s="212" t="s">
        <v>180</v>
      </c>
      <c r="G214" s="213" t="s">
        <v>1131</v>
      </c>
      <c r="H214" s="212"/>
      <c r="I214" s="212" t="s">
        <v>74</v>
      </c>
      <c r="J214" s="119"/>
      <c r="K214" s="26" t="s">
        <v>58</v>
      </c>
      <c r="L214" s="26" t="s">
        <v>59</v>
      </c>
      <c r="M214" s="26" t="s">
        <v>60</v>
      </c>
      <c r="N214" s="41" t="s">
        <v>1102</v>
      </c>
      <c r="O214" s="41" t="s">
        <v>1132</v>
      </c>
      <c r="P214" s="26">
        <v>3.9615226E7</v>
      </c>
      <c r="Q214" s="254"/>
      <c r="R214" s="41"/>
      <c r="S214" s="26">
        <v>3.227828437E9</v>
      </c>
      <c r="T214" s="26" t="s">
        <v>63</v>
      </c>
      <c r="U214" s="26" t="s">
        <v>64</v>
      </c>
      <c r="V214" s="26" t="s">
        <v>226</v>
      </c>
      <c r="W214" s="26" t="s">
        <v>204</v>
      </c>
      <c r="X214" s="42"/>
      <c r="Y214" s="115">
        <v>46142.0</v>
      </c>
      <c r="Z214" s="32"/>
      <c r="AA214" s="54" t="s">
        <v>1133</v>
      </c>
      <c r="AB214" s="177">
        <v>2672303.0</v>
      </c>
      <c r="AC214" s="26" t="s">
        <v>66</v>
      </c>
      <c r="AD214" s="26" t="s">
        <v>152</v>
      </c>
      <c r="AE214" s="167"/>
      <c r="AF214" s="41" t="s">
        <v>1134</v>
      </c>
      <c r="AG214" s="49" t="s">
        <v>1134</v>
      </c>
      <c r="AH214" s="257" t="s">
        <v>1135</v>
      </c>
      <c r="AI214" s="43"/>
      <c r="AJ214" s="29" t="b">
        <v>0</v>
      </c>
      <c r="AK214" s="24"/>
      <c r="AL214" s="24"/>
      <c r="AM214" s="24"/>
      <c r="AN214" s="24"/>
    </row>
    <row r="215" ht="24.75" customHeight="1">
      <c r="A215" s="26">
        <v>2026.0</v>
      </c>
      <c r="B215" s="212">
        <v>4.0</v>
      </c>
      <c r="C215" s="210" t="s">
        <v>200</v>
      </c>
      <c r="D215" s="210">
        <v>2.02600019E8</v>
      </c>
      <c r="E215" s="212" t="s">
        <v>2</v>
      </c>
      <c r="F215" s="212" t="s">
        <v>180</v>
      </c>
      <c r="G215" s="213" t="s">
        <v>1136</v>
      </c>
      <c r="H215" s="212"/>
      <c r="I215" s="212" t="s">
        <v>74</v>
      </c>
      <c r="J215" s="119"/>
      <c r="K215" s="26" t="s">
        <v>58</v>
      </c>
      <c r="L215" s="26" t="s">
        <v>59</v>
      </c>
      <c r="M215" s="26" t="s">
        <v>99</v>
      </c>
      <c r="N215" s="41" t="s">
        <v>1102</v>
      </c>
      <c r="O215" s="41" t="s">
        <v>1137</v>
      </c>
      <c r="P215" s="26">
        <v>5.9834346E7</v>
      </c>
      <c r="Q215" s="254"/>
      <c r="R215" s="41"/>
      <c r="S215" s="26">
        <v>3.219894229E9</v>
      </c>
      <c r="T215" s="26" t="s">
        <v>63</v>
      </c>
      <c r="U215" s="26" t="s">
        <v>64</v>
      </c>
      <c r="V215" s="26" t="s">
        <v>226</v>
      </c>
      <c r="W215" s="26" t="s">
        <v>204</v>
      </c>
      <c r="X215" s="42"/>
      <c r="Y215" s="115">
        <v>46142.0</v>
      </c>
      <c r="Z215" s="32"/>
      <c r="AA215" s="186" t="s">
        <v>1138</v>
      </c>
      <c r="AB215" s="177">
        <v>2672286.0</v>
      </c>
      <c r="AC215" s="26" t="s">
        <v>66</v>
      </c>
      <c r="AD215" s="26" t="s">
        <v>152</v>
      </c>
      <c r="AE215" s="167"/>
      <c r="AF215" s="41" t="s">
        <v>1134</v>
      </c>
      <c r="AG215" s="49" t="s">
        <v>1134</v>
      </c>
      <c r="AH215" s="258" t="s">
        <v>1139</v>
      </c>
      <c r="AI215" s="43"/>
      <c r="AJ215" s="29" t="b">
        <v>0</v>
      </c>
      <c r="AK215" s="24"/>
      <c r="AL215" s="24"/>
      <c r="AM215" s="24"/>
      <c r="AN215" s="24"/>
    </row>
    <row r="216" ht="24.75" customHeight="1">
      <c r="A216" s="26"/>
      <c r="B216" s="212"/>
      <c r="C216" s="210"/>
      <c r="D216" s="210"/>
      <c r="E216" s="212"/>
      <c r="F216" s="212"/>
      <c r="G216" s="213"/>
      <c r="H216" s="212"/>
      <c r="I216" s="212"/>
      <c r="J216" s="119"/>
      <c r="K216" s="26"/>
      <c r="L216" s="26"/>
      <c r="M216" s="26"/>
      <c r="N216" s="41"/>
      <c r="O216" s="41"/>
      <c r="P216" s="26"/>
      <c r="Q216" s="254"/>
      <c r="R216" s="41"/>
      <c r="S216" s="26"/>
      <c r="T216" s="26"/>
      <c r="U216" s="26"/>
      <c r="V216" s="26"/>
      <c r="W216" s="26"/>
      <c r="X216" s="42"/>
      <c r="Y216" s="115"/>
      <c r="Z216" s="32"/>
      <c r="AA216" s="54"/>
      <c r="AB216" s="177"/>
      <c r="AC216" s="26"/>
      <c r="AD216" s="26"/>
      <c r="AE216" s="167"/>
      <c r="AF216" s="41"/>
      <c r="AG216" s="34"/>
      <c r="AH216" s="255"/>
      <c r="AI216" s="43"/>
      <c r="AJ216" s="29" t="b">
        <v>0</v>
      </c>
      <c r="AK216" s="24"/>
      <c r="AL216" s="24"/>
      <c r="AM216" s="24"/>
      <c r="AN216" s="24"/>
    </row>
  </sheetData>
  <autoFilter ref="$A$1:$AN$155"/>
  <mergeCells count="1">
    <mergeCell ref="D14:D15"/>
  </mergeCells>
  <dataValidations>
    <dataValidation type="list" allowBlank="1" showErrorMessage="1" sqref="E2:E216">
      <formula1>"Apoyo Ciudadano,Apoyo Bancada,Derecho de petición,Gestión comunidades,Invitaciones Institucionales,Mesas técnicas,Mesas de trabajo,Relacionamiento Público"</formula1>
    </dataValidation>
    <dataValidation type="list" allowBlank="1" showErrorMessage="1" sqref="B2:B216">
      <formula1>"1,2,3,4,5,6,7,8,9,10,11,12"</formula1>
    </dataValidation>
    <dataValidation type="list" allowBlank="1" showErrorMessage="1" sqref="AC2:AC85 AC86:AD87 AC88:AC216">
      <formula1>"Asesor,Edil,N/A"</formula1>
    </dataValidation>
    <dataValidation type="list" allowBlank="1" showErrorMessage="1" sqref="T2:T216">
      <formula1>"Libertad religiosa,Movilidad,Niñez,Servicios públicos,Tramites"</formula1>
    </dataValidation>
    <dataValidation type="list" allowBlank="1" showErrorMessage="1" sqref="U2:U216">
      <formula1>"Interno (hermanos),Externos,N/A"</formula1>
    </dataValidation>
    <dataValidation type="list" allowBlank="1" sqref="A2:A216">
      <formula1>"2024,2025,2026,2027 "</formula1>
    </dataValidation>
    <dataValidation type="list" allowBlank="1" showErrorMessage="1" sqref="L2:L216">
      <formula1>"01.Usaquén,02.Chapinero,03.Santa Fe,04.San Cristóbal,05.Usme,06.Tunjuelito,07.Bosa,08.Kennedy,09.Fontibón,10.Engativá,11.Suba,12.Barrios Unidos,13.Teusaquillo,14.Los Mártires,15.Antonio Nariño,16.Puente Aranda,17.La Candelaria,18.Rafael Uribe Uribe,19.Ciu"&amp;"dad Bolívar,20.Sumapaz,N/A"</formula1>
    </dataValidation>
    <dataValidation type="list" allowBlank="1" showErrorMessage="1" sqref="AD55">
      <formula1>"Alexandra García  ,Angie Benitez,Angie Serrano ,Fernando Zamora,Jairo Jaramillo,Julian Scarpetta,Katherine Galindo,Maicol Quiroga,Santiago Fontanilla,No se indico quien es el encargado,N/A"</formula1>
    </dataValidation>
    <dataValidation type="list" allowBlank="1" showErrorMessage="1" sqref="F2:F216">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K2:K216">
      <formula1>"Norte,Sur,N/A"</formula1>
    </dataValidation>
    <dataValidation type="list" allowBlank="1" showErrorMessage="1" sqref="W2:W216">
      <formula1>"Pendiente,Positivo,Negativo,N/A"</formula1>
    </dataValidation>
    <dataValidation type="list" allowBlank="1" showErrorMessage="1" sqref="I2:I216">
      <formula1>"Secretaría General,Departamento Administrativo del Servicio Civil Distrital - Dascd,Secretaría Distrital de Gobierno,Departamento Administrativo de la Defensoría del Espacio Público - Dadep,Instituto Distrital de la Participación y Acción Comunal - IDPAC,"&amp;"Secretaría Distrital de Hacienda,Fondo de Prestaciones Económicas, Cesantías y Pensiones - FONCEP,Unidad Administrativa Especial de Catastro Distrital - UAECD,Lotería de Bogotá,Secretaría Distrital de Planeación,Secretaría Distrital de Desarrollo Económic"&amp;"o,Instituto Para la Economía Social - IPES,Instituto Distrital de Turismo,Corporación para el Desarrollo y la Productividad -BOGOTÁ REGIÓN,Secretaría de Educación del Distrito,Instituto Distrital para la Investigacion Educativa y el Desarrollo Pedagógico "&amp;"- IDEP,Secretaría Distrital de Salud,Fondo Financiero Distrital de Salud - FFDS,Subredes Integradas de Servicios de Salud E.S.E.s,Capital Salud EPS-S SAS,Entidad Asesora de Gestión Administrativa y Técnica,Instituto Distrital deCiencia, Biotecnología Inno"&amp;"vación en Salud-IDCBIS,Secretaría Distrital de Integración Social,Instituto Distrital para la Protección de la Niñez y la Juventud - IDIPRON,Secretaría Distrital de Cultura, Recreación y Deporte,Inst. Dist. de Recreación y Deporte - IDRD,Inst. Dist. de Pa"&amp;"trimonio Cultural - IDPC,Instituto Distrital de las Artes - IDARTES,Secretaría Distrital de Ambiente,Instituto Distrital de Protección y Bienestar Animal - IDPYBA,Instituto Distrital de Gestión de Riesgos y Cambio Climático - IDIGER,Secretaría Distrital d"&amp;"e Movilidad,UAE de Rehabilitación y Mantenimiento Vial - UAERMV,Instituto de Desarrollo Urbano - IDU,Empresa de Transporte del Tercer Milenio Transmilenio S.A.,Empresa Metro de Bogotá S.A.,Secretaría Distrital del Hábitat,Unidad Administrativa Especial de"&amp;" Servicios Públicos - UAESP,Caja de Vivienda Popular - CVP,Empresa de Renovación y Desarrollo Urbano de Bogotá D.C.,Empresa de Energía de Bogotá S.A. - EEB - ESP,Empresa de Acueducto y Alcantarillado de Bogotá -ESP,Empresa de Telecomunicaciones de Bogotá "&amp;"S.A. ESP - ETB,Secretaría Distrital de la Mujer,Secretaría Distrital de Seguridad, Convivencia y Justicia,UAE Cuerpo Oficial de Bomberos de Bogota,Enel - Codensa,Secretaría Jurídica Distrital,Alcaldía Mayor de Bogotá,Alcaldias Locales,Contraloría Distrita"&amp;"l,Personería Distrital,Policía Nacional,Registraduría,Veeduría Distrital,Superintendencia de Salud,Superintendencia de servicios públicos,Area Metropolitana,Alta Consejeria TIC,Unidad de mantenimiento vial - UMV,Concejo Distrital,Congreso,Camara de Comerc"&amp;"io,Concejo Como Vamos,Fiscalía General de la Nación ,Defensoria del Pueblo,Cámara de comercio de Bogotá,VANTI,SENA,Jardín botánico,Otras,N/A"</formula1>
    </dataValidation>
    <dataValidation type="list" allowBlank="1" showErrorMessage="1" sqref="N2:N216">
      <formula1>"Compromisos de campaña 2023,Gestión 2024,N/A,Gestión 2025,Gestión 2026"</formula1>
    </dataValidation>
    <dataValidation type="list" allowBlank="1" showErrorMessage="1" sqref="C2:C216">
      <formula1>"Enero,Febrero,Marzo,Abril,Mayo,Junio,Julio,Agosto,Septiembre,Octubre,Noviembre ,Diciembre,N/A"</formula1>
    </dataValidation>
    <dataValidation type="list" allowBlank="1" showErrorMessage="1" sqref="AD2:AD54 AD56:AD85 AD88:AD216">
      <formula1>"Alexandra García  ,Angie Benitez,Angie Serrano ,Fernando Zamora,Jairo Jaramillo,Julian Scarpetta,Katherine Galindo,Maicol Quiroga,Santiago Fontanilla,No se solicita ayuda,N/A"</formula1>
    </dataValidation>
    <dataValidation type="list" allowBlank="1" showErrorMessage="1" sqref="M2:M216">
      <formula1>"01.Lijacá,01.Orquídeas,02.Chapinero,04.La Victoria,04.Sosiego,05.Santa Librada,05.Usme,06.San Vicente Ferrer,07.Bosa Estación ,07.Bosa Recreo,08.Carvajal,08.Class,08.Kennedy Central ,08.Patio Bonito,09.Fontibón,10.Ferias,10.La Granja,10.Villa Gladys,11.La"&amp;" Colina,11.Prado Veraniego,11.Suba Flóres,11.Suba Las Mercedes,11.Suba Lisboa,11.Suba Pinar,11.Suba  Rincón,15.Santander,16.Galán,18.Santa Lucia,19.Candelaria la nueva,N/A"</formula1>
    </dataValidation>
    <dataValidation type="list" allowBlank="1" showErrorMessage="1" sqref="V2:V216">
      <formula1>"En proceso,Pendiente,Finalizado,N/A"</formula1>
    </dataValidation>
  </dataValidations>
  <hyperlinks>
    <hyperlink r:id="rId1" ref="AH28"/>
    <hyperlink r:id="rId2" ref="AH44"/>
    <hyperlink r:id="rId3" ref="R53"/>
    <hyperlink r:id="rId4" ref="AH57"/>
    <hyperlink r:id="rId5" ref="R58"/>
    <hyperlink r:id="rId6" ref="AH58"/>
    <hyperlink r:id="rId7" ref="AH62"/>
    <hyperlink r:id="rId8" ref="R64"/>
    <hyperlink r:id="rId9" ref="AH65"/>
    <hyperlink r:id="rId10" ref="AH67"/>
    <hyperlink r:id="rId11" location="/consulta_web_detalle" ref="AH74"/>
    <hyperlink r:id="rId12" ref="R80"/>
    <hyperlink r:id="rId13" ref="AH82"/>
    <hyperlink r:id="rId14" ref="AH85"/>
    <hyperlink r:id="rId15" ref="AH88"/>
    <hyperlink r:id="rId16" ref="AH89"/>
    <hyperlink r:id="rId17" ref="AH91"/>
    <hyperlink r:id="rId18" ref="AH94"/>
    <hyperlink r:id="rId19" ref="AA99"/>
    <hyperlink r:id="rId20" ref="AH99"/>
    <hyperlink r:id="rId21" ref="AH101"/>
    <hyperlink r:id="rId22" ref="AH105"/>
    <hyperlink r:id="rId23" ref="R107"/>
    <hyperlink r:id="rId24" ref="AH107"/>
    <hyperlink r:id="rId25" ref="AH108"/>
    <hyperlink r:id="rId26" ref="AH109"/>
    <hyperlink r:id="rId27" ref="AH110"/>
    <hyperlink r:id="rId28" ref="AH111"/>
    <hyperlink r:id="rId29" ref="AH112"/>
    <hyperlink r:id="rId30" ref="AH113"/>
    <hyperlink r:id="rId31" ref="AH115"/>
    <hyperlink r:id="rId32" ref="AH116"/>
    <hyperlink r:id="rId33" ref="AH122"/>
    <hyperlink r:id="rId34" ref="AH125"/>
    <hyperlink r:id="rId35" ref="AH130"/>
    <hyperlink r:id="rId36" ref="AB133"/>
    <hyperlink r:id="rId37" ref="AH133"/>
    <hyperlink r:id="rId38" ref="AH134"/>
    <hyperlink r:id="rId39" ref="AH138"/>
    <hyperlink r:id="rId40" ref="AH139"/>
    <hyperlink r:id="rId41" ref="AH142"/>
    <hyperlink r:id="rId42" ref="AH143"/>
    <hyperlink r:id="rId43" ref="AH149"/>
    <hyperlink r:id="rId44" ref="R150"/>
    <hyperlink r:id="rId45" ref="AH150"/>
    <hyperlink r:id="rId46" ref="AH152"/>
    <hyperlink r:id="rId47" ref="AH155"/>
    <hyperlink r:id="rId48" location="/consulta_web" ref="AH156"/>
    <hyperlink r:id="rId49" ref="AH158"/>
    <hyperlink r:id="rId50" ref="AH160"/>
    <hyperlink r:id="rId51" location="/consulta_web" ref="AH161"/>
    <hyperlink r:id="rId52" ref="AH167"/>
    <hyperlink r:id="rId53" location="/consulta_web" ref="AH168"/>
    <hyperlink r:id="rId54" ref="AH170"/>
    <hyperlink r:id="rId55" ref="AH174"/>
    <hyperlink r:id="rId56" ref="AH175"/>
    <hyperlink r:id="rId57" location="!/consultaPQR" ref="AH176"/>
    <hyperlink r:id="rId58" ref="AH179"/>
    <hyperlink r:id="rId59" ref="AH180"/>
    <hyperlink r:id="rId60" ref="AH181"/>
    <hyperlink r:id="rId61" ref="AH183"/>
    <hyperlink r:id="rId62" location="/consulta_web" ref="AH184"/>
    <hyperlink r:id="rId63" location="/consulta_web" ref="AH185"/>
    <hyperlink r:id="rId64" ref="AH186"/>
    <hyperlink r:id="rId65" ref="AH187"/>
    <hyperlink r:id="rId66" ref="AH188"/>
    <hyperlink r:id="rId67" ref="AH190"/>
    <hyperlink r:id="rId68" location="/consulta_web" ref="AH192"/>
    <hyperlink r:id="rId69" ref="AH193"/>
    <hyperlink r:id="rId70" ref="AH198"/>
    <hyperlink r:id="rId71" ref="AH214"/>
    <hyperlink r:id="rId72" ref="AA215"/>
    <hyperlink r:id="rId73" ref="AH215"/>
  </hyperlinks>
  <drawing r:id="rId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4" max="4" width="11.88"/>
    <col customWidth="1" min="5" max="5" width="50.0"/>
    <col customWidth="1" min="6" max="6" width="36.25"/>
    <col customWidth="1" min="7" max="7" width="14.25"/>
    <col customWidth="1" min="10" max="10" width="23.88"/>
    <col customWidth="1" min="13" max="13" width="37.88"/>
    <col customWidth="1" min="14" max="14" width="17.0"/>
    <col customWidth="1" min="15" max="15" width="19.38"/>
  </cols>
  <sheetData>
    <row r="1">
      <c r="A1" s="259" t="s">
        <v>1140</v>
      </c>
      <c r="B1" s="260" t="s">
        <v>19</v>
      </c>
      <c r="C1" s="261" t="s">
        <v>1141</v>
      </c>
      <c r="D1" s="259" t="s">
        <v>1142</v>
      </c>
      <c r="E1" s="259" t="s">
        <v>1143</v>
      </c>
      <c r="F1" s="259" t="s">
        <v>1144</v>
      </c>
      <c r="G1" s="259" t="s">
        <v>1145</v>
      </c>
      <c r="H1" s="259" t="s">
        <v>1146</v>
      </c>
      <c r="I1" s="259" t="s">
        <v>29</v>
      </c>
      <c r="J1" s="262" t="s">
        <v>1147</v>
      </c>
      <c r="K1" s="262" t="s">
        <v>1148</v>
      </c>
      <c r="L1" s="262" t="s">
        <v>31</v>
      </c>
      <c r="M1" s="263" t="s">
        <v>1149</v>
      </c>
      <c r="N1" s="262" t="s">
        <v>1150</v>
      </c>
      <c r="O1" s="262" t="s">
        <v>1151</v>
      </c>
      <c r="P1" s="262" t="s">
        <v>1152</v>
      </c>
      <c r="Q1" s="262" t="s">
        <v>1153</v>
      </c>
      <c r="R1" s="262" t="s">
        <v>51</v>
      </c>
    </row>
    <row r="2" ht="57.0" customHeight="1">
      <c r="A2" s="264">
        <v>2024.0</v>
      </c>
      <c r="B2" s="265">
        <v>1.0</v>
      </c>
      <c r="C2" s="266" t="s">
        <v>54</v>
      </c>
      <c r="D2" s="28">
        <v>2.02400009E8</v>
      </c>
      <c r="E2" s="147" t="s">
        <v>134</v>
      </c>
      <c r="F2" s="267" t="s">
        <v>1154</v>
      </c>
      <c r="G2" s="151" t="s">
        <v>133</v>
      </c>
      <c r="H2" s="151" t="s">
        <v>135</v>
      </c>
      <c r="I2" s="268" t="s">
        <v>59</v>
      </c>
      <c r="J2" s="269" t="s">
        <v>90</v>
      </c>
      <c r="K2" s="266" t="s">
        <v>65</v>
      </c>
      <c r="L2" s="270" t="s">
        <v>10</v>
      </c>
      <c r="M2" s="271" t="s">
        <v>1155</v>
      </c>
      <c r="N2" s="272" t="s">
        <v>78</v>
      </c>
      <c r="O2" s="265" t="s">
        <v>66</v>
      </c>
      <c r="P2" s="265" t="s">
        <v>80</v>
      </c>
      <c r="Q2" s="270" t="s">
        <v>1156</v>
      </c>
      <c r="R2" s="273"/>
      <c r="S2" s="274"/>
      <c r="T2" s="274"/>
      <c r="U2" s="274"/>
      <c r="V2" s="274"/>
      <c r="W2" s="274"/>
      <c r="X2" s="274"/>
      <c r="Y2" s="274"/>
      <c r="Z2" s="274"/>
      <c r="AA2" s="274"/>
      <c r="AB2" s="274"/>
      <c r="AC2" s="274"/>
      <c r="AD2" s="274"/>
      <c r="AE2" s="274"/>
      <c r="AF2" s="274"/>
      <c r="AG2" s="274"/>
      <c r="AH2" s="274"/>
      <c r="AI2" s="274"/>
      <c r="AJ2" s="274"/>
      <c r="AK2" s="274"/>
      <c r="AL2" s="274"/>
      <c r="AM2" s="274"/>
    </row>
    <row r="3" ht="38.25" customHeight="1">
      <c r="A3" s="264">
        <v>2024.0</v>
      </c>
      <c r="B3" s="265">
        <v>1.0</v>
      </c>
      <c r="C3" s="266" t="s">
        <v>54</v>
      </c>
      <c r="D3" s="28">
        <v>2.02400009E8</v>
      </c>
      <c r="E3" s="147" t="s">
        <v>134</v>
      </c>
      <c r="F3" s="275" t="s">
        <v>1157</v>
      </c>
      <c r="G3" s="151" t="s">
        <v>133</v>
      </c>
      <c r="H3" s="147" t="s">
        <v>1023</v>
      </c>
      <c r="I3" s="268" t="s">
        <v>59</v>
      </c>
      <c r="J3" s="269" t="s">
        <v>90</v>
      </c>
      <c r="K3" s="276" t="s">
        <v>65</v>
      </c>
      <c r="L3" s="276" t="s">
        <v>10</v>
      </c>
      <c r="M3" s="271" t="s">
        <v>1158</v>
      </c>
      <c r="N3" s="276" t="s">
        <v>78</v>
      </c>
      <c r="O3" s="277" t="s">
        <v>66</v>
      </c>
      <c r="P3" s="276" t="s">
        <v>80</v>
      </c>
      <c r="Q3" s="276" t="s">
        <v>1156</v>
      </c>
      <c r="R3" s="278"/>
      <c r="S3" s="279"/>
      <c r="T3" s="279"/>
      <c r="U3" s="279"/>
      <c r="V3" s="279"/>
      <c r="W3" s="279"/>
      <c r="X3" s="279"/>
      <c r="Y3" s="279"/>
      <c r="Z3" s="279"/>
      <c r="AA3" s="279"/>
      <c r="AB3" s="279"/>
      <c r="AC3" s="279"/>
      <c r="AD3" s="279"/>
      <c r="AE3" s="279"/>
      <c r="AF3" s="279"/>
      <c r="AG3" s="279"/>
      <c r="AH3" s="279"/>
      <c r="AI3" s="279"/>
      <c r="AJ3" s="279"/>
      <c r="AK3" s="279"/>
      <c r="AL3" s="279"/>
      <c r="AM3" s="279"/>
    </row>
    <row r="4" ht="42.75" customHeight="1">
      <c r="A4" s="41">
        <v>2024.0</v>
      </c>
      <c r="B4" s="265">
        <v>2.0</v>
      </c>
      <c r="C4" s="41" t="s">
        <v>143</v>
      </c>
      <c r="D4" s="41">
        <v>2.0240001E8</v>
      </c>
      <c r="E4" s="147" t="s">
        <v>1159</v>
      </c>
      <c r="F4" s="147" t="s">
        <v>1160</v>
      </c>
      <c r="G4" s="147" t="s">
        <v>82</v>
      </c>
      <c r="H4" s="147" t="s">
        <v>145</v>
      </c>
      <c r="I4" s="268" t="s">
        <v>59</v>
      </c>
      <c r="J4" s="108" t="s">
        <v>926</v>
      </c>
      <c r="K4" s="108" t="s">
        <v>65</v>
      </c>
      <c r="L4" s="108" t="s">
        <v>132</v>
      </c>
      <c r="M4" s="271" t="s">
        <v>1161</v>
      </c>
      <c r="N4" s="108" t="s">
        <v>149</v>
      </c>
      <c r="O4" s="41" t="s">
        <v>66</v>
      </c>
      <c r="P4" s="108" t="s">
        <v>1162</v>
      </c>
      <c r="Q4" s="108" t="s">
        <v>1156</v>
      </c>
      <c r="R4" s="280"/>
      <c r="S4" s="281"/>
      <c r="T4" s="281"/>
      <c r="U4" s="281"/>
      <c r="V4" s="281"/>
      <c r="W4" s="281"/>
      <c r="X4" s="281"/>
      <c r="Y4" s="281"/>
      <c r="Z4" s="281"/>
      <c r="AA4" s="281"/>
      <c r="AB4" s="281"/>
      <c r="AC4" s="281"/>
      <c r="AD4" s="281"/>
      <c r="AE4" s="281"/>
      <c r="AF4" s="281"/>
      <c r="AG4" s="281"/>
      <c r="AH4" s="281"/>
      <c r="AI4" s="281"/>
      <c r="AJ4" s="281"/>
      <c r="AK4" s="281"/>
      <c r="AL4" s="281"/>
      <c r="AM4" s="281"/>
    </row>
    <row r="5" ht="29.25" customHeight="1">
      <c r="A5" s="41">
        <v>2024.0</v>
      </c>
      <c r="B5" s="265">
        <v>2.0</v>
      </c>
      <c r="C5" s="26" t="s">
        <v>143</v>
      </c>
      <c r="D5" s="26">
        <v>2.02400012E8</v>
      </c>
      <c r="E5" s="147" t="s">
        <v>1163</v>
      </c>
      <c r="F5" s="282" t="s">
        <v>1164</v>
      </c>
      <c r="G5" s="151" t="s">
        <v>82</v>
      </c>
      <c r="H5" s="151" t="s">
        <v>84</v>
      </c>
      <c r="I5" s="268" t="s">
        <v>59</v>
      </c>
      <c r="J5" s="66" t="s">
        <v>1165</v>
      </c>
      <c r="K5" s="26" t="s">
        <v>65</v>
      </c>
      <c r="L5" s="63" t="s">
        <v>132</v>
      </c>
      <c r="M5" s="66" t="s">
        <v>1166</v>
      </c>
      <c r="N5" s="41" t="s">
        <v>204</v>
      </c>
      <c r="O5" s="26" t="s">
        <v>66</v>
      </c>
      <c r="P5" s="26" t="s">
        <v>67</v>
      </c>
      <c r="Q5" s="50"/>
      <c r="R5" s="50"/>
      <c r="S5" s="283"/>
      <c r="T5" s="283"/>
      <c r="U5" s="283"/>
      <c r="V5" s="283"/>
      <c r="W5" s="283"/>
      <c r="X5" s="283"/>
      <c r="Y5" s="283"/>
      <c r="Z5" s="283"/>
      <c r="AA5" s="283"/>
      <c r="AB5" s="283"/>
      <c r="AC5" s="283"/>
      <c r="AD5" s="283"/>
      <c r="AE5" s="283"/>
      <c r="AF5" s="283"/>
      <c r="AG5" s="283"/>
      <c r="AH5" s="283"/>
      <c r="AI5" s="283"/>
      <c r="AJ5" s="283"/>
      <c r="AK5" s="283"/>
      <c r="AL5" s="283"/>
      <c r="AM5" s="283"/>
    </row>
    <row r="6" ht="36.75" customHeight="1">
      <c r="A6" s="41">
        <v>2024.0</v>
      </c>
      <c r="B6" s="265">
        <v>2.0</v>
      </c>
      <c r="C6" s="26" t="s">
        <v>143</v>
      </c>
      <c r="D6" s="26">
        <v>2.02400012E8</v>
      </c>
      <c r="E6" s="147" t="s">
        <v>1167</v>
      </c>
      <c r="F6" s="282" t="s">
        <v>1168</v>
      </c>
      <c r="G6" s="151" t="s">
        <v>82</v>
      </c>
      <c r="H6" s="151" t="s">
        <v>84</v>
      </c>
      <c r="I6" s="268" t="s">
        <v>59</v>
      </c>
      <c r="J6" s="284" t="s">
        <v>75</v>
      </c>
      <c r="K6" s="285" t="s">
        <v>1169</v>
      </c>
      <c r="L6" s="286" t="s">
        <v>132</v>
      </c>
      <c r="M6" s="141" t="s">
        <v>1170</v>
      </c>
      <c r="N6" s="287" t="s">
        <v>204</v>
      </c>
      <c r="O6" s="285" t="s">
        <v>66</v>
      </c>
      <c r="P6" s="285" t="s">
        <v>67</v>
      </c>
      <c r="Q6" s="288"/>
      <c r="R6" s="288"/>
    </row>
    <row r="7" ht="57.0" customHeight="1">
      <c r="A7" s="289">
        <v>2024.0</v>
      </c>
      <c r="B7" s="265">
        <v>2.0</v>
      </c>
      <c r="C7" s="285" t="s">
        <v>143</v>
      </c>
      <c r="D7" s="26">
        <v>2.02400013E8</v>
      </c>
      <c r="E7" s="147" t="s">
        <v>1171</v>
      </c>
      <c r="F7" s="147" t="s">
        <v>1172</v>
      </c>
      <c r="G7" s="151" t="s">
        <v>82</v>
      </c>
      <c r="H7" s="151" t="s">
        <v>170</v>
      </c>
      <c r="I7" s="268" t="s">
        <v>59</v>
      </c>
      <c r="J7" s="284" t="s">
        <v>171</v>
      </c>
      <c r="K7" s="285" t="s">
        <v>1169</v>
      </c>
      <c r="L7" s="286" t="s">
        <v>10</v>
      </c>
      <c r="M7" s="141" t="s">
        <v>1173</v>
      </c>
      <c r="N7" s="287" t="s">
        <v>204</v>
      </c>
      <c r="O7" s="285" t="s">
        <v>66</v>
      </c>
      <c r="P7" s="285" t="s">
        <v>1162</v>
      </c>
      <c r="Q7" s="288"/>
      <c r="R7" s="288"/>
    </row>
    <row r="8" ht="54.0" customHeight="1">
      <c r="A8" s="289">
        <v>2024.0</v>
      </c>
      <c r="B8" s="265">
        <v>2.0</v>
      </c>
      <c r="C8" s="285" t="s">
        <v>143</v>
      </c>
      <c r="D8" s="26">
        <v>2.02400013E8</v>
      </c>
      <c r="E8" s="147" t="s">
        <v>1174</v>
      </c>
      <c r="F8" s="267" t="s">
        <v>1175</v>
      </c>
      <c r="G8" s="151" t="s">
        <v>82</v>
      </c>
      <c r="H8" s="151" t="s">
        <v>145</v>
      </c>
      <c r="I8" s="268" t="s">
        <v>59</v>
      </c>
      <c r="J8" s="284" t="s">
        <v>171</v>
      </c>
      <c r="K8" s="285" t="s">
        <v>1169</v>
      </c>
      <c r="L8" s="286" t="s">
        <v>10</v>
      </c>
      <c r="M8" s="290"/>
      <c r="N8" s="287" t="s">
        <v>204</v>
      </c>
      <c r="O8" s="285" t="s">
        <v>66</v>
      </c>
      <c r="P8" s="285" t="s">
        <v>1162</v>
      </c>
      <c r="Q8" s="288"/>
      <c r="R8" s="288"/>
    </row>
    <row r="9" ht="50.25" customHeight="1">
      <c r="A9" s="289">
        <v>2024.0</v>
      </c>
      <c r="B9" s="265">
        <v>2.0</v>
      </c>
      <c r="C9" s="285" t="s">
        <v>143</v>
      </c>
      <c r="D9" s="26">
        <v>2.02400013E8</v>
      </c>
      <c r="E9" s="141" t="s">
        <v>1176</v>
      </c>
      <c r="F9" s="291" t="s">
        <v>1177</v>
      </c>
      <c r="G9" s="29" t="s">
        <v>358</v>
      </c>
      <c r="H9" s="29" t="s">
        <v>84</v>
      </c>
      <c r="I9" s="268" t="s">
        <v>59</v>
      </c>
      <c r="J9" s="284" t="s">
        <v>171</v>
      </c>
      <c r="K9" s="285" t="s">
        <v>65</v>
      </c>
      <c r="L9" s="286" t="s">
        <v>10</v>
      </c>
      <c r="M9" s="292" t="s">
        <v>1178</v>
      </c>
      <c r="N9" s="287" t="s">
        <v>78</v>
      </c>
      <c r="O9" s="285" t="s">
        <v>66</v>
      </c>
      <c r="P9" s="285" t="s">
        <v>1162</v>
      </c>
      <c r="Q9" s="288"/>
      <c r="R9" s="288"/>
    </row>
    <row r="10" ht="44.25" customHeight="1">
      <c r="A10" s="289">
        <v>2024.0</v>
      </c>
      <c r="B10" s="293">
        <v>2.0</v>
      </c>
      <c r="C10" s="293" t="s">
        <v>143</v>
      </c>
      <c r="D10" s="294">
        <v>2.02400013E8</v>
      </c>
      <c r="E10" s="295" t="s">
        <v>1179</v>
      </c>
      <c r="F10" s="267" t="s">
        <v>1180</v>
      </c>
      <c r="G10" s="29" t="s">
        <v>154</v>
      </c>
      <c r="H10" s="29"/>
      <c r="I10" s="268" t="s">
        <v>59</v>
      </c>
      <c r="J10" s="284" t="s">
        <v>171</v>
      </c>
      <c r="K10" s="285" t="s">
        <v>204</v>
      </c>
      <c r="L10" s="286" t="s">
        <v>10</v>
      </c>
      <c r="M10" s="290"/>
      <c r="N10" s="287" t="s">
        <v>204</v>
      </c>
      <c r="O10" s="285" t="s">
        <v>66</v>
      </c>
      <c r="P10" s="285" t="s">
        <v>1162</v>
      </c>
      <c r="Q10" s="288"/>
      <c r="R10" s="288"/>
    </row>
    <row r="11" ht="41.25" customHeight="1">
      <c r="A11" s="289">
        <v>2024.0</v>
      </c>
      <c r="B11" s="293">
        <v>3.0</v>
      </c>
      <c r="C11" s="293" t="s">
        <v>179</v>
      </c>
      <c r="D11" s="294">
        <v>2.02400019E8</v>
      </c>
      <c r="E11" s="295" t="s">
        <v>1181</v>
      </c>
      <c r="F11" s="267" t="s">
        <v>1182</v>
      </c>
      <c r="G11" s="29" t="s">
        <v>124</v>
      </c>
      <c r="H11" s="29" t="s">
        <v>191</v>
      </c>
      <c r="I11" s="268" t="s">
        <v>59</v>
      </c>
      <c r="J11" s="284" t="s">
        <v>189</v>
      </c>
      <c r="K11" s="285" t="s">
        <v>65</v>
      </c>
      <c r="L11" s="286" t="s">
        <v>132</v>
      </c>
      <c r="M11" s="284" t="s">
        <v>1183</v>
      </c>
      <c r="N11" s="287" t="s">
        <v>78</v>
      </c>
      <c r="O11" s="285" t="s">
        <v>66</v>
      </c>
      <c r="P11" s="285" t="s">
        <v>67</v>
      </c>
      <c r="Q11" s="288"/>
      <c r="R11" s="288"/>
    </row>
    <row r="12" ht="39.75" customHeight="1">
      <c r="A12" s="210">
        <v>2024.0</v>
      </c>
      <c r="B12" s="293">
        <v>4.0</v>
      </c>
      <c r="C12" s="294" t="s">
        <v>200</v>
      </c>
      <c r="D12" s="294">
        <v>2.02400021E8</v>
      </c>
      <c r="E12" s="147" t="s">
        <v>1184</v>
      </c>
      <c r="F12" s="282"/>
      <c r="G12" s="29" t="s">
        <v>82</v>
      </c>
      <c r="H12" s="29" t="s">
        <v>202</v>
      </c>
      <c r="I12" s="268" t="s">
        <v>59</v>
      </c>
      <c r="J12" s="296" t="s">
        <v>183</v>
      </c>
      <c r="K12" s="212" t="s">
        <v>1169</v>
      </c>
      <c r="L12" s="38" t="s">
        <v>10</v>
      </c>
      <c r="M12" s="141" t="s">
        <v>1185</v>
      </c>
      <c r="N12" s="210" t="s">
        <v>204</v>
      </c>
      <c r="O12" s="212" t="s">
        <v>66</v>
      </c>
      <c r="P12" s="212" t="s">
        <v>1162</v>
      </c>
      <c r="Q12" s="39"/>
      <c r="R12" s="39"/>
      <c r="S12" s="297"/>
      <c r="T12" s="297"/>
      <c r="U12" s="297"/>
      <c r="V12" s="297"/>
      <c r="W12" s="297"/>
      <c r="X12" s="297"/>
      <c r="Y12" s="297"/>
      <c r="Z12" s="297"/>
      <c r="AA12" s="297"/>
      <c r="AB12" s="297"/>
      <c r="AC12" s="297"/>
      <c r="AD12" s="297"/>
      <c r="AE12" s="297"/>
      <c r="AF12" s="297"/>
      <c r="AG12" s="297"/>
      <c r="AH12" s="297"/>
      <c r="AI12" s="297"/>
      <c r="AJ12" s="297"/>
      <c r="AK12" s="297"/>
      <c r="AL12" s="297"/>
      <c r="AM12" s="297"/>
    </row>
    <row r="13" ht="19.5" customHeight="1">
      <c r="A13" s="289">
        <v>2024.0</v>
      </c>
      <c r="B13" s="293">
        <v>4.0</v>
      </c>
      <c r="C13" s="293" t="s">
        <v>200</v>
      </c>
      <c r="D13" s="294">
        <v>2.02400022E8</v>
      </c>
      <c r="E13" s="295" t="s">
        <v>1186</v>
      </c>
      <c r="F13" s="298"/>
      <c r="G13" s="29" t="s">
        <v>82</v>
      </c>
      <c r="H13" s="29" t="s">
        <v>145</v>
      </c>
      <c r="I13" s="268" t="s">
        <v>59</v>
      </c>
      <c r="J13" s="284" t="s">
        <v>209</v>
      </c>
      <c r="K13" s="285" t="s">
        <v>65</v>
      </c>
      <c r="L13" s="286" t="s">
        <v>132</v>
      </c>
      <c r="M13" s="299" t="s">
        <v>1187</v>
      </c>
      <c r="N13" s="287" t="s">
        <v>57</v>
      </c>
      <c r="O13" s="285" t="s">
        <v>66</v>
      </c>
      <c r="P13" s="285" t="s">
        <v>67</v>
      </c>
      <c r="Q13" s="288"/>
      <c r="R13" s="288"/>
    </row>
    <row r="14" ht="19.5" customHeight="1">
      <c r="A14" s="289">
        <v>2024.0</v>
      </c>
      <c r="B14" s="265">
        <v>4.0</v>
      </c>
      <c r="C14" s="285" t="s">
        <v>200</v>
      </c>
      <c r="D14" s="26">
        <v>2.02400029E8</v>
      </c>
      <c r="E14" s="141" t="s">
        <v>1188</v>
      </c>
      <c r="F14" s="300" t="s">
        <v>1189</v>
      </c>
      <c r="G14" s="29" t="s">
        <v>154</v>
      </c>
      <c r="H14" s="29" t="s">
        <v>230</v>
      </c>
      <c r="I14" s="268" t="s">
        <v>59</v>
      </c>
      <c r="J14" s="284" t="s">
        <v>1165</v>
      </c>
      <c r="K14" s="285" t="s">
        <v>65</v>
      </c>
      <c r="L14" s="286" t="s">
        <v>10</v>
      </c>
      <c r="M14" s="147" t="s">
        <v>1190</v>
      </c>
      <c r="N14" s="287" t="s">
        <v>149</v>
      </c>
      <c r="O14" s="285" t="s">
        <v>66</v>
      </c>
      <c r="P14" s="285" t="s">
        <v>67</v>
      </c>
      <c r="Q14" s="288"/>
      <c r="R14" s="288"/>
    </row>
    <row r="15" ht="27.0" customHeight="1">
      <c r="A15" s="289">
        <v>2024.0</v>
      </c>
      <c r="B15" s="265">
        <v>4.0</v>
      </c>
      <c r="C15" s="285" t="s">
        <v>200</v>
      </c>
      <c r="D15" s="26">
        <v>2.0240003E8</v>
      </c>
      <c r="E15" s="141" t="s">
        <v>1191</v>
      </c>
      <c r="F15" s="300" t="s">
        <v>1192</v>
      </c>
      <c r="G15" s="29" t="s">
        <v>154</v>
      </c>
      <c r="H15" s="29" t="s">
        <v>265</v>
      </c>
      <c r="I15" s="268" t="s">
        <v>59</v>
      </c>
      <c r="J15" s="284" t="s">
        <v>183</v>
      </c>
      <c r="K15" s="285" t="s">
        <v>65</v>
      </c>
      <c r="L15" s="286" t="s">
        <v>10</v>
      </c>
      <c r="M15" s="301"/>
      <c r="N15" s="287" t="s">
        <v>78</v>
      </c>
      <c r="O15" s="285" t="s">
        <v>66</v>
      </c>
      <c r="P15" s="285" t="s">
        <v>67</v>
      </c>
      <c r="Q15" s="288"/>
      <c r="R15" s="288"/>
    </row>
    <row r="16" ht="22.5" customHeight="1">
      <c r="A16" s="289">
        <v>2024.0</v>
      </c>
      <c r="B16" s="265">
        <v>4.0</v>
      </c>
      <c r="C16" s="285" t="s">
        <v>200</v>
      </c>
      <c r="D16" s="26">
        <v>2.0240003E8</v>
      </c>
      <c r="E16" s="141" t="s">
        <v>1193</v>
      </c>
      <c r="F16" s="291" t="s">
        <v>1194</v>
      </c>
      <c r="G16" s="29" t="s">
        <v>82</v>
      </c>
      <c r="H16" s="29" t="s">
        <v>145</v>
      </c>
      <c r="I16" s="268" t="s">
        <v>59</v>
      </c>
      <c r="J16" s="284" t="s">
        <v>183</v>
      </c>
      <c r="K16" s="285" t="s">
        <v>65</v>
      </c>
      <c r="L16" s="286" t="s">
        <v>10</v>
      </c>
      <c r="M16" s="147"/>
      <c r="N16" s="287" t="s">
        <v>78</v>
      </c>
      <c r="O16" s="285" t="s">
        <v>66</v>
      </c>
      <c r="P16" s="285" t="s">
        <v>67</v>
      </c>
      <c r="Q16" s="288"/>
      <c r="R16" s="288"/>
    </row>
    <row r="17" ht="48.0" customHeight="1">
      <c r="A17" s="289">
        <v>2024.0</v>
      </c>
      <c r="B17" s="265">
        <v>4.0</v>
      </c>
      <c r="C17" s="285" t="s">
        <v>200</v>
      </c>
      <c r="D17" s="26">
        <v>2.0240003E8</v>
      </c>
      <c r="E17" s="141" t="s">
        <v>1195</v>
      </c>
      <c r="F17" s="291" t="s">
        <v>1196</v>
      </c>
      <c r="G17" s="29" t="s">
        <v>82</v>
      </c>
      <c r="H17" s="29" t="s">
        <v>145</v>
      </c>
      <c r="I17" s="268" t="s">
        <v>59</v>
      </c>
      <c r="J17" s="284" t="s">
        <v>183</v>
      </c>
      <c r="K17" s="285" t="s">
        <v>1169</v>
      </c>
      <c r="L17" s="286" t="s">
        <v>10</v>
      </c>
      <c r="M17" s="147" t="s">
        <v>1197</v>
      </c>
      <c r="N17" s="287" t="s">
        <v>204</v>
      </c>
      <c r="O17" s="285" t="s">
        <v>66</v>
      </c>
      <c r="P17" s="285" t="s">
        <v>67</v>
      </c>
      <c r="Q17" s="288"/>
      <c r="R17" s="288"/>
    </row>
    <row r="18" ht="49.5" customHeight="1">
      <c r="A18" s="289">
        <v>2024.0</v>
      </c>
      <c r="B18" s="265">
        <v>4.0</v>
      </c>
      <c r="C18" s="285" t="s">
        <v>200</v>
      </c>
      <c r="D18" s="26">
        <v>2.02400033E8</v>
      </c>
      <c r="E18" s="141" t="s">
        <v>1198</v>
      </c>
      <c r="F18" s="291" t="s">
        <v>1199</v>
      </c>
      <c r="G18" s="29" t="s">
        <v>82</v>
      </c>
      <c r="H18" s="29" t="s">
        <v>271</v>
      </c>
      <c r="I18" s="268" t="s">
        <v>59</v>
      </c>
      <c r="J18" s="284" t="s">
        <v>272</v>
      </c>
      <c r="K18" s="285" t="s">
        <v>65</v>
      </c>
      <c r="L18" s="286" t="s">
        <v>10</v>
      </c>
      <c r="M18" s="147" t="s">
        <v>1200</v>
      </c>
      <c r="N18" s="287" t="s">
        <v>57</v>
      </c>
      <c r="O18" s="285" t="s">
        <v>66</v>
      </c>
      <c r="P18" s="285" t="s">
        <v>67</v>
      </c>
      <c r="Q18" s="288"/>
      <c r="R18" s="288"/>
    </row>
    <row r="19" ht="47.25" customHeight="1">
      <c r="A19" s="289">
        <v>2024.0</v>
      </c>
      <c r="B19" s="265">
        <v>4.0</v>
      </c>
      <c r="C19" s="285" t="s">
        <v>200</v>
      </c>
      <c r="D19" s="26">
        <v>2.02400034E8</v>
      </c>
      <c r="E19" s="141" t="s">
        <v>277</v>
      </c>
      <c r="F19" s="300" t="s">
        <v>1201</v>
      </c>
      <c r="G19" s="29" t="s">
        <v>82</v>
      </c>
      <c r="H19" s="29" t="s">
        <v>271</v>
      </c>
      <c r="I19" s="268" t="s">
        <v>59</v>
      </c>
      <c r="J19" s="284" t="s">
        <v>90</v>
      </c>
      <c r="K19" s="285" t="s">
        <v>65</v>
      </c>
      <c r="L19" s="286" t="s">
        <v>132</v>
      </c>
      <c r="M19" s="147" t="s">
        <v>1202</v>
      </c>
      <c r="N19" s="287" t="s">
        <v>78</v>
      </c>
      <c r="O19" s="285" t="s">
        <v>66</v>
      </c>
      <c r="P19" s="285" t="s">
        <v>80</v>
      </c>
      <c r="Q19" s="288"/>
      <c r="R19" s="288"/>
    </row>
    <row r="20">
      <c r="A20" s="289">
        <v>2024.0</v>
      </c>
      <c r="B20" s="265">
        <v>4.0</v>
      </c>
      <c r="C20" s="285" t="s">
        <v>200</v>
      </c>
      <c r="D20" s="26">
        <v>2.02400034E8</v>
      </c>
      <c r="E20" s="141" t="s">
        <v>277</v>
      </c>
      <c r="F20" s="276" t="s">
        <v>1203</v>
      </c>
      <c r="G20" s="29" t="s">
        <v>82</v>
      </c>
      <c r="H20" s="29" t="s">
        <v>84</v>
      </c>
      <c r="I20" s="268" t="s">
        <v>59</v>
      </c>
      <c r="J20" s="284" t="s">
        <v>90</v>
      </c>
      <c r="K20" s="285" t="s">
        <v>1169</v>
      </c>
      <c r="L20" s="286" t="s">
        <v>10</v>
      </c>
      <c r="M20" s="147" t="s">
        <v>1204</v>
      </c>
      <c r="N20" s="287" t="s">
        <v>204</v>
      </c>
      <c r="O20" s="285" t="s">
        <v>66</v>
      </c>
      <c r="P20" s="285" t="s">
        <v>80</v>
      </c>
      <c r="Q20" s="288"/>
      <c r="R20" s="288"/>
    </row>
    <row r="21">
      <c r="A21" s="289">
        <v>2024.0</v>
      </c>
      <c r="B21" s="265">
        <v>4.0</v>
      </c>
      <c r="C21" s="285" t="s">
        <v>200</v>
      </c>
      <c r="D21" s="26">
        <v>2.02400034E8</v>
      </c>
      <c r="E21" s="141" t="s">
        <v>1205</v>
      </c>
      <c r="F21" s="276" t="s">
        <v>1206</v>
      </c>
      <c r="G21" s="29" t="s">
        <v>82</v>
      </c>
      <c r="H21" s="29" t="s">
        <v>145</v>
      </c>
      <c r="I21" s="268" t="s">
        <v>59</v>
      </c>
      <c r="J21" s="284" t="s">
        <v>90</v>
      </c>
      <c r="K21" s="285" t="s">
        <v>65</v>
      </c>
      <c r="L21" s="286" t="s">
        <v>132</v>
      </c>
      <c r="M21" s="302" t="s">
        <v>1207</v>
      </c>
      <c r="N21" s="287" t="s">
        <v>149</v>
      </c>
      <c r="O21" s="285" t="s">
        <v>66</v>
      </c>
      <c r="P21" s="285" t="s">
        <v>80</v>
      </c>
      <c r="Q21" s="288"/>
      <c r="R21" s="288"/>
    </row>
    <row r="22">
      <c r="A22" s="289">
        <v>2024.0</v>
      </c>
      <c r="B22" s="265">
        <v>4.0</v>
      </c>
      <c r="C22" s="285" t="s">
        <v>200</v>
      </c>
      <c r="D22" s="26">
        <v>2.02400035E8</v>
      </c>
      <c r="E22" s="141" t="s">
        <v>1208</v>
      </c>
      <c r="F22" s="302" t="s">
        <v>1209</v>
      </c>
      <c r="G22" s="29" t="s">
        <v>82</v>
      </c>
      <c r="H22" s="29" t="s">
        <v>145</v>
      </c>
      <c r="I22" s="268" t="s">
        <v>59</v>
      </c>
      <c r="J22" s="284" t="s">
        <v>209</v>
      </c>
      <c r="K22" s="285" t="s">
        <v>65</v>
      </c>
      <c r="L22" s="286" t="s">
        <v>132</v>
      </c>
      <c r="M22" s="300" t="s">
        <v>1210</v>
      </c>
      <c r="N22" s="287" t="s">
        <v>57</v>
      </c>
      <c r="O22" s="285" t="s">
        <v>66</v>
      </c>
      <c r="P22" s="285" t="s">
        <v>67</v>
      </c>
      <c r="Q22" s="288"/>
      <c r="R22" s="288"/>
    </row>
    <row r="23" ht="35.25" customHeight="1">
      <c r="A23" s="289">
        <v>2024.0</v>
      </c>
      <c r="B23" s="265">
        <v>4.0</v>
      </c>
      <c r="C23" s="285" t="s">
        <v>200</v>
      </c>
      <c r="D23" s="26">
        <v>2.02400039E8</v>
      </c>
      <c r="E23" s="141" t="s">
        <v>1211</v>
      </c>
      <c r="F23" s="302" t="s">
        <v>1212</v>
      </c>
      <c r="G23" s="29" t="s">
        <v>82</v>
      </c>
      <c r="H23" s="29" t="s">
        <v>271</v>
      </c>
      <c r="I23" s="268" t="s">
        <v>59</v>
      </c>
      <c r="J23" s="284" t="s">
        <v>90</v>
      </c>
      <c r="K23" s="285" t="s">
        <v>65</v>
      </c>
      <c r="L23" s="286" t="s">
        <v>132</v>
      </c>
      <c r="M23" s="300" t="s">
        <v>1213</v>
      </c>
      <c r="N23" s="287" t="s">
        <v>57</v>
      </c>
      <c r="O23" s="285" t="s">
        <v>66</v>
      </c>
      <c r="P23" s="285" t="s">
        <v>80</v>
      </c>
      <c r="Q23" s="288"/>
      <c r="R23" s="288"/>
    </row>
    <row r="24" ht="44.25" customHeight="1">
      <c r="A24" s="289">
        <v>2024.0</v>
      </c>
      <c r="B24" s="265">
        <v>4.0</v>
      </c>
      <c r="C24" s="285" t="s">
        <v>200</v>
      </c>
      <c r="D24" s="26">
        <v>2.0240004E8</v>
      </c>
      <c r="E24" s="141" t="s">
        <v>1214</v>
      </c>
      <c r="F24" s="302" t="s">
        <v>1207</v>
      </c>
      <c r="G24" s="29" t="s">
        <v>82</v>
      </c>
      <c r="H24" s="29" t="s">
        <v>145</v>
      </c>
      <c r="I24" s="268" t="s">
        <v>59</v>
      </c>
      <c r="J24" s="284" t="s">
        <v>90</v>
      </c>
      <c r="K24" s="285" t="s">
        <v>65</v>
      </c>
      <c r="L24" s="286" t="s">
        <v>132</v>
      </c>
      <c r="M24" s="302" t="s">
        <v>1207</v>
      </c>
      <c r="N24" s="287" t="s">
        <v>149</v>
      </c>
      <c r="O24" s="285" t="s">
        <v>66</v>
      </c>
      <c r="P24" s="285" t="s">
        <v>80</v>
      </c>
      <c r="Q24" s="288"/>
      <c r="R24" s="288"/>
    </row>
    <row r="25" ht="27.75" customHeight="1">
      <c r="A25" s="289">
        <v>2024.0</v>
      </c>
      <c r="B25" s="265">
        <v>4.0</v>
      </c>
      <c r="C25" s="285" t="s">
        <v>200</v>
      </c>
      <c r="D25" s="26">
        <v>2.0240004E8</v>
      </c>
      <c r="E25" s="51" t="s">
        <v>300</v>
      </c>
      <c r="F25" s="147" t="s">
        <v>1215</v>
      </c>
      <c r="G25" s="29" t="s">
        <v>82</v>
      </c>
      <c r="H25" s="29" t="s">
        <v>145</v>
      </c>
      <c r="I25" s="268" t="s">
        <v>59</v>
      </c>
      <c r="J25" s="284" t="s">
        <v>90</v>
      </c>
      <c r="K25" s="285" t="s">
        <v>1169</v>
      </c>
      <c r="L25" s="286" t="s">
        <v>10</v>
      </c>
      <c r="M25" s="143" t="s">
        <v>1216</v>
      </c>
      <c r="N25" s="287" t="s">
        <v>204</v>
      </c>
      <c r="O25" s="285" t="s">
        <v>66</v>
      </c>
      <c r="P25" s="285" t="s">
        <v>67</v>
      </c>
      <c r="Q25" s="288"/>
      <c r="R25" s="288"/>
    </row>
    <row r="26" ht="27.75" customHeight="1">
      <c r="A26" s="289">
        <v>2024.0</v>
      </c>
      <c r="B26" s="265">
        <v>5.0</v>
      </c>
      <c r="C26" s="285" t="s">
        <v>312</v>
      </c>
      <c r="D26" s="26">
        <v>2.02400047E8</v>
      </c>
      <c r="E26" s="141" t="s">
        <v>1217</v>
      </c>
      <c r="F26" s="147" t="s">
        <v>1218</v>
      </c>
      <c r="G26" s="29" t="s">
        <v>82</v>
      </c>
      <c r="H26" s="29" t="s">
        <v>271</v>
      </c>
      <c r="I26" s="268" t="s">
        <v>59</v>
      </c>
      <c r="J26" s="284" t="s">
        <v>209</v>
      </c>
      <c r="K26" s="285" t="s">
        <v>1169</v>
      </c>
      <c r="L26" s="286" t="s">
        <v>132</v>
      </c>
      <c r="M26" s="143" t="s">
        <v>1219</v>
      </c>
      <c r="N26" s="287" t="s">
        <v>204</v>
      </c>
      <c r="O26" s="285" t="s">
        <v>66</v>
      </c>
      <c r="P26" s="285" t="s">
        <v>67</v>
      </c>
      <c r="Q26" s="288"/>
      <c r="R26" s="288"/>
    </row>
    <row r="27" ht="24.75" customHeight="1">
      <c r="A27" s="289">
        <v>2024.0</v>
      </c>
      <c r="B27" s="265">
        <v>5.0</v>
      </c>
      <c r="C27" s="285" t="s">
        <v>312</v>
      </c>
      <c r="D27" s="26">
        <v>2.02400047E8</v>
      </c>
      <c r="E27" s="141" t="s">
        <v>1217</v>
      </c>
      <c r="F27" s="302" t="s">
        <v>1220</v>
      </c>
      <c r="G27" s="29" t="s">
        <v>154</v>
      </c>
      <c r="H27" s="29" t="s">
        <v>194</v>
      </c>
      <c r="I27" s="268" t="s">
        <v>59</v>
      </c>
      <c r="J27" s="303" t="s">
        <v>209</v>
      </c>
      <c r="K27" s="285" t="s">
        <v>1169</v>
      </c>
      <c r="L27" s="286" t="s">
        <v>10</v>
      </c>
      <c r="M27" s="143" t="s">
        <v>1221</v>
      </c>
      <c r="N27" s="287" t="s">
        <v>204</v>
      </c>
      <c r="O27" s="285" t="s">
        <v>66</v>
      </c>
      <c r="P27" s="285" t="s">
        <v>67</v>
      </c>
      <c r="Q27" s="288"/>
      <c r="R27" s="288"/>
    </row>
    <row r="28" ht="24.75" customHeight="1">
      <c r="A28" s="289">
        <v>2024.0</v>
      </c>
      <c r="B28" s="265">
        <v>5.0</v>
      </c>
      <c r="C28" s="285" t="s">
        <v>312</v>
      </c>
      <c r="D28" s="26">
        <v>2.02400048E8</v>
      </c>
      <c r="E28" s="141" t="s">
        <v>1222</v>
      </c>
      <c r="F28" s="147" t="s">
        <v>1223</v>
      </c>
      <c r="G28" s="29" t="s">
        <v>154</v>
      </c>
      <c r="H28" s="29" t="s">
        <v>230</v>
      </c>
      <c r="I28" s="268" t="s">
        <v>59</v>
      </c>
      <c r="J28" s="303" t="s">
        <v>344</v>
      </c>
      <c r="K28" s="285" t="s">
        <v>65</v>
      </c>
      <c r="L28" s="286" t="s">
        <v>132</v>
      </c>
      <c r="M28" s="284" t="s">
        <v>1224</v>
      </c>
      <c r="N28" s="287" t="s">
        <v>149</v>
      </c>
      <c r="O28" s="285" t="s">
        <v>66</v>
      </c>
      <c r="P28" s="285" t="s">
        <v>67</v>
      </c>
      <c r="Q28" s="288"/>
      <c r="R28" s="288"/>
    </row>
    <row r="29" ht="27.75" customHeight="1">
      <c r="A29" s="289">
        <v>2024.0</v>
      </c>
      <c r="B29" s="265">
        <v>5.0</v>
      </c>
      <c r="C29" s="285" t="s">
        <v>312</v>
      </c>
      <c r="D29" s="26">
        <v>2.02400049E8</v>
      </c>
      <c r="E29" s="141" t="s">
        <v>1225</v>
      </c>
      <c r="F29" s="147" t="s">
        <v>1226</v>
      </c>
      <c r="G29" s="29" t="s">
        <v>82</v>
      </c>
      <c r="H29" s="29" t="s">
        <v>84</v>
      </c>
      <c r="I29" s="268" t="s">
        <v>59</v>
      </c>
      <c r="J29" s="303" t="s">
        <v>272</v>
      </c>
      <c r="K29" s="285" t="s">
        <v>204</v>
      </c>
      <c r="L29" s="286" t="s">
        <v>10</v>
      </c>
      <c r="M29" s="284" t="s">
        <v>1227</v>
      </c>
      <c r="N29" s="287" t="s">
        <v>204</v>
      </c>
      <c r="O29" s="285" t="s">
        <v>66</v>
      </c>
      <c r="P29" s="285" t="s">
        <v>67</v>
      </c>
      <c r="Q29" s="288"/>
      <c r="R29" s="288"/>
    </row>
    <row r="30" ht="24.75" customHeight="1">
      <c r="A30" s="289">
        <v>2024.0</v>
      </c>
      <c r="B30" s="265">
        <v>5.0</v>
      </c>
      <c r="C30" s="285" t="s">
        <v>312</v>
      </c>
      <c r="D30" s="26">
        <v>2.02400051E8</v>
      </c>
      <c r="E30" s="302" t="s">
        <v>1228</v>
      </c>
      <c r="F30" s="147" t="s">
        <v>1229</v>
      </c>
      <c r="G30" s="29" t="s">
        <v>358</v>
      </c>
      <c r="H30" s="29" t="s">
        <v>84</v>
      </c>
      <c r="I30" s="268" t="s">
        <v>59</v>
      </c>
      <c r="J30" s="282" t="s">
        <v>1230</v>
      </c>
      <c r="K30" s="285" t="s">
        <v>57</v>
      </c>
      <c r="L30" s="286" t="s">
        <v>132</v>
      </c>
      <c r="M30" s="284" t="s">
        <v>57</v>
      </c>
      <c r="N30" s="287" t="s">
        <v>57</v>
      </c>
      <c r="O30" s="285" t="s">
        <v>66</v>
      </c>
      <c r="P30" s="285" t="s">
        <v>67</v>
      </c>
      <c r="Q30" s="288"/>
      <c r="R30" s="288"/>
    </row>
    <row r="31" ht="33.75" customHeight="1">
      <c r="A31" s="289">
        <v>2024.0</v>
      </c>
      <c r="B31" s="265">
        <v>5.0</v>
      </c>
      <c r="C31" s="285" t="s">
        <v>312</v>
      </c>
      <c r="D31" s="26">
        <v>2.02400052E8</v>
      </c>
      <c r="E31" s="141" t="s">
        <v>1231</v>
      </c>
      <c r="F31" s="147" t="s">
        <v>1232</v>
      </c>
      <c r="G31" s="29" t="s">
        <v>82</v>
      </c>
      <c r="H31" s="29" t="s">
        <v>271</v>
      </c>
      <c r="I31" s="268" t="s">
        <v>59</v>
      </c>
      <c r="J31" s="303" t="s">
        <v>90</v>
      </c>
      <c r="K31" s="285" t="s">
        <v>65</v>
      </c>
      <c r="L31" s="286" t="s">
        <v>10</v>
      </c>
      <c r="M31" s="147" t="s">
        <v>1233</v>
      </c>
      <c r="N31" s="287" t="s">
        <v>149</v>
      </c>
      <c r="O31" s="285" t="s">
        <v>66</v>
      </c>
      <c r="P31" s="285" t="s">
        <v>80</v>
      </c>
      <c r="Q31" s="288"/>
      <c r="R31" s="288"/>
    </row>
    <row r="32" ht="34.5" customHeight="1">
      <c r="A32" s="289">
        <v>2024.0</v>
      </c>
      <c r="B32" s="265">
        <v>5.0</v>
      </c>
      <c r="C32" s="285" t="s">
        <v>312</v>
      </c>
      <c r="D32" s="26">
        <v>2.02400052E8</v>
      </c>
      <c r="E32" s="30" t="s">
        <v>365</v>
      </c>
      <c r="F32" s="147" t="s">
        <v>1234</v>
      </c>
      <c r="G32" s="29" t="s">
        <v>82</v>
      </c>
      <c r="H32" s="29" t="s">
        <v>271</v>
      </c>
      <c r="I32" s="268" t="s">
        <v>59</v>
      </c>
      <c r="J32" s="304" t="s">
        <v>90</v>
      </c>
      <c r="K32" s="285" t="s">
        <v>65</v>
      </c>
      <c r="L32" s="286" t="s">
        <v>132</v>
      </c>
      <c r="M32" s="305" t="s">
        <v>1235</v>
      </c>
      <c r="N32" s="287" t="s">
        <v>149</v>
      </c>
      <c r="O32" s="285" t="s">
        <v>66</v>
      </c>
      <c r="P32" s="285" t="s">
        <v>67</v>
      </c>
      <c r="Q32" s="288"/>
      <c r="R32" s="288"/>
    </row>
    <row r="33" ht="34.5" customHeight="1">
      <c r="A33" s="289">
        <v>2024.0</v>
      </c>
      <c r="B33" s="265">
        <v>5.0</v>
      </c>
      <c r="C33" s="285" t="s">
        <v>312</v>
      </c>
      <c r="D33" s="26">
        <v>2.02400057E8</v>
      </c>
      <c r="E33" s="141" t="s">
        <v>1236</v>
      </c>
      <c r="F33" s="147" t="s">
        <v>363</v>
      </c>
      <c r="G33" s="29" t="s">
        <v>358</v>
      </c>
      <c r="H33" s="29" t="s">
        <v>84</v>
      </c>
      <c r="I33" s="268" t="s">
        <v>59</v>
      </c>
      <c r="J33" s="282" t="s">
        <v>1237</v>
      </c>
      <c r="K33" s="285" t="s">
        <v>1169</v>
      </c>
      <c r="L33" s="286" t="s">
        <v>132</v>
      </c>
      <c r="M33" s="305" t="s">
        <v>1238</v>
      </c>
      <c r="N33" s="287" t="s">
        <v>204</v>
      </c>
      <c r="O33" s="285" t="s">
        <v>66</v>
      </c>
      <c r="P33" s="285" t="s">
        <v>67</v>
      </c>
      <c r="Q33" s="288"/>
      <c r="R33" s="288"/>
    </row>
    <row r="34" ht="32.25" customHeight="1">
      <c r="A34" s="289">
        <v>2024.0</v>
      </c>
      <c r="B34" s="265">
        <v>5.0</v>
      </c>
      <c r="C34" s="285" t="s">
        <v>312</v>
      </c>
      <c r="D34" s="26">
        <v>2.02400058E8</v>
      </c>
      <c r="E34" s="141" t="s">
        <v>1239</v>
      </c>
      <c r="F34" s="141" t="s">
        <v>1240</v>
      </c>
      <c r="G34" s="29" t="s">
        <v>82</v>
      </c>
      <c r="H34" s="29" t="s">
        <v>246</v>
      </c>
      <c r="I34" s="268" t="s">
        <v>59</v>
      </c>
      <c r="J34" s="306" t="s">
        <v>396</v>
      </c>
      <c r="K34" s="285" t="s">
        <v>1169</v>
      </c>
      <c r="L34" s="286" t="s">
        <v>132</v>
      </c>
      <c r="M34" s="307" t="s">
        <v>1240</v>
      </c>
      <c r="N34" s="287" t="s">
        <v>204</v>
      </c>
      <c r="O34" s="285" t="s">
        <v>66</v>
      </c>
      <c r="P34" s="285" t="s">
        <v>67</v>
      </c>
      <c r="Q34" s="288"/>
      <c r="R34" s="288"/>
    </row>
    <row r="35" ht="33.0" customHeight="1">
      <c r="A35" s="289">
        <v>2024.0</v>
      </c>
      <c r="B35" s="265">
        <v>5.0</v>
      </c>
      <c r="C35" s="285" t="s">
        <v>312</v>
      </c>
      <c r="D35" s="26">
        <v>2.02400059E8</v>
      </c>
      <c r="E35" s="141" t="s">
        <v>1241</v>
      </c>
      <c r="F35" s="141" t="s">
        <v>1242</v>
      </c>
      <c r="G35" s="29" t="s">
        <v>82</v>
      </c>
      <c r="H35" s="29" t="s">
        <v>145</v>
      </c>
      <c r="I35" s="268" t="s">
        <v>59</v>
      </c>
      <c r="J35" s="306" t="s">
        <v>209</v>
      </c>
      <c r="K35" s="285" t="s">
        <v>65</v>
      </c>
      <c r="L35" s="286" t="s">
        <v>132</v>
      </c>
      <c r="M35" s="307" t="s">
        <v>1243</v>
      </c>
      <c r="N35" s="287" t="s">
        <v>149</v>
      </c>
      <c r="O35" s="285" t="s">
        <v>66</v>
      </c>
      <c r="P35" s="285" t="s">
        <v>1162</v>
      </c>
      <c r="Q35" s="288"/>
      <c r="R35" s="288"/>
    </row>
    <row r="36" ht="40.5" customHeight="1">
      <c r="A36" s="289">
        <v>2024.0</v>
      </c>
      <c r="B36" s="265">
        <v>5.0</v>
      </c>
      <c r="C36" s="285" t="s">
        <v>312</v>
      </c>
      <c r="D36" s="26">
        <v>2.02400059E8</v>
      </c>
      <c r="E36" s="141" t="s">
        <v>1244</v>
      </c>
      <c r="F36" s="141" t="s">
        <v>1245</v>
      </c>
      <c r="G36" s="29" t="s">
        <v>82</v>
      </c>
      <c r="H36" s="29" t="s">
        <v>145</v>
      </c>
      <c r="I36" s="268" t="s">
        <v>59</v>
      </c>
      <c r="J36" s="306" t="s">
        <v>209</v>
      </c>
      <c r="K36" s="285" t="s">
        <v>1169</v>
      </c>
      <c r="L36" s="286" t="s">
        <v>10</v>
      </c>
      <c r="M36" s="307"/>
      <c r="N36" s="287" t="s">
        <v>204</v>
      </c>
      <c r="O36" s="285" t="s">
        <v>66</v>
      </c>
      <c r="P36" s="285" t="s">
        <v>1162</v>
      </c>
      <c r="Q36" s="288"/>
      <c r="R36" s="288"/>
    </row>
    <row r="37" ht="32.25" customHeight="1">
      <c r="A37" s="289">
        <v>2024.0</v>
      </c>
      <c r="B37" s="265">
        <v>5.0</v>
      </c>
      <c r="C37" s="285" t="s">
        <v>312</v>
      </c>
      <c r="D37" s="26">
        <v>2.02400059E8</v>
      </c>
      <c r="E37" s="30" t="s">
        <v>401</v>
      </c>
      <c r="F37" s="143" t="s">
        <v>1246</v>
      </c>
      <c r="G37" s="29" t="s">
        <v>82</v>
      </c>
      <c r="H37" s="29" t="s">
        <v>145</v>
      </c>
      <c r="I37" s="268" t="s">
        <v>59</v>
      </c>
      <c r="J37" s="108" t="s">
        <v>209</v>
      </c>
      <c r="K37" s="285" t="s">
        <v>204</v>
      </c>
      <c r="L37" s="286" t="s">
        <v>132</v>
      </c>
      <c r="M37" s="308"/>
      <c r="N37" s="287" t="s">
        <v>204</v>
      </c>
      <c r="O37" s="285" t="s">
        <v>66</v>
      </c>
      <c r="P37" s="285" t="s">
        <v>1162</v>
      </c>
      <c r="Q37" s="288"/>
      <c r="R37" s="288"/>
    </row>
    <row r="38" ht="32.25" customHeight="1">
      <c r="A38" s="289">
        <v>2024.0</v>
      </c>
      <c r="B38" s="265">
        <v>5.0</v>
      </c>
      <c r="C38" s="285" t="s">
        <v>312</v>
      </c>
      <c r="D38" s="26">
        <v>2.02400059E8</v>
      </c>
      <c r="E38" s="30" t="s">
        <v>401</v>
      </c>
      <c r="F38" s="143" t="s">
        <v>1247</v>
      </c>
      <c r="G38" s="29" t="s">
        <v>82</v>
      </c>
      <c r="H38" s="29" t="s">
        <v>145</v>
      </c>
      <c r="I38" s="268" t="s">
        <v>59</v>
      </c>
      <c r="J38" s="108" t="s">
        <v>209</v>
      </c>
      <c r="K38" s="285" t="s">
        <v>204</v>
      </c>
      <c r="L38" s="286" t="s">
        <v>132</v>
      </c>
      <c r="M38" s="308"/>
      <c r="N38" s="287" t="s">
        <v>204</v>
      </c>
      <c r="O38" s="285" t="s">
        <v>66</v>
      </c>
      <c r="P38" s="285" t="s">
        <v>1162</v>
      </c>
      <c r="Q38" s="288"/>
      <c r="R38" s="288"/>
    </row>
    <row r="39" ht="32.25" customHeight="1">
      <c r="A39" s="289">
        <v>2024.0</v>
      </c>
      <c r="B39" s="265">
        <v>5.0</v>
      </c>
      <c r="C39" s="285" t="s">
        <v>312</v>
      </c>
      <c r="D39" s="26">
        <v>2.0240006E8</v>
      </c>
      <c r="E39" s="141" t="s">
        <v>1248</v>
      </c>
      <c r="F39" s="143" t="s">
        <v>1249</v>
      </c>
      <c r="G39" s="29" t="s">
        <v>154</v>
      </c>
      <c r="H39" s="29" t="s">
        <v>145</v>
      </c>
      <c r="I39" s="268" t="s">
        <v>59</v>
      </c>
      <c r="J39" s="306" t="s">
        <v>272</v>
      </c>
      <c r="K39" s="285" t="s">
        <v>65</v>
      </c>
      <c r="L39" s="286" t="s">
        <v>132</v>
      </c>
      <c r="M39" s="308" t="s">
        <v>1250</v>
      </c>
      <c r="N39" s="287" t="s">
        <v>149</v>
      </c>
      <c r="O39" s="285" t="s">
        <v>66</v>
      </c>
      <c r="P39" s="285" t="s">
        <v>67</v>
      </c>
      <c r="Q39" s="288"/>
      <c r="R39" s="288"/>
    </row>
    <row r="40" ht="30.75" customHeight="1">
      <c r="A40" s="309">
        <v>2024.0</v>
      </c>
      <c r="B40" s="310">
        <v>6.0</v>
      </c>
      <c r="C40" s="311" t="s">
        <v>425</v>
      </c>
      <c r="D40" s="312">
        <v>2.02400063E8</v>
      </c>
      <c r="E40" s="313" t="s">
        <v>1251</v>
      </c>
      <c r="F40" s="314" t="s">
        <v>1252</v>
      </c>
      <c r="G40" s="315" t="s">
        <v>154</v>
      </c>
      <c r="H40" s="315" t="s">
        <v>121</v>
      </c>
      <c r="I40" s="316" t="s">
        <v>59</v>
      </c>
      <c r="J40" s="317" t="s">
        <v>427</v>
      </c>
      <c r="K40" s="311" t="s">
        <v>65</v>
      </c>
      <c r="L40" s="318" t="s">
        <v>10</v>
      </c>
      <c r="M40" s="319" t="s">
        <v>1253</v>
      </c>
      <c r="N40" s="320"/>
      <c r="O40" s="311" t="s">
        <v>66</v>
      </c>
      <c r="P40" s="311" t="s">
        <v>1162</v>
      </c>
      <c r="Q40" s="321"/>
      <c r="R40" s="321"/>
    </row>
    <row r="41" ht="45.75" customHeight="1">
      <c r="A41" s="289">
        <v>2024.0</v>
      </c>
      <c r="B41" s="265">
        <v>6.0</v>
      </c>
      <c r="C41" s="285" t="s">
        <v>425</v>
      </c>
      <c r="D41" s="26">
        <v>2.02400065E8</v>
      </c>
      <c r="E41" s="322" t="s">
        <v>1254</v>
      </c>
      <c r="F41" s="267" t="s">
        <v>1255</v>
      </c>
      <c r="G41" s="29" t="s">
        <v>55</v>
      </c>
      <c r="H41" s="29" t="s">
        <v>107</v>
      </c>
      <c r="I41" s="268" t="s">
        <v>59</v>
      </c>
      <c r="J41" s="35" t="s">
        <v>442</v>
      </c>
      <c r="K41" s="285" t="s">
        <v>65</v>
      </c>
      <c r="L41" s="286" t="s">
        <v>10</v>
      </c>
      <c r="M41" s="307" t="s">
        <v>1256</v>
      </c>
      <c r="N41" s="287" t="s">
        <v>78</v>
      </c>
      <c r="O41" s="285" t="s">
        <v>66</v>
      </c>
      <c r="P41" s="285" t="s">
        <v>80</v>
      </c>
      <c r="Q41" s="288"/>
      <c r="R41" s="288"/>
    </row>
    <row r="42" ht="45.75" customHeight="1">
      <c r="A42" s="289">
        <v>2024.0</v>
      </c>
      <c r="B42" s="265">
        <v>6.0</v>
      </c>
      <c r="C42" s="285" t="s">
        <v>425</v>
      </c>
      <c r="D42" s="26">
        <v>2.02400065E8</v>
      </c>
      <c r="E42" s="322" t="s">
        <v>1254</v>
      </c>
      <c r="F42" s="267" t="s">
        <v>1257</v>
      </c>
      <c r="G42" s="29" t="s">
        <v>154</v>
      </c>
      <c r="H42" s="29" t="s">
        <v>230</v>
      </c>
      <c r="I42" s="268" t="s">
        <v>59</v>
      </c>
      <c r="J42" s="35" t="s">
        <v>442</v>
      </c>
      <c r="K42" s="285" t="s">
        <v>65</v>
      </c>
      <c r="L42" s="286" t="s">
        <v>10</v>
      </c>
      <c r="M42" s="307"/>
      <c r="N42" s="287" t="s">
        <v>78</v>
      </c>
      <c r="O42" s="285" t="s">
        <v>66</v>
      </c>
      <c r="P42" s="285" t="s">
        <v>80</v>
      </c>
      <c r="Q42" s="288"/>
      <c r="R42" s="288"/>
    </row>
    <row r="43" ht="45.75" customHeight="1">
      <c r="A43" s="289">
        <v>2024.0</v>
      </c>
      <c r="B43" s="265">
        <v>6.0</v>
      </c>
      <c r="C43" s="285" t="s">
        <v>425</v>
      </c>
      <c r="D43" s="26">
        <v>2.02400065E8</v>
      </c>
      <c r="E43" s="322" t="s">
        <v>1254</v>
      </c>
      <c r="F43" s="267" t="s">
        <v>1258</v>
      </c>
      <c r="G43" s="29" t="s">
        <v>55</v>
      </c>
      <c r="H43" s="29" t="s">
        <v>121</v>
      </c>
      <c r="I43" s="268" t="s">
        <v>59</v>
      </c>
      <c r="J43" s="35" t="s">
        <v>442</v>
      </c>
      <c r="K43" s="285" t="s">
        <v>1169</v>
      </c>
      <c r="L43" s="286" t="s">
        <v>10</v>
      </c>
      <c r="M43" s="307"/>
      <c r="N43" s="287" t="s">
        <v>204</v>
      </c>
      <c r="O43" s="285" t="s">
        <v>66</v>
      </c>
      <c r="P43" s="285" t="s">
        <v>80</v>
      </c>
      <c r="Q43" s="288"/>
      <c r="R43" s="288"/>
    </row>
    <row r="44" ht="25.5" customHeight="1">
      <c r="A44" s="289">
        <v>2024.0</v>
      </c>
      <c r="B44" s="265">
        <v>5.0</v>
      </c>
      <c r="C44" s="285" t="s">
        <v>312</v>
      </c>
      <c r="D44" s="26">
        <v>2.0240006E8</v>
      </c>
      <c r="E44" s="141" t="s">
        <v>1259</v>
      </c>
      <c r="F44" s="143" t="s">
        <v>1260</v>
      </c>
      <c r="G44" s="29" t="s">
        <v>154</v>
      </c>
      <c r="H44" s="29" t="s">
        <v>145</v>
      </c>
      <c r="I44" s="268" t="s">
        <v>59</v>
      </c>
      <c r="J44" s="306" t="s">
        <v>272</v>
      </c>
      <c r="K44" s="285" t="s">
        <v>1169</v>
      </c>
      <c r="L44" s="286" t="s">
        <v>10</v>
      </c>
      <c r="M44" s="323"/>
      <c r="N44" s="287" t="s">
        <v>204</v>
      </c>
      <c r="O44" s="285" t="s">
        <v>66</v>
      </c>
      <c r="P44" s="285" t="s">
        <v>67</v>
      </c>
      <c r="Q44" s="288"/>
      <c r="R44" s="288"/>
    </row>
    <row r="45" ht="25.5" customHeight="1">
      <c r="A45" s="206">
        <v>2024.0</v>
      </c>
      <c r="B45" s="209">
        <v>6.0</v>
      </c>
      <c r="C45" s="206" t="s">
        <v>425</v>
      </c>
      <c r="D45" s="209">
        <v>2.02400063E8</v>
      </c>
      <c r="E45" s="30" t="s">
        <v>426</v>
      </c>
      <c r="F45" s="324"/>
      <c r="G45" s="29" t="s">
        <v>154</v>
      </c>
      <c r="H45" s="29" t="s">
        <v>230</v>
      </c>
      <c r="I45" s="268" t="s">
        <v>59</v>
      </c>
      <c r="J45" s="108" t="s">
        <v>427</v>
      </c>
      <c r="K45" s="285" t="s">
        <v>65</v>
      </c>
      <c r="L45" s="286" t="s">
        <v>10</v>
      </c>
      <c r="M45" s="323"/>
      <c r="N45" s="287"/>
      <c r="O45" s="285" t="s">
        <v>66</v>
      </c>
      <c r="P45" s="285" t="s">
        <v>67</v>
      </c>
      <c r="Q45" s="288"/>
      <c r="R45" s="288"/>
    </row>
    <row r="46" ht="25.5" customHeight="1">
      <c r="A46" s="206">
        <v>2024.0</v>
      </c>
      <c r="B46" s="209">
        <v>6.0</v>
      </c>
      <c r="C46" s="209" t="s">
        <v>425</v>
      </c>
      <c r="D46" s="209">
        <v>2.02400065E8</v>
      </c>
      <c r="E46" s="42" t="s">
        <v>441</v>
      </c>
      <c r="F46" s="325" t="s">
        <v>1261</v>
      </c>
      <c r="G46" s="29" t="s">
        <v>55</v>
      </c>
      <c r="H46" s="29" t="s">
        <v>107</v>
      </c>
      <c r="I46" s="268" t="s">
        <v>59</v>
      </c>
      <c r="J46" s="108" t="s">
        <v>442</v>
      </c>
      <c r="K46" s="285" t="s">
        <v>65</v>
      </c>
      <c r="L46" s="286" t="s">
        <v>132</v>
      </c>
      <c r="M46" s="323" t="s">
        <v>1262</v>
      </c>
      <c r="N46" s="287" t="s">
        <v>78</v>
      </c>
      <c r="O46" s="285" t="s">
        <v>66</v>
      </c>
      <c r="P46" s="285" t="s">
        <v>67</v>
      </c>
      <c r="Q46" s="288"/>
      <c r="R46" s="288"/>
    </row>
    <row r="47" ht="25.5" customHeight="1">
      <c r="A47" s="206">
        <v>2024.0</v>
      </c>
      <c r="B47" s="209">
        <v>6.0</v>
      </c>
      <c r="C47" s="209" t="s">
        <v>425</v>
      </c>
      <c r="D47" s="209">
        <v>2.02400065E8</v>
      </c>
      <c r="E47" s="42" t="s">
        <v>441</v>
      </c>
      <c r="F47" s="325" t="s">
        <v>1263</v>
      </c>
      <c r="G47" s="29" t="s">
        <v>55</v>
      </c>
      <c r="H47" s="29" t="s">
        <v>107</v>
      </c>
      <c r="I47" s="268" t="s">
        <v>59</v>
      </c>
      <c r="J47" s="108" t="s">
        <v>442</v>
      </c>
      <c r="K47" s="285" t="s">
        <v>1169</v>
      </c>
      <c r="L47" s="286" t="s">
        <v>10</v>
      </c>
      <c r="M47" s="323" t="s">
        <v>1264</v>
      </c>
      <c r="N47" s="287" t="s">
        <v>204</v>
      </c>
      <c r="O47" s="285" t="s">
        <v>66</v>
      </c>
      <c r="P47" s="285" t="s">
        <v>67</v>
      </c>
      <c r="Q47" s="288"/>
      <c r="R47" s="288"/>
    </row>
    <row r="48" ht="25.5" customHeight="1">
      <c r="A48" s="289">
        <v>2024.0</v>
      </c>
      <c r="B48" s="265">
        <v>7.0</v>
      </c>
      <c r="C48" s="285" t="s">
        <v>480</v>
      </c>
      <c r="D48" s="26">
        <v>2.02400072E8</v>
      </c>
      <c r="E48" s="30" t="s">
        <v>504</v>
      </c>
      <c r="F48" s="324" t="s">
        <v>1265</v>
      </c>
      <c r="G48" s="29" t="s">
        <v>82</v>
      </c>
      <c r="H48" s="29" t="s">
        <v>84</v>
      </c>
      <c r="I48" s="268" t="s">
        <v>59</v>
      </c>
      <c r="J48" s="306" t="s">
        <v>505</v>
      </c>
      <c r="K48" s="285" t="s">
        <v>65</v>
      </c>
      <c r="L48" s="286" t="s">
        <v>132</v>
      </c>
      <c r="M48" s="323" t="s">
        <v>1266</v>
      </c>
      <c r="N48" s="287" t="s">
        <v>78</v>
      </c>
      <c r="O48" s="285" t="s">
        <v>66</v>
      </c>
      <c r="P48" s="285" t="s">
        <v>67</v>
      </c>
      <c r="Q48" s="288"/>
      <c r="R48" s="288"/>
    </row>
    <row r="49" ht="25.5" customHeight="1">
      <c r="A49" s="289">
        <v>2024.0</v>
      </c>
      <c r="B49" s="265">
        <v>7.0</v>
      </c>
      <c r="C49" s="285" t="s">
        <v>480</v>
      </c>
      <c r="D49" s="26">
        <v>2.02400075E8</v>
      </c>
      <c r="E49" s="42" t="s">
        <v>1267</v>
      </c>
      <c r="F49" s="63" t="s">
        <v>1268</v>
      </c>
      <c r="G49" s="29" t="s">
        <v>154</v>
      </c>
      <c r="H49" s="29" t="s">
        <v>121</v>
      </c>
      <c r="I49" s="268" t="s">
        <v>59</v>
      </c>
      <c r="J49" s="35" t="s">
        <v>427</v>
      </c>
      <c r="K49" s="285" t="s">
        <v>65</v>
      </c>
      <c r="L49" s="286" t="s">
        <v>10</v>
      </c>
      <c r="M49" s="306" t="s">
        <v>523</v>
      </c>
      <c r="N49" s="287" t="s">
        <v>78</v>
      </c>
      <c r="O49" s="285" t="s">
        <v>66</v>
      </c>
      <c r="P49" s="285" t="s">
        <v>67</v>
      </c>
      <c r="Q49" s="288"/>
      <c r="R49" s="288"/>
    </row>
    <row r="50" ht="26.25" customHeight="1">
      <c r="A50" s="289">
        <v>2024.0</v>
      </c>
      <c r="B50" s="265">
        <v>7.0</v>
      </c>
      <c r="C50" s="285" t="s">
        <v>480</v>
      </c>
      <c r="D50" s="26">
        <v>2.02400078E8</v>
      </c>
      <c r="E50" s="30" t="s">
        <v>544</v>
      </c>
      <c r="F50" s="326" t="s">
        <v>1269</v>
      </c>
      <c r="G50" s="29" t="s">
        <v>82</v>
      </c>
      <c r="H50" s="29" t="s">
        <v>271</v>
      </c>
      <c r="I50" s="268" t="s">
        <v>59</v>
      </c>
      <c r="J50" s="306" t="s">
        <v>545</v>
      </c>
      <c r="K50" s="285" t="s">
        <v>65</v>
      </c>
      <c r="L50" s="286" t="s">
        <v>10</v>
      </c>
      <c r="M50" s="307" t="s">
        <v>1270</v>
      </c>
      <c r="N50" s="287" t="s">
        <v>149</v>
      </c>
      <c r="O50" s="285" t="s">
        <v>66</v>
      </c>
      <c r="P50" s="285" t="s">
        <v>80</v>
      </c>
      <c r="Q50" s="288"/>
      <c r="R50" s="288"/>
    </row>
    <row r="51" ht="33.0" customHeight="1">
      <c r="A51" s="289">
        <v>2024.0</v>
      </c>
      <c r="B51" s="265">
        <v>8.0</v>
      </c>
      <c r="C51" s="285" t="s">
        <v>528</v>
      </c>
      <c r="D51" s="26">
        <v>2.0240008E8</v>
      </c>
      <c r="E51" s="42" t="s">
        <v>1267</v>
      </c>
      <c r="F51" s="63" t="s">
        <v>1268</v>
      </c>
      <c r="G51" s="29" t="s">
        <v>154</v>
      </c>
      <c r="H51" s="29" t="s">
        <v>121</v>
      </c>
      <c r="I51" s="268" t="s">
        <v>59</v>
      </c>
      <c r="J51" s="66" t="s">
        <v>1271</v>
      </c>
      <c r="K51" s="285" t="s">
        <v>65</v>
      </c>
      <c r="L51" s="286" t="s">
        <v>10</v>
      </c>
      <c r="M51" s="327" t="s">
        <v>1272</v>
      </c>
      <c r="N51" s="287" t="s">
        <v>78</v>
      </c>
      <c r="O51" s="285" t="s">
        <v>66</v>
      </c>
      <c r="P51" s="285" t="s">
        <v>1162</v>
      </c>
      <c r="Q51" s="288"/>
      <c r="R51" s="288"/>
    </row>
    <row r="52" ht="40.5" customHeight="1">
      <c r="A52" s="289">
        <v>2024.0</v>
      </c>
      <c r="B52" s="265">
        <v>8.0</v>
      </c>
      <c r="C52" s="285" t="s">
        <v>528</v>
      </c>
      <c r="D52" s="26">
        <v>2.0240008E8</v>
      </c>
      <c r="E52" s="42" t="s">
        <v>1267</v>
      </c>
      <c r="F52" s="63" t="s">
        <v>1273</v>
      </c>
      <c r="G52" s="29" t="s">
        <v>154</v>
      </c>
      <c r="H52" s="29" t="s">
        <v>749</v>
      </c>
      <c r="I52" s="268" t="s">
        <v>59</v>
      </c>
      <c r="J52" s="35" t="s">
        <v>427</v>
      </c>
      <c r="K52" s="285" t="s">
        <v>1169</v>
      </c>
      <c r="L52" s="286" t="s">
        <v>10</v>
      </c>
      <c r="M52" s="327" t="s">
        <v>1274</v>
      </c>
      <c r="N52" s="287" t="s">
        <v>204</v>
      </c>
      <c r="O52" s="285" t="s">
        <v>66</v>
      </c>
      <c r="P52" s="285" t="s">
        <v>67</v>
      </c>
      <c r="Q52" s="288"/>
      <c r="R52" s="288"/>
    </row>
    <row r="53" ht="24.75" customHeight="1">
      <c r="A53" s="289">
        <v>2024.0</v>
      </c>
      <c r="B53" s="265">
        <v>8.0</v>
      </c>
      <c r="C53" s="285" t="s">
        <v>528</v>
      </c>
      <c r="D53" s="26">
        <v>2.02400082E8</v>
      </c>
      <c r="E53" s="306" t="s">
        <v>570</v>
      </c>
      <c r="F53" s="42" t="s">
        <v>1275</v>
      </c>
      <c r="G53" s="29" t="s">
        <v>82</v>
      </c>
      <c r="H53" s="29" t="s">
        <v>246</v>
      </c>
      <c r="I53" s="268" t="s">
        <v>59</v>
      </c>
      <c r="J53" s="35" t="s">
        <v>571</v>
      </c>
      <c r="K53" s="285" t="s">
        <v>65</v>
      </c>
      <c r="L53" s="286" t="s">
        <v>132</v>
      </c>
      <c r="M53" s="327" t="s">
        <v>574</v>
      </c>
      <c r="N53" s="287" t="s">
        <v>149</v>
      </c>
      <c r="O53" s="285" t="s">
        <v>66</v>
      </c>
      <c r="P53" s="285" t="s">
        <v>67</v>
      </c>
      <c r="Q53" s="288"/>
      <c r="R53" s="288"/>
    </row>
    <row r="54" ht="24.75" customHeight="1">
      <c r="A54" s="289"/>
      <c r="B54" s="265">
        <v>8.0</v>
      </c>
      <c r="C54" s="285" t="s">
        <v>528</v>
      </c>
      <c r="D54" s="26">
        <v>2.02400082E8</v>
      </c>
      <c r="E54" s="306" t="s">
        <v>570</v>
      </c>
      <c r="F54" s="63" t="s">
        <v>1276</v>
      </c>
      <c r="G54" s="29" t="s">
        <v>82</v>
      </c>
      <c r="H54" s="29" t="s">
        <v>145</v>
      </c>
      <c r="I54" s="268" t="s">
        <v>59</v>
      </c>
      <c r="J54" s="35" t="s">
        <v>571</v>
      </c>
      <c r="K54" s="285" t="s">
        <v>65</v>
      </c>
      <c r="L54" s="286" t="s">
        <v>132</v>
      </c>
      <c r="M54" s="327" t="s">
        <v>1277</v>
      </c>
      <c r="N54" s="287" t="s">
        <v>78</v>
      </c>
      <c r="O54" s="285" t="s">
        <v>66</v>
      </c>
      <c r="P54" s="285" t="s">
        <v>67</v>
      </c>
      <c r="Q54" s="288"/>
      <c r="R54" s="288"/>
    </row>
    <row r="55" ht="26.25" customHeight="1">
      <c r="A55" s="289">
        <v>2024.0</v>
      </c>
      <c r="B55" s="265">
        <v>8.0</v>
      </c>
      <c r="C55" s="285" t="s">
        <v>528</v>
      </c>
      <c r="D55" s="26">
        <v>2.02400083E8</v>
      </c>
      <c r="E55" s="30" t="s">
        <v>577</v>
      </c>
      <c r="F55" s="328" t="s">
        <v>580</v>
      </c>
      <c r="G55" s="29" t="s">
        <v>82</v>
      </c>
      <c r="H55" s="29" t="s">
        <v>271</v>
      </c>
      <c r="I55" s="268" t="s">
        <v>59</v>
      </c>
      <c r="J55" s="35" t="s">
        <v>578</v>
      </c>
      <c r="K55" s="285" t="s">
        <v>65</v>
      </c>
      <c r="L55" s="286" t="s">
        <v>132</v>
      </c>
      <c r="M55" s="51" t="s">
        <v>579</v>
      </c>
      <c r="N55" s="287" t="s">
        <v>149</v>
      </c>
      <c r="O55" s="285" t="s">
        <v>66</v>
      </c>
      <c r="P55" s="285" t="s">
        <v>67</v>
      </c>
      <c r="Q55" s="288"/>
      <c r="R55" s="288"/>
    </row>
    <row r="56" ht="25.5" customHeight="1">
      <c r="A56" s="289">
        <v>2024.0</v>
      </c>
      <c r="B56" s="265">
        <v>8.0</v>
      </c>
      <c r="C56" s="285" t="s">
        <v>528</v>
      </c>
      <c r="D56" s="26">
        <v>2.02400086E8</v>
      </c>
      <c r="E56" s="42" t="s">
        <v>592</v>
      </c>
      <c r="F56" s="143" t="s">
        <v>1278</v>
      </c>
      <c r="G56" s="29" t="s">
        <v>133</v>
      </c>
      <c r="H56" s="29" t="s">
        <v>135</v>
      </c>
      <c r="I56" s="268" t="s">
        <v>59</v>
      </c>
      <c r="J56" s="66" t="s">
        <v>90</v>
      </c>
      <c r="K56" s="285" t="s">
        <v>65</v>
      </c>
      <c r="L56" s="286" t="s">
        <v>10</v>
      </c>
      <c r="M56" s="63" t="s">
        <v>1279</v>
      </c>
      <c r="N56" s="287" t="s">
        <v>78</v>
      </c>
      <c r="O56" s="285" t="s">
        <v>66</v>
      </c>
      <c r="P56" s="285" t="s">
        <v>80</v>
      </c>
      <c r="Q56" s="286" t="s">
        <v>1156</v>
      </c>
      <c r="R56" s="288"/>
    </row>
    <row r="57" ht="27.0" customHeight="1">
      <c r="A57" s="289">
        <v>2024.0</v>
      </c>
      <c r="B57" s="265">
        <v>8.0</v>
      </c>
      <c r="C57" s="285" t="s">
        <v>528</v>
      </c>
      <c r="D57" s="26">
        <v>2.02400086E8</v>
      </c>
      <c r="E57" s="42" t="s">
        <v>592</v>
      </c>
      <c r="F57" s="143" t="s">
        <v>1280</v>
      </c>
      <c r="G57" s="29" t="s">
        <v>133</v>
      </c>
      <c r="H57" s="29" t="s">
        <v>135</v>
      </c>
      <c r="I57" s="268" t="s">
        <v>59</v>
      </c>
      <c r="J57" s="66" t="s">
        <v>90</v>
      </c>
      <c r="K57" s="285" t="s">
        <v>65</v>
      </c>
      <c r="L57" s="286" t="s">
        <v>10</v>
      </c>
      <c r="M57" s="63" t="s">
        <v>1279</v>
      </c>
      <c r="N57" s="287" t="s">
        <v>78</v>
      </c>
      <c r="O57" s="285" t="s">
        <v>66</v>
      </c>
      <c r="P57" s="285" t="s">
        <v>80</v>
      </c>
      <c r="Q57" s="286" t="s">
        <v>1156</v>
      </c>
      <c r="R57" s="288"/>
    </row>
    <row r="58" ht="27.0" customHeight="1">
      <c r="A58" s="289">
        <v>2024.0</v>
      </c>
      <c r="B58" s="265">
        <v>8.0</v>
      </c>
      <c r="C58" s="285" t="s">
        <v>528</v>
      </c>
      <c r="D58" s="26">
        <v>2.02400086E8</v>
      </c>
      <c r="E58" s="42" t="s">
        <v>592</v>
      </c>
      <c r="F58" s="143" t="s">
        <v>1281</v>
      </c>
      <c r="G58" s="29" t="s">
        <v>133</v>
      </c>
      <c r="H58" s="29" t="s">
        <v>135</v>
      </c>
      <c r="I58" s="268" t="s">
        <v>59</v>
      </c>
      <c r="J58" s="66" t="s">
        <v>90</v>
      </c>
      <c r="K58" s="285" t="s">
        <v>65</v>
      </c>
      <c r="L58" s="286" t="s">
        <v>10</v>
      </c>
      <c r="M58" s="63" t="s">
        <v>1279</v>
      </c>
      <c r="N58" s="287" t="s">
        <v>78</v>
      </c>
      <c r="O58" s="285" t="s">
        <v>66</v>
      </c>
      <c r="P58" s="285" t="s">
        <v>80</v>
      </c>
      <c r="Q58" s="286" t="s">
        <v>1156</v>
      </c>
      <c r="R58" s="288"/>
    </row>
    <row r="59" ht="27.0" customHeight="1">
      <c r="A59" s="289">
        <v>2024.0</v>
      </c>
      <c r="B59" s="265">
        <v>9.0</v>
      </c>
      <c r="C59" s="285" t="s">
        <v>625</v>
      </c>
      <c r="D59" s="26">
        <v>2.02400096E8</v>
      </c>
      <c r="E59" s="42" t="s">
        <v>641</v>
      </c>
      <c r="F59" s="143" t="s">
        <v>644</v>
      </c>
      <c r="G59" s="29" t="s">
        <v>82</v>
      </c>
      <c r="H59" s="29" t="s">
        <v>84</v>
      </c>
      <c r="I59" s="268" t="s">
        <v>59</v>
      </c>
      <c r="J59" s="108" t="s">
        <v>538</v>
      </c>
      <c r="K59" s="285" t="s">
        <v>1169</v>
      </c>
      <c r="L59" s="286" t="s">
        <v>10</v>
      </c>
      <c r="M59" s="284" t="s">
        <v>1282</v>
      </c>
      <c r="N59" s="287" t="s">
        <v>204</v>
      </c>
      <c r="O59" s="285" t="s">
        <v>66</v>
      </c>
      <c r="P59" s="285" t="s">
        <v>1162</v>
      </c>
      <c r="Q59" s="288"/>
      <c r="R59" s="288"/>
    </row>
    <row r="60" ht="26.25" customHeight="1">
      <c r="A60" s="209">
        <v>2024.0</v>
      </c>
      <c r="B60" s="209">
        <v>9.0</v>
      </c>
      <c r="C60" s="206" t="s">
        <v>625</v>
      </c>
      <c r="D60" s="209">
        <v>2.02400096E8</v>
      </c>
      <c r="E60" s="42" t="s">
        <v>641</v>
      </c>
      <c r="F60" s="57"/>
      <c r="G60" s="29"/>
      <c r="H60" s="29"/>
      <c r="I60" s="268"/>
      <c r="J60" s="108"/>
      <c r="K60" s="285"/>
      <c r="L60" s="286"/>
      <c r="M60" s="290"/>
      <c r="N60" s="287"/>
      <c r="O60" s="285"/>
      <c r="P60" s="285"/>
      <c r="Q60" s="288"/>
      <c r="R60" s="288"/>
    </row>
    <row r="61" ht="26.25" customHeight="1">
      <c r="A61" s="289">
        <v>2024.0</v>
      </c>
      <c r="B61" s="265">
        <v>9.0</v>
      </c>
      <c r="C61" s="285" t="s">
        <v>625</v>
      </c>
      <c r="D61" s="26">
        <v>2.02400101E8</v>
      </c>
      <c r="E61" s="42" t="s">
        <v>668</v>
      </c>
      <c r="F61" s="57" t="s">
        <v>1283</v>
      </c>
      <c r="G61" s="29" t="s">
        <v>154</v>
      </c>
      <c r="H61" s="29" t="s">
        <v>749</v>
      </c>
      <c r="I61" s="268" t="s">
        <v>59</v>
      </c>
      <c r="J61" s="108" t="s">
        <v>634</v>
      </c>
      <c r="K61" s="285" t="s">
        <v>1169</v>
      </c>
      <c r="L61" s="286" t="s">
        <v>10</v>
      </c>
      <c r="M61" s="290"/>
      <c r="N61" s="287" t="s">
        <v>204</v>
      </c>
      <c r="O61" s="285" t="s">
        <v>66</v>
      </c>
      <c r="P61" s="285" t="s">
        <v>1162</v>
      </c>
      <c r="Q61" s="288"/>
      <c r="R61" s="288"/>
    </row>
    <row r="62" ht="23.25" customHeight="1">
      <c r="A62" s="289">
        <v>2024.0</v>
      </c>
      <c r="B62" s="265">
        <v>9.0</v>
      </c>
      <c r="C62" s="285" t="s">
        <v>625</v>
      </c>
      <c r="D62" s="26">
        <v>2.02400101E8</v>
      </c>
      <c r="E62" s="42" t="s">
        <v>668</v>
      </c>
      <c r="F62" s="57" t="s">
        <v>1284</v>
      </c>
      <c r="G62" s="29" t="s">
        <v>154</v>
      </c>
      <c r="H62" s="29" t="s">
        <v>194</v>
      </c>
      <c r="I62" s="268" t="s">
        <v>59</v>
      </c>
      <c r="J62" s="108" t="s">
        <v>634</v>
      </c>
      <c r="K62" s="285" t="s">
        <v>1169</v>
      </c>
      <c r="L62" s="286" t="s">
        <v>10</v>
      </c>
      <c r="M62" s="290"/>
      <c r="N62" s="287" t="s">
        <v>204</v>
      </c>
      <c r="O62" s="285" t="s">
        <v>66</v>
      </c>
      <c r="P62" s="285" t="s">
        <v>1162</v>
      </c>
      <c r="Q62" s="288"/>
      <c r="R62" s="288"/>
    </row>
    <row r="63" ht="23.25" customHeight="1">
      <c r="A63" s="289">
        <v>2024.0</v>
      </c>
      <c r="B63" s="265">
        <v>9.0</v>
      </c>
      <c r="C63" s="285" t="s">
        <v>625</v>
      </c>
      <c r="D63" s="26">
        <v>2.02400102E8</v>
      </c>
      <c r="E63" s="42" t="s">
        <v>672</v>
      </c>
      <c r="F63" s="57" t="s">
        <v>674</v>
      </c>
      <c r="G63" s="29" t="s">
        <v>82</v>
      </c>
      <c r="H63" s="29" t="s">
        <v>84</v>
      </c>
      <c r="I63" s="268" t="s">
        <v>59</v>
      </c>
      <c r="J63" s="108" t="s">
        <v>673</v>
      </c>
      <c r="K63" s="285" t="s">
        <v>1169</v>
      </c>
      <c r="L63" s="286" t="s">
        <v>10</v>
      </c>
      <c r="M63" s="290"/>
      <c r="N63" s="287" t="s">
        <v>204</v>
      </c>
      <c r="O63" s="285" t="s">
        <v>66</v>
      </c>
      <c r="P63" s="285" t="s">
        <v>67</v>
      </c>
      <c r="Q63" s="288"/>
      <c r="R63" s="288"/>
    </row>
    <row r="64" ht="29.25" customHeight="1">
      <c r="A64" s="289">
        <v>2024.0</v>
      </c>
      <c r="B64" s="265">
        <v>9.0</v>
      </c>
      <c r="C64" s="285" t="s">
        <v>625</v>
      </c>
      <c r="D64" s="26">
        <v>2.02400105E8</v>
      </c>
      <c r="E64" s="42" t="s">
        <v>693</v>
      </c>
      <c r="F64" s="326" t="s">
        <v>1285</v>
      </c>
      <c r="G64" s="29" t="s">
        <v>82</v>
      </c>
      <c r="H64" s="29" t="s">
        <v>145</v>
      </c>
      <c r="I64" s="268" t="s">
        <v>59</v>
      </c>
      <c r="J64" s="108" t="s">
        <v>90</v>
      </c>
      <c r="K64" s="285" t="s">
        <v>1169</v>
      </c>
      <c r="L64" s="286" t="s">
        <v>10</v>
      </c>
      <c r="M64" s="284"/>
      <c r="N64" s="287" t="s">
        <v>204</v>
      </c>
      <c r="O64" s="285" t="s">
        <v>66</v>
      </c>
      <c r="P64" s="285" t="s">
        <v>80</v>
      </c>
      <c r="Q64" s="286" t="s">
        <v>1156</v>
      </c>
      <c r="R64" s="288"/>
    </row>
    <row r="65" ht="45.75" customHeight="1">
      <c r="A65" s="289">
        <v>2024.0</v>
      </c>
      <c r="B65" s="265">
        <v>10.0</v>
      </c>
      <c r="C65" s="285" t="s">
        <v>711</v>
      </c>
      <c r="D65" s="26">
        <v>2.02400107E8</v>
      </c>
      <c r="E65" s="141" t="s">
        <v>1286</v>
      </c>
      <c r="F65" s="276" t="s">
        <v>1287</v>
      </c>
      <c r="G65" s="29" t="s">
        <v>259</v>
      </c>
      <c r="H65" s="29" t="s">
        <v>1288</v>
      </c>
      <c r="I65" s="268" t="s">
        <v>59</v>
      </c>
      <c r="J65" s="284" t="s">
        <v>1289</v>
      </c>
      <c r="K65" s="285" t="s">
        <v>65</v>
      </c>
      <c r="L65" s="286" t="s">
        <v>10</v>
      </c>
      <c r="M65" s="284"/>
      <c r="N65" s="287" t="s">
        <v>204</v>
      </c>
      <c r="O65" s="285" t="s">
        <v>66</v>
      </c>
      <c r="P65" s="285" t="s">
        <v>80</v>
      </c>
      <c r="Q65" s="288"/>
      <c r="R65" s="288"/>
    </row>
    <row r="66" ht="39.0" customHeight="1">
      <c r="A66" s="209">
        <v>2024.0</v>
      </c>
      <c r="B66" s="209">
        <v>9.0</v>
      </c>
      <c r="C66" s="206" t="s">
        <v>625</v>
      </c>
      <c r="D66" s="209">
        <v>2.02400105E8</v>
      </c>
      <c r="E66" s="42" t="s">
        <v>693</v>
      </c>
      <c r="F66" s="326" t="s">
        <v>1290</v>
      </c>
      <c r="G66" s="29" t="s">
        <v>82</v>
      </c>
      <c r="H66" s="29" t="s">
        <v>145</v>
      </c>
      <c r="I66" s="268" t="s">
        <v>59</v>
      </c>
      <c r="J66" s="284" t="s">
        <v>90</v>
      </c>
      <c r="K66" s="285" t="s">
        <v>65</v>
      </c>
      <c r="L66" s="286" t="s">
        <v>10</v>
      </c>
      <c r="M66" s="284"/>
      <c r="N66" s="287" t="s">
        <v>78</v>
      </c>
      <c r="O66" s="285" t="s">
        <v>66</v>
      </c>
      <c r="P66" s="285" t="s">
        <v>80</v>
      </c>
      <c r="Q66" s="286"/>
      <c r="R66" s="288"/>
    </row>
    <row r="67" ht="39.0" customHeight="1">
      <c r="A67" s="209">
        <v>2024.0</v>
      </c>
      <c r="B67" s="209">
        <v>9.0</v>
      </c>
      <c r="C67" s="206" t="s">
        <v>625</v>
      </c>
      <c r="D67" s="209">
        <v>2.02400105E8</v>
      </c>
      <c r="E67" s="42" t="s">
        <v>693</v>
      </c>
      <c r="F67" s="326" t="s">
        <v>1291</v>
      </c>
      <c r="G67" s="29" t="s">
        <v>82</v>
      </c>
      <c r="H67" s="29" t="s">
        <v>145</v>
      </c>
      <c r="I67" s="268" t="s">
        <v>59</v>
      </c>
      <c r="J67" s="284" t="s">
        <v>90</v>
      </c>
      <c r="K67" s="285" t="s">
        <v>1169</v>
      </c>
      <c r="L67" s="286" t="s">
        <v>10</v>
      </c>
      <c r="M67" s="284"/>
      <c r="N67" s="287" t="s">
        <v>204</v>
      </c>
      <c r="O67" s="285" t="s">
        <v>66</v>
      </c>
      <c r="P67" s="285" t="s">
        <v>80</v>
      </c>
      <c r="Q67" s="286"/>
      <c r="R67" s="288"/>
    </row>
    <row r="68" ht="39.0" customHeight="1">
      <c r="A68" s="209">
        <v>2024.0</v>
      </c>
      <c r="B68" s="209">
        <v>10.0</v>
      </c>
      <c r="C68" s="206" t="s">
        <v>711</v>
      </c>
      <c r="D68" s="209">
        <v>2.02400108E8</v>
      </c>
      <c r="E68" s="42" t="s">
        <v>724</v>
      </c>
      <c r="F68" s="326" t="s">
        <v>1292</v>
      </c>
      <c r="G68" s="29" t="s">
        <v>259</v>
      </c>
      <c r="H68" s="29" t="s">
        <v>1288</v>
      </c>
      <c r="I68" s="268" t="s">
        <v>59</v>
      </c>
      <c r="J68" s="284" t="s">
        <v>1289</v>
      </c>
      <c r="K68" s="285" t="s">
        <v>65</v>
      </c>
      <c r="L68" s="286" t="s">
        <v>10</v>
      </c>
      <c r="M68" s="284" t="s">
        <v>1293</v>
      </c>
      <c r="N68" s="287" t="s">
        <v>78</v>
      </c>
      <c r="O68" s="285" t="s">
        <v>556</v>
      </c>
      <c r="P68" s="285" t="s">
        <v>80</v>
      </c>
      <c r="Q68" s="286"/>
      <c r="R68" s="288"/>
    </row>
    <row r="69" ht="39.0" customHeight="1">
      <c r="A69" s="289">
        <v>2024.0</v>
      </c>
      <c r="B69" s="265">
        <v>10.0</v>
      </c>
      <c r="C69" s="285" t="s">
        <v>711</v>
      </c>
      <c r="D69" s="26">
        <v>2.02400109E8</v>
      </c>
      <c r="E69" s="141" t="s">
        <v>1294</v>
      </c>
      <c r="F69" s="326" t="s">
        <v>1295</v>
      </c>
      <c r="G69" s="29" t="s">
        <v>82</v>
      </c>
      <c r="H69" s="29" t="s">
        <v>145</v>
      </c>
      <c r="I69" s="268" t="s">
        <v>59</v>
      </c>
      <c r="J69" s="284" t="s">
        <v>1068</v>
      </c>
      <c r="K69" s="285" t="s">
        <v>65</v>
      </c>
      <c r="L69" s="286" t="s">
        <v>132</v>
      </c>
      <c r="M69" s="284"/>
      <c r="N69" s="287" t="s">
        <v>204</v>
      </c>
      <c r="O69" s="285" t="s">
        <v>66</v>
      </c>
      <c r="P69" s="285" t="s">
        <v>67</v>
      </c>
      <c r="Q69" s="286" t="s">
        <v>1156</v>
      </c>
      <c r="R69" s="288"/>
    </row>
    <row r="70" ht="28.5" customHeight="1">
      <c r="A70" s="289">
        <v>2024.0</v>
      </c>
      <c r="B70" s="265">
        <v>10.0</v>
      </c>
      <c r="C70" s="285" t="s">
        <v>711</v>
      </c>
      <c r="D70" s="26">
        <v>2.02400109E8</v>
      </c>
      <c r="E70" s="141" t="s">
        <v>1294</v>
      </c>
      <c r="F70" s="326" t="s">
        <v>1296</v>
      </c>
      <c r="G70" s="29" t="s">
        <v>82</v>
      </c>
      <c r="H70" s="29" t="s">
        <v>145</v>
      </c>
      <c r="I70" s="268" t="s">
        <v>59</v>
      </c>
      <c r="J70" s="284" t="s">
        <v>1068</v>
      </c>
      <c r="K70" s="285" t="s">
        <v>65</v>
      </c>
      <c r="L70" s="286" t="s">
        <v>132</v>
      </c>
      <c r="M70" s="284"/>
      <c r="N70" s="287" t="s">
        <v>204</v>
      </c>
      <c r="O70" s="285" t="s">
        <v>66</v>
      </c>
      <c r="P70" s="285" t="s">
        <v>67</v>
      </c>
      <c r="Q70" s="286" t="s">
        <v>1156</v>
      </c>
      <c r="R70" s="288"/>
    </row>
    <row r="71" ht="28.5" customHeight="1">
      <c r="A71" s="289">
        <v>2024.0</v>
      </c>
      <c r="B71" s="265">
        <v>10.0</v>
      </c>
      <c r="C71" s="285" t="s">
        <v>711</v>
      </c>
      <c r="D71" s="26">
        <v>2.02400109E8</v>
      </c>
      <c r="E71" s="141" t="s">
        <v>1294</v>
      </c>
      <c r="F71" s="326" t="s">
        <v>1297</v>
      </c>
      <c r="G71" s="29" t="s">
        <v>358</v>
      </c>
      <c r="H71" s="29" t="s">
        <v>84</v>
      </c>
      <c r="I71" s="268" t="s">
        <v>59</v>
      </c>
      <c r="J71" s="284" t="s">
        <v>1068</v>
      </c>
      <c r="K71" s="285" t="s">
        <v>65</v>
      </c>
      <c r="L71" s="286" t="s">
        <v>132</v>
      </c>
      <c r="M71" s="284"/>
      <c r="N71" s="287" t="s">
        <v>204</v>
      </c>
      <c r="O71" s="285" t="s">
        <v>66</v>
      </c>
      <c r="P71" s="285" t="s">
        <v>67</v>
      </c>
      <c r="Q71" s="286" t="s">
        <v>1156</v>
      </c>
      <c r="R71" s="288"/>
    </row>
    <row r="72" ht="28.5" customHeight="1">
      <c r="A72" s="289">
        <v>2024.0</v>
      </c>
      <c r="B72" s="265">
        <v>10.0</v>
      </c>
      <c r="C72" s="285" t="s">
        <v>711</v>
      </c>
      <c r="D72" s="26">
        <v>2.02400109E8</v>
      </c>
      <c r="E72" s="141" t="s">
        <v>1294</v>
      </c>
      <c r="F72" s="326" t="s">
        <v>1298</v>
      </c>
      <c r="G72" s="29" t="s">
        <v>82</v>
      </c>
      <c r="H72" s="29" t="s">
        <v>246</v>
      </c>
      <c r="I72" s="268" t="s">
        <v>59</v>
      </c>
      <c r="J72" s="284" t="s">
        <v>1068</v>
      </c>
      <c r="K72" s="285" t="s">
        <v>65</v>
      </c>
      <c r="L72" s="286" t="s">
        <v>132</v>
      </c>
      <c r="M72" s="284" t="s">
        <v>1299</v>
      </c>
      <c r="N72" s="287" t="s">
        <v>78</v>
      </c>
      <c r="O72" s="285" t="s">
        <v>66</v>
      </c>
      <c r="P72" s="285" t="s">
        <v>1162</v>
      </c>
      <c r="Q72" s="286"/>
      <c r="R72" s="288"/>
    </row>
    <row r="73" ht="28.5" customHeight="1">
      <c r="A73" s="289">
        <v>2024.0</v>
      </c>
      <c r="B73" s="265">
        <v>10.0</v>
      </c>
      <c r="C73" s="285" t="s">
        <v>711</v>
      </c>
      <c r="D73" s="26">
        <v>2.02400109E8</v>
      </c>
      <c r="E73" s="141" t="s">
        <v>1294</v>
      </c>
      <c r="F73" s="326" t="s">
        <v>1300</v>
      </c>
      <c r="G73" s="29" t="s">
        <v>82</v>
      </c>
      <c r="H73" s="29" t="s">
        <v>202</v>
      </c>
      <c r="I73" s="268" t="s">
        <v>59</v>
      </c>
      <c r="J73" s="284" t="s">
        <v>1068</v>
      </c>
      <c r="K73" s="285" t="s">
        <v>1169</v>
      </c>
      <c r="L73" s="286" t="s">
        <v>132</v>
      </c>
      <c r="M73" s="284" t="s">
        <v>1301</v>
      </c>
      <c r="N73" s="287" t="s">
        <v>204</v>
      </c>
      <c r="O73" s="285" t="s">
        <v>66</v>
      </c>
      <c r="P73" s="285" t="s">
        <v>1162</v>
      </c>
      <c r="Q73" s="286"/>
      <c r="R73" s="288"/>
    </row>
    <row r="74" ht="28.5" customHeight="1">
      <c r="A74" s="289">
        <v>2024.0</v>
      </c>
      <c r="B74" s="265">
        <v>10.0</v>
      </c>
      <c r="C74" s="285" t="s">
        <v>711</v>
      </c>
      <c r="D74" s="26">
        <v>2.02400109E8</v>
      </c>
      <c r="E74" s="141" t="s">
        <v>1294</v>
      </c>
      <c r="F74" s="326" t="s">
        <v>1302</v>
      </c>
      <c r="G74" s="29" t="s">
        <v>82</v>
      </c>
      <c r="H74" s="29" t="s">
        <v>246</v>
      </c>
      <c r="I74" s="268" t="s">
        <v>59</v>
      </c>
      <c r="J74" s="284" t="s">
        <v>1068</v>
      </c>
      <c r="K74" s="285" t="s">
        <v>204</v>
      </c>
      <c r="L74" s="286" t="s">
        <v>132</v>
      </c>
      <c r="M74" s="284"/>
      <c r="N74" s="287" t="s">
        <v>204</v>
      </c>
      <c r="O74" s="285" t="s">
        <v>66</v>
      </c>
      <c r="P74" s="285" t="s">
        <v>1162</v>
      </c>
      <c r="Q74" s="288"/>
      <c r="R74" s="288"/>
    </row>
    <row r="75" ht="28.5" customHeight="1">
      <c r="A75" s="289">
        <v>2024.0</v>
      </c>
      <c r="B75" s="265">
        <v>10.0</v>
      </c>
      <c r="C75" s="285" t="s">
        <v>711</v>
      </c>
      <c r="D75" s="26">
        <v>2.02400109E8</v>
      </c>
      <c r="E75" s="141" t="s">
        <v>1294</v>
      </c>
      <c r="F75" s="326" t="s">
        <v>1303</v>
      </c>
      <c r="G75" s="29" t="s">
        <v>82</v>
      </c>
      <c r="H75" s="29" t="s">
        <v>202</v>
      </c>
      <c r="I75" s="268" t="s">
        <v>59</v>
      </c>
      <c r="J75" s="284" t="s">
        <v>1068</v>
      </c>
      <c r="K75" s="285" t="s">
        <v>65</v>
      </c>
      <c r="L75" s="286" t="s">
        <v>10</v>
      </c>
      <c r="M75" s="284"/>
      <c r="N75" s="287" t="s">
        <v>204</v>
      </c>
      <c r="O75" s="285" t="s">
        <v>66</v>
      </c>
      <c r="P75" s="285" t="s">
        <v>1162</v>
      </c>
      <c r="Q75" s="288"/>
      <c r="R75" s="288"/>
    </row>
    <row r="76" ht="28.5" customHeight="1">
      <c r="A76" s="209">
        <v>2024.0</v>
      </c>
      <c r="B76" s="209">
        <v>10.0</v>
      </c>
      <c r="C76" s="206" t="s">
        <v>711</v>
      </c>
      <c r="D76" s="26">
        <v>2.02400112E8</v>
      </c>
      <c r="E76" s="42" t="s">
        <v>748</v>
      </c>
      <c r="F76" s="326" t="s">
        <v>1304</v>
      </c>
      <c r="G76" s="29" t="s">
        <v>154</v>
      </c>
      <c r="H76" s="29" t="s">
        <v>749</v>
      </c>
      <c r="I76" s="268" t="s">
        <v>59</v>
      </c>
      <c r="J76" s="284" t="s">
        <v>189</v>
      </c>
      <c r="K76" s="285" t="s">
        <v>65</v>
      </c>
      <c r="L76" s="286" t="s">
        <v>10</v>
      </c>
      <c r="M76" s="284"/>
      <c r="N76" s="287" t="s">
        <v>204</v>
      </c>
      <c r="O76" s="285" t="s">
        <v>66</v>
      </c>
      <c r="P76" s="285" t="s">
        <v>67</v>
      </c>
      <c r="Q76" s="288"/>
      <c r="R76" s="288"/>
    </row>
    <row r="77" ht="28.5" customHeight="1">
      <c r="A77" s="289">
        <v>2024.0</v>
      </c>
      <c r="B77" s="265">
        <v>10.0</v>
      </c>
      <c r="C77" s="285" t="s">
        <v>711</v>
      </c>
      <c r="D77" s="26">
        <v>2.02400113E8</v>
      </c>
      <c r="E77" s="141" t="s">
        <v>1305</v>
      </c>
      <c r="F77" s="326" t="s">
        <v>1306</v>
      </c>
      <c r="G77" s="29" t="s">
        <v>82</v>
      </c>
      <c r="H77" s="29" t="s">
        <v>84</v>
      </c>
      <c r="I77" s="268" t="s">
        <v>59</v>
      </c>
      <c r="J77" s="284" t="s">
        <v>505</v>
      </c>
      <c r="K77" s="285" t="s">
        <v>65</v>
      </c>
      <c r="L77" s="286" t="s">
        <v>10</v>
      </c>
      <c r="M77" s="284"/>
      <c r="N77" s="287" t="s">
        <v>204</v>
      </c>
      <c r="O77" s="285" t="s">
        <v>66</v>
      </c>
      <c r="P77" s="285" t="s">
        <v>67</v>
      </c>
      <c r="Q77" s="288"/>
      <c r="R77" s="288"/>
    </row>
    <row r="78" ht="33.75" customHeight="1">
      <c r="A78" s="289">
        <v>2024.0</v>
      </c>
      <c r="B78" s="265">
        <v>11.0</v>
      </c>
      <c r="C78" s="285" t="s">
        <v>795</v>
      </c>
      <c r="D78" s="26">
        <v>2.02400128E8</v>
      </c>
      <c r="E78" s="42" t="s">
        <v>817</v>
      </c>
      <c r="F78" s="276" t="s">
        <v>1307</v>
      </c>
      <c r="G78" s="29" t="s">
        <v>133</v>
      </c>
      <c r="H78" s="29" t="s">
        <v>121</v>
      </c>
      <c r="I78" s="268" t="s">
        <v>59</v>
      </c>
      <c r="J78" s="284" t="s">
        <v>818</v>
      </c>
      <c r="K78" s="285" t="s">
        <v>1169</v>
      </c>
      <c r="L78" s="286" t="s">
        <v>10</v>
      </c>
      <c r="M78" s="284"/>
      <c r="N78" s="287" t="s">
        <v>204</v>
      </c>
      <c r="O78" s="285" t="s">
        <v>66</v>
      </c>
      <c r="P78" s="285" t="s">
        <v>67</v>
      </c>
      <c r="Q78" s="288"/>
      <c r="R78" s="288"/>
    </row>
    <row r="79" ht="30.0" customHeight="1">
      <c r="A79" s="289">
        <v>2024.0</v>
      </c>
      <c r="B79" s="265">
        <v>11.0</v>
      </c>
      <c r="C79" s="285" t="s">
        <v>795</v>
      </c>
      <c r="D79" s="26">
        <v>2.02400128E8</v>
      </c>
      <c r="E79" s="42" t="s">
        <v>817</v>
      </c>
      <c r="F79" s="326" t="s">
        <v>1308</v>
      </c>
      <c r="G79" s="29" t="s">
        <v>133</v>
      </c>
      <c r="H79" s="29" t="s">
        <v>135</v>
      </c>
      <c r="I79" s="268" t="s">
        <v>59</v>
      </c>
      <c r="J79" s="284" t="s">
        <v>818</v>
      </c>
      <c r="K79" s="285" t="s">
        <v>1169</v>
      </c>
      <c r="L79" s="286" t="s">
        <v>132</v>
      </c>
      <c r="M79" s="292" t="s">
        <v>1309</v>
      </c>
      <c r="N79" s="287" t="s">
        <v>204</v>
      </c>
      <c r="O79" s="285" t="s">
        <v>66</v>
      </c>
      <c r="P79" s="285" t="s">
        <v>67</v>
      </c>
      <c r="Q79" s="288"/>
      <c r="R79" s="288"/>
    </row>
    <row r="80" ht="38.25" customHeight="1">
      <c r="A80" s="329">
        <v>2024.0</v>
      </c>
      <c r="B80" s="330">
        <v>11.0</v>
      </c>
      <c r="C80" s="331" t="s">
        <v>795</v>
      </c>
      <c r="D80" s="84">
        <v>2.02400133E8</v>
      </c>
      <c r="E80" s="332" t="s">
        <v>841</v>
      </c>
      <c r="F80" s="333" t="s">
        <v>1310</v>
      </c>
      <c r="G80" s="130" t="s">
        <v>154</v>
      </c>
      <c r="H80" s="130" t="s">
        <v>194</v>
      </c>
      <c r="I80" s="334" t="s">
        <v>59</v>
      </c>
      <c r="J80" s="335" t="s">
        <v>427</v>
      </c>
      <c r="K80" s="331" t="s">
        <v>204</v>
      </c>
      <c r="L80" s="336" t="s">
        <v>132</v>
      </c>
      <c r="M80" s="335"/>
      <c r="N80" s="337" t="s">
        <v>204</v>
      </c>
      <c r="O80" s="331" t="s">
        <v>66</v>
      </c>
      <c r="P80" s="331" t="s">
        <v>1162</v>
      </c>
      <c r="Q80" s="338"/>
      <c r="R80" s="338"/>
      <c r="S80" s="339"/>
      <c r="T80" s="339"/>
      <c r="U80" s="339"/>
      <c r="V80" s="339"/>
      <c r="W80" s="339"/>
      <c r="X80" s="339"/>
      <c r="Y80" s="339"/>
      <c r="Z80" s="339"/>
      <c r="AA80" s="339"/>
      <c r="AB80" s="339"/>
      <c r="AC80" s="339"/>
      <c r="AD80" s="339"/>
      <c r="AE80" s="339"/>
      <c r="AF80" s="339"/>
      <c r="AG80" s="339"/>
      <c r="AH80" s="339"/>
      <c r="AI80" s="339"/>
      <c r="AJ80" s="339"/>
      <c r="AK80" s="339"/>
      <c r="AL80" s="339"/>
      <c r="AM80" s="339"/>
    </row>
    <row r="81">
      <c r="A81" s="210">
        <v>2024.0</v>
      </c>
      <c r="B81" s="340">
        <v>11.0</v>
      </c>
      <c r="C81" s="212" t="s">
        <v>795</v>
      </c>
      <c r="D81" s="26">
        <v>2.02400138E8</v>
      </c>
      <c r="E81" s="42" t="s">
        <v>874</v>
      </c>
      <c r="F81" s="143" t="s">
        <v>1311</v>
      </c>
      <c r="G81" s="29" t="s">
        <v>358</v>
      </c>
      <c r="H81" s="29" t="s">
        <v>84</v>
      </c>
      <c r="I81" s="268" t="s">
        <v>59</v>
      </c>
      <c r="J81" s="158" t="s">
        <v>163</v>
      </c>
      <c r="K81" s="285" t="s">
        <v>204</v>
      </c>
      <c r="L81" s="286" t="s">
        <v>132</v>
      </c>
      <c r="M81" s="141"/>
      <c r="N81" s="287" t="s">
        <v>204</v>
      </c>
      <c r="O81" s="285" t="s">
        <v>66</v>
      </c>
      <c r="P81" s="285" t="s">
        <v>1162</v>
      </c>
      <c r="Q81" s="288"/>
      <c r="R81" s="297"/>
    </row>
    <row r="82">
      <c r="A82" s="210">
        <v>2024.0</v>
      </c>
      <c r="B82" s="340">
        <v>11.0</v>
      </c>
      <c r="C82" s="212" t="s">
        <v>795</v>
      </c>
      <c r="D82" s="26">
        <v>2.02400138E8</v>
      </c>
      <c r="E82" s="42" t="s">
        <v>874</v>
      </c>
      <c r="F82" s="143" t="s">
        <v>1312</v>
      </c>
      <c r="G82" s="29" t="s">
        <v>154</v>
      </c>
      <c r="H82" s="29" t="s">
        <v>1288</v>
      </c>
      <c r="I82" s="268" t="s">
        <v>59</v>
      </c>
      <c r="J82" s="158" t="s">
        <v>163</v>
      </c>
      <c r="K82" s="285" t="s">
        <v>65</v>
      </c>
      <c r="L82" s="286" t="s">
        <v>10</v>
      </c>
      <c r="M82" s="141" t="s">
        <v>1313</v>
      </c>
      <c r="N82" s="287" t="s">
        <v>78</v>
      </c>
      <c r="O82" s="285" t="s">
        <v>66</v>
      </c>
      <c r="P82" s="285" t="s">
        <v>1162</v>
      </c>
      <c r="Q82" s="288"/>
      <c r="R82" s="297"/>
    </row>
    <row r="83">
      <c r="A83" s="210">
        <v>2024.0</v>
      </c>
      <c r="B83" s="340">
        <v>11.0</v>
      </c>
      <c r="C83" s="212" t="s">
        <v>795</v>
      </c>
      <c r="D83" s="26">
        <v>2.02400138E8</v>
      </c>
      <c r="E83" s="42" t="s">
        <v>874</v>
      </c>
      <c r="F83" s="143" t="s">
        <v>1314</v>
      </c>
      <c r="G83" s="29" t="s">
        <v>55</v>
      </c>
      <c r="H83" s="29" t="s">
        <v>230</v>
      </c>
      <c r="I83" s="268" t="s">
        <v>59</v>
      </c>
      <c r="J83" s="158" t="s">
        <v>163</v>
      </c>
      <c r="K83" s="285" t="s">
        <v>65</v>
      </c>
      <c r="L83" s="286" t="s">
        <v>132</v>
      </c>
      <c r="M83" s="141"/>
      <c r="N83" s="287" t="s">
        <v>78</v>
      </c>
      <c r="O83" s="285" t="s">
        <v>66</v>
      </c>
      <c r="P83" s="285" t="s">
        <v>1162</v>
      </c>
      <c r="Q83" s="288"/>
      <c r="R83" s="297"/>
    </row>
    <row r="84">
      <c r="A84" s="210">
        <v>2024.0</v>
      </c>
      <c r="B84" s="340">
        <v>11.0</v>
      </c>
      <c r="C84" s="212" t="s">
        <v>795</v>
      </c>
      <c r="D84" s="26">
        <v>2.02400138E8</v>
      </c>
      <c r="E84" s="42" t="s">
        <v>874</v>
      </c>
      <c r="F84" s="143" t="s">
        <v>1315</v>
      </c>
      <c r="G84" s="29" t="s">
        <v>154</v>
      </c>
      <c r="H84" s="29" t="s">
        <v>194</v>
      </c>
      <c r="I84" s="268" t="s">
        <v>59</v>
      </c>
      <c r="J84" s="158" t="s">
        <v>163</v>
      </c>
      <c r="K84" s="285" t="s">
        <v>1169</v>
      </c>
      <c r="L84" s="286" t="s">
        <v>132</v>
      </c>
      <c r="M84" s="141"/>
      <c r="N84" s="287" t="s">
        <v>204</v>
      </c>
      <c r="O84" s="285" t="s">
        <v>66</v>
      </c>
      <c r="P84" s="285" t="s">
        <v>1162</v>
      </c>
      <c r="Q84" s="288"/>
      <c r="R84" s="297"/>
    </row>
    <row r="85">
      <c r="A85" s="289">
        <v>2024.0</v>
      </c>
      <c r="B85" s="265">
        <v>11.0</v>
      </c>
      <c r="C85" s="285" t="s">
        <v>795</v>
      </c>
      <c r="D85" s="26">
        <v>2.024000138E9</v>
      </c>
      <c r="E85" s="42" t="s">
        <v>874</v>
      </c>
      <c r="F85" s="143" t="s">
        <v>1316</v>
      </c>
      <c r="G85" s="29" t="s">
        <v>154</v>
      </c>
      <c r="H85" s="29" t="s">
        <v>230</v>
      </c>
      <c r="I85" s="268" t="s">
        <v>59</v>
      </c>
      <c r="J85" s="141" t="s">
        <v>163</v>
      </c>
      <c r="K85" s="285" t="s">
        <v>65</v>
      </c>
      <c r="L85" s="286" t="s">
        <v>10</v>
      </c>
      <c r="M85" s="141"/>
      <c r="N85" s="287" t="s">
        <v>78</v>
      </c>
      <c r="O85" s="285"/>
      <c r="P85" s="285"/>
      <c r="Q85" s="288"/>
      <c r="R85" s="297"/>
    </row>
    <row r="86">
      <c r="A86" s="289">
        <v>2024.0</v>
      </c>
      <c r="B86" s="265">
        <v>11.0</v>
      </c>
      <c r="C86" s="285" t="s">
        <v>795</v>
      </c>
      <c r="D86" s="26">
        <v>2.024000138E9</v>
      </c>
      <c r="E86" s="42" t="s">
        <v>874</v>
      </c>
      <c r="F86" s="143" t="s">
        <v>1317</v>
      </c>
      <c r="G86" s="29" t="s">
        <v>154</v>
      </c>
      <c r="H86" s="29" t="s">
        <v>230</v>
      </c>
      <c r="I86" s="268" t="s">
        <v>59</v>
      </c>
      <c r="J86" s="141" t="s">
        <v>163</v>
      </c>
      <c r="K86" s="285" t="s">
        <v>65</v>
      </c>
      <c r="L86" s="286" t="s">
        <v>10</v>
      </c>
      <c r="M86" s="141"/>
      <c r="N86" s="287" t="s">
        <v>78</v>
      </c>
      <c r="O86" s="285"/>
      <c r="P86" s="285"/>
      <c r="Q86" s="288"/>
      <c r="R86" s="297"/>
    </row>
    <row r="87">
      <c r="A87" s="289">
        <v>2024.0</v>
      </c>
      <c r="B87" s="265">
        <v>11.0</v>
      </c>
      <c r="C87" s="285" t="s">
        <v>795</v>
      </c>
      <c r="D87" s="26">
        <v>2.024000138E9</v>
      </c>
      <c r="E87" s="42" t="s">
        <v>874</v>
      </c>
      <c r="F87" s="143" t="s">
        <v>1318</v>
      </c>
      <c r="G87" s="29" t="s">
        <v>358</v>
      </c>
      <c r="H87" s="29" t="s">
        <v>84</v>
      </c>
      <c r="I87" s="268" t="s">
        <v>59</v>
      </c>
      <c r="J87" s="141" t="s">
        <v>163</v>
      </c>
      <c r="K87" s="285" t="s">
        <v>204</v>
      </c>
      <c r="L87" s="286" t="s">
        <v>10</v>
      </c>
      <c r="M87" s="141"/>
      <c r="N87" s="287" t="s">
        <v>204</v>
      </c>
      <c r="O87" s="285"/>
      <c r="P87" s="285"/>
      <c r="Q87" s="288"/>
      <c r="R87" s="297"/>
    </row>
    <row r="88">
      <c r="A88" s="289">
        <v>2024.0</v>
      </c>
      <c r="B88" s="265">
        <v>11.0</v>
      </c>
      <c r="C88" s="285" t="s">
        <v>795</v>
      </c>
      <c r="D88" s="26">
        <v>2.024000138E9</v>
      </c>
      <c r="E88" s="42" t="s">
        <v>874</v>
      </c>
      <c r="F88" s="143" t="s">
        <v>1319</v>
      </c>
      <c r="G88" s="29" t="s">
        <v>154</v>
      </c>
      <c r="H88" s="29" t="s">
        <v>1320</v>
      </c>
      <c r="I88" s="268" t="s">
        <v>59</v>
      </c>
      <c r="J88" s="141" t="s">
        <v>163</v>
      </c>
      <c r="K88" s="285" t="s">
        <v>65</v>
      </c>
      <c r="L88" s="286" t="s">
        <v>10</v>
      </c>
      <c r="M88" s="141"/>
      <c r="N88" s="287" t="s">
        <v>78</v>
      </c>
      <c r="O88" s="285" t="s">
        <v>66</v>
      </c>
      <c r="P88" s="285" t="s">
        <v>1162</v>
      </c>
      <c r="Q88" s="286" t="s">
        <v>1156</v>
      </c>
      <c r="R88" s="297"/>
    </row>
    <row r="89">
      <c r="A89" s="210">
        <v>2024.0</v>
      </c>
      <c r="B89" s="340">
        <v>11.0</v>
      </c>
      <c r="C89" s="212" t="s">
        <v>795</v>
      </c>
      <c r="D89" s="26">
        <v>2.02400139E8</v>
      </c>
      <c r="E89" s="42" t="s">
        <v>881</v>
      </c>
      <c r="F89" s="143" t="s">
        <v>1321</v>
      </c>
      <c r="G89" s="29" t="s">
        <v>82</v>
      </c>
      <c r="H89" s="29" t="s">
        <v>145</v>
      </c>
      <c r="I89" s="268" t="s">
        <v>59</v>
      </c>
      <c r="J89" s="141" t="s">
        <v>1068</v>
      </c>
      <c r="K89" s="285" t="s">
        <v>204</v>
      </c>
      <c r="L89" s="286" t="s">
        <v>132</v>
      </c>
      <c r="M89" s="141"/>
      <c r="N89" s="287" t="s">
        <v>204</v>
      </c>
      <c r="O89" s="285" t="s">
        <v>66</v>
      </c>
      <c r="P89" s="285" t="s">
        <v>67</v>
      </c>
      <c r="Q89" s="288"/>
      <c r="R89" s="297"/>
    </row>
    <row r="90">
      <c r="A90" s="210">
        <v>2024.0</v>
      </c>
      <c r="B90" s="340">
        <v>11.0</v>
      </c>
      <c r="C90" s="212" t="s">
        <v>795</v>
      </c>
      <c r="D90" s="26">
        <v>2.02400139E8</v>
      </c>
      <c r="E90" s="42" t="s">
        <v>881</v>
      </c>
      <c r="F90" s="143" t="s">
        <v>1322</v>
      </c>
      <c r="G90" s="29" t="s">
        <v>82</v>
      </c>
      <c r="H90" s="29" t="s">
        <v>145</v>
      </c>
      <c r="I90" s="268" t="s">
        <v>59</v>
      </c>
      <c r="J90" s="141" t="s">
        <v>1068</v>
      </c>
      <c r="K90" s="285" t="s">
        <v>204</v>
      </c>
      <c r="L90" s="286" t="s">
        <v>132</v>
      </c>
      <c r="M90" s="141"/>
      <c r="N90" s="287" t="s">
        <v>204</v>
      </c>
      <c r="O90" s="285" t="s">
        <v>66</v>
      </c>
      <c r="P90" s="285" t="s">
        <v>67</v>
      </c>
      <c r="Q90" s="288"/>
      <c r="R90" s="297"/>
    </row>
    <row r="91">
      <c r="A91" s="210">
        <v>2024.0</v>
      </c>
      <c r="B91" s="340">
        <v>11.0</v>
      </c>
      <c r="C91" s="212" t="s">
        <v>795</v>
      </c>
      <c r="D91" s="26">
        <v>2.02400139E8</v>
      </c>
      <c r="E91" s="42" t="s">
        <v>881</v>
      </c>
      <c r="F91" s="143" t="s">
        <v>1323</v>
      </c>
      <c r="G91" s="29" t="s">
        <v>358</v>
      </c>
      <c r="H91" s="29" t="s">
        <v>84</v>
      </c>
      <c r="I91" s="268" t="s">
        <v>59</v>
      </c>
      <c r="J91" s="141" t="s">
        <v>1068</v>
      </c>
      <c r="K91" s="285" t="s">
        <v>65</v>
      </c>
      <c r="L91" s="286" t="s">
        <v>132</v>
      </c>
      <c r="M91" s="141"/>
      <c r="N91" s="287" t="s">
        <v>57</v>
      </c>
      <c r="O91" s="285" t="s">
        <v>66</v>
      </c>
      <c r="P91" s="285" t="s">
        <v>67</v>
      </c>
      <c r="Q91" s="288"/>
      <c r="R91" s="297"/>
    </row>
    <row r="92">
      <c r="A92" s="210">
        <v>2024.0</v>
      </c>
      <c r="B92" s="340">
        <v>12.0</v>
      </c>
      <c r="C92" s="212" t="s">
        <v>910</v>
      </c>
      <c r="D92" s="26">
        <v>2.02400145E8</v>
      </c>
      <c r="E92" s="42" t="s">
        <v>912</v>
      </c>
      <c r="F92" s="143" t="s">
        <v>1324</v>
      </c>
      <c r="G92" s="29" t="s">
        <v>154</v>
      </c>
      <c r="H92" s="29" t="s">
        <v>194</v>
      </c>
      <c r="I92" s="268" t="s">
        <v>59</v>
      </c>
      <c r="J92" s="119" t="s">
        <v>913</v>
      </c>
      <c r="K92" s="285" t="s">
        <v>65</v>
      </c>
      <c r="L92" s="286" t="s">
        <v>132</v>
      </c>
      <c r="M92" s="141"/>
      <c r="N92" s="287" t="s">
        <v>78</v>
      </c>
      <c r="O92" s="285" t="s">
        <v>66</v>
      </c>
      <c r="P92" s="285" t="s">
        <v>67</v>
      </c>
      <c r="Q92" s="288"/>
      <c r="R92" s="297"/>
    </row>
    <row r="93">
      <c r="A93" s="210">
        <v>2024.0</v>
      </c>
      <c r="B93" s="340">
        <v>12.0</v>
      </c>
      <c r="C93" s="212" t="s">
        <v>910</v>
      </c>
      <c r="D93" s="26">
        <v>2.02400148E8</v>
      </c>
      <c r="E93" s="42" t="s">
        <v>931</v>
      </c>
      <c r="F93" s="143" t="s">
        <v>1325</v>
      </c>
      <c r="G93" s="29" t="s">
        <v>240</v>
      </c>
      <c r="H93" s="29" t="s">
        <v>121</v>
      </c>
      <c r="I93" s="268" t="s">
        <v>59</v>
      </c>
      <c r="J93" s="119" t="s">
        <v>932</v>
      </c>
      <c r="K93" s="285" t="s">
        <v>1169</v>
      </c>
      <c r="L93" s="286" t="s">
        <v>132</v>
      </c>
      <c r="M93" s="141"/>
      <c r="N93" s="287" t="s">
        <v>204</v>
      </c>
      <c r="O93" s="285" t="s">
        <v>66</v>
      </c>
      <c r="P93" s="285" t="s">
        <v>67</v>
      </c>
      <c r="Q93" s="288"/>
      <c r="R93" s="297"/>
    </row>
    <row r="94">
      <c r="A94" s="210">
        <v>2024.0</v>
      </c>
      <c r="B94" s="340">
        <v>12.0</v>
      </c>
      <c r="C94" s="212" t="s">
        <v>910</v>
      </c>
      <c r="D94" s="26">
        <v>2.02400151E8</v>
      </c>
      <c r="E94" s="42" t="s">
        <v>945</v>
      </c>
      <c r="F94" s="143" t="s">
        <v>1326</v>
      </c>
      <c r="G94" s="29" t="s">
        <v>154</v>
      </c>
      <c r="H94" s="29" t="s">
        <v>194</v>
      </c>
      <c r="I94" s="268" t="s">
        <v>59</v>
      </c>
      <c r="J94" s="119" t="s">
        <v>913</v>
      </c>
      <c r="K94" s="285" t="s">
        <v>65</v>
      </c>
      <c r="L94" s="286" t="s">
        <v>132</v>
      </c>
      <c r="M94" s="141"/>
      <c r="N94" s="287" t="s">
        <v>149</v>
      </c>
      <c r="O94" s="285" t="s">
        <v>66</v>
      </c>
      <c r="P94" s="285" t="s">
        <v>67</v>
      </c>
      <c r="Q94" s="288"/>
      <c r="R94" s="297"/>
    </row>
    <row r="95">
      <c r="A95" s="210">
        <v>2025.0</v>
      </c>
      <c r="B95" s="340">
        <v>1.0</v>
      </c>
      <c r="C95" s="212" t="s">
        <v>54</v>
      </c>
      <c r="D95" s="26">
        <v>2.02500001E8</v>
      </c>
      <c r="E95" s="42" t="s">
        <v>966</v>
      </c>
      <c r="F95" s="141" t="s">
        <v>1327</v>
      </c>
      <c r="G95" s="29" t="s">
        <v>82</v>
      </c>
      <c r="H95" s="29" t="s">
        <v>194</v>
      </c>
      <c r="I95" s="268" t="s">
        <v>59</v>
      </c>
      <c r="J95" s="119" t="s">
        <v>913</v>
      </c>
      <c r="K95" s="285" t="s">
        <v>1169</v>
      </c>
      <c r="L95" s="286" t="s">
        <v>10</v>
      </c>
      <c r="M95" s="141" t="s">
        <v>1328</v>
      </c>
      <c r="N95" s="287" t="s">
        <v>204</v>
      </c>
      <c r="O95" s="285" t="s">
        <v>66</v>
      </c>
      <c r="P95" s="285" t="s">
        <v>80</v>
      </c>
      <c r="Q95" s="288"/>
      <c r="R95" s="297"/>
    </row>
    <row r="96" ht="31.5" customHeight="1">
      <c r="A96" s="210">
        <v>2025.0</v>
      </c>
      <c r="B96" s="340">
        <v>1.0</v>
      </c>
      <c r="C96" s="212" t="s">
        <v>54</v>
      </c>
      <c r="D96" s="26">
        <v>2.02500001E8</v>
      </c>
      <c r="E96" s="42" t="s">
        <v>966</v>
      </c>
      <c r="F96" s="143" t="s">
        <v>1329</v>
      </c>
      <c r="G96" s="29" t="s">
        <v>154</v>
      </c>
      <c r="H96" s="29" t="s">
        <v>194</v>
      </c>
      <c r="I96" s="268" t="s">
        <v>59</v>
      </c>
      <c r="J96" s="119" t="s">
        <v>913</v>
      </c>
      <c r="K96" s="285" t="s">
        <v>65</v>
      </c>
      <c r="L96" s="286" t="s">
        <v>10</v>
      </c>
      <c r="M96" s="141" t="s">
        <v>1330</v>
      </c>
      <c r="N96" s="287" t="s">
        <v>78</v>
      </c>
      <c r="O96" s="285" t="s">
        <v>66</v>
      </c>
      <c r="P96" s="285" t="s">
        <v>80</v>
      </c>
      <c r="Q96" s="288"/>
      <c r="R96" s="297"/>
    </row>
    <row r="97">
      <c r="A97" s="210">
        <v>2025.0</v>
      </c>
      <c r="B97" s="340">
        <v>1.0</v>
      </c>
      <c r="C97" s="212" t="s">
        <v>54</v>
      </c>
      <c r="D97" s="26">
        <v>2.02500001E8</v>
      </c>
      <c r="E97" s="42" t="s">
        <v>966</v>
      </c>
      <c r="F97" s="141" t="s">
        <v>1331</v>
      </c>
      <c r="G97" s="29" t="s">
        <v>154</v>
      </c>
      <c r="H97" s="29" t="s">
        <v>194</v>
      </c>
      <c r="I97" s="268" t="s">
        <v>59</v>
      </c>
      <c r="J97" s="119" t="s">
        <v>913</v>
      </c>
      <c r="K97" s="285" t="s">
        <v>204</v>
      </c>
      <c r="L97" s="286" t="s">
        <v>10</v>
      </c>
      <c r="M97" s="141"/>
      <c r="N97" s="287" t="s">
        <v>204</v>
      </c>
      <c r="O97" s="285" t="s">
        <v>66</v>
      </c>
      <c r="P97" s="285" t="s">
        <v>80</v>
      </c>
      <c r="Q97" s="288"/>
      <c r="R97" s="297"/>
    </row>
    <row r="98">
      <c r="E98" s="341"/>
      <c r="F98" s="341"/>
      <c r="J98" s="341"/>
      <c r="M98" s="341"/>
    </row>
    <row r="99">
      <c r="E99" s="341"/>
      <c r="F99" s="341"/>
      <c r="J99" s="341"/>
      <c r="M99" s="341"/>
    </row>
    <row r="100">
      <c r="E100" s="341"/>
      <c r="F100" s="341"/>
      <c r="J100" s="341"/>
      <c r="M100" s="341"/>
    </row>
    <row r="101">
      <c r="E101" s="341"/>
      <c r="F101" s="341"/>
      <c r="J101" s="341"/>
      <c r="M101" s="341"/>
    </row>
    <row r="102">
      <c r="E102" s="341"/>
      <c r="F102" s="341"/>
      <c r="J102" s="341"/>
      <c r="M102" s="341"/>
    </row>
    <row r="103">
      <c r="E103" s="341"/>
      <c r="F103" s="341"/>
      <c r="J103" s="341"/>
      <c r="M103" s="341"/>
    </row>
    <row r="104">
      <c r="E104" s="341"/>
      <c r="F104" s="341"/>
      <c r="J104" s="341"/>
      <c r="M104" s="341"/>
    </row>
    <row r="105">
      <c r="E105" s="341"/>
      <c r="F105" s="341"/>
      <c r="J105" s="341"/>
      <c r="M105" s="341"/>
    </row>
    <row r="106">
      <c r="E106" s="341"/>
      <c r="F106" s="341"/>
      <c r="J106" s="341"/>
      <c r="M106" s="341"/>
    </row>
    <row r="107">
      <c r="E107" s="341"/>
      <c r="F107" s="341"/>
      <c r="J107" s="341"/>
      <c r="M107" s="341"/>
    </row>
    <row r="108">
      <c r="E108" s="341"/>
      <c r="F108" s="341"/>
      <c r="J108" s="341"/>
      <c r="M108" s="341"/>
    </row>
    <row r="109">
      <c r="E109" s="341"/>
      <c r="F109" s="341"/>
      <c r="J109" s="341"/>
      <c r="M109" s="341"/>
    </row>
    <row r="110">
      <c r="E110" s="341"/>
      <c r="F110" s="341"/>
      <c r="J110" s="341"/>
      <c r="M110" s="341"/>
    </row>
    <row r="111">
      <c r="E111" s="341"/>
      <c r="F111" s="341"/>
      <c r="J111" s="341"/>
      <c r="M111" s="341"/>
    </row>
    <row r="112">
      <c r="E112" s="341"/>
      <c r="F112" s="341"/>
      <c r="J112" s="341"/>
      <c r="M112" s="341"/>
    </row>
    <row r="113">
      <c r="E113" s="341"/>
      <c r="F113" s="341"/>
      <c r="J113" s="341"/>
      <c r="M113" s="341"/>
    </row>
    <row r="114">
      <c r="E114" s="341"/>
      <c r="F114" s="341"/>
      <c r="J114" s="341"/>
      <c r="M114" s="341"/>
    </row>
    <row r="115">
      <c r="E115" s="341"/>
      <c r="F115" s="341"/>
      <c r="J115" s="341"/>
      <c r="M115" s="341"/>
    </row>
    <row r="116">
      <c r="E116" s="341"/>
      <c r="F116" s="341"/>
      <c r="J116" s="341"/>
      <c r="M116" s="341"/>
    </row>
    <row r="117">
      <c r="E117" s="341"/>
      <c r="F117" s="341"/>
      <c r="J117" s="341"/>
      <c r="M117" s="341"/>
    </row>
    <row r="118">
      <c r="E118" s="341"/>
      <c r="F118" s="341"/>
      <c r="J118" s="341"/>
      <c r="M118" s="341"/>
    </row>
    <row r="119">
      <c r="E119" s="341"/>
      <c r="F119" s="341"/>
      <c r="J119" s="341"/>
      <c r="M119" s="341"/>
    </row>
    <row r="120">
      <c r="E120" s="341"/>
      <c r="F120" s="341"/>
      <c r="J120" s="341"/>
      <c r="M120" s="341"/>
    </row>
    <row r="121">
      <c r="E121" s="341"/>
      <c r="F121" s="341"/>
      <c r="J121" s="341"/>
      <c r="M121" s="341"/>
    </row>
    <row r="122">
      <c r="E122" s="341"/>
      <c r="F122" s="341"/>
      <c r="J122" s="341"/>
      <c r="M122" s="341"/>
    </row>
    <row r="123">
      <c r="E123" s="341"/>
      <c r="F123" s="341"/>
      <c r="J123" s="341"/>
      <c r="M123" s="341"/>
    </row>
    <row r="124">
      <c r="E124" s="341"/>
      <c r="F124" s="341"/>
      <c r="J124" s="341"/>
      <c r="M124" s="341"/>
    </row>
    <row r="125">
      <c r="E125" s="341"/>
      <c r="F125" s="341"/>
      <c r="J125" s="341"/>
      <c r="M125" s="341"/>
    </row>
    <row r="126">
      <c r="E126" s="341"/>
      <c r="F126" s="341"/>
      <c r="J126" s="341"/>
      <c r="M126" s="341"/>
    </row>
    <row r="127">
      <c r="E127" s="341"/>
      <c r="F127" s="341"/>
      <c r="J127" s="341"/>
      <c r="M127" s="341"/>
    </row>
    <row r="128">
      <c r="E128" s="341"/>
      <c r="F128" s="341"/>
      <c r="J128" s="341"/>
      <c r="M128" s="341"/>
    </row>
    <row r="129">
      <c r="E129" s="341"/>
      <c r="F129" s="341"/>
      <c r="J129" s="341"/>
      <c r="M129" s="341"/>
    </row>
    <row r="130">
      <c r="E130" s="341"/>
      <c r="F130" s="341"/>
      <c r="J130" s="341"/>
      <c r="M130" s="341"/>
    </row>
    <row r="131">
      <c r="E131" s="341"/>
      <c r="F131" s="341"/>
      <c r="J131" s="341"/>
      <c r="M131" s="341"/>
    </row>
    <row r="132">
      <c r="E132" s="341"/>
      <c r="F132" s="341"/>
      <c r="J132" s="341"/>
      <c r="M132" s="341"/>
    </row>
    <row r="133">
      <c r="E133" s="341"/>
      <c r="F133" s="341"/>
      <c r="J133" s="341"/>
      <c r="M133" s="341"/>
    </row>
    <row r="134">
      <c r="E134" s="341"/>
      <c r="F134" s="341"/>
      <c r="J134" s="341"/>
      <c r="M134" s="341"/>
    </row>
    <row r="135">
      <c r="E135" s="341"/>
      <c r="F135" s="341"/>
      <c r="J135" s="341"/>
      <c r="M135" s="341"/>
    </row>
    <row r="136">
      <c r="E136" s="341"/>
      <c r="F136" s="341"/>
      <c r="J136" s="341"/>
      <c r="M136" s="341"/>
    </row>
    <row r="137">
      <c r="E137" s="341"/>
      <c r="F137" s="341"/>
      <c r="J137" s="341"/>
      <c r="M137" s="341"/>
    </row>
    <row r="138">
      <c r="E138" s="341"/>
      <c r="F138" s="341"/>
      <c r="J138" s="341"/>
      <c r="M138" s="341"/>
    </row>
    <row r="139">
      <c r="E139" s="341"/>
      <c r="F139" s="341"/>
      <c r="J139" s="341"/>
      <c r="M139" s="341"/>
    </row>
    <row r="140">
      <c r="E140" s="341"/>
      <c r="F140" s="341"/>
      <c r="J140" s="341"/>
      <c r="M140" s="341"/>
    </row>
    <row r="141">
      <c r="E141" s="341"/>
      <c r="F141" s="341"/>
      <c r="J141" s="341"/>
      <c r="M141" s="341"/>
    </row>
    <row r="142">
      <c r="E142" s="341"/>
      <c r="F142" s="341"/>
      <c r="J142" s="341"/>
      <c r="M142" s="341"/>
    </row>
    <row r="143">
      <c r="E143" s="341"/>
      <c r="F143" s="341"/>
      <c r="J143" s="341"/>
      <c r="M143" s="341"/>
    </row>
    <row r="144">
      <c r="E144" s="341"/>
      <c r="F144" s="341"/>
      <c r="J144" s="341"/>
      <c r="M144" s="341"/>
    </row>
    <row r="145">
      <c r="E145" s="341"/>
      <c r="F145" s="341"/>
      <c r="J145" s="341"/>
      <c r="M145" s="341"/>
    </row>
    <row r="146">
      <c r="E146" s="341"/>
      <c r="F146" s="341"/>
      <c r="J146" s="341"/>
      <c r="M146" s="341"/>
    </row>
    <row r="147">
      <c r="E147" s="341"/>
      <c r="F147" s="341"/>
      <c r="J147" s="341"/>
      <c r="M147" s="341"/>
    </row>
    <row r="148">
      <c r="E148" s="341"/>
      <c r="F148" s="341"/>
      <c r="J148" s="341"/>
      <c r="M148" s="341"/>
    </row>
    <row r="149">
      <c r="E149" s="341"/>
      <c r="F149" s="341"/>
      <c r="J149" s="341"/>
      <c r="M149" s="341"/>
    </row>
    <row r="150">
      <c r="E150" s="341"/>
      <c r="F150" s="341"/>
      <c r="J150" s="341"/>
      <c r="M150" s="341"/>
    </row>
    <row r="151">
      <c r="E151" s="341"/>
      <c r="F151" s="341"/>
      <c r="J151" s="341"/>
      <c r="M151" s="341"/>
    </row>
    <row r="152">
      <c r="E152" s="341"/>
      <c r="F152" s="341"/>
      <c r="J152" s="341"/>
      <c r="M152" s="341"/>
    </row>
    <row r="153">
      <c r="E153" s="341"/>
      <c r="F153" s="341"/>
      <c r="J153" s="341"/>
      <c r="M153" s="341"/>
    </row>
    <row r="154">
      <c r="E154" s="341"/>
      <c r="F154" s="341"/>
      <c r="J154" s="341"/>
      <c r="M154" s="341"/>
    </row>
    <row r="155">
      <c r="E155" s="341"/>
      <c r="F155" s="341"/>
      <c r="J155" s="341"/>
      <c r="M155" s="341"/>
    </row>
    <row r="156">
      <c r="E156" s="341"/>
      <c r="F156" s="341"/>
      <c r="J156" s="341"/>
      <c r="M156" s="341"/>
    </row>
    <row r="157">
      <c r="E157" s="341"/>
      <c r="F157" s="341"/>
      <c r="J157" s="341"/>
      <c r="M157" s="341"/>
    </row>
    <row r="158">
      <c r="E158" s="341"/>
      <c r="F158" s="341"/>
      <c r="J158" s="341"/>
      <c r="M158" s="341"/>
    </row>
    <row r="159">
      <c r="E159" s="341"/>
      <c r="F159" s="341"/>
      <c r="J159" s="341"/>
      <c r="M159" s="341"/>
    </row>
    <row r="160">
      <c r="E160" s="341"/>
      <c r="F160" s="341"/>
      <c r="J160" s="341"/>
      <c r="M160" s="341"/>
    </row>
    <row r="161">
      <c r="E161" s="341"/>
      <c r="F161" s="341"/>
      <c r="J161" s="341"/>
      <c r="M161" s="341"/>
    </row>
    <row r="162">
      <c r="E162" s="341"/>
      <c r="F162" s="341"/>
      <c r="J162" s="341"/>
      <c r="M162" s="341"/>
    </row>
    <row r="163">
      <c r="E163" s="341"/>
      <c r="F163" s="341"/>
      <c r="J163" s="341"/>
      <c r="M163" s="341"/>
    </row>
    <row r="164">
      <c r="E164" s="341"/>
      <c r="F164" s="341"/>
      <c r="J164" s="341"/>
      <c r="M164" s="341"/>
    </row>
    <row r="165">
      <c r="E165" s="341"/>
      <c r="F165" s="341"/>
      <c r="J165" s="341"/>
      <c r="M165" s="341"/>
    </row>
    <row r="166">
      <c r="E166" s="341"/>
      <c r="F166" s="341"/>
      <c r="J166" s="341"/>
      <c r="M166" s="341"/>
    </row>
    <row r="167">
      <c r="E167" s="341"/>
      <c r="F167" s="341"/>
      <c r="J167" s="341"/>
      <c r="M167" s="341"/>
    </row>
    <row r="168">
      <c r="E168" s="341"/>
      <c r="F168" s="341"/>
      <c r="J168" s="341"/>
      <c r="M168" s="341"/>
    </row>
    <row r="169">
      <c r="E169" s="341"/>
      <c r="F169" s="341"/>
      <c r="J169" s="341"/>
      <c r="M169" s="341"/>
    </row>
    <row r="170">
      <c r="E170" s="341"/>
      <c r="F170" s="341"/>
      <c r="J170" s="341"/>
      <c r="M170" s="341"/>
    </row>
    <row r="171">
      <c r="E171" s="341"/>
      <c r="F171" s="341"/>
      <c r="J171" s="341"/>
      <c r="M171" s="341"/>
    </row>
    <row r="172">
      <c r="E172" s="341"/>
      <c r="F172" s="341"/>
      <c r="J172" s="341"/>
      <c r="M172" s="341"/>
    </row>
    <row r="173">
      <c r="E173" s="341"/>
      <c r="F173" s="341"/>
      <c r="J173" s="341"/>
      <c r="M173" s="341"/>
    </row>
    <row r="174">
      <c r="E174" s="341"/>
      <c r="F174" s="341"/>
      <c r="J174" s="341"/>
      <c r="M174" s="341"/>
    </row>
    <row r="175">
      <c r="E175" s="341"/>
      <c r="F175" s="341"/>
      <c r="J175" s="341"/>
      <c r="M175" s="341"/>
    </row>
    <row r="176">
      <c r="E176" s="341"/>
      <c r="F176" s="341"/>
      <c r="J176" s="341"/>
      <c r="M176" s="341"/>
    </row>
    <row r="177">
      <c r="E177" s="341"/>
      <c r="F177" s="341"/>
      <c r="J177" s="341"/>
      <c r="M177" s="341"/>
    </row>
    <row r="178">
      <c r="E178" s="341"/>
      <c r="F178" s="341"/>
      <c r="J178" s="341"/>
      <c r="M178" s="341"/>
    </row>
    <row r="179">
      <c r="E179" s="341"/>
      <c r="F179" s="341"/>
      <c r="J179" s="341"/>
      <c r="M179" s="341"/>
    </row>
    <row r="180">
      <c r="E180" s="341"/>
      <c r="F180" s="341"/>
      <c r="J180" s="341"/>
      <c r="M180" s="341"/>
    </row>
    <row r="181">
      <c r="E181" s="341"/>
      <c r="F181" s="341"/>
      <c r="J181" s="341"/>
      <c r="M181" s="341"/>
    </row>
    <row r="182">
      <c r="E182" s="341"/>
      <c r="F182" s="341"/>
      <c r="J182" s="341"/>
      <c r="M182" s="341"/>
    </row>
    <row r="183">
      <c r="E183" s="341"/>
      <c r="F183" s="341"/>
      <c r="J183" s="341"/>
      <c r="M183" s="341"/>
    </row>
    <row r="184">
      <c r="E184" s="341"/>
      <c r="F184" s="341"/>
      <c r="J184" s="341"/>
      <c r="M184" s="341"/>
    </row>
    <row r="185">
      <c r="E185" s="341"/>
      <c r="F185" s="341"/>
      <c r="J185" s="341"/>
      <c r="M185" s="341"/>
    </row>
    <row r="186">
      <c r="E186" s="341"/>
      <c r="F186" s="341"/>
      <c r="J186" s="341"/>
      <c r="M186" s="341"/>
    </row>
    <row r="187">
      <c r="E187" s="341"/>
      <c r="F187" s="341"/>
      <c r="J187" s="341"/>
      <c r="M187" s="341"/>
    </row>
    <row r="188">
      <c r="E188" s="341"/>
      <c r="F188" s="341"/>
      <c r="J188" s="341"/>
      <c r="M188" s="341"/>
    </row>
    <row r="189">
      <c r="E189" s="341"/>
      <c r="F189" s="341"/>
      <c r="J189" s="341"/>
      <c r="M189" s="341"/>
    </row>
    <row r="190">
      <c r="E190" s="341"/>
      <c r="F190" s="341"/>
      <c r="J190" s="341"/>
      <c r="M190" s="341"/>
    </row>
    <row r="191">
      <c r="E191" s="341"/>
      <c r="F191" s="341"/>
      <c r="J191" s="341"/>
      <c r="M191" s="341"/>
    </row>
    <row r="192">
      <c r="E192" s="341"/>
      <c r="F192" s="341"/>
      <c r="J192" s="341"/>
      <c r="M192" s="341"/>
    </row>
    <row r="193">
      <c r="E193" s="341"/>
      <c r="F193" s="341"/>
      <c r="J193" s="341"/>
      <c r="M193" s="341"/>
    </row>
    <row r="194">
      <c r="E194" s="341"/>
      <c r="F194" s="341"/>
      <c r="J194" s="341"/>
      <c r="M194" s="341"/>
    </row>
    <row r="195">
      <c r="E195" s="341"/>
      <c r="F195" s="341"/>
      <c r="J195" s="341"/>
      <c r="M195" s="341"/>
    </row>
    <row r="196">
      <c r="E196" s="341"/>
      <c r="F196" s="341"/>
      <c r="J196" s="341"/>
      <c r="M196" s="341"/>
    </row>
    <row r="197">
      <c r="E197" s="341"/>
      <c r="F197" s="341"/>
      <c r="J197" s="341"/>
      <c r="M197" s="341"/>
    </row>
    <row r="198">
      <c r="E198" s="341"/>
      <c r="F198" s="341"/>
      <c r="J198" s="341"/>
      <c r="M198" s="341"/>
    </row>
    <row r="199">
      <c r="E199" s="341"/>
      <c r="F199" s="341"/>
      <c r="J199" s="341"/>
      <c r="M199" s="341"/>
    </row>
    <row r="200">
      <c r="E200" s="341"/>
      <c r="F200" s="341"/>
      <c r="J200" s="341"/>
      <c r="M200" s="341"/>
    </row>
    <row r="201">
      <c r="E201" s="341"/>
      <c r="F201" s="341"/>
      <c r="J201" s="341"/>
      <c r="M201" s="341"/>
    </row>
    <row r="202">
      <c r="E202" s="341"/>
      <c r="F202" s="341"/>
      <c r="J202" s="341"/>
      <c r="M202" s="341"/>
    </row>
    <row r="203">
      <c r="E203" s="341"/>
      <c r="F203" s="341"/>
      <c r="J203" s="341"/>
      <c r="M203" s="341"/>
    </row>
    <row r="204">
      <c r="E204" s="341"/>
      <c r="F204" s="341"/>
      <c r="J204" s="341"/>
      <c r="M204" s="341"/>
    </row>
    <row r="205">
      <c r="E205" s="341"/>
      <c r="F205" s="341"/>
      <c r="J205" s="341"/>
      <c r="M205" s="341"/>
    </row>
    <row r="206">
      <c r="E206" s="341"/>
      <c r="F206" s="341"/>
      <c r="J206" s="341"/>
      <c r="M206" s="341"/>
    </row>
    <row r="207">
      <c r="E207" s="341"/>
      <c r="F207" s="341"/>
      <c r="J207" s="341"/>
      <c r="M207" s="341"/>
    </row>
    <row r="208">
      <c r="E208" s="341"/>
      <c r="F208" s="341"/>
      <c r="J208" s="341"/>
      <c r="M208" s="341"/>
    </row>
    <row r="209">
      <c r="E209" s="341"/>
      <c r="F209" s="341"/>
      <c r="J209" s="341"/>
      <c r="M209" s="341"/>
    </row>
    <row r="210">
      <c r="E210" s="341"/>
      <c r="F210" s="341"/>
      <c r="J210" s="341"/>
      <c r="M210" s="341"/>
    </row>
    <row r="211">
      <c r="E211" s="341"/>
      <c r="F211" s="341"/>
      <c r="J211" s="341"/>
      <c r="M211" s="341"/>
    </row>
    <row r="212">
      <c r="E212" s="341"/>
      <c r="F212" s="341"/>
      <c r="J212" s="341"/>
      <c r="M212" s="341"/>
    </row>
    <row r="213">
      <c r="E213" s="341"/>
      <c r="F213" s="341"/>
      <c r="J213" s="341"/>
      <c r="M213" s="341"/>
    </row>
    <row r="214">
      <c r="E214" s="341"/>
      <c r="F214" s="341"/>
      <c r="J214" s="341"/>
      <c r="M214" s="341"/>
    </row>
    <row r="215">
      <c r="E215" s="341"/>
      <c r="F215" s="341"/>
      <c r="J215" s="341"/>
      <c r="M215" s="341"/>
    </row>
    <row r="216">
      <c r="E216" s="341"/>
      <c r="F216" s="341"/>
      <c r="J216" s="341"/>
      <c r="M216" s="341"/>
    </row>
    <row r="217">
      <c r="E217" s="341"/>
      <c r="F217" s="341"/>
      <c r="J217" s="341"/>
      <c r="M217" s="341"/>
    </row>
    <row r="218">
      <c r="E218" s="341"/>
      <c r="F218" s="341"/>
      <c r="J218" s="341"/>
      <c r="M218" s="341"/>
    </row>
    <row r="219">
      <c r="E219" s="341"/>
      <c r="F219" s="341"/>
      <c r="J219" s="341"/>
      <c r="M219" s="341"/>
    </row>
    <row r="220">
      <c r="E220" s="341"/>
      <c r="F220" s="341"/>
      <c r="J220" s="341"/>
      <c r="M220" s="341"/>
    </row>
    <row r="221">
      <c r="E221" s="341"/>
      <c r="F221" s="341"/>
      <c r="J221" s="341"/>
      <c r="M221" s="341"/>
    </row>
    <row r="222">
      <c r="E222" s="341"/>
      <c r="F222" s="341"/>
      <c r="J222" s="341"/>
      <c r="M222" s="341"/>
    </row>
    <row r="223">
      <c r="E223" s="341"/>
      <c r="F223" s="341"/>
      <c r="J223" s="341"/>
      <c r="M223" s="341"/>
    </row>
    <row r="224">
      <c r="E224" s="341"/>
      <c r="F224" s="341"/>
      <c r="J224" s="341"/>
      <c r="M224" s="341"/>
    </row>
    <row r="225">
      <c r="E225" s="341"/>
      <c r="F225" s="341"/>
      <c r="J225" s="341"/>
      <c r="M225" s="341"/>
    </row>
    <row r="226">
      <c r="E226" s="341"/>
      <c r="F226" s="341"/>
      <c r="J226" s="341"/>
      <c r="M226" s="341"/>
    </row>
    <row r="227">
      <c r="E227" s="341"/>
      <c r="F227" s="341"/>
      <c r="J227" s="341"/>
      <c r="M227" s="341"/>
    </row>
    <row r="228">
      <c r="E228" s="341"/>
      <c r="F228" s="341"/>
      <c r="J228" s="341"/>
      <c r="M228" s="341"/>
    </row>
    <row r="229">
      <c r="E229" s="341"/>
      <c r="F229" s="341"/>
      <c r="J229" s="341"/>
      <c r="M229" s="341"/>
    </row>
    <row r="230">
      <c r="E230" s="341"/>
      <c r="F230" s="341"/>
      <c r="J230" s="341"/>
      <c r="M230" s="341"/>
    </row>
    <row r="231">
      <c r="E231" s="341"/>
      <c r="F231" s="341"/>
      <c r="J231" s="341"/>
      <c r="M231" s="341"/>
    </row>
    <row r="232">
      <c r="E232" s="341"/>
      <c r="F232" s="341"/>
      <c r="J232" s="341"/>
      <c r="M232" s="341"/>
    </row>
    <row r="233">
      <c r="E233" s="341"/>
      <c r="F233" s="341"/>
      <c r="J233" s="341"/>
      <c r="M233" s="341"/>
    </row>
    <row r="234">
      <c r="E234" s="341"/>
      <c r="F234" s="341"/>
      <c r="J234" s="341"/>
      <c r="M234" s="341"/>
    </row>
    <row r="235">
      <c r="E235" s="341"/>
      <c r="F235" s="341"/>
      <c r="J235" s="341"/>
      <c r="M235" s="341"/>
    </row>
    <row r="236">
      <c r="E236" s="341"/>
      <c r="F236" s="341"/>
      <c r="J236" s="341"/>
      <c r="M236" s="341"/>
    </row>
    <row r="237">
      <c r="E237" s="341"/>
      <c r="F237" s="341"/>
      <c r="J237" s="341"/>
      <c r="M237" s="341"/>
    </row>
    <row r="238">
      <c r="E238" s="341"/>
      <c r="F238" s="341"/>
      <c r="J238" s="341"/>
      <c r="M238" s="341"/>
    </row>
    <row r="239">
      <c r="E239" s="341"/>
      <c r="F239" s="341"/>
      <c r="J239" s="341"/>
      <c r="M239" s="341"/>
    </row>
    <row r="240">
      <c r="E240" s="341"/>
      <c r="F240" s="341"/>
      <c r="J240" s="341"/>
      <c r="M240" s="341"/>
    </row>
    <row r="241">
      <c r="E241" s="341"/>
      <c r="F241" s="341"/>
      <c r="J241" s="341"/>
      <c r="M241" s="341"/>
    </row>
    <row r="242">
      <c r="E242" s="341"/>
      <c r="F242" s="341"/>
      <c r="J242" s="341"/>
      <c r="M242" s="341"/>
    </row>
    <row r="243">
      <c r="E243" s="341"/>
      <c r="F243" s="341"/>
      <c r="J243" s="341"/>
      <c r="M243" s="341"/>
    </row>
    <row r="244">
      <c r="E244" s="341"/>
      <c r="F244" s="341"/>
      <c r="J244" s="341"/>
      <c r="M244" s="341"/>
    </row>
    <row r="245">
      <c r="E245" s="341"/>
      <c r="F245" s="341"/>
      <c r="J245" s="341"/>
      <c r="M245" s="341"/>
    </row>
    <row r="246">
      <c r="E246" s="341"/>
      <c r="F246" s="341"/>
      <c r="J246" s="341"/>
      <c r="M246" s="341"/>
    </row>
    <row r="247">
      <c r="E247" s="341"/>
      <c r="F247" s="341"/>
      <c r="J247" s="341"/>
      <c r="M247" s="341"/>
    </row>
    <row r="248">
      <c r="E248" s="341"/>
      <c r="F248" s="341"/>
      <c r="J248" s="341"/>
      <c r="M248" s="341"/>
    </row>
    <row r="249">
      <c r="E249" s="341"/>
      <c r="F249" s="341"/>
      <c r="J249" s="341"/>
      <c r="M249" s="341"/>
    </row>
    <row r="250">
      <c r="E250" s="341"/>
      <c r="F250" s="341"/>
      <c r="J250" s="341"/>
      <c r="M250" s="341"/>
    </row>
    <row r="251">
      <c r="E251" s="341"/>
      <c r="F251" s="341"/>
      <c r="J251" s="341"/>
      <c r="M251" s="341"/>
    </row>
    <row r="252">
      <c r="E252" s="341"/>
      <c r="F252" s="341"/>
      <c r="J252" s="341"/>
      <c r="M252" s="341"/>
    </row>
    <row r="253">
      <c r="E253" s="341"/>
      <c r="F253" s="341"/>
      <c r="J253" s="341"/>
      <c r="M253" s="341"/>
    </row>
    <row r="254">
      <c r="E254" s="341"/>
      <c r="F254" s="341"/>
      <c r="J254" s="341"/>
      <c r="M254" s="341"/>
    </row>
    <row r="255">
      <c r="E255" s="341"/>
      <c r="F255" s="341"/>
      <c r="J255" s="341"/>
      <c r="M255" s="341"/>
    </row>
    <row r="256">
      <c r="E256" s="341"/>
      <c r="F256" s="341"/>
      <c r="J256" s="341"/>
      <c r="M256" s="341"/>
    </row>
    <row r="257">
      <c r="E257" s="341"/>
      <c r="F257" s="341"/>
      <c r="J257" s="341"/>
      <c r="M257" s="341"/>
    </row>
    <row r="258">
      <c r="E258" s="341"/>
      <c r="F258" s="341"/>
      <c r="J258" s="341"/>
      <c r="M258" s="341"/>
    </row>
    <row r="259">
      <c r="E259" s="341"/>
      <c r="F259" s="341"/>
      <c r="J259" s="341"/>
      <c r="M259" s="341"/>
    </row>
    <row r="260">
      <c r="E260" s="341"/>
      <c r="F260" s="341"/>
      <c r="J260" s="341"/>
      <c r="M260" s="341"/>
    </row>
    <row r="261">
      <c r="E261" s="341"/>
      <c r="F261" s="341"/>
      <c r="J261" s="341"/>
      <c r="M261" s="341"/>
    </row>
    <row r="262">
      <c r="E262" s="341"/>
      <c r="F262" s="341"/>
      <c r="J262" s="341"/>
      <c r="M262" s="341"/>
    </row>
    <row r="263">
      <c r="E263" s="341"/>
      <c r="F263" s="341"/>
      <c r="J263" s="341"/>
      <c r="M263" s="341"/>
    </row>
    <row r="264">
      <c r="E264" s="341"/>
      <c r="F264" s="341"/>
      <c r="J264" s="341"/>
      <c r="M264" s="341"/>
    </row>
    <row r="265">
      <c r="E265" s="341"/>
      <c r="F265" s="341"/>
      <c r="J265" s="341"/>
      <c r="M265" s="341"/>
    </row>
    <row r="266">
      <c r="E266" s="341"/>
      <c r="F266" s="341"/>
      <c r="J266" s="341"/>
      <c r="M266" s="341"/>
    </row>
    <row r="267">
      <c r="E267" s="341"/>
      <c r="F267" s="341"/>
      <c r="J267" s="341"/>
      <c r="M267" s="341"/>
    </row>
    <row r="268">
      <c r="E268" s="341"/>
      <c r="F268" s="341"/>
      <c r="J268" s="341"/>
      <c r="M268" s="341"/>
    </row>
    <row r="269">
      <c r="E269" s="341"/>
      <c r="F269" s="341"/>
      <c r="J269" s="341"/>
      <c r="M269" s="341"/>
    </row>
    <row r="270">
      <c r="E270" s="341"/>
      <c r="F270" s="341"/>
      <c r="J270" s="341"/>
      <c r="M270" s="341"/>
    </row>
    <row r="271">
      <c r="E271" s="341"/>
      <c r="F271" s="341"/>
      <c r="J271" s="341"/>
      <c r="M271" s="341"/>
    </row>
    <row r="272">
      <c r="E272" s="341"/>
      <c r="F272" s="341"/>
      <c r="J272" s="341"/>
      <c r="M272" s="341"/>
    </row>
    <row r="273">
      <c r="E273" s="341"/>
      <c r="F273" s="341"/>
      <c r="J273" s="341"/>
      <c r="M273" s="341"/>
    </row>
    <row r="274">
      <c r="E274" s="341"/>
      <c r="F274" s="341"/>
      <c r="J274" s="341"/>
      <c r="M274" s="341"/>
    </row>
    <row r="275">
      <c r="E275" s="341"/>
      <c r="F275" s="341"/>
      <c r="J275" s="341"/>
      <c r="M275" s="341"/>
    </row>
    <row r="276">
      <c r="E276" s="341"/>
      <c r="F276" s="341"/>
      <c r="J276" s="341"/>
      <c r="M276" s="341"/>
    </row>
    <row r="277">
      <c r="E277" s="341"/>
      <c r="F277" s="341"/>
      <c r="J277" s="341"/>
      <c r="M277" s="341"/>
    </row>
    <row r="278">
      <c r="E278" s="341"/>
      <c r="F278" s="341"/>
      <c r="J278" s="341"/>
      <c r="M278" s="341"/>
    </row>
    <row r="279">
      <c r="E279" s="341"/>
      <c r="F279" s="341"/>
      <c r="J279" s="341"/>
      <c r="M279" s="341"/>
    </row>
    <row r="280">
      <c r="E280" s="341"/>
      <c r="F280" s="341"/>
      <c r="J280" s="341"/>
      <c r="M280" s="341"/>
    </row>
    <row r="281">
      <c r="E281" s="341"/>
      <c r="F281" s="341"/>
      <c r="J281" s="341"/>
      <c r="M281" s="341"/>
    </row>
    <row r="282">
      <c r="E282" s="341"/>
      <c r="F282" s="341"/>
      <c r="J282" s="341"/>
      <c r="M282" s="341"/>
    </row>
    <row r="283">
      <c r="E283" s="341"/>
      <c r="F283" s="341"/>
      <c r="J283" s="341"/>
      <c r="M283" s="341"/>
    </row>
    <row r="284">
      <c r="E284" s="341"/>
      <c r="F284" s="341"/>
      <c r="J284" s="341"/>
      <c r="M284" s="341"/>
    </row>
    <row r="285">
      <c r="E285" s="341"/>
      <c r="F285" s="341"/>
      <c r="J285" s="341"/>
      <c r="M285" s="341"/>
    </row>
    <row r="286">
      <c r="E286" s="341"/>
      <c r="F286" s="341"/>
      <c r="J286" s="341"/>
      <c r="M286" s="341"/>
    </row>
    <row r="287">
      <c r="E287" s="341"/>
      <c r="F287" s="341"/>
      <c r="J287" s="341"/>
      <c r="M287" s="341"/>
    </row>
    <row r="288">
      <c r="E288" s="341"/>
      <c r="F288" s="341"/>
      <c r="J288" s="341"/>
      <c r="M288" s="341"/>
    </row>
    <row r="289">
      <c r="E289" s="341"/>
      <c r="F289" s="341"/>
      <c r="J289" s="341"/>
      <c r="M289" s="341"/>
    </row>
    <row r="290">
      <c r="E290" s="341"/>
      <c r="F290" s="341"/>
      <c r="J290" s="341"/>
      <c r="M290" s="341"/>
    </row>
    <row r="291">
      <c r="E291" s="341"/>
      <c r="F291" s="341"/>
      <c r="J291" s="341"/>
      <c r="M291" s="341"/>
    </row>
    <row r="292">
      <c r="E292" s="341"/>
      <c r="F292" s="341"/>
      <c r="J292" s="341"/>
      <c r="M292" s="341"/>
    </row>
    <row r="293">
      <c r="E293" s="341"/>
      <c r="F293" s="341"/>
      <c r="J293" s="341"/>
      <c r="M293" s="341"/>
    </row>
    <row r="294">
      <c r="E294" s="341"/>
      <c r="F294" s="341"/>
      <c r="J294" s="341"/>
      <c r="M294" s="341"/>
    </row>
    <row r="295">
      <c r="E295" s="341"/>
      <c r="F295" s="341"/>
      <c r="J295" s="341"/>
      <c r="M295" s="341"/>
    </row>
    <row r="296">
      <c r="E296" s="341"/>
      <c r="F296" s="341"/>
      <c r="J296" s="341"/>
      <c r="M296" s="341"/>
    </row>
    <row r="297">
      <c r="E297" s="341"/>
      <c r="F297" s="341"/>
      <c r="J297" s="341"/>
      <c r="M297" s="341"/>
    </row>
    <row r="298">
      <c r="E298" s="341"/>
      <c r="F298" s="341"/>
      <c r="J298" s="341"/>
      <c r="M298" s="341"/>
    </row>
    <row r="299">
      <c r="E299" s="341"/>
      <c r="F299" s="341"/>
      <c r="J299" s="341"/>
      <c r="M299" s="341"/>
    </row>
    <row r="300">
      <c r="E300" s="341"/>
      <c r="F300" s="341"/>
      <c r="J300" s="341"/>
      <c r="M300" s="341"/>
    </row>
    <row r="301">
      <c r="E301" s="341"/>
      <c r="F301" s="341"/>
      <c r="J301" s="341"/>
      <c r="M301" s="341"/>
    </row>
    <row r="302">
      <c r="E302" s="341"/>
      <c r="F302" s="341"/>
      <c r="J302" s="341"/>
      <c r="M302" s="341"/>
    </row>
    <row r="303">
      <c r="E303" s="341"/>
      <c r="F303" s="341"/>
      <c r="J303" s="341"/>
      <c r="M303" s="341"/>
    </row>
    <row r="304">
      <c r="E304" s="341"/>
      <c r="F304" s="341"/>
      <c r="J304" s="341"/>
      <c r="M304" s="341"/>
    </row>
    <row r="305">
      <c r="E305" s="341"/>
      <c r="F305" s="341"/>
      <c r="J305" s="341"/>
      <c r="M305" s="341"/>
    </row>
    <row r="306">
      <c r="E306" s="341"/>
      <c r="F306" s="341"/>
      <c r="J306" s="341"/>
      <c r="M306" s="341"/>
    </row>
    <row r="307">
      <c r="E307" s="341"/>
      <c r="F307" s="341"/>
      <c r="J307" s="341"/>
      <c r="M307" s="341"/>
    </row>
    <row r="308">
      <c r="E308" s="341"/>
      <c r="F308" s="341"/>
      <c r="J308" s="341"/>
      <c r="M308" s="341"/>
    </row>
    <row r="309">
      <c r="E309" s="341"/>
      <c r="F309" s="341"/>
      <c r="J309" s="341"/>
      <c r="M309" s="341"/>
    </row>
    <row r="310">
      <c r="E310" s="341"/>
      <c r="F310" s="341"/>
      <c r="J310" s="341"/>
      <c r="M310" s="341"/>
    </row>
    <row r="311">
      <c r="E311" s="341"/>
      <c r="F311" s="341"/>
      <c r="J311" s="341"/>
      <c r="M311" s="341"/>
    </row>
    <row r="312">
      <c r="E312" s="341"/>
      <c r="F312" s="341"/>
      <c r="J312" s="341"/>
      <c r="M312" s="341"/>
    </row>
    <row r="313">
      <c r="E313" s="341"/>
      <c r="F313" s="341"/>
      <c r="J313" s="341"/>
      <c r="M313" s="341"/>
    </row>
    <row r="314">
      <c r="E314" s="341"/>
      <c r="F314" s="341"/>
      <c r="J314" s="341"/>
      <c r="M314" s="341"/>
    </row>
    <row r="315">
      <c r="E315" s="341"/>
      <c r="F315" s="341"/>
      <c r="J315" s="341"/>
      <c r="M315" s="341"/>
    </row>
    <row r="316">
      <c r="E316" s="341"/>
      <c r="F316" s="341"/>
      <c r="J316" s="341"/>
      <c r="M316" s="341"/>
    </row>
    <row r="317">
      <c r="E317" s="341"/>
      <c r="F317" s="341"/>
      <c r="J317" s="341"/>
      <c r="M317" s="341"/>
    </row>
    <row r="318">
      <c r="E318" s="341"/>
      <c r="F318" s="341"/>
      <c r="J318" s="341"/>
      <c r="M318" s="341"/>
    </row>
    <row r="319">
      <c r="E319" s="341"/>
      <c r="F319" s="341"/>
      <c r="J319" s="341"/>
      <c r="M319" s="341"/>
    </row>
    <row r="320">
      <c r="E320" s="341"/>
      <c r="F320" s="341"/>
      <c r="J320" s="341"/>
      <c r="M320" s="341"/>
    </row>
    <row r="321">
      <c r="E321" s="341"/>
      <c r="F321" s="341"/>
      <c r="J321" s="341"/>
      <c r="M321" s="341"/>
    </row>
    <row r="322">
      <c r="E322" s="341"/>
      <c r="F322" s="341"/>
      <c r="J322" s="341"/>
      <c r="M322" s="341"/>
    </row>
    <row r="323">
      <c r="E323" s="341"/>
      <c r="F323" s="341"/>
      <c r="J323" s="341"/>
      <c r="M323" s="341"/>
    </row>
    <row r="324">
      <c r="E324" s="341"/>
      <c r="F324" s="341"/>
      <c r="J324" s="341"/>
      <c r="M324" s="341"/>
    </row>
    <row r="325">
      <c r="E325" s="341"/>
      <c r="F325" s="341"/>
      <c r="J325" s="341"/>
      <c r="M325" s="341"/>
    </row>
    <row r="326">
      <c r="E326" s="341"/>
      <c r="F326" s="341"/>
      <c r="J326" s="341"/>
      <c r="M326" s="341"/>
    </row>
    <row r="327">
      <c r="E327" s="341"/>
      <c r="F327" s="341"/>
      <c r="J327" s="341"/>
      <c r="M327" s="341"/>
    </row>
    <row r="328">
      <c r="E328" s="341"/>
      <c r="F328" s="341"/>
      <c r="J328" s="341"/>
      <c r="M328" s="341"/>
    </row>
    <row r="329">
      <c r="E329" s="341"/>
      <c r="F329" s="341"/>
      <c r="J329" s="341"/>
      <c r="M329" s="341"/>
    </row>
    <row r="330">
      <c r="E330" s="341"/>
      <c r="F330" s="341"/>
      <c r="J330" s="341"/>
      <c r="M330" s="341"/>
    </row>
    <row r="331">
      <c r="E331" s="341"/>
      <c r="F331" s="341"/>
      <c r="J331" s="341"/>
      <c r="M331" s="341"/>
    </row>
    <row r="332">
      <c r="E332" s="341"/>
      <c r="F332" s="341"/>
      <c r="J332" s="341"/>
      <c r="M332" s="341"/>
    </row>
    <row r="333">
      <c r="E333" s="341"/>
      <c r="F333" s="341"/>
      <c r="J333" s="341"/>
      <c r="M333" s="341"/>
    </row>
    <row r="334">
      <c r="E334" s="341"/>
      <c r="F334" s="341"/>
      <c r="J334" s="341"/>
      <c r="M334" s="341"/>
    </row>
    <row r="335">
      <c r="E335" s="341"/>
      <c r="F335" s="341"/>
      <c r="J335" s="341"/>
      <c r="M335" s="341"/>
    </row>
    <row r="336">
      <c r="E336" s="341"/>
      <c r="F336" s="341"/>
      <c r="J336" s="341"/>
      <c r="M336" s="341"/>
    </row>
    <row r="337">
      <c r="E337" s="341"/>
      <c r="F337" s="341"/>
      <c r="J337" s="341"/>
      <c r="M337" s="341"/>
    </row>
    <row r="338">
      <c r="E338" s="341"/>
      <c r="F338" s="341"/>
      <c r="J338" s="341"/>
      <c r="M338" s="341"/>
    </row>
    <row r="339">
      <c r="E339" s="341"/>
      <c r="F339" s="341"/>
      <c r="J339" s="341"/>
      <c r="M339" s="341"/>
    </row>
    <row r="340">
      <c r="E340" s="341"/>
      <c r="F340" s="341"/>
      <c r="J340" s="341"/>
      <c r="M340" s="341"/>
    </row>
    <row r="341">
      <c r="E341" s="341"/>
      <c r="F341" s="341"/>
      <c r="J341" s="341"/>
      <c r="M341" s="341"/>
    </row>
    <row r="342">
      <c r="E342" s="341"/>
      <c r="F342" s="341"/>
      <c r="J342" s="341"/>
      <c r="M342" s="341"/>
    </row>
    <row r="343">
      <c r="E343" s="341"/>
      <c r="F343" s="341"/>
      <c r="J343" s="341"/>
      <c r="M343" s="341"/>
    </row>
    <row r="344">
      <c r="E344" s="341"/>
      <c r="F344" s="341"/>
      <c r="J344" s="341"/>
      <c r="M344" s="341"/>
    </row>
    <row r="345">
      <c r="E345" s="341"/>
      <c r="F345" s="341"/>
      <c r="J345" s="341"/>
      <c r="M345" s="341"/>
    </row>
    <row r="346">
      <c r="E346" s="341"/>
      <c r="F346" s="341"/>
      <c r="J346" s="341"/>
      <c r="M346" s="341"/>
    </row>
    <row r="347">
      <c r="E347" s="341"/>
      <c r="F347" s="341"/>
      <c r="J347" s="341"/>
      <c r="M347" s="341"/>
    </row>
    <row r="348">
      <c r="E348" s="341"/>
      <c r="F348" s="341"/>
      <c r="J348" s="341"/>
      <c r="M348" s="341"/>
    </row>
    <row r="349">
      <c r="E349" s="341"/>
      <c r="F349" s="341"/>
      <c r="J349" s="341"/>
      <c r="M349" s="341"/>
    </row>
    <row r="350">
      <c r="E350" s="341"/>
      <c r="F350" s="341"/>
      <c r="J350" s="341"/>
      <c r="M350" s="341"/>
    </row>
    <row r="351">
      <c r="E351" s="341"/>
      <c r="F351" s="341"/>
      <c r="J351" s="341"/>
      <c r="M351" s="341"/>
    </row>
    <row r="352">
      <c r="E352" s="341"/>
      <c r="F352" s="341"/>
      <c r="J352" s="341"/>
      <c r="M352" s="341"/>
    </row>
    <row r="353">
      <c r="E353" s="341"/>
      <c r="F353" s="341"/>
      <c r="J353" s="341"/>
      <c r="M353" s="341"/>
    </row>
    <row r="354">
      <c r="E354" s="341"/>
      <c r="F354" s="341"/>
      <c r="J354" s="341"/>
      <c r="M354" s="341"/>
    </row>
    <row r="355">
      <c r="E355" s="341"/>
      <c r="F355" s="341"/>
      <c r="J355" s="341"/>
      <c r="M355" s="341"/>
    </row>
    <row r="356">
      <c r="E356" s="341"/>
      <c r="F356" s="341"/>
      <c r="J356" s="341"/>
      <c r="M356" s="341"/>
    </row>
    <row r="357">
      <c r="E357" s="341"/>
      <c r="F357" s="341"/>
      <c r="J357" s="341"/>
      <c r="M357" s="341"/>
    </row>
    <row r="358">
      <c r="E358" s="341"/>
      <c r="F358" s="341"/>
      <c r="J358" s="341"/>
      <c r="M358" s="341"/>
    </row>
    <row r="359">
      <c r="E359" s="341"/>
      <c r="F359" s="341"/>
      <c r="J359" s="341"/>
      <c r="M359" s="341"/>
    </row>
    <row r="360">
      <c r="E360" s="341"/>
      <c r="F360" s="341"/>
      <c r="J360" s="341"/>
      <c r="M360" s="341"/>
    </row>
    <row r="361">
      <c r="E361" s="341"/>
      <c r="F361" s="341"/>
      <c r="J361" s="341"/>
      <c r="M361" s="341"/>
    </row>
    <row r="362">
      <c r="E362" s="341"/>
      <c r="F362" s="341"/>
      <c r="J362" s="341"/>
      <c r="M362" s="341"/>
    </row>
    <row r="363">
      <c r="E363" s="341"/>
      <c r="F363" s="341"/>
      <c r="J363" s="341"/>
      <c r="M363" s="341"/>
    </row>
    <row r="364">
      <c r="E364" s="341"/>
      <c r="F364" s="341"/>
      <c r="J364" s="341"/>
      <c r="M364" s="341"/>
    </row>
    <row r="365">
      <c r="E365" s="341"/>
      <c r="F365" s="341"/>
      <c r="J365" s="341"/>
      <c r="M365" s="341"/>
    </row>
    <row r="366">
      <c r="E366" s="341"/>
      <c r="F366" s="341"/>
      <c r="J366" s="341"/>
      <c r="M366" s="341"/>
    </row>
    <row r="367">
      <c r="E367" s="341"/>
      <c r="F367" s="341"/>
      <c r="J367" s="341"/>
      <c r="M367" s="341"/>
    </row>
    <row r="368">
      <c r="E368" s="341"/>
      <c r="F368" s="341"/>
      <c r="J368" s="341"/>
      <c r="M368" s="341"/>
    </row>
    <row r="369">
      <c r="E369" s="341"/>
      <c r="F369" s="341"/>
      <c r="J369" s="341"/>
      <c r="M369" s="341"/>
    </row>
    <row r="370">
      <c r="E370" s="341"/>
      <c r="F370" s="341"/>
      <c r="J370" s="341"/>
      <c r="M370" s="341"/>
    </row>
    <row r="371">
      <c r="E371" s="341"/>
      <c r="F371" s="341"/>
      <c r="J371" s="341"/>
      <c r="M371" s="341"/>
    </row>
    <row r="372">
      <c r="E372" s="341"/>
      <c r="F372" s="341"/>
      <c r="J372" s="341"/>
      <c r="M372" s="341"/>
    </row>
    <row r="373">
      <c r="E373" s="341"/>
      <c r="F373" s="341"/>
      <c r="J373" s="341"/>
      <c r="M373" s="341"/>
    </row>
    <row r="374">
      <c r="E374" s="341"/>
      <c r="F374" s="341"/>
      <c r="J374" s="341"/>
      <c r="M374" s="341"/>
    </row>
    <row r="375">
      <c r="E375" s="341"/>
      <c r="F375" s="341"/>
      <c r="J375" s="341"/>
      <c r="M375" s="341"/>
    </row>
    <row r="376">
      <c r="E376" s="341"/>
      <c r="F376" s="341"/>
      <c r="J376" s="341"/>
      <c r="M376" s="341"/>
    </row>
    <row r="377">
      <c r="E377" s="341"/>
      <c r="F377" s="341"/>
      <c r="J377" s="341"/>
      <c r="M377" s="341"/>
    </row>
    <row r="378">
      <c r="E378" s="341"/>
      <c r="F378" s="341"/>
      <c r="J378" s="341"/>
      <c r="M378" s="341"/>
    </row>
    <row r="379">
      <c r="E379" s="341"/>
      <c r="F379" s="341"/>
      <c r="J379" s="341"/>
      <c r="M379" s="341"/>
    </row>
    <row r="380">
      <c r="E380" s="341"/>
      <c r="F380" s="341"/>
      <c r="J380" s="341"/>
      <c r="M380" s="341"/>
    </row>
    <row r="381">
      <c r="E381" s="341"/>
      <c r="F381" s="341"/>
      <c r="J381" s="341"/>
      <c r="M381" s="341"/>
    </row>
    <row r="382">
      <c r="E382" s="341"/>
      <c r="F382" s="341"/>
      <c r="J382" s="341"/>
      <c r="M382" s="341"/>
    </row>
    <row r="383">
      <c r="E383" s="341"/>
      <c r="F383" s="341"/>
      <c r="J383" s="341"/>
      <c r="M383" s="341"/>
    </row>
    <row r="384">
      <c r="E384" s="341"/>
      <c r="F384" s="341"/>
      <c r="J384" s="341"/>
      <c r="M384" s="341"/>
    </row>
    <row r="385">
      <c r="E385" s="341"/>
      <c r="F385" s="341"/>
      <c r="J385" s="341"/>
      <c r="M385" s="341"/>
    </row>
    <row r="386">
      <c r="E386" s="341"/>
      <c r="F386" s="341"/>
      <c r="J386" s="341"/>
      <c r="M386" s="341"/>
    </row>
    <row r="387">
      <c r="E387" s="341"/>
      <c r="F387" s="341"/>
      <c r="J387" s="341"/>
      <c r="M387" s="341"/>
    </row>
    <row r="388">
      <c r="E388" s="341"/>
      <c r="F388" s="341"/>
      <c r="J388" s="341"/>
      <c r="M388" s="341"/>
    </row>
    <row r="389">
      <c r="E389" s="341"/>
      <c r="F389" s="341"/>
      <c r="J389" s="341"/>
      <c r="M389" s="341"/>
    </row>
    <row r="390">
      <c r="E390" s="341"/>
      <c r="F390" s="341"/>
      <c r="J390" s="341"/>
      <c r="M390" s="341"/>
    </row>
    <row r="391">
      <c r="E391" s="341"/>
      <c r="F391" s="341"/>
      <c r="J391" s="341"/>
      <c r="M391" s="341"/>
    </row>
    <row r="392">
      <c r="E392" s="341"/>
      <c r="F392" s="341"/>
      <c r="J392" s="341"/>
      <c r="M392" s="341"/>
    </row>
    <row r="393">
      <c r="E393" s="341"/>
      <c r="F393" s="341"/>
      <c r="J393" s="341"/>
      <c r="M393" s="341"/>
    </row>
    <row r="394">
      <c r="E394" s="341"/>
      <c r="F394" s="341"/>
      <c r="J394" s="341"/>
      <c r="M394" s="341"/>
    </row>
    <row r="395">
      <c r="E395" s="341"/>
      <c r="F395" s="341"/>
      <c r="J395" s="341"/>
      <c r="M395" s="341"/>
    </row>
    <row r="396">
      <c r="E396" s="341"/>
      <c r="F396" s="341"/>
      <c r="J396" s="341"/>
      <c r="M396" s="341"/>
    </row>
    <row r="397">
      <c r="E397" s="341"/>
      <c r="F397" s="341"/>
      <c r="J397" s="341"/>
      <c r="M397" s="341"/>
    </row>
    <row r="398">
      <c r="E398" s="341"/>
      <c r="F398" s="341"/>
      <c r="J398" s="341"/>
      <c r="M398" s="341"/>
    </row>
    <row r="399">
      <c r="E399" s="341"/>
      <c r="F399" s="341"/>
      <c r="J399" s="341"/>
      <c r="M399" s="341"/>
    </row>
    <row r="400">
      <c r="E400" s="341"/>
      <c r="F400" s="341"/>
      <c r="J400" s="341"/>
      <c r="M400" s="341"/>
    </row>
    <row r="401">
      <c r="E401" s="341"/>
      <c r="F401" s="341"/>
      <c r="J401" s="341"/>
      <c r="M401" s="341"/>
    </row>
    <row r="402">
      <c r="E402" s="341"/>
      <c r="F402" s="341"/>
      <c r="J402" s="341"/>
      <c r="M402" s="341"/>
    </row>
    <row r="403">
      <c r="E403" s="341"/>
      <c r="F403" s="341"/>
      <c r="J403" s="341"/>
      <c r="M403" s="341"/>
    </row>
    <row r="404">
      <c r="E404" s="341"/>
      <c r="F404" s="341"/>
      <c r="J404" s="341"/>
      <c r="M404" s="341"/>
    </row>
    <row r="405">
      <c r="E405" s="341"/>
      <c r="F405" s="341"/>
      <c r="J405" s="341"/>
      <c r="M405" s="341"/>
    </row>
    <row r="406">
      <c r="E406" s="341"/>
      <c r="F406" s="341"/>
      <c r="J406" s="341"/>
      <c r="M406" s="341"/>
    </row>
    <row r="407">
      <c r="E407" s="341"/>
      <c r="F407" s="341"/>
      <c r="J407" s="341"/>
      <c r="M407" s="341"/>
    </row>
    <row r="408">
      <c r="E408" s="341"/>
      <c r="F408" s="341"/>
      <c r="J408" s="341"/>
      <c r="M408" s="341"/>
    </row>
    <row r="409">
      <c r="E409" s="341"/>
      <c r="F409" s="341"/>
      <c r="J409" s="341"/>
      <c r="M409" s="341"/>
    </row>
    <row r="410">
      <c r="E410" s="341"/>
      <c r="F410" s="341"/>
      <c r="J410" s="341"/>
      <c r="M410" s="341"/>
    </row>
    <row r="411">
      <c r="E411" s="341"/>
      <c r="F411" s="341"/>
      <c r="J411" s="341"/>
      <c r="M411" s="341"/>
    </row>
    <row r="412">
      <c r="E412" s="341"/>
      <c r="F412" s="341"/>
      <c r="J412" s="341"/>
      <c r="M412" s="341"/>
    </row>
    <row r="413">
      <c r="E413" s="341"/>
      <c r="F413" s="341"/>
      <c r="J413" s="341"/>
      <c r="M413" s="341"/>
    </row>
    <row r="414">
      <c r="E414" s="341"/>
      <c r="F414" s="341"/>
      <c r="J414" s="341"/>
      <c r="M414" s="341"/>
    </row>
    <row r="415">
      <c r="E415" s="341"/>
      <c r="F415" s="341"/>
      <c r="J415" s="341"/>
      <c r="M415" s="341"/>
    </row>
    <row r="416">
      <c r="E416" s="341"/>
      <c r="F416" s="341"/>
      <c r="J416" s="341"/>
      <c r="M416" s="341"/>
    </row>
    <row r="417">
      <c r="E417" s="341"/>
      <c r="F417" s="341"/>
      <c r="J417" s="341"/>
      <c r="M417" s="341"/>
    </row>
    <row r="418">
      <c r="E418" s="341"/>
      <c r="F418" s="341"/>
      <c r="J418" s="341"/>
      <c r="M418" s="341"/>
    </row>
    <row r="419">
      <c r="E419" s="341"/>
      <c r="F419" s="341"/>
      <c r="J419" s="341"/>
      <c r="M419" s="341"/>
    </row>
    <row r="420">
      <c r="E420" s="341"/>
      <c r="F420" s="341"/>
      <c r="J420" s="341"/>
      <c r="M420" s="341"/>
    </row>
    <row r="421">
      <c r="E421" s="341"/>
      <c r="F421" s="341"/>
      <c r="J421" s="341"/>
      <c r="M421" s="341"/>
    </row>
    <row r="422">
      <c r="E422" s="341"/>
      <c r="F422" s="341"/>
      <c r="J422" s="341"/>
      <c r="M422" s="341"/>
    </row>
    <row r="423">
      <c r="E423" s="341"/>
      <c r="F423" s="341"/>
      <c r="J423" s="341"/>
      <c r="M423" s="341"/>
    </row>
    <row r="424">
      <c r="E424" s="341"/>
      <c r="F424" s="341"/>
      <c r="J424" s="341"/>
      <c r="M424" s="341"/>
    </row>
    <row r="425">
      <c r="E425" s="341"/>
      <c r="F425" s="341"/>
      <c r="J425" s="341"/>
      <c r="M425" s="341"/>
    </row>
    <row r="426">
      <c r="E426" s="341"/>
      <c r="F426" s="341"/>
      <c r="J426" s="341"/>
      <c r="M426" s="341"/>
    </row>
    <row r="427">
      <c r="E427" s="341"/>
      <c r="F427" s="341"/>
      <c r="J427" s="341"/>
      <c r="M427" s="341"/>
    </row>
    <row r="428">
      <c r="E428" s="341"/>
      <c r="F428" s="341"/>
      <c r="J428" s="341"/>
      <c r="M428" s="341"/>
    </row>
    <row r="429">
      <c r="E429" s="341"/>
      <c r="F429" s="341"/>
      <c r="J429" s="341"/>
      <c r="M429" s="341"/>
    </row>
    <row r="430">
      <c r="E430" s="341"/>
      <c r="F430" s="341"/>
      <c r="J430" s="341"/>
      <c r="M430" s="341"/>
    </row>
    <row r="431">
      <c r="E431" s="341"/>
      <c r="F431" s="341"/>
      <c r="J431" s="341"/>
      <c r="M431" s="341"/>
    </row>
    <row r="432">
      <c r="E432" s="341"/>
      <c r="F432" s="341"/>
      <c r="J432" s="341"/>
      <c r="M432" s="341"/>
    </row>
    <row r="433">
      <c r="E433" s="341"/>
      <c r="F433" s="341"/>
      <c r="J433" s="341"/>
      <c r="M433" s="341"/>
    </row>
    <row r="434">
      <c r="E434" s="341"/>
      <c r="F434" s="341"/>
      <c r="J434" s="341"/>
      <c r="M434" s="341"/>
    </row>
    <row r="435">
      <c r="E435" s="341"/>
      <c r="F435" s="341"/>
      <c r="J435" s="341"/>
      <c r="M435" s="341"/>
    </row>
    <row r="436">
      <c r="E436" s="341"/>
      <c r="F436" s="341"/>
      <c r="J436" s="341"/>
      <c r="M436" s="341"/>
    </row>
    <row r="437">
      <c r="E437" s="341"/>
      <c r="F437" s="341"/>
      <c r="J437" s="341"/>
      <c r="M437" s="341"/>
    </row>
    <row r="438">
      <c r="E438" s="341"/>
      <c r="F438" s="341"/>
      <c r="J438" s="341"/>
      <c r="M438" s="341"/>
    </row>
    <row r="439">
      <c r="E439" s="341"/>
      <c r="F439" s="341"/>
      <c r="J439" s="341"/>
      <c r="M439" s="341"/>
    </row>
    <row r="440">
      <c r="E440" s="341"/>
      <c r="F440" s="341"/>
      <c r="J440" s="341"/>
      <c r="M440" s="341"/>
    </row>
    <row r="441">
      <c r="E441" s="341"/>
      <c r="F441" s="341"/>
      <c r="J441" s="341"/>
      <c r="M441" s="341"/>
    </row>
    <row r="442">
      <c r="E442" s="341"/>
      <c r="F442" s="341"/>
      <c r="J442" s="341"/>
      <c r="M442" s="341"/>
    </row>
    <row r="443">
      <c r="E443" s="341"/>
      <c r="F443" s="341"/>
      <c r="J443" s="341"/>
      <c r="M443" s="341"/>
    </row>
    <row r="444">
      <c r="E444" s="341"/>
      <c r="F444" s="341"/>
      <c r="J444" s="341"/>
      <c r="M444" s="341"/>
    </row>
    <row r="445">
      <c r="E445" s="341"/>
      <c r="F445" s="341"/>
      <c r="J445" s="341"/>
      <c r="M445" s="341"/>
    </row>
    <row r="446">
      <c r="E446" s="341"/>
      <c r="F446" s="341"/>
      <c r="J446" s="341"/>
      <c r="M446" s="341"/>
    </row>
    <row r="447">
      <c r="E447" s="341"/>
      <c r="F447" s="341"/>
      <c r="J447" s="341"/>
      <c r="M447" s="341"/>
    </row>
    <row r="448">
      <c r="E448" s="341"/>
      <c r="F448" s="341"/>
      <c r="J448" s="341"/>
      <c r="M448" s="341"/>
    </row>
    <row r="449">
      <c r="E449" s="341"/>
      <c r="F449" s="341"/>
      <c r="J449" s="341"/>
      <c r="M449" s="341"/>
    </row>
    <row r="450">
      <c r="E450" s="341"/>
      <c r="F450" s="341"/>
      <c r="J450" s="341"/>
      <c r="M450" s="341"/>
    </row>
    <row r="451">
      <c r="E451" s="341"/>
      <c r="F451" s="341"/>
      <c r="J451" s="341"/>
      <c r="M451" s="341"/>
    </row>
    <row r="452">
      <c r="E452" s="341"/>
      <c r="F452" s="341"/>
      <c r="J452" s="341"/>
      <c r="M452" s="341"/>
    </row>
    <row r="453">
      <c r="E453" s="341"/>
      <c r="F453" s="341"/>
      <c r="J453" s="341"/>
      <c r="M453" s="341"/>
    </row>
    <row r="454">
      <c r="E454" s="341"/>
      <c r="F454" s="341"/>
      <c r="J454" s="341"/>
      <c r="M454" s="341"/>
    </row>
    <row r="455">
      <c r="E455" s="341"/>
      <c r="F455" s="341"/>
      <c r="J455" s="341"/>
      <c r="M455" s="341"/>
    </row>
    <row r="456">
      <c r="E456" s="341"/>
      <c r="F456" s="341"/>
      <c r="J456" s="341"/>
      <c r="M456" s="341"/>
    </row>
    <row r="457">
      <c r="E457" s="341"/>
      <c r="F457" s="341"/>
      <c r="J457" s="341"/>
      <c r="M457" s="341"/>
    </row>
    <row r="458">
      <c r="E458" s="341"/>
      <c r="F458" s="341"/>
      <c r="J458" s="341"/>
      <c r="M458" s="341"/>
    </row>
    <row r="459">
      <c r="E459" s="341"/>
      <c r="F459" s="341"/>
      <c r="J459" s="341"/>
      <c r="M459" s="341"/>
    </row>
    <row r="460">
      <c r="E460" s="341"/>
      <c r="F460" s="341"/>
      <c r="J460" s="341"/>
      <c r="M460" s="341"/>
    </row>
    <row r="461">
      <c r="E461" s="341"/>
      <c r="F461" s="341"/>
      <c r="J461" s="341"/>
      <c r="M461" s="341"/>
    </row>
    <row r="462">
      <c r="E462" s="341"/>
      <c r="F462" s="341"/>
      <c r="J462" s="341"/>
      <c r="M462" s="341"/>
    </row>
    <row r="463">
      <c r="E463" s="341"/>
      <c r="F463" s="341"/>
      <c r="J463" s="341"/>
      <c r="M463" s="341"/>
    </row>
    <row r="464">
      <c r="E464" s="341"/>
      <c r="F464" s="341"/>
      <c r="J464" s="341"/>
      <c r="M464" s="341"/>
    </row>
    <row r="465">
      <c r="E465" s="341"/>
      <c r="F465" s="341"/>
      <c r="J465" s="341"/>
      <c r="M465" s="341"/>
    </row>
    <row r="466">
      <c r="E466" s="341"/>
      <c r="F466" s="341"/>
      <c r="J466" s="341"/>
      <c r="M466" s="341"/>
    </row>
    <row r="467">
      <c r="E467" s="341"/>
      <c r="F467" s="341"/>
      <c r="J467" s="341"/>
      <c r="M467" s="341"/>
    </row>
    <row r="468">
      <c r="E468" s="341"/>
      <c r="F468" s="341"/>
      <c r="J468" s="341"/>
      <c r="M468" s="341"/>
    </row>
    <row r="469">
      <c r="E469" s="341"/>
      <c r="F469" s="341"/>
      <c r="J469" s="341"/>
      <c r="M469" s="341"/>
    </row>
    <row r="470">
      <c r="E470" s="341"/>
      <c r="F470" s="341"/>
      <c r="J470" s="341"/>
      <c r="M470" s="341"/>
    </row>
    <row r="471">
      <c r="E471" s="341"/>
      <c r="F471" s="341"/>
      <c r="J471" s="341"/>
      <c r="M471" s="341"/>
    </row>
    <row r="472">
      <c r="E472" s="341"/>
      <c r="F472" s="341"/>
      <c r="J472" s="341"/>
      <c r="M472" s="341"/>
    </row>
    <row r="473">
      <c r="E473" s="341"/>
      <c r="F473" s="341"/>
      <c r="J473" s="341"/>
      <c r="M473" s="341"/>
    </row>
    <row r="474">
      <c r="E474" s="341"/>
      <c r="F474" s="341"/>
      <c r="J474" s="341"/>
      <c r="M474" s="341"/>
    </row>
    <row r="475">
      <c r="E475" s="341"/>
      <c r="F475" s="341"/>
      <c r="J475" s="341"/>
      <c r="M475" s="341"/>
    </row>
    <row r="476">
      <c r="E476" s="341"/>
      <c r="F476" s="341"/>
      <c r="J476" s="341"/>
      <c r="M476" s="341"/>
    </row>
    <row r="477">
      <c r="E477" s="341"/>
      <c r="F477" s="341"/>
      <c r="J477" s="341"/>
      <c r="M477" s="341"/>
    </row>
    <row r="478">
      <c r="E478" s="341"/>
      <c r="F478" s="341"/>
      <c r="J478" s="341"/>
      <c r="M478" s="341"/>
    </row>
    <row r="479">
      <c r="E479" s="341"/>
      <c r="F479" s="341"/>
      <c r="J479" s="341"/>
      <c r="M479" s="341"/>
    </row>
    <row r="480">
      <c r="E480" s="341"/>
      <c r="F480" s="341"/>
      <c r="J480" s="341"/>
      <c r="M480" s="341"/>
    </row>
    <row r="481">
      <c r="E481" s="341"/>
      <c r="F481" s="341"/>
      <c r="J481" s="341"/>
      <c r="M481" s="341"/>
    </row>
    <row r="482">
      <c r="E482" s="341"/>
      <c r="F482" s="341"/>
      <c r="J482" s="341"/>
      <c r="M482" s="341"/>
    </row>
    <row r="483">
      <c r="E483" s="341"/>
      <c r="F483" s="341"/>
      <c r="J483" s="341"/>
      <c r="M483" s="341"/>
    </row>
    <row r="484">
      <c r="E484" s="341"/>
      <c r="F484" s="341"/>
      <c r="J484" s="341"/>
      <c r="M484" s="341"/>
    </row>
    <row r="485">
      <c r="E485" s="341"/>
      <c r="F485" s="341"/>
      <c r="J485" s="341"/>
      <c r="M485" s="341"/>
    </row>
    <row r="486">
      <c r="E486" s="341"/>
      <c r="F486" s="341"/>
      <c r="J486" s="341"/>
      <c r="M486" s="341"/>
    </row>
    <row r="487">
      <c r="E487" s="341"/>
      <c r="F487" s="341"/>
      <c r="J487" s="341"/>
      <c r="M487" s="341"/>
    </row>
    <row r="488">
      <c r="E488" s="341"/>
      <c r="F488" s="341"/>
      <c r="J488" s="341"/>
      <c r="M488" s="341"/>
    </row>
    <row r="489">
      <c r="E489" s="341"/>
      <c r="F489" s="341"/>
      <c r="J489" s="341"/>
      <c r="M489" s="341"/>
    </row>
    <row r="490">
      <c r="E490" s="341"/>
      <c r="F490" s="341"/>
      <c r="J490" s="341"/>
      <c r="M490" s="341"/>
    </row>
    <row r="491">
      <c r="E491" s="341"/>
      <c r="F491" s="341"/>
      <c r="J491" s="341"/>
      <c r="M491" s="341"/>
    </row>
    <row r="492">
      <c r="E492" s="341"/>
      <c r="F492" s="341"/>
      <c r="J492" s="341"/>
      <c r="M492" s="341"/>
    </row>
    <row r="493">
      <c r="E493" s="341"/>
      <c r="F493" s="341"/>
      <c r="J493" s="341"/>
      <c r="M493" s="341"/>
    </row>
    <row r="494">
      <c r="E494" s="341"/>
      <c r="F494" s="341"/>
      <c r="J494" s="341"/>
      <c r="M494" s="341"/>
    </row>
    <row r="495">
      <c r="E495" s="341"/>
      <c r="F495" s="341"/>
      <c r="J495" s="341"/>
      <c r="M495" s="341"/>
    </row>
    <row r="496">
      <c r="E496" s="341"/>
      <c r="F496" s="341"/>
      <c r="J496" s="341"/>
      <c r="M496" s="341"/>
    </row>
    <row r="497">
      <c r="E497" s="341"/>
      <c r="F497" s="341"/>
      <c r="J497" s="341"/>
      <c r="M497" s="341"/>
    </row>
    <row r="498">
      <c r="E498" s="341"/>
      <c r="F498" s="341"/>
      <c r="J498" s="341"/>
      <c r="M498" s="341"/>
    </row>
    <row r="499">
      <c r="E499" s="341"/>
      <c r="F499" s="341"/>
      <c r="J499" s="341"/>
      <c r="M499" s="341"/>
    </row>
    <row r="500">
      <c r="E500" s="341"/>
      <c r="F500" s="341"/>
      <c r="J500" s="341"/>
      <c r="M500" s="341"/>
    </row>
    <row r="501">
      <c r="E501" s="341"/>
      <c r="F501" s="341"/>
      <c r="J501" s="341"/>
      <c r="M501" s="341"/>
    </row>
    <row r="502">
      <c r="E502" s="341"/>
      <c r="F502" s="341"/>
      <c r="J502" s="341"/>
      <c r="M502" s="341"/>
    </row>
    <row r="503">
      <c r="E503" s="341"/>
      <c r="F503" s="341"/>
      <c r="J503" s="341"/>
      <c r="M503" s="341"/>
    </row>
    <row r="504">
      <c r="E504" s="341"/>
      <c r="F504" s="341"/>
      <c r="J504" s="341"/>
      <c r="M504" s="341"/>
    </row>
    <row r="505">
      <c r="E505" s="341"/>
      <c r="F505" s="341"/>
      <c r="J505" s="341"/>
      <c r="M505" s="341"/>
    </row>
    <row r="506">
      <c r="E506" s="341"/>
      <c r="F506" s="341"/>
      <c r="J506" s="341"/>
      <c r="M506" s="341"/>
    </row>
    <row r="507">
      <c r="E507" s="341"/>
      <c r="F507" s="341"/>
      <c r="J507" s="341"/>
      <c r="M507" s="341"/>
    </row>
    <row r="508">
      <c r="E508" s="341"/>
      <c r="F508" s="341"/>
      <c r="J508" s="341"/>
      <c r="M508" s="341"/>
    </row>
    <row r="509">
      <c r="E509" s="341"/>
      <c r="F509" s="341"/>
      <c r="J509" s="341"/>
      <c r="M509" s="341"/>
    </row>
    <row r="510">
      <c r="E510" s="341"/>
      <c r="F510" s="341"/>
      <c r="J510" s="341"/>
      <c r="M510" s="341"/>
    </row>
    <row r="511">
      <c r="E511" s="341"/>
      <c r="F511" s="341"/>
      <c r="J511" s="341"/>
      <c r="M511" s="341"/>
    </row>
    <row r="512">
      <c r="E512" s="341"/>
      <c r="F512" s="341"/>
      <c r="J512" s="341"/>
      <c r="M512" s="341"/>
    </row>
    <row r="513">
      <c r="E513" s="341"/>
      <c r="F513" s="341"/>
      <c r="J513" s="341"/>
      <c r="M513" s="341"/>
    </row>
    <row r="514">
      <c r="E514" s="341"/>
      <c r="F514" s="341"/>
      <c r="J514" s="341"/>
      <c r="M514" s="341"/>
    </row>
    <row r="515">
      <c r="E515" s="341"/>
      <c r="F515" s="341"/>
      <c r="J515" s="341"/>
      <c r="M515" s="341"/>
    </row>
    <row r="516">
      <c r="E516" s="341"/>
      <c r="F516" s="341"/>
      <c r="J516" s="341"/>
      <c r="M516" s="341"/>
    </row>
    <row r="517">
      <c r="E517" s="341"/>
      <c r="F517" s="341"/>
      <c r="J517" s="341"/>
      <c r="M517" s="341"/>
    </row>
    <row r="518">
      <c r="E518" s="341"/>
      <c r="F518" s="341"/>
      <c r="J518" s="341"/>
      <c r="M518" s="341"/>
    </row>
    <row r="519">
      <c r="E519" s="341"/>
      <c r="F519" s="341"/>
      <c r="J519" s="341"/>
      <c r="M519" s="341"/>
    </row>
    <row r="520">
      <c r="E520" s="341"/>
      <c r="F520" s="341"/>
      <c r="J520" s="341"/>
      <c r="M520" s="341"/>
    </row>
    <row r="521">
      <c r="E521" s="341"/>
      <c r="F521" s="341"/>
      <c r="J521" s="341"/>
      <c r="M521" s="341"/>
    </row>
    <row r="522">
      <c r="E522" s="341"/>
      <c r="F522" s="341"/>
      <c r="J522" s="341"/>
      <c r="M522" s="341"/>
    </row>
    <row r="523">
      <c r="E523" s="341"/>
      <c r="F523" s="341"/>
      <c r="J523" s="341"/>
      <c r="M523" s="341"/>
    </row>
    <row r="524">
      <c r="E524" s="341"/>
      <c r="F524" s="341"/>
      <c r="J524" s="341"/>
      <c r="M524" s="341"/>
    </row>
    <row r="525">
      <c r="E525" s="341"/>
      <c r="F525" s="341"/>
      <c r="J525" s="341"/>
      <c r="M525" s="341"/>
    </row>
    <row r="526">
      <c r="E526" s="341"/>
      <c r="F526" s="341"/>
      <c r="J526" s="341"/>
      <c r="M526" s="341"/>
    </row>
    <row r="527">
      <c r="E527" s="341"/>
      <c r="F527" s="341"/>
      <c r="J527" s="341"/>
      <c r="M527" s="341"/>
    </row>
    <row r="528">
      <c r="E528" s="341"/>
      <c r="F528" s="341"/>
      <c r="J528" s="341"/>
      <c r="M528" s="341"/>
    </row>
    <row r="529">
      <c r="E529" s="341"/>
      <c r="F529" s="341"/>
      <c r="J529" s="341"/>
      <c r="M529" s="341"/>
    </row>
    <row r="530">
      <c r="E530" s="341"/>
      <c r="F530" s="341"/>
      <c r="J530" s="341"/>
      <c r="M530" s="341"/>
    </row>
    <row r="531">
      <c r="E531" s="341"/>
      <c r="F531" s="341"/>
      <c r="J531" s="341"/>
      <c r="M531" s="341"/>
    </row>
    <row r="532">
      <c r="E532" s="341"/>
      <c r="F532" s="341"/>
      <c r="J532" s="341"/>
      <c r="M532" s="341"/>
    </row>
    <row r="533">
      <c r="E533" s="341"/>
      <c r="F533" s="341"/>
      <c r="J533" s="341"/>
      <c r="M533" s="341"/>
    </row>
    <row r="534">
      <c r="E534" s="341"/>
      <c r="F534" s="341"/>
      <c r="J534" s="341"/>
      <c r="M534" s="341"/>
    </row>
    <row r="535">
      <c r="E535" s="341"/>
      <c r="F535" s="341"/>
      <c r="J535" s="341"/>
      <c r="M535" s="341"/>
    </row>
    <row r="536">
      <c r="E536" s="341"/>
      <c r="F536" s="341"/>
      <c r="J536" s="341"/>
      <c r="M536" s="341"/>
    </row>
    <row r="537">
      <c r="E537" s="341"/>
      <c r="F537" s="341"/>
      <c r="J537" s="341"/>
      <c r="M537" s="341"/>
    </row>
    <row r="538">
      <c r="E538" s="341"/>
      <c r="F538" s="341"/>
      <c r="J538" s="341"/>
      <c r="M538" s="341"/>
    </row>
    <row r="539">
      <c r="E539" s="341"/>
      <c r="F539" s="341"/>
      <c r="J539" s="341"/>
      <c r="M539" s="341"/>
    </row>
    <row r="540">
      <c r="E540" s="341"/>
      <c r="F540" s="341"/>
      <c r="J540" s="341"/>
      <c r="M540" s="341"/>
    </row>
    <row r="541">
      <c r="E541" s="341"/>
      <c r="F541" s="341"/>
      <c r="J541" s="341"/>
      <c r="M541" s="341"/>
    </row>
    <row r="542">
      <c r="E542" s="341"/>
      <c r="F542" s="341"/>
      <c r="J542" s="341"/>
      <c r="M542" s="341"/>
    </row>
    <row r="543">
      <c r="E543" s="341"/>
      <c r="F543" s="341"/>
      <c r="J543" s="341"/>
      <c r="M543" s="341"/>
    </row>
    <row r="544">
      <c r="E544" s="341"/>
      <c r="F544" s="341"/>
      <c r="J544" s="341"/>
      <c r="M544" s="341"/>
    </row>
    <row r="545">
      <c r="E545" s="341"/>
      <c r="F545" s="341"/>
      <c r="J545" s="341"/>
      <c r="M545" s="341"/>
    </row>
    <row r="546">
      <c r="E546" s="341"/>
      <c r="F546" s="341"/>
      <c r="J546" s="341"/>
      <c r="M546" s="341"/>
    </row>
    <row r="547">
      <c r="E547" s="341"/>
      <c r="F547" s="341"/>
      <c r="J547" s="341"/>
      <c r="M547" s="341"/>
    </row>
    <row r="548">
      <c r="E548" s="341"/>
      <c r="F548" s="341"/>
      <c r="J548" s="341"/>
      <c r="M548" s="341"/>
    </row>
    <row r="549">
      <c r="E549" s="341"/>
      <c r="F549" s="341"/>
      <c r="J549" s="341"/>
      <c r="M549" s="341"/>
    </row>
    <row r="550">
      <c r="E550" s="341"/>
      <c r="F550" s="341"/>
      <c r="J550" s="341"/>
      <c r="M550" s="341"/>
    </row>
    <row r="551">
      <c r="E551" s="341"/>
      <c r="F551" s="341"/>
      <c r="J551" s="341"/>
      <c r="M551" s="341"/>
    </row>
    <row r="552">
      <c r="E552" s="341"/>
      <c r="F552" s="341"/>
      <c r="J552" s="341"/>
      <c r="M552" s="341"/>
    </row>
    <row r="553">
      <c r="E553" s="341"/>
      <c r="F553" s="341"/>
      <c r="J553" s="341"/>
      <c r="M553" s="341"/>
    </row>
    <row r="554">
      <c r="E554" s="341"/>
      <c r="F554" s="341"/>
      <c r="J554" s="341"/>
      <c r="M554" s="341"/>
    </row>
    <row r="555">
      <c r="E555" s="341"/>
      <c r="F555" s="341"/>
      <c r="J555" s="341"/>
      <c r="M555" s="341"/>
    </row>
    <row r="556">
      <c r="E556" s="341"/>
      <c r="F556" s="341"/>
      <c r="J556" s="341"/>
      <c r="M556" s="341"/>
    </row>
    <row r="557">
      <c r="E557" s="341"/>
      <c r="F557" s="341"/>
      <c r="J557" s="341"/>
      <c r="M557" s="341"/>
    </row>
    <row r="558">
      <c r="E558" s="341"/>
      <c r="F558" s="341"/>
      <c r="J558" s="341"/>
      <c r="M558" s="341"/>
    </row>
    <row r="559">
      <c r="E559" s="341"/>
      <c r="F559" s="341"/>
      <c r="J559" s="341"/>
      <c r="M559" s="341"/>
    </row>
    <row r="560">
      <c r="E560" s="341"/>
      <c r="F560" s="341"/>
      <c r="J560" s="341"/>
      <c r="M560" s="341"/>
    </row>
    <row r="561">
      <c r="E561" s="341"/>
      <c r="F561" s="341"/>
      <c r="J561" s="341"/>
      <c r="M561" s="341"/>
    </row>
    <row r="562">
      <c r="E562" s="341"/>
      <c r="F562" s="341"/>
      <c r="J562" s="341"/>
      <c r="M562" s="341"/>
    </row>
    <row r="563">
      <c r="E563" s="341"/>
      <c r="F563" s="341"/>
      <c r="J563" s="341"/>
      <c r="M563" s="341"/>
    </row>
    <row r="564">
      <c r="E564" s="341"/>
      <c r="F564" s="341"/>
      <c r="J564" s="341"/>
      <c r="M564" s="341"/>
    </row>
    <row r="565">
      <c r="E565" s="341"/>
      <c r="F565" s="341"/>
      <c r="J565" s="341"/>
      <c r="M565" s="341"/>
    </row>
    <row r="566">
      <c r="E566" s="341"/>
      <c r="F566" s="341"/>
      <c r="J566" s="341"/>
      <c r="M566" s="341"/>
    </row>
    <row r="567">
      <c r="E567" s="341"/>
      <c r="F567" s="341"/>
      <c r="J567" s="341"/>
      <c r="M567" s="341"/>
    </row>
    <row r="568">
      <c r="E568" s="341"/>
      <c r="F568" s="341"/>
      <c r="J568" s="341"/>
      <c r="M568" s="341"/>
    </row>
    <row r="569">
      <c r="E569" s="341"/>
      <c r="F569" s="341"/>
      <c r="J569" s="341"/>
      <c r="M569" s="341"/>
    </row>
    <row r="570">
      <c r="E570" s="341"/>
      <c r="F570" s="341"/>
      <c r="J570" s="341"/>
      <c r="M570" s="341"/>
    </row>
    <row r="571">
      <c r="E571" s="341"/>
      <c r="F571" s="341"/>
      <c r="J571" s="341"/>
      <c r="M571" s="341"/>
    </row>
    <row r="572">
      <c r="E572" s="341"/>
      <c r="F572" s="341"/>
      <c r="J572" s="341"/>
      <c r="M572" s="341"/>
    </row>
    <row r="573">
      <c r="E573" s="341"/>
      <c r="F573" s="341"/>
      <c r="J573" s="341"/>
      <c r="M573" s="341"/>
    </row>
    <row r="574">
      <c r="E574" s="341"/>
      <c r="F574" s="341"/>
      <c r="J574" s="341"/>
      <c r="M574" s="341"/>
    </row>
    <row r="575">
      <c r="E575" s="341"/>
      <c r="F575" s="341"/>
      <c r="J575" s="341"/>
      <c r="M575" s="341"/>
    </row>
    <row r="576">
      <c r="E576" s="341"/>
      <c r="F576" s="341"/>
      <c r="J576" s="341"/>
      <c r="M576" s="341"/>
    </row>
    <row r="577">
      <c r="E577" s="341"/>
      <c r="F577" s="341"/>
      <c r="J577" s="341"/>
      <c r="M577" s="341"/>
    </row>
    <row r="578">
      <c r="E578" s="341"/>
      <c r="F578" s="341"/>
      <c r="J578" s="341"/>
      <c r="M578" s="341"/>
    </row>
    <row r="579">
      <c r="E579" s="341"/>
      <c r="F579" s="341"/>
      <c r="J579" s="341"/>
      <c r="M579" s="341"/>
    </row>
    <row r="580">
      <c r="E580" s="341"/>
      <c r="F580" s="341"/>
      <c r="J580" s="341"/>
      <c r="M580" s="341"/>
    </row>
    <row r="581">
      <c r="E581" s="341"/>
      <c r="F581" s="341"/>
      <c r="J581" s="341"/>
      <c r="M581" s="341"/>
    </row>
    <row r="582">
      <c r="E582" s="341"/>
      <c r="F582" s="341"/>
      <c r="J582" s="341"/>
      <c r="M582" s="341"/>
    </row>
    <row r="583">
      <c r="E583" s="341"/>
      <c r="F583" s="341"/>
      <c r="J583" s="341"/>
      <c r="M583" s="341"/>
    </row>
    <row r="584">
      <c r="E584" s="341"/>
      <c r="F584" s="341"/>
      <c r="J584" s="341"/>
      <c r="M584" s="341"/>
    </row>
    <row r="585">
      <c r="E585" s="341"/>
      <c r="F585" s="341"/>
      <c r="J585" s="341"/>
      <c r="M585" s="341"/>
    </row>
    <row r="586">
      <c r="E586" s="341"/>
      <c r="F586" s="341"/>
      <c r="J586" s="341"/>
      <c r="M586" s="341"/>
    </row>
    <row r="587">
      <c r="E587" s="341"/>
      <c r="F587" s="341"/>
      <c r="J587" s="341"/>
      <c r="M587" s="341"/>
    </row>
    <row r="588">
      <c r="E588" s="341"/>
      <c r="F588" s="341"/>
      <c r="J588" s="341"/>
      <c r="M588" s="341"/>
    </row>
    <row r="589">
      <c r="E589" s="341"/>
      <c r="F589" s="341"/>
      <c r="J589" s="341"/>
      <c r="M589" s="341"/>
    </row>
    <row r="590">
      <c r="E590" s="341"/>
      <c r="F590" s="341"/>
      <c r="J590" s="341"/>
      <c r="M590" s="341"/>
    </row>
    <row r="591">
      <c r="E591" s="341"/>
      <c r="F591" s="341"/>
      <c r="J591" s="341"/>
      <c r="M591" s="341"/>
    </row>
    <row r="592">
      <c r="E592" s="341"/>
      <c r="F592" s="341"/>
      <c r="J592" s="341"/>
      <c r="M592" s="341"/>
    </row>
    <row r="593">
      <c r="E593" s="341"/>
      <c r="F593" s="341"/>
      <c r="J593" s="341"/>
      <c r="M593" s="341"/>
    </row>
    <row r="594">
      <c r="E594" s="341"/>
      <c r="F594" s="341"/>
      <c r="J594" s="341"/>
      <c r="M594" s="341"/>
    </row>
    <row r="595">
      <c r="E595" s="341"/>
      <c r="F595" s="341"/>
      <c r="J595" s="341"/>
      <c r="M595" s="341"/>
    </row>
    <row r="596">
      <c r="E596" s="341"/>
      <c r="F596" s="341"/>
      <c r="J596" s="341"/>
      <c r="M596" s="341"/>
    </row>
    <row r="597">
      <c r="E597" s="341"/>
      <c r="F597" s="341"/>
      <c r="J597" s="341"/>
      <c r="M597" s="341"/>
    </row>
    <row r="598">
      <c r="E598" s="341"/>
      <c r="F598" s="341"/>
      <c r="J598" s="341"/>
      <c r="M598" s="341"/>
    </row>
    <row r="599">
      <c r="E599" s="341"/>
      <c r="F599" s="341"/>
      <c r="J599" s="341"/>
      <c r="M599" s="341"/>
    </row>
    <row r="600">
      <c r="E600" s="341"/>
      <c r="F600" s="341"/>
      <c r="J600" s="341"/>
      <c r="M600" s="341"/>
    </row>
    <row r="601">
      <c r="E601" s="341"/>
      <c r="F601" s="341"/>
      <c r="J601" s="341"/>
      <c r="M601" s="341"/>
    </row>
    <row r="602">
      <c r="E602" s="341"/>
      <c r="F602" s="341"/>
      <c r="J602" s="341"/>
      <c r="M602" s="341"/>
    </row>
    <row r="603">
      <c r="E603" s="341"/>
      <c r="F603" s="341"/>
      <c r="J603" s="341"/>
      <c r="M603" s="341"/>
    </row>
    <row r="604">
      <c r="E604" s="341"/>
      <c r="F604" s="341"/>
      <c r="J604" s="341"/>
      <c r="M604" s="341"/>
    </row>
    <row r="605">
      <c r="E605" s="341"/>
      <c r="F605" s="341"/>
      <c r="J605" s="341"/>
      <c r="M605" s="341"/>
    </row>
    <row r="606">
      <c r="E606" s="341"/>
      <c r="F606" s="341"/>
      <c r="J606" s="341"/>
      <c r="M606" s="341"/>
    </row>
    <row r="607">
      <c r="E607" s="341"/>
      <c r="F607" s="341"/>
      <c r="J607" s="341"/>
      <c r="M607" s="341"/>
    </row>
    <row r="608">
      <c r="E608" s="341"/>
      <c r="F608" s="341"/>
      <c r="J608" s="341"/>
      <c r="M608" s="341"/>
    </row>
    <row r="609">
      <c r="E609" s="341"/>
      <c r="F609" s="341"/>
      <c r="J609" s="341"/>
      <c r="M609" s="341"/>
    </row>
    <row r="610">
      <c r="E610" s="341"/>
      <c r="F610" s="341"/>
      <c r="J610" s="341"/>
      <c r="M610" s="341"/>
    </row>
    <row r="611">
      <c r="E611" s="341"/>
      <c r="F611" s="341"/>
      <c r="J611" s="341"/>
      <c r="M611" s="341"/>
    </row>
    <row r="612">
      <c r="E612" s="341"/>
      <c r="F612" s="341"/>
      <c r="J612" s="341"/>
      <c r="M612" s="341"/>
    </row>
    <row r="613">
      <c r="E613" s="341"/>
      <c r="F613" s="341"/>
      <c r="J613" s="341"/>
      <c r="M613" s="341"/>
    </row>
    <row r="614">
      <c r="E614" s="341"/>
      <c r="F614" s="341"/>
      <c r="J614" s="341"/>
      <c r="M614" s="341"/>
    </row>
    <row r="615">
      <c r="E615" s="341"/>
      <c r="F615" s="341"/>
      <c r="J615" s="341"/>
      <c r="M615" s="341"/>
    </row>
    <row r="616">
      <c r="E616" s="341"/>
      <c r="F616" s="341"/>
      <c r="J616" s="341"/>
      <c r="M616" s="341"/>
    </row>
    <row r="617">
      <c r="E617" s="341"/>
      <c r="F617" s="341"/>
      <c r="J617" s="341"/>
      <c r="M617" s="341"/>
    </row>
    <row r="618">
      <c r="E618" s="341"/>
      <c r="F618" s="341"/>
      <c r="J618" s="341"/>
      <c r="M618" s="341"/>
    </row>
    <row r="619">
      <c r="E619" s="341"/>
      <c r="F619" s="341"/>
      <c r="J619" s="341"/>
      <c r="M619" s="341"/>
    </row>
    <row r="620">
      <c r="E620" s="341"/>
      <c r="F620" s="341"/>
      <c r="J620" s="341"/>
      <c r="M620" s="341"/>
    </row>
    <row r="621">
      <c r="E621" s="341"/>
      <c r="F621" s="341"/>
      <c r="J621" s="341"/>
      <c r="M621" s="341"/>
    </row>
    <row r="622">
      <c r="E622" s="341"/>
      <c r="F622" s="341"/>
      <c r="J622" s="341"/>
      <c r="M622" s="341"/>
    </row>
    <row r="623">
      <c r="E623" s="341"/>
      <c r="F623" s="341"/>
      <c r="J623" s="341"/>
      <c r="M623" s="341"/>
    </row>
    <row r="624">
      <c r="E624" s="341"/>
      <c r="F624" s="341"/>
      <c r="J624" s="341"/>
      <c r="M624" s="341"/>
    </row>
    <row r="625">
      <c r="E625" s="341"/>
      <c r="F625" s="341"/>
      <c r="J625" s="341"/>
      <c r="M625" s="341"/>
    </row>
    <row r="626">
      <c r="E626" s="341"/>
      <c r="F626" s="341"/>
      <c r="J626" s="341"/>
      <c r="M626" s="341"/>
    </row>
    <row r="627">
      <c r="E627" s="341"/>
      <c r="F627" s="341"/>
      <c r="J627" s="341"/>
      <c r="M627" s="341"/>
    </row>
    <row r="628">
      <c r="E628" s="341"/>
      <c r="F628" s="341"/>
      <c r="J628" s="341"/>
      <c r="M628" s="341"/>
    </row>
    <row r="629">
      <c r="E629" s="341"/>
      <c r="F629" s="341"/>
      <c r="J629" s="341"/>
      <c r="M629" s="341"/>
    </row>
    <row r="630">
      <c r="E630" s="341"/>
      <c r="F630" s="341"/>
      <c r="J630" s="341"/>
      <c r="M630" s="341"/>
    </row>
    <row r="631">
      <c r="E631" s="341"/>
      <c r="F631" s="341"/>
      <c r="J631" s="341"/>
      <c r="M631" s="341"/>
    </row>
    <row r="632">
      <c r="E632" s="341"/>
      <c r="F632" s="341"/>
      <c r="J632" s="341"/>
      <c r="M632" s="341"/>
    </row>
    <row r="633">
      <c r="E633" s="341"/>
      <c r="F633" s="341"/>
      <c r="J633" s="341"/>
      <c r="M633" s="341"/>
    </row>
    <row r="634">
      <c r="E634" s="341"/>
      <c r="F634" s="341"/>
      <c r="J634" s="341"/>
      <c r="M634" s="341"/>
    </row>
    <row r="635">
      <c r="E635" s="341"/>
      <c r="F635" s="341"/>
      <c r="J635" s="341"/>
      <c r="M635" s="341"/>
    </row>
    <row r="636">
      <c r="E636" s="341"/>
      <c r="F636" s="341"/>
      <c r="J636" s="341"/>
      <c r="M636" s="341"/>
    </row>
    <row r="637">
      <c r="E637" s="341"/>
      <c r="F637" s="341"/>
      <c r="J637" s="341"/>
      <c r="M637" s="341"/>
    </row>
    <row r="638">
      <c r="E638" s="341"/>
      <c r="F638" s="341"/>
      <c r="J638" s="341"/>
      <c r="M638" s="341"/>
    </row>
    <row r="639">
      <c r="E639" s="341"/>
      <c r="F639" s="341"/>
      <c r="J639" s="341"/>
      <c r="M639" s="341"/>
    </row>
    <row r="640">
      <c r="E640" s="341"/>
      <c r="F640" s="341"/>
      <c r="J640" s="341"/>
      <c r="M640" s="341"/>
    </row>
    <row r="641">
      <c r="E641" s="341"/>
      <c r="F641" s="341"/>
      <c r="J641" s="341"/>
      <c r="M641" s="341"/>
    </row>
    <row r="642">
      <c r="E642" s="341"/>
      <c r="F642" s="341"/>
      <c r="J642" s="341"/>
      <c r="M642" s="341"/>
    </row>
    <row r="643">
      <c r="E643" s="341"/>
      <c r="F643" s="341"/>
      <c r="J643" s="341"/>
      <c r="M643" s="341"/>
    </row>
    <row r="644">
      <c r="E644" s="341"/>
      <c r="F644" s="341"/>
      <c r="J644" s="341"/>
      <c r="M644" s="341"/>
    </row>
    <row r="645">
      <c r="E645" s="341"/>
      <c r="F645" s="341"/>
      <c r="J645" s="341"/>
      <c r="M645" s="341"/>
    </row>
    <row r="646">
      <c r="E646" s="341"/>
      <c r="F646" s="341"/>
      <c r="J646" s="341"/>
      <c r="M646" s="341"/>
    </row>
    <row r="647">
      <c r="E647" s="341"/>
      <c r="F647" s="341"/>
      <c r="J647" s="341"/>
      <c r="M647" s="341"/>
    </row>
    <row r="648">
      <c r="E648" s="341"/>
      <c r="F648" s="341"/>
      <c r="J648" s="341"/>
      <c r="M648" s="341"/>
    </row>
    <row r="649">
      <c r="E649" s="341"/>
      <c r="F649" s="341"/>
      <c r="J649" s="341"/>
      <c r="M649" s="341"/>
    </row>
    <row r="650">
      <c r="E650" s="341"/>
      <c r="F650" s="341"/>
      <c r="J650" s="341"/>
      <c r="M650" s="341"/>
    </row>
    <row r="651">
      <c r="E651" s="341"/>
      <c r="F651" s="341"/>
      <c r="J651" s="341"/>
      <c r="M651" s="341"/>
    </row>
    <row r="652">
      <c r="E652" s="341"/>
      <c r="F652" s="341"/>
      <c r="J652" s="341"/>
      <c r="M652" s="341"/>
    </row>
    <row r="653">
      <c r="E653" s="341"/>
      <c r="F653" s="341"/>
      <c r="J653" s="341"/>
      <c r="M653" s="341"/>
    </row>
    <row r="654">
      <c r="E654" s="341"/>
      <c r="F654" s="341"/>
      <c r="J654" s="341"/>
      <c r="M654" s="341"/>
    </row>
    <row r="655">
      <c r="E655" s="341"/>
      <c r="F655" s="341"/>
      <c r="J655" s="341"/>
      <c r="M655" s="341"/>
    </row>
    <row r="656">
      <c r="E656" s="341"/>
      <c r="F656" s="341"/>
      <c r="J656" s="341"/>
      <c r="M656" s="341"/>
    </row>
    <row r="657">
      <c r="E657" s="341"/>
      <c r="F657" s="341"/>
      <c r="J657" s="341"/>
      <c r="M657" s="341"/>
    </row>
    <row r="658">
      <c r="E658" s="341"/>
      <c r="F658" s="341"/>
      <c r="J658" s="341"/>
      <c r="M658" s="341"/>
    </row>
    <row r="659">
      <c r="E659" s="341"/>
      <c r="F659" s="341"/>
      <c r="J659" s="341"/>
      <c r="M659" s="341"/>
    </row>
    <row r="660">
      <c r="E660" s="341"/>
      <c r="F660" s="341"/>
      <c r="J660" s="341"/>
      <c r="M660" s="341"/>
    </row>
    <row r="661">
      <c r="E661" s="341"/>
      <c r="F661" s="341"/>
      <c r="J661" s="341"/>
      <c r="M661" s="341"/>
    </row>
    <row r="662">
      <c r="E662" s="341"/>
      <c r="F662" s="341"/>
      <c r="J662" s="341"/>
      <c r="M662" s="341"/>
    </row>
    <row r="663">
      <c r="E663" s="341"/>
      <c r="F663" s="341"/>
      <c r="J663" s="341"/>
      <c r="M663" s="341"/>
    </row>
    <row r="664">
      <c r="E664" s="341"/>
      <c r="F664" s="341"/>
      <c r="J664" s="341"/>
      <c r="M664" s="341"/>
    </row>
    <row r="665">
      <c r="E665" s="341"/>
      <c r="F665" s="341"/>
      <c r="J665" s="341"/>
      <c r="M665" s="341"/>
    </row>
    <row r="666">
      <c r="E666" s="341"/>
      <c r="F666" s="341"/>
      <c r="J666" s="341"/>
      <c r="M666" s="341"/>
    </row>
    <row r="667">
      <c r="E667" s="341"/>
      <c r="F667" s="341"/>
      <c r="J667" s="341"/>
      <c r="M667" s="341"/>
    </row>
    <row r="668">
      <c r="E668" s="341"/>
      <c r="F668" s="341"/>
      <c r="J668" s="341"/>
      <c r="M668" s="341"/>
    </row>
    <row r="669">
      <c r="E669" s="341"/>
      <c r="F669" s="341"/>
      <c r="J669" s="341"/>
      <c r="M669" s="341"/>
    </row>
    <row r="670">
      <c r="E670" s="341"/>
      <c r="F670" s="341"/>
      <c r="J670" s="341"/>
      <c r="M670" s="341"/>
    </row>
    <row r="671">
      <c r="E671" s="341"/>
      <c r="F671" s="341"/>
      <c r="J671" s="341"/>
      <c r="M671" s="341"/>
    </row>
    <row r="672">
      <c r="E672" s="341"/>
      <c r="F672" s="341"/>
      <c r="J672" s="341"/>
      <c r="M672" s="341"/>
    </row>
    <row r="673">
      <c r="E673" s="341"/>
      <c r="F673" s="341"/>
      <c r="J673" s="341"/>
      <c r="M673" s="341"/>
    </row>
    <row r="674">
      <c r="E674" s="341"/>
      <c r="F674" s="341"/>
      <c r="J674" s="341"/>
      <c r="M674" s="341"/>
    </row>
    <row r="675">
      <c r="E675" s="341"/>
      <c r="F675" s="341"/>
      <c r="J675" s="341"/>
      <c r="M675" s="341"/>
    </row>
    <row r="676">
      <c r="E676" s="341"/>
      <c r="F676" s="341"/>
      <c r="J676" s="341"/>
      <c r="M676" s="341"/>
    </row>
    <row r="677">
      <c r="E677" s="341"/>
      <c r="F677" s="341"/>
      <c r="J677" s="341"/>
      <c r="M677" s="341"/>
    </row>
    <row r="678">
      <c r="E678" s="341"/>
      <c r="F678" s="341"/>
      <c r="J678" s="341"/>
      <c r="M678" s="341"/>
    </row>
    <row r="679">
      <c r="E679" s="341"/>
      <c r="F679" s="341"/>
      <c r="J679" s="341"/>
      <c r="M679" s="341"/>
    </row>
    <row r="680">
      <c r="E680" s="341"/>
      <c r="F680" s="341"/>
      <c r="J680" s="341"/>
      <c r="M680" s="341"/>
    </row>
    <row r="681">
      <c r="E681" s="341"/>
      <c r="F681" s="341"/>
      <c r="J681" s="341"/>
      <c r="M681" s="341"/>
    </row>
    <row r="682">
      <c r="E682" s="341"/>
      <c r="F682" s="341"/>
      <c r="J682" s="341"/>
      <c r="M682" s="341"/>
    </row>
    <row r="683">
      <c r="E683" s="341"/>
      <c r="F683" s="341"/>
      <c r="J683" s="341"/>
      <c r="M683" s="341"/>
    </row>
    <row r="684">
      <c r="E684" s="341"/>
      <c r="F684" s="341"/>
      <c r="J684" s="341"/>
      <c r="M684" s="341"/>
    </row>
    <row r="685">
      <c r="E685" s="341"/>
      <c r="F685" s="341"/>
      <c r="J685" s="341"/>
      <c r="M685" s="341"/>
    </row>
    <row r="686">
      <c r="E686" s="341"/>
      <c r="F686" s="341"/>
      <c r="J686" s="341"/>
      <c r="M686" s="341"/>
    </row>
    <row r="687">
      <c r="E687" s="341"/>
      <c r="F687" s="341"/>
      <c r="J687" s="341"/>
      <c r="M687" s="341"/>
    </row>
    <row r="688">
      <c r="E688" s="341"/>
      <c r="F688" s="341"/>
      <c r="J688" s="341"/>
      <c r="M688" s="341"/>
    </row>
    <row r="689">
      <c r="E689" s="341"/>
      <c r="F689" s="341"/>
      <c r="J689" s="341"/>
      <c r="M689" s="341"/>
    </row>
    <row r="690">
      <c r="E690" s="341"/>
      <c r="F690" s="341"/>
      <c r="J690" s="341"/>
      <c r="M690" s="341"/>
    </row>
    <row r="691">
      <c r="E691" s="341"/>
      <c r="F691" s="341"/>
      <c r="J691" s="341"/>
      <c r="M691" s="341"/>
    </row>
    <row r="692">
      <c r="E692" s="341"/>
      <c r="F692" s="341"/>
      <c r="J692" s="341"/>
      <c r="M692" s="341"/>
    </row>
    <row r="693">
      <c r="E693" s="341"/>
      <c r="F693" s="341"/>
      <c r="J693" s="341"/>
      <c r="M693" s="341"/>
    </row>
    <row r="694">
      <c r="E694" s="341"/>
      <c r="F694" s="341"/>
      <c r="J694" s="341"/>
      <c r="M694" s="341"/>
    </row>
    <row r="695">
      <c r="E695" s="341"/>
      <c r="F695" s="341"/>
      <c r="J695" s="341"/>
      <c r="M695" s="341"/>
    </row>
    <row r="696">
      <c r="E696" s="341"/>
      <c r="F696" s="341"/>
      <c r="J696" s="341"/>
      <c r="M696" s="341"/>
    </row>
    <row r="697">
      <c r="E697" s="341"/>
      <c r="F697" s="341"/>
      <c r="J697" s="341"/>
      <c r="M697" s="341"/>
    </row>
    <row r="698">
      <c r="E698" s="341"/>
      <c r="F698" s="341"/>
      <c r="J698" s="341"/>
      <c r="M698" s="341"/>
    </row>
    <row r="699">
      <c r="E699" s="341"/>
      <c r="F699" s="341"/>
      <c r="J699" s="341"/>
      <c r="M699" s="341"/>
    </row>
    <row r="700">
      <c r="E700" s="341"/>
      <c r="F700" s="341"/>
      <c r="J700" s="341"/>
      <c r="M700" s="341"/>
    </row>
    <row r="701">
      <c r="E701" s="341"/>
      <c r="F701" s="341"/>
      <c r="J701" s="341"/>
      <c r="M701" s="341"/>
    </row>
    <row r="702">
      <c r="E702" s="341"/>
      <c r="F702" s="341"/>
      <c r="J702" s="341"/>
      <c r="M702" s="341"/>
    </row>
    <row r="703">
      <c r="E703" s="341"/>
      <c r="F703" s="341"/>
      <c r="J703" s="341"/>
      <c r="M703" s="341"/>
    </row>
    <row r="704">
      <c r="E704" s="341"/>
      <c r="F704" s="341"/>
      <c r="J704" s="341"/>
      <c r="M704" s="341"/>
    </row>
    <row r="705">
      <c r="E705" s="341"/>
      <c r="F705" s="341"/>
      <c r="J705" s="341"/>
      <c r="M705" s="341"/>
    </row>
    <row r="706">
      <c r="E706" s="341"/>
      <c r="F706" s="341"/>
      <c r="J706" s="341"/>
      <c r="M706" s="341"/>
    </row>
    <row r="707">
      <c r="E707" s="341"/>
      <c r="F707" s="341"/>
      <c r="J707" s="341"/>
      <c r="M707" s="341"/>
    </row>
    <row r="708">
      <c r="E708" s="341"/>
      <c r="F708" s="341"/>
      <c r="J708" s="341"/>
      <c r="M708" s="341"/>
    </row>
    <row r="709">
      <c r="E709" s="341"/>
      <c r="F709" s="341"/>
      <c r="J709" s="341"/>
      <c r="M709" s="341"/>
    </row>
    <row r="710">
      <c r="E710" s="341"/>
      <c r="F710" s="341"/>
      <c r="J710" s="341"/>
      <c r="M710" s="341"/>
    </row>
    <row r="711">
      <c r="E711" s="341"/>
      <c r="F711" s="341"/>
      <c r="J711" s="341"/>
      <c r="M711" s="341"/>
    </row>
    <row r="712">
      <c r="E712" s="341"/>
      <c r="F712" s="341"/>
      <c r="J712" s="341"/>
      <c r="M712" s="341"/>
    </row>
    <row r="713">
      <c r="E713" s="341"/>
      <c r="F713" s="341"/>
      <c r="J713" s="341"/>
      <c r="M713" s="341"/>
    </row>
    <row r="714">
      <c r="E714" s="341"/>
      <c r="F714" s="341"/>
      <c r="J714" s="341"/>
      <c r="M714" s="341"/>
    </row>
    <row r="715">
      <c r="E715" s="341"/>
      <c r="F715" s="341"/>
      <c r="J715" s="341"/>
      <c r="M715" s="341"/>
    </row>
    <row r="716">
      <c r="E716" s="341"/>
      <c r="F716" s="341"/>
      <c r="J716" s="341"/>
      <c r="M716" s="341"/>
    </row>
    <row r="717">
      <c r="E717" s="341"/>
      <c r="F717" s="341"/>
      <c r="J717" s="341"/>
      <c r="M717" s="341"/>
    </row>
    <row r="718">
      <c r="E718" s="341"/>
      <c r="F718" s="341"/>
      <c r="J718" s="341"/>
      <c r="M718" s="341"/>
    </row>
    <row r="719">
      <c r="E719" s="341"/>
      <c r="F719" s="341"/>
      <c r="J719" s="341"/>
      <c r="M719" s="341"/>
    </row>
    <row r="720">
      <c r="E720" s="341"/>
      <c r="F720" s="341"/>
      <c r="J720" s="341"/>
      <c r="M720" s="341"/>
    </row>
    <row r="721">
      <c r="E721" s="341"/>
      <c r="F721" s="341"/>
      <c r="J721" s="341"/>
      <c r="M721" s="341"/>
    </row>
    <row r="722">
      <c r="E722" s="341"/>
      <c r="F722" s="341"/>
      <c r="J722" s="341"/>
      <c r="M722" s="341"/>
    </row>
    <row r="723">
      <c r="E723" s="341"/>
      <c r="F723" s="341"/>
      <c r="J723" s="341"/>
      <c r="M723" s="341"/>
    </row>
    <row r="724">
      <c r="E724" s="341"/>
      <c r="F724" s="341"/>
      <c r="J724" s="341"/>
      <c r="M724" s="341"/>
    </row>
    <row r="725">
      <c r="E725" s="341"/>
      <c r="F725" s="341"/>
      <c r="J725" s="341"/>
      <c r="M725" s="341"/>
    </row>
    <row r="726">
      <c r="E726" s="341"/>
      <c r="F726" s="341"/>
      <c r="J726" s="341"/>
      <c r="M726" s="341"/>
    </row>
    <row r="727">
      <c r="E727" s="341"/>
      <c r="F727" s="341"/>
      <c r="J727" s="341"/>
      <c r="M727" s="341"/>
    </row>
    <row r="728">
      <c r="E728" s="341"/>
      <c r="F728" s="341"/>
      <c r="J728" s="341"/>
      <c r="M728" s="341"/>
    </row>
    <row r="729">
      <c r="E729" s="341"/>
      <c r="F729" s="341"/>
      <c r="J729" s="341"/>
      <c r="M729" s="341"/>
    </row>
    <row r="730">
      <c r="E730" s="341"/>
      <c r="F730" s="341"/>
      <c r="J730" s="341"/>
      <c r="M730" s="341"/>
    </row>
    <row r="731">
      <c r="E731" s="341"/>
      <c r="F731" s="341"/>
      <c r="J731" s="341"/>
      <c r="M731" s="341"/>
    </row>
    <row r="732">
      <c r="E732" s="341"/>
      <c r="F732" s="341"/>
      <c r="J732" s="341"/>
      <c r="M732" s="341"/>
    </row>
    <row r="733">
      <c r="E733" s="341"/>
      <c r="F733" s="341"/>
      <c r="J733" s="341"/>
      <c r="M733" s="341"/>
    </row>
    <row r="734">
      <c r="E734" s="341"/>
      <c r="F734" s="341"/>
      <c r="J734" s="341"/>
      <c r="M734" s="341"/>
    </row>
    <row r="735">
      <c r="E735" s="341"/>
      <c r="F735" s="341"/>
      <c r="J735" s="341"/>
      <c r="M735" s="341"/>
    </row>
    <row r="736">
      <c r="E736" s="341"/>
      <c r="F736" s="341"/>
      <c r="J736" s="341"/>
      <c r="M736" s="341"/>
    </row>
    <row r="737">
      <c r="E737" s="341"/>
      <c r="F737" s="341"/>
      <c r="J737" s="341"/>
      <c r="M737" s="341"/>
    </row>
    <row r="738">
      <c r="E738" s="341"/>
      <c r="F738" s="341"/>
      <c r="J738" s="341"/>
      <c r="M738" s="341"/>
    </row>
    <row r="739">
      <c r="E739" s="341"/>
      <c r="F739" s="341"/>
      <c r="J739" s="341"/>
      <c r="M739" s="341"/>
    </row>
    <row r="740">
      <c r="E740" s="341"/>
      <c r="F740" s="341"/>
      <c r="J740" s="341"/>
      <c r="M740" s="341"/>
    </row>
    <row r="741">
      <c r="E741" s="341"/>
      <c r="F741" s="341"/>
      <c r="J741" s="341"/>
      <c r="M741" s="341"/>
    </row>
    <row r="742">
      <c r="E742" s="341"/>
      <c r="F742" s="341"/>
      <c r="J742" s="341"/>
      <c r="M742" s="341"/>
    </row>
    <row r="743">
      <c r="E743" s="341"/>
      <c r="F743" s="341"/>
      <c r="J743" s="341"/>
      <c r="M743" s="341"/>
    </row>
    <row r="744">
      <c r="E744" s="341"/>
      <c r="F744" s="341"/>
      <c r="J744" s="341"/>
      <c r="M744" s="341"/>
    </row>
    <row r="745">
      <c r="E745" s="341"/>
      <c r="F745" s="341"/>
      <c r="J745" s="341"/>
      <c r="M745" s="341"/>
    </row>
    <row r="746">
      <c r="E746" s="341"/>
      <c r="F746" s="341"/>
      <c r="J746" s="341"/>
      <c r="M746" s="341"/>
    </row>
    <row r="747">
      <c r="E747" s="341"/>
      <c r="F747" s="341"/>
      <c r="J747" s="341"/>
      <c r="M747" s="341"/>
    </row>
    <row r="748">
      <c r="E748" s="341"/>
      <c r="F748" s="341"/>
      <c r="J748" s="341"/>
      <c r="M748" s="341"/>
    </row>
    <row r="749">
      <c r="E749" s="341"/>
      <c r="F749" s="341"/>
      <c r="J749" s="341"/>
      <c r="M749" s="341"/>
    </row>
    <row r="750">
      <c r="E750" s="341"/>
      <c r="F750" s="341"/>
      <c r="J750" s="341"/>
      <c r="M750" s="341"/>
    </row>
    <row r="751">
      <c r="E751" s="341"/>
      <c r="F751" s="341"/>
      <c r="J751" s="341"/>
      <c r="M751" s="341"/>
    </row>
    <row r="752">
      <c r="E752" s="341"/>
      <c r="F752" s="341"/>
      <c r="J752" s="341"/>
      <c r="M752" s="341"/>
    </row>
    <row r="753">
      <c r="E753" s="341"/>
      <c r="F753" s="341"/>
      <c r="J753" s="341"/>
      <c r="M753" s="341"/>
    </row>
    <row r="754">
      <c r="E754" s="341"/>
      <c r="F754" s="341"/>
      <c r="J754" s="341"/>
      <c r="M754" s="341"/>
    </row>
    <row r="755">
      <c r="E755" s="341"/>
      <c r="F755" s="341"/>
      <c r="J755" s="341"/>
      <c r="M755" s="341"/>
    </row>
    <row r="756">
      <c r="E756" s="341"/>
      <c r="F756" s="341"/>
      <c r="J756" s="341"/>
      <c r="M756" s="341"/>
    </row>
    <row r="757">
      <c r="E757" s="341"/>
      <c r="F757" s="341"/>
      <c r="J757" s="341"/>
      <c r="M757" s="341"/>
    </row>
    <row r="758">
      <c r="E758" s="341"/>
      <c r="F758" s="341"/>
      <c r="J758" s="341"/>
      <c r="M758" s="341"/>
    </row>
    <row r="759">
      <c r="E759" s="341"/>
      <c r="F759" s="341"/>
      <c r="J759" s="341"/>
      <c r="M759" s="341"/>
    </row>
    <row r="760">
      <c r="E760" s="341"/>
      <c r="F760" s="341"/>
      <c r="J760" s="341"/>
      <c r="M760" s="341"/>
    </row>
    <row r="761">
      <c r="E761" s="341"/>
      <c r="F761" s="341"/>
      <c r="J761" s="341"/>
      <c r="M761" s="341"/>
    </row>
    <row r="762">
      <c r="E762" s="341"/>
      <c r="F762" s="341"/>
      <c r="J762" s="341"/>
      <c r="M762" s="341"/>
    </row>
    <row r="763">
      <c r="E763" s="341"/>
      <c r="F763" s="341"/>
      <c r="J763" s="341"/>
      <c r="M763" s="341"/>
    </row>
    <row r="764">
      <c r="E764" s="341"/>
      <c r="F764" s="341"/>
      <c r="J764" s="341"/>
      <c r="M764" s="341"/>
    </row>
    <row r="765">
      <c r="E765" s="341"/>
      <c r="F765" s="341"/>
      <c r="J765" s="341"/>
      <c r="M765" s="341"/>
    </row>
    <row r="766">
      <c r="E766" s="341"/>
      <c r="F766" s="341"/>
      <c r="J766" s="341"/>
      <c r="M766" s="341"/>
    </row>
    <row r="767">
      <c r="E767" s="341"/>
      <c r="F767" s="341"/>
      <c r="J767" s="341"/>
      <c r="M767" s="341"/>
    </row>
    <row r="768">
      <c r="E768" s="341"/>
      <c r="F768" s="341"/>
      <c r="J768" s="341"/>
      <c r="M768" s="341"/>
    </row>
    <row r="769">
      <c r="E769" s="341"/>
      <c r="F769" s="341"/>
      <c r="J769" s="341"/>
      <c r="M769" s="341"/>
    </row>
    <row r="770">
      <c r="E770" s="341"/>
      <c r="F770" s="341"/>
      <c r="J770" s="341"/>
      <c r="M770" s="341"/>
    </row>
    <row r="771">
      <c r="E771" s="341"/>
      <c r="F771" s="341"/>
      <c r="J771" s="341"/>
      <c r="M771" s="341"/>
    </row>
    <row r="772">
      <c r="E772" s="341"/>
      <c r="F772" s="341"/>
      <c r="J772" s="341"/>
      <c r="M772" s="341"/>
    </row>
    <row r="773">
      <c r="E773" s="341"/>
      <c r="F773" s="341"/>
      <c r="J773" s="341"/>
      <c r="M773" s="341"/>
    </row>
    <row r="774">
      <c r="E774" s="341"/>
      <c r="F774" s="341"/>
      <c r="J774" s="341"/>
      <c r="M774" s="341"/>
    </row>
    <row r="775">
      <c r="E775" s="341"/>
      <c r="F775" s="341"/>
      <c r="J775" s="341"/>
      <c r="M775" s="341"/>
    </row>
    <row r="776">
      <c r="E776" s="341"/>
      <c r="F776" s="341"/>
      <c r="J776" s="341"/>
      <c r="M776" s="341"/>
    </row>
    <row r="777">
      <c r="E777" s="341"/>
      <c r="F777" s="341"/>
      <c r="J777" s="341"/>
      <c r="M777" s="341"/>
    </row>
    <row r="778">
      <c r="E778" s="341"/>
      <c r="F778" s="341"/>
      <c r="J778" s="341"/>
      <c r="M778" s="341"/>
    </row>
    <row r="779">
      <c r="E779" s="341"/>
      <c r="F779" s="341"/>
      <c r="J779" s="341"/>
      <c r="M779" s="341"/>
    </row>
    <row r="780">
      <c r="E780" s="341"/>
      <c r="F780" s="341"/>
      <c r="J780" s="341"/>
      <c r="M780" s="341"/>
    </row>
    <row r="781">
      <c r="E781" s="341"/>
      <c r="F781" s="341"/>
      <c r="J781" s="341"/>
      <c r="M781" s="341"/>
    </row>
    <row r="782">
      <c r="E782" s="341"/>
      <c r="F782" s="341"/>
      <c r="J782" s="341"/>
      <c r="M782" s="341"/>
    </row>
    <row r="783">
      <c r="E783" s="341"/>
      <c r="F783" s="341"/>
      <c r="J783" s="341"/>
      <c r="M783" s="341"/>
    </row>
    <row r="784">
      <c r="E784" s="341"/>
      <c r="F784" s="341"/>
      <c r="J784" s="341"/>
      <c r="M784" s="341"/>
    </row>
    <row r="785">
      <c r="E785" s="341"/>
      <c r="F785" s="341"/>
      <c r="J785" s="341"/>
      <c r="M785" s="341"/>
    </row>
    <row r="786">
      <c r="E786" s="341"/>
      <c r="F786" s="341"/>
      <c r="J786" s="341"/>
      <c r="M786" s="341"/>
    </row>
    <row r="787">
      <c r="E787" s="341"/>
      <c r="F787" s="341"/>
      <c r="J787" s="341"/>
      <c r="M787" s="341"/>
    </row>
    <row r="788">
      <c r="E788" s="341"/>
      <c r="F788" s="341"/>
      <c r="J788" s="341"/>
      <c r="M788" s="341"/>
    </row>
    <row r="789">
      <c r="E789" s="341"/>
      <c r="F789" s="341"/>
      <c r="J789" s="341"/>
      <c r="M789" s="341"/>
    </row>
    <row r="790">
      <c r="E790" s="341"/>
      <c r="F790" s="341"/>
      <c r="J790" s="341"/>
      <c r="M790" s="341"/>
    </row>
    <row r="791">
      <c r="E791" s="341"/>
      <c r="F791" s="341"/>
      <c r="J791" s="341"/>
      <c r="M791" s="341"/>
    </row>
    <row r="792">
      <c r="E792" s="341"/>
      <c r="F792" s="341"/>
      <c r="J792" s="341"/>
      <c r="M792" s="341"/>
    </row>
    <row r="793">
      <c r="E793" s="341"/>
      <c r="F793" s="341"/>
      <c r="J793" s="341"/>
      <c r="M793" s="341"/>
    </row>
    <row r="794">
      <c r="E794" s="341"/>
      <c r="F794" s="341"/>
      <c r="J794" s="341"/>
      <c r="M794" s="341"/>
    </row>
    <row r="795">
      <c r="E795" s="341"/>
      <c r="F795" s="341"/>
      <c r="J795" s="341"/>
      <c r="M795" s="341"/>
    </row>
    <row r="796">
      <c r="E796" s="341"/>
      <c r="F796" s="341"/>
      <c r="J796" s="341"/>
      <c r="M796" s="341"/>
    </row>
    <row r="797">
      <c r="E797" s="341"/>
      <c r="F797" s="341"/>
      <c r="J797" s="341"/>
      <c r="M797" s="341"/>
    </row>
    <row r="798">
      <c r="E798" s="341"/>
      <c r="F798" s="341"/>
      <c r="J798" s="341"/>
      <c r="M798" s="341"/>
    </row>
    <row r="799">
      <c r="E799" s="341"/>
      <c r="F799" s="341"/>
      <c r="J799" s="341"/>
      <c r="M799" s="341"/>
    </row>
    <row r="800">
      <c r="E800" s="341"/>
      <c r="F800" s="341"/>
      <c r="J800" s="341"/>
      <c r="M800" s="341"/>
    </row>
    <row r="801">
      <c r="E801" s="341"/>
      <c r="F801" s="341"/>
      <c r="J801" s="341"/>
      <c r="M801" s="341"/>
    </row>
    <row r="802">
      <c r="E802" s="341"/>
      <c r="F802" s="341"/>
      <c r="J802" s="341"/>
      <c r="M802" s="341"/>
    </row>
    <row r="803">
      <c r="E803" s="341"/>
      <c r="F803" s="341"/>
      <c r="J803" s="341"/>
      <c r="M803" s="341"/>
    </row>
    <row r="804">
      <c r="E804" s="341"/>
      <c r="F804" s="341"/>
      <c r="J804" s="341"/>
      <c r="M804" s="341"/>
    </row>
    <row r="805">
      <c r="E805" s="341"/>
      <c r="F805" s="341"/>
      <c r="J805" s="341"/>
      <c r="M805" s="341"/>
    </row>
    <row r="806">
      <c r="E806" s="341"/>
      <c r="F806" s="341"/>
      <c r="J806" s="341"/>
      <c r="M806" s="341"/>
    </row>
    <row r="807">
      <c r="E807" s="341"/>
      <c r="F807" s="341"/>
      <c r="J807" s="341"/>
      <c r="M807" s="341"/>
    </row>
    <row r="808">
      <c r="E808" s="341"/>
      <c r="F808" s="341"/>
      <c r="J808" s="341"/>
      <c r="M808" s="341"/>
    </row>
    <row r="809">
      <c r="E809" s="341"/>
      <c r="F809" s="341"/>
      <c r="J809" s="341"/>
      <c r="M809" s="341"/>
    </row>
    <row r="810">
      <c r="E810" s="341"/>
      <c r="F810" s="341"/>
      <c r="J810" s="341"/>
      <c r="M810" s="341"/>
    </row>
    <row r="811">
      <c r="E811" s="341"/>
      <c r="F811" s="341"/>
      <c r="J811" s="341"/>
      <c r="M811" s="341"/>
    </row>
    <row r="812">
      <c r="E812" s="341"/>
      <c r="F812" s="341"/>
      <c r="J812" s="341"/>
      <c r="M812" s="341"/>
    </row>
    <row r="813">
      <c r="E813" s="341"/>
      <c r="F813" s="341"/>
      <c r="J813" s="341"/>
      <c r="M813" s="341"/>
    </row>
    <row r="814">
      <c r="E814" s="341"/>
      <c r="F814" s="341"/>
      <c r="J814" s="341"/>
      <c r="M814" s="341"/>
    </row>
    <row r="815">
      <c r="E815" s="341"/>
      <c r="F815" s="341"/>
      <c r="J815" s="341"/>
      <c r="M815" s="341"/>
    </row>
    <row r="816">
      <c r="E816" s="341"/>
      <c r="F816" s="341"/>
      <c r="J816" s="341"/>
      <c r="M816" s="341"/>
    </row>
    <row r="817">
      <c r="E817" s="341"/>
      <c r="F817" s="341"/>
      <c r="J817" s="341"/>
      <c r="M817" s="341"/>
    </row>
    <row r="818">
      <c r="E818" s="341"/>
      <c r="F818" s="341"/>
      <c r="J818" s="341"/>
      <c r="M818" s="341"/>
    </row>
    <row r="819">
      <c r="E819" s="341"/>
      <c r="F819" s="341"/>
      <c r="J819" s="341"/>
      <c r="M819" s="341"/>
    </row>
    <row r="820">
      <c r="E820" s="341"/>
      <c r="F820" s="341"/>
      <c r="J820" s="341"/>
      <c r="M820" s="341"/>
    </row>
    <row r="821">
      <c r="E821" s="341"/>
      <c r="F821" s="341"/>
      <c r="J821" s="341"/>
      <c r="M821" s="341"/>
    </row>
    <row r="822">
      <c r="E822" s="341"/>
      <c r="F822" s="341"/>
      <c r="J822" s="341"/>
      <c r="M822" s="341"/>
    </row>
    <row r="823">
      <c r="E823" s="341"/>
      <c r="F823" s="341"/>
      <c r="J823" s="341"/>
      <c r="M823" s="341"/>
    </row>
    <row r="824">
      <c r="E824" s="341"/>
      <c r="F824" s="341"/>
      <c r="J824" s="341"/>
      <c r="M824" s="341"/>
    </row>
    <row r="825">
      <c r="E825" s="341"/>
      <c r="F825" s="341"/>
      <c r="J825" s="341"/>
      <c r="M825" s="341"/>
    </row>
    <row r="826">
      <c r="E826" s="341"/>
      <c r="F826" s="341"/>
      <c r="J826" s="341"/>
      <c r="M826" s="341"/>
    </row>
    <row r="827">
      <c r="E827" s="341"/>
      <c r="F827" s="341"/>
      <c r="J827" s="341"/>
      <c r="M827" s="341"/>
    </row>
    <row r="828">
      <c r="E828" s="341"/>
      <c r="F828" s="341"/>
      <c r="J828" s="341"/>
      <c r="M828" s="341"/>
    </row>
    <row r="829">
      <c r="E829" s="341"/>
      <c r="F829" s="341"/>
      <c r="J829" s="341"/>
      <c r="M829" s="341"/>
    </row>
    <row r="830">
      <c r="E830" s="341"/>
      <c r="F830" s="341"/>
      <c r="J830" s="341"/>
      <c r="M830" s="341"/>
    </row>
    <row r="831">
      <c r="E831" s="341"/>
      <c r="F831" s="341"/>
      <c r="J831" s="341"/>
      <c r="M831" s="341"/>
    </row>
    <row r="832">
      <c r="E832" s="341"/>
      <c r="F832" s="341"/>
      <c r="J832" s="341"/>
      <c r="M832" s="341"/>
    </row>
    <row r="833">
      <c r="E833" s="341"/>
      <c r="F833" s="341"/>
      <c r="J833" s="341"/>
      <c r="M833" s="341"/>
    </row>
    <row r="834">
      <c r="E834" s="341"/>
      <c r="F834" s="341"/>
      <c r="J834" s="341"/>
      <c r="M834" s="341"/>
    </row>
    <row r="835">
      <c r="E835" s="341"/>
      <c r="F835" s="341"/>
      <c r="J835" s="341"/>
      <c r="M835" s="341"/>
    </row>
    <row r="836">
      <c r="E836" s="341"/>
      <c r="F836" s="341"/>
      <c r="J836" s="341"/>
      <c r="M836" s="341"/>
    </row>
    <row r="837">
      <c r="E837" s="341"/>
      <c r="F837" s="341"/>
      <c r="J837" s="341"/>
      <c r="M837" s="341"/>
    </row>
    <row r="838">
      <c r="E838" s="341"/>
      <c r="F838" s="341"/>
      <c r="J838" s="341"/>
      <c r="M838" s="341"/>
    </row>
    <row r="839">
      <c r="E839" s="341"/>
      <c r="F839" s="341"/>
      <c r="J839" s="341"/>
      <c r="M839" s="341"/>
    </row>
    <row r="840">
      <c r="E840" s="341"/>
      <c r="F840" s="341"/>
      <c r="J840" s="341"/>
      <c r="M840" s="341"/>
    </row>
    <row r="841">
      <c r="E841" s="341"/>
      <c r="F841" s="341"/>
      <c r="J841" s="341"/>
      <c r="M841" s="341"/>
    </row>
    <row r="842">
      <c r="E842" s="341"/>
      <c r="F842" s="341"/>
      <c r="J842" s="341"/>
      <c r="M842" s="341"/>
    </row>
    <row r="843">
      <c r="E843" s="341"/>
      <c r="F843" s="341"/>
      <c r="J843" s="341"/>
      <c r="M843" s="341"/>
    </row>
    <row r="844">
      <c r="E844" s="341"/>
      <c r="F844" s="341"/>
      <c r="J844" s="341"/>
      <c r="M844" s="341"/>
    </row>
    <row r="845">
      <c r="E845" s="341"/>
      <c r="F845" s="341"/>
      <c r="J845" s="341"/>
      <c r="M845" s="341"/>
    </row>
    <row r="846">
      <c r="E846" s="341"/>
      <c r="F846" s="341"/>
      <c r="J846" s="341"/>
      <c r="M846" s="341"/>
    </row>
    <row r="847">
      <c r="E847" s="341"/>
      <c r="F847" s="341"/>
      <c r="J847" s="341"/>
      <c r="M847" s="341"/>
    </row>
    <row r="848">
      <c r="E848" s="341"/>
      <c r="F848" s="341"/>
      <c r="J848" s="341"/>
      <c r="M848" s="341"/>
    </row>
    <row r="849">
      <c r="E849" s="341"/>
      <c r="F849" s="341"/>
      <c r="J849" s="341"/>
      <c r="M849" s="341"/>
    </row>
    <row r="850">
      <c r="E850" s="341"/>
      <c r="F850" s="341"/>
      <c r="J850" s="341"/>
      <c r="M850" s="341"/>
    </row>
    <row r="851">
      <c r="E851" s="341"/>
      <c r="F851" s="341"/>
      <c r="J851" s="341"/>
      <c r="M851" s="341"/>
    </row>
    <row r="852">
      <c r="E852" s="341"/>
      <c r="F852" s="341"/>
      <c r="J852" s="341"/>
      <c r="M852" s="341"/>
    </row>
    <row r="853">
      <c r="E853" s="341"/>
      <c r="F853" s="341"/>
      <c r="J853" s="341"/>
      <c r="M853" s="341"/>
    </row>
    <row r="854">
      <c r="E854" s="341"/>
      <c r="F854" s="341"/>
      <c r="J854" s="341"/>
      <c r="M854" s="341"/>
    </row>
    <row r="855">
      <c r="E855" s="341"/>
      <c r="F855" s="341"/>
      <c r="J855" s="341"/>
      <c r="M855" s="341"/>
    </row>
    <row r="856">
      <c r="E856" s="341"/>
      <c r="F856" s="341"/>
      <c r="J856" s="341"/>
      <c r="M856" s="341"/>
    </row>
    <row r="857">
      <c r="E857" s="341"/>
      <c r="F857" s="341"/>
      <c r="J857" s="341"/>
      <c r="M857" s="341"/>
    </row>
    <row r="858">
      <c r="E858" s="341"/>
      <c r="F858" s="341"/>
      <c r="J858" s="341"/>
      <c r="M858" s="341"/>
    </row>
    <row r="859">
      <c r="E859" s="341"/>
      <c r="F859" s="341"/>
      <c r="J859" s="341"/>
      <c r="M859" s="341"/>
    </row>
    <row r="860">
      <c r="E860" s="341"/>
      <c r="F860" s="341"/>
      <c r="J860" s="341"/>
      <c r="M860" s="341"/>
    </row>
    <row r="861">
      <c r="E861" s="341"/>
      <c r="F861" s="341"/>
      <c r="J861" s="341"/>
      <c r="M861" s="341"/>
    </row>
    <row r="862">
      <c r="E862" s="341"/>
      <c r="F862" s="341"/>
      <c r="J862" s="341"/>
      <c r="M862" s="341"/>
    </row>
    <row r="863">
      <c r="E863" s="341"/>
      <c r="F863" s="341"/>
      <c r="J863" s="341"/>
      <c r="M863" s="341"/>
    </row>
    <row r="864">
      <c r="E864" s="341"/>
      <c r="F864" s="341"/>
      <c r="J864" s="341"/>
      <c r="M864" s="341"/>
    </row>
    <row r="865">
      <c r="E865" s="341"/>
      <c r="F865" s="341"/>
      <c r="J865" s="341"/>
      <c r="M865" s="341"/>
    </row>
    <row r="866">
      <c r="E866" s="341"/>
      <c r="F866" s="341"/>
      <c r="J866" s="341"/>
      <c r="M866" s="341"/>
    </row>
    <row r="867">
      <c r="E867" s="341"/>
      <c r="F867" s="341"/>
      <c r="J867" s="341"/>
      <c r="M867" s="341"/>
    </row>
    <row r="868">
      <c r="E868" s="341"/>
      <c r="F868" s="341"/>
      <c r="J868" s="341"/>
      <c r="M868" s="341"/>
    </row>
    <row r="869">
      <c r="E869" s="341"/>
      <c r="F869" s="341"/>
      <c r="J869" s="341"/>
      <c r="M869" s="341"/>
    </row>
    <row r="870">
      <c r="E870" s="341"/>
      <c r="F870" s="341"/>
      <c r="J870" s="341"/>
      <c r="M870" s="341"/>
    </row>
    <row r="871">
      <c r="E871" s="341"/>
      <c r="F871" s="341"/>
      <c r="J871" s="341"/>
      <c r="M871" s="341"/>
    </row>
    <row r="872">
      <c r="E872" s="341"/>
      <c r="F872" s="341"/>
      <c r="J872" s="341"/>
      <c r="M872" s="341"/>
    </row>
    <row r="873">
      <c r="E873" s="341"/>
      <c r="F873" s="341"/>
      <c r="J873" s="341"/>
      <c r="M873" s="341"/>
    </row>
    <row r="874">
      <c r="E874" s="341"/>
      <c r="F874" s="341"/>
      <c r="J874" s="341"/>
      <c r="M874" s="341"/>
    </row>
    <row r="875">
      <c r="E875" s="341"/>
      <c r="F875" s="341"/>
      <c r="J875" s="341"/>
      <c r="M875" s="341"/>
    </row>
    <row r="876">
      <c r="E876" s="341"/>
      <c r="F876" s="341"/>
      <c r="J876" s="341"/>
      <c r="M876" s="341"/>
    </row>
    <row r="877">
      <c r="E877" s="341"/>
      <c r="F877" s="341"/>
      <c r="J877" s="341"/>
      <c r="M877" s="341"/>
    </row>
    <row r="878">
      <c r="E878" s="341"/>
      <c r="F878" s="341"/>
      <c r="J878" s="341"/>
      <c r="M878" s="341"/>
    </row>
    <row r="879">
      <c r="E879" s="341"/>
      <c r="F879" s="341"/>
      <c r="J879" s="341"/>
      <c r="M879" s="341"/>
    </row>
    <row r="880">
      <c r="E880" s="341"/>
      <c r="F880" s="341"/>
      <c r="J880" s="341"/>
      <c r="M880" s="341"/>
    </row>
    <row r="881">
      <c r="E881" s="341"/>
      <c r="F881" s="341"/>
      <c r="J881" s="341"/>
      <c r="M881" s="341"/>
    </row>
    <row r="882">
      <c r="E882" s="341"/>
      <c r="F882" s="341"/>
      <c r="J882" s="341"/>
      <c r="M882" s="341"/>
    </row>
    <row r="883">
      <c r="E883" s="341"/>
      <c r="F883" s="341"/>
      <c r="J883" s="341"/>
      <c r="M883" s="341"/>
    </row>
    <row r="884">
      <c r="E884" s="341"/>
      <c r="F884" s="341"/>
      <c r="J884" s="341"/>
      <c r="M884" s="341"/>
    </row>
    <row r="885">
      <c r="E885" s="341"/>
      <c r="F885" s="341"/>
      <c r="J885" s="341"/>
      <c r="M885" s="341"/>
    </row>
    <row r="886">
      <c r="E886" s="341"/>
      <c r="F886" s="341"/>
      <c r="J886" s="341"/>
      <c r="M886" s="341"/>
    </row>
    <row r="887">
      <c r="E887" s="341"/>
      <c r="F887" s="341"/>
      <c r="J887" s="341"/>
      <c r="M887" s="341"/>
    </row>
    <row r="888">
      <c r="E888" s="341"/>
      <c r="F888" s="341"/>
      <c r="J888" s="341"/>
      <c r="M888" s="341"/>
    </row>
    <row r="889">
      <c r="E889" s="341"/>
      <c r="F889" s="341"/>
      <c r="J889" s="341"/>
      <c r="M889" s="341"/>
    </row>
    <row r="890">
      <c r="E890" s="341"/>
      <c r="F890" s="341"/>
      <c r="J890" s="341"/>
      <c r="M890" s="341"/>
    </row>
    <row r="891">
      <c r="E891" s="341"/>
      <c r="F891" s="341"/>
      <c r="J891" s="341"/>
      <c r="M891" s="341"/>
    </row>
    <row r="892">
      <c r="E892" s="341"/>
      <c r="F892" s="341"/>
      <c r="J892" s="341"/>
      <c r="M892" s="341"/>
    </row>
    <row r="893">
      <c r="E893" s="341"/>
      <c r="F893" s="341"/>
      <c r="J893" s="341"/>
      <c r="M893" s="341"/>
    </row>
    <row r="894">
      <c r="E894" s="341"/>
      <c r="F894" s="341"/>
      <c r="J894" s="341"/>
      <c r="M894" s="341"/>
    </row>
    <row r="895">
      <c r="E895" s="341"/>
      <c r="F895" s="341"/>
      <c r="J895" s="341"/>
      <c r="M895" s="341"/>
    </row>
    <row r="896">
      <c r="E896" s="341"/>
      <c r="F896" s="341"/>
      <c r="J896" s="341"/>
      <c r="M896" s="341"/>
    </row>
    <row r="897">
      <c r="E897" s="341"/>
      <c r="F897" s="341"/>
      <c r="J897" s="341"/>
      <c r="M897" s="341"/>
    </row>
    <row r="898">
      <c r="E898" s="341"/>
      <c r="F898" s="341"/>
      <c r="J898" s="341"/>
      <c r="M898" s="341"/>
    </row>
    <row r="899">
      <c r="E899" s="341"/>
      <c r="F899" s="341"/>
      <c r="J899" s="341"/>
      <c r="M899" s="341"/>
    </row>
    <row r="900">
      <c r="E900" s="341"/>
      <c r="F900" s="341"/>
      <c r="J900" s="341"/>
      <c r="M900" s="341"/>
    </row>
    <row r="901">
      <c r="E901" s="341"/>
      <c r="F901" s="341"/>
      <c r="J901" s="341"/>
      <c r="M901" s="341"/>
    </row>
    <row r="902">
      <c r="E902" s="341"/>
      <c r="F902" s="341"/>
      <c r="J902" s="341"/>
      <c r="M902" s="341"/>
    </row>
    <row r="903">
      <c r="E903" s="341"/>
      <c r="F903" s="341"/>
      <c r="J903" s="341"/>
      <c r="M903" s="341"/>
    </row>
    <row r="904">
      <c r="E904" s="341"/>
      <c r="F904" s="341"/>
      <c r="J904" s="341"/>
      <c r="M904" s="341"/>
    </row>
    <row r="905">
      <c r="E905" s="341"/>
      <c r="F905" s="341"/>
      <c r="J905" s="341"/>
      <c r="M905" s="341"/>
    </row>
    <row r="906">
      <c r="E906" s="341"/>
      <c r="F906" s="341"/>
      <c r="J906" s="341"/>
      <c r="M906" s="341"/>
    </row>
    <row r="907">
      <c r="E907" s="341"/>
      <c r="F907" s="341"/>
      <c r="J907" s="341"/>
      <c r="M907" s="341"/>
    </row>
    <row r="908">
      <c r="E908" s="341"/>
      <c r="F908" s="341"/>
      <c r="J908" s="341"/>
      <c r="M908" s="341"/>
    </row>
    <row r="909">
      <c r="E909" s="341"/>
      <c r="F909" s="341"/>
      <c r="J909" s="341"/>
      <c r="M909" s="341"/>
    </row>
    <row r="910">
      <c r="E910" s="341"/>
      <c r="F910" s="341"/>
      <c r="J910" s="341"/>
      <c r="M910" s="341"/>
    </row>
    <row r="911">
      <c r="E911" s="341"/>
      <c r="F911" s="341"/>
      <c r="J911" s="341"/>
      <c r="M911" s="341"/>
    </row>
    <row r="912">
      <c r="E912" s="341"/>
      <c r="F912" s="341"/>
      <c r="J912" s="341"/>
      <c r="M912" s="341"/>
    </row>
    <row r="913">
      <c r="E913" s="341"/>
      <c r="F913" s="341"/>
      <c r="J913" s="341"/>
      <c r="M913" s="341"/>
    </row>
    <row r="914">
      <c r="E914" s="341"/>
      <c r="F914" s="341"/>
      <c r="J914" s="341"/>
      <c r="M914" s="341"/>
    </row>
    <row r="915">
      <c r="E915" s="341"/>
      <c r="F915" s="341"/>
      <c r="J915" s="341"/>
      <c r="M915" s="341"/>
    </row>
    <row r="916">
      <c r="E916" s="341"/>
      <c r="F916" s="341"/>
      <c r="J916" s="341"/>
      <c r="M916" s="341"/>
    </row>
    <row r="917">
      <c r="E917" s="341"/>
      <c r="F917" s="341"/>
      <c r="J917" s="341"/>
      <c r="M917" s="341"/>
    </row>
    <row r="918">
      <c r="E918" s="341"/>
      <c r="F918" s="341"/>
      <c r="J918" s="341"/>
      <c r="M918" s="341"/>
    </row>
    <row r="919">
      <c r="E919" s="341"/>
      <c r="F919" s="341"/>
      <c r="J919" s="341"/>
      <c r="M919" s="341"/>
    </row>
    <row r="920">
      <c r="E920" s="341"/>
      <c r="F920" s="341"/>
      <c r="J920" s="341"/>
      <c r="M920" s="341"/>
    </row>
    <row r="921">
      <c r="E921" s="341"/>
      <c r="F921" s="341"/>
      <c r="J921" s="341"/>
      <c r="M921" s="341"/>
    </row>
    <row r="922">
      <c r="E922" s="341"/>
      <c r="F922" s="341"/>
      <c r="J922" s="341"/>
      <c r="M922" s="341"/>
    </row>
    <row r="923">
      <c r="E923" s="341"/>
      <c r="F923" s="341"/>
      <c r="J923" s="341"/>
      <c r="M923" s="341"/>
    </row>
    <row r="924">
      <c r="E924" s="341"/>
      <c r="F924" s="341"/>
      <c r="J924" s="341"/>
      <c r="M924" s="341"/>
    </row>
    <row r="925">
      <c r="E925" s="341"/>
      <c r="F925" s="341"/>
      <c r="J925" s="341"/>
      <c r="M925" s="341"/>
    </row>
    <row r="926">
      <c r="E926" s="341"/>
      <c r="F926" s="341"/>
      <c r="J926" s="341"/>
      <c r="M926" s="341"/>
    </row>
    <row r="927">
      <c r="E927" s="341"/>
      <c r="F927" s="341"/>
      <c r="J927" s="341"/>
      <c r="M927" s="341"/>
    </row>
    <row r="928">
      <c r="E928" s="341"/>
      <c r="F928" s="341"/>
      <c r="J928" s="341"/>
      <c r="M928" s="341"/>
    </row>
    <row r="929">
      <c r="E929" s="341"/>
      <c r="F929" s="341"/>
      <c r="J929" s="341"/>
      <c r="M929" s="341"/>
    </row>
    <row r="930">
      <c r="E930" s="341"/>
      <c r="F930" s="341"/>
      <c r="J930" s="341"/>
      <c r="M930" s="341"/>
    </row>
    <row r="931">
      <c r="E931" s="341"/>
      <c r="F931" s="341"/>
      <c r="J931" s="341"/>
      <c r="M931" s="341"/>
    </row>
    <row r="932">
      <c r="E932" s="341"/>
      <c r="F932" s="341"/>
      <c r="J932" s="341"/>
      <c r="M932" s="341"/>
    </row>
    <row r="933">
      <c r="E933" s="341"/>
      <c r="F933" s="341"/>
      <c r="J933" s="341"/>
      <c r="M933" s="341"/>
    </row>
    <row r="934">
      <c r="E934" s="341"/>
      <c r="F934" s="341"/>
      <c r="J934" s="341"/>
      <c r="M934" s="341"/>
    </row>
    <row r="935">
      <c r="E935" s="341"/>
      <c r="F935" s="341"/>
      <c r="J935" s="341"/>
      <c r="M935" s="341"/>
    </row>
    <row r="936">
      <c r="E936" s="341"/>
      <c r="F936" s="341"/>
      <c r="J936" s="341"/>
      <c r="M936" s="341"/>
    </row>
    <row r="937">
      <c r="E937" s="341"/>
      <c r="F937" s="341"/>
      <c r="J937" s="341"/>
      <c r="M937" s="341"/>
    </row>
    <row r="938">
      <c r="E938" s="341"/>
      <c r="F938" s="341"/>
      <c r="J938" s="341"/>
      <c r="M938" s="341"/>
    </row>
    <row r="939">
      <c r="E939" s="341"/>
      <c r="F939" s="341"/>
      <c r="J939" s="341"/>
      <c r="M939" s="341"/>
    </row>
    <row r="940">
      <c r="E940" s="341"/>
      <c r="F940" s="341"/>
      <c r="J940" s="341"/>
      <c r="M940" s="341"/>
    </row>
    <row r="941">
      <c r="E941" s="341"/>
      <c r="F941" s="341"/>
      <c r="J941" s="341"/>
      <c r="M941" s="341"/>
    </row>
    <row r="942">
      <c r="E942" s="341"/>
      <c r="F942" s="341"/>
      <c r="J942" s="341"/>
      <c r="M942" s="341"/>
    </row>
    <row r="943">
      <c r="E943" s="341"/>
      <c r="F943" s="341"/>
      <c r="J943" s="341"/>
      <c r="M943" s="341"/>
    </row>
    <row r="944">
      <c r="E944" s="341"/>
      <c r="F944" s="341"/>
      <c r="J944" s="341"/>
      <c r="M944" s="341"/>
    </row>
    <row r="945">
      <c r="E945" s="341"/>
      <c r="F945" s="341"/>
      <c r="J945" s="341"/>
      <c r="M945" s="341"/>
    </row>
    <row r="946">
      <c r="E946" s="341"/>
      <c r="F946" s="341"/>
      <c r="J946" s="341"/>
      <c r="M946" s="341"/>
    </row>
    <row r="947">
      <c r="E947" s="341"/>
      <c r="F947" s="341"/>
      <c r="J947" s="341"/>
      <c r="M947" s="341"/>
    </row>
    <row r="948">
      <c r="E948" s="341"/>
      <c r="F948" s="341"/>
      <c r="J948" s="341"/>
      <c r="M948" s="341"/>
    </row>
    <row r="949">
      <c r="E949" s="341"/>
      <c r="F949" s="341"/>
      <c r="J949" s="341"/>
      <c r="M949" s="341"/>
    </row>
    <row r="950">
      <c r="E950" s="341"/>
      <c r="F950" s="341"/>
      <c r="J950" s="341"/>
      <c r="M950" s="341"/>
    </row>
    <row r="951">
      <c r="E951" s="341"/>
      <c r="F951" s="341"/>
      <c r="J951" s="341"/>
      <c r="M951" s="341"/>
    </row>
    <row r="952">
      <c r="E952" s="341"/>
      <c r="F952" s="341"/>
      <c r="J952" s="341"/>
      <c r="M952" s="341"/>
    </row>
    <row r="953">
      <c r="E953" s="341"/>
      <c r="F953" s="341"/>
      <c r="J953" s="341"/>
      <c r="M953" s="341"/>
    </row>
    <row r="954">
      <c r="E954" s="341"/>
      <c r="F954" s="341"/>
      <c r="J954" s="341"/>
      <c r="M954" s="341"/>
    </row>
    <row r="955">
      <c r="E955" s="341"/>
      <c r="F955" s="341"/>
      <c r="J955" s="341"/>
      <c r="M955" s="341"/>
    </row>
    <row r="956">
      <c r="E956" s="341"/>
      <c r="F956" s="341"/>
      <c r="J956" s="341"/>
      <c r="M956" s="341"/>
    </row>
    <row r="957">
      <c r="E957" s="341"/>
      <c r="F957" s="341"/>
      <c r="J957" s="341"/>
      <c r="M957" s="341"/>
    </row>
    <row r="958">
      <c r="E958" s="341"/>
      <c r="F958" s="341"/>
      <c r="J958" s="341"/>
      <c r="M958" s="341"/>
    </row>
    <row r="959">
      <c r="E959" s="341"/>
      <c r="F959" s="341"/>
      <c r="J959" s="341"/>
      <c r="M959" s="341"/>
    </row>
    <row r="960">
      <c r="E960" s="341"/>
      <c r="F960" s="341"/>
      <c r="J960" s="341"/>
      <c r="M960" s="341"/>
    </row>
    <row r="961">
      <c r="E961" s="341"/>
      <c r="F961" s="341"/>
      <c r="J961" s="341"/>
      <c r="M961" s="341"/>
    </row>
    <row r="962">
      <c r="E962" s="341"/>
      <c r="F962" s="341"/>
      <c r="J962" s="341"/>
      <c r="M962" s="341"/>
    </row>
    <row r="963">
      <c r="E963" s="341"/>
      <c r="F963" s="341"/>
      <c r="J963" s="341"/>
      <c r="M963" s="341"/>
    </row>
    <row r="964">
      <c r="E964" s="341"/>
      <c r="F964" s="341"/>
      <c r="J964" s="341"/>
      <c r="M964" s="341"/>
    </row>
    <row r="965">
      <c r="E965" s="341"/>
      <c r="F965" s="341"/>
      <c r="J965" s="341"/>
      <c r="M965" s="341"/>
    </row>
    <row r="966">
      <c r="E966" s="341"/>
      <c r="F966" s="341"/>
      <c r="J966" s="341"/>
      <c r="M966" s="341"/>
    </row>
    <row r="967">
      <c r="E967" s="341"/>
      <c r="F967" s="341"/>
      <c r="J967" s="341"/>
      <c r="M967" s="341"/>
    </row>
    <row r="968">
      <c r="E968" s="341"/>
      <c r="F968" s="341"/>
      <c r="J968" s="341"/>
      <c r="M968" s="341"/>
    </row>
    <row r="969">
      <c r="E969" s="341"/>
      <c r="F969" s="341"/>
      <c r="J969" s="341"/>
      <c r="M969" s="341"/>
    </row>
    <row r="970">
      <c r="E970" s="341"/>
      <c r="F970" s="341"/>
      <c r="J970" s="341"/>
      <c r="M970" s="341"/>
    </row>
    <row r="971">
      <c r="E971" s="341"/>
      <c r="F971" s="341"/>
      <c r="J971" s="341"/>
      <c r="M971" s="341"/>
    </row>
    <row r="972">
      <c r="E972" s="341"/>
      <c r="F972" s="341"/>
      <c r="J972" s="341"/>
      <c r="M972" s="341"/>
    </row>
    <row r="973">
      <c r="E973" s="341"/>
      <c r="F973" s="341"/>
      <c r="J973" s="341"/>
      <c r="M973" s="341"/>
    </row>
    <row r="974">
      <c r="E974" s="341"/>
      <c r="F974" s="341"/>
      <c r="J974" s="341"/>
      <c r="M974" s="341"/>
    </row>
    <row r="975">
      <c r="E975" s="341"/>
      <c r="F975" s="341"/>
      <c r="J975" s="341"/>
      <c r="M975" s="341"/>
    </row>
    <row r="976">
      <c r="E976" s="341"/>
      <c r="F976" s="341"/>
      <c r="J976" s="341"/>
      <c r="M976" s="341"/>
    </row>
    <row r="977">
      <c r="E977" s="341"/>
      <c r="F977" s="341"/>
      <c r="J977" s="341"/>
      <c r="M977" s="341"/>
    </row>
    <row r="978">
      <c r="E978" s="341"/>
      <c r="F978" s="341"/>
      <c r="J978" s="341"/>
      <c r="M978" s="341"/>
    </row>
    <row r="979">
      <c r="E979" s="341"/>
      <c r="F979" s="341"/>
      <c r="J979" s="341"/>
      <c r="M979" s="341"/>
    </row>
    <row r="980">
      <c r="E980" s="341"/>
      <c r="F980" s="341"/>
      <c r="J980" s="341"/>
      <c r="M980" s="341"/>
    </row>
    <row r="981">
      <c r="E981" s="341"/>
      <c r="F981" s="341"/>
      <c r="J981" s="341"/>
      <c r="M981" s="341"/>
    </row>
    <row r="982">
      <c r="E982" s="341"/>
      <c r="F982" s="341"/>
      <c r="J982" s="341"/>
      <c r="M982" s="341"/>
    </row>
    <row r="983">
      <c r="E983" s="341"/>
      <c r="F983" s="341"/>
      <c r="J983" s="341"/>
      <c r="M983" s="341"/>
    </row>
    <row r="984">
      <c r="E984" s="341"/>
      <c r="F984" s="341"/>
      <c r="J984" s="341"/>
      <c r="M984" s="341"/>
    </row>
    <row r="985">
      <c r="E985" s="341"/>
      <c r="F985" s="341"/>
      <c r="J985" s="341"/>
      <c r="M985" s="341"/>
    </row>
    <row r="986">
      <c r="E986" s="341"/>
      <c r="F986" s="341"/>
      <c r="J986" s="341"/>
      <c r="M986" s="341"/>
    </row>
    <row r="987">
      <c r="E987" s="341"/>
      <c r="F987" s="341"/>
      <c r="J987" s="341"/>
      <c r="M987" s="341"/>
    </row>
    <row r="988">
      <c r="E988" s="341"/>
      <c r="F988" s="341"/>
      <c r="J988" s="341"/>
      <c r="M988" s="341"/>
    </row>
    <row r="989">
      <c r="E989" s="341"/>
      <c r="F989" s="341"/>
      <c r="J989" s="341"/>
      <c r="M989" s="341"/>
    </row>
    <row r="990">
      <c r="E990" s="341"/>
      <c r="F990" s="341"/>
      <c r="J990" s="341"/>
      <c r="M990" s="341"/>
    </row>
    <row r="991">
      <c r="E991" s="341"/>
      <c r="F991" s="341"/>
      <c r="J991" s="341"/>
      <c r="M991" s="341"/>
    </row>
    <row r="992">
      <c r="E992" s="341"/>
      <c r="F992" s="341"/>
      <c r="J992" s="341"/>
      <c r="M992" s="341"/>
    </row>
    <row r="993">
      <c r="E993" s="341"/>
      <c r="F993" s="341"/>
      <c r="J993" s="341"/>
      <c r="M993" s="341"/>
    </row>
    <row r="994">
      <c r="E994" s="341"/>
      <c r="F994" s="341"/>
      <c r="J994" s="341"/>
      <c r="M994" s="341"/>
    </row>
    <row r="995">
      <c r="E995" s="341"/>
      <c r="F995" s="341"/>
      <c r="J995" s="341"/>
      <c r="M995" s="341"/>
    </row>
    <row r="996">
      <c r="E996" s="341"/>
      <c r="F996" s="341"/>
      <c r="J996" s="341"/>
      <c r="M996" s="341"/>
    </row>
    <row r="997">
      <c r="E997" s="341"/>
      <c r="F997" s="341"/>
      <c r="J997" s="341"/>
      <c r="M997" s="341"/>
    </row>
    <row r="998">
      <c r="E998" s="341"/>
      <c r="F998" s="341"/>
      <c r="J998" s="341"/>
      <c r="M998" s="341"/>
    </row>
    <row r="999">
      <c r="E999" s="341"/>
      <c r="F999" s="341"/>
      <c r="J999" s="341"/>
      <c r="M999" s="341"/>
    </row>
    <row r="1000">
      <c r="E1000" s="341"/>
      <c r="F1000" s="341"/>
      <c r="J1000" s="341"/>
      <c r="M1000" s="341"/>
    </row>
    <row r="1001">
      <c r="E1001" s="341"/>
      <c r="F1001" s="341"/>
      <c r="J1001" s="341"/>
      <c r="M1001" s="341"/>
    </row>
    <row r="1002">
      <c r="E1002" s="341"/>
      <c r="F1002" s="341"/>
      <c r="J1002" s="341"/>
      <c r="M1002" s="341"/>
    </row>
    <row r="1003">
      <c r="E1003" s="341"/>
      <c r="F1003" s="341"/>
      <c r="J1003" s="341"/>
      <c r="M1003" s="341"/>
    </row>
    <row r="1004">
      <c r="E1004" s="341"/>
      <c r="F1004" s="341"/>
      <c r="J1004" s="341"/>
      <c r="M1004" s="341"/>
    </row>
    <row r="1005">
      <c r="E1005" s="341"/>
      <c r="F1005" s="341"/>
      <c r="J1005" s="341"/>
      <c r="M1005" s="341"/>
    </row>
    <row r="1006">
      <c r="E1006" s="341"/>
      <c r="F1006" s="341"/>
      <c r="J1006" s="341"/>
      <c r="M1006" s="341"/>
    </row>
    <row r="1007">
      <c r="E1007" s="341"/>
      <c r="F1007" s="341"/>
      <c r="J1007" s="341"/>
      <c r="M1007" s="341"/>
    </row>
    <row r="1008">
      <c r="E1008" s="341"/>
      <c r="F1008" s="341"/>
      <c r="J1008" s="341"/>
      <c r="M1008" s="341"/>
    </row>
    <row r="1009">
      <c r="E1009" s="341"/>
      <c r="F1009" s="341"/>
      <c r="J1009" s="341"/>
      <c r="M1009" s="341"/>
    </row>
    <row r="1010">
      <c r="E1010" s="341"/>
      <c r="F1010" s="341"/>
      <c r="J1010" s="341"/>
      <c r="M1010" s="341"/>
    </row>
    <row r="1011">
      <c r="E1011" s="341"/>
      <c r="F1011" s="341"/>
      <c r="J1011" s="341"/>
      <c r="M1011" s="341"/>
    </row>
    <row r="1012">
      <c r="E1012" s="341"/>
      <c r="F1012" s="341"/>
      <c r="J1012" s="341"/>
      <c r="M1012" s="341"/>
    </row>
    <row r="1013">
      <c r="E1013" s="341"/>
      <c r="F1013" s="341"/>
      <c r="J1013" s="341"/>
      <c r="M1013" s="341"/>
    </row>
    <row r="1014">
      <c r="E1014" s="341"/>
      <c r="F1014" s="341"/>
      <c r="J1014" s="341"/>
      <c r="M1014" s="341"/>
    </row>
    <row r="1015">
      <c r="E1015" s="341"/>
      <c r="F1015" s="341"/>
      <c r="J1015" s="341"/>
      <c r="M1015" s="341"/>
    </row>
    <row r="1016">
      <c r="E1016" s="341"/>
      <c r="F1016" s="341"/>
      <c r="J1016" s="341"/>
      <c r="M1016" s="341"/>
    </row>
    <row r="1017">
      <c r="E1017" s="341"/>
      <c r="F1017" s="341"/>
      <c r="J1017" s="341"/>
      <c r="M1017" s="341"/>
    </row>
    <row r="1018">
      <c r="E1018" s="341"/>
      <c r="F1018" s="341"/>
      <c r="J1018" s="341"/>
      <c r="M1018" s="341"/>
    </row>
    <row r="1019">
      <c r="E1019" s="341"/>
      <c r="F1019" s="341"/>
      <c r="J1019" s="341"/>
      <c r="M1019" s="341"/>
    </row>
    <row r="1020">
      <c r="E1020" s="341"/>
      <c r="F1020" s="341"/>
      <c r="J1020" s="341"/>
      <c r="M1020" s="341"/>
    </row>
    <row r="1021">
      <c r="E1021" s="341"/>
      <c r="F1021" s="341"/>
      <c r="J1021" s="341"/>
      <c r="M1021" s="341"/>
    </row>
    <row r="1022">
      <c r="E1022" s="341"/>
      <c r="F1022" s="341"/>
      <c r="J1022" s="341"/>
      <c r="M1022" s="341"/>
    </row>
    <row r="1023">
      <c r="E1023" s="341"/>
      <c r="F1023" s="341"/>
      <c r="J1023" s="341"/>
      <c r="M1023" s="341"/>
    </row>
    <row r="1024">
      <c r="E1024" s="341"/>
      <c r="F1024" s="341"/>
      <c r="J1024" s="341"/>
      <c r="M1024" s="341"/>
    </row>
    <row r="1025">
      <c r="E1025" s="341"/>
      <c r="F1025" s="341"/>
      <c r="J1025" s="341"/>
      <c r="M1025" s="341"/>
    </row>
    <row r="1026">
      <c r="E1026" s="341"/>
      <c r="F1026" s="341"/>
      <c r="J1026" s="341"/>
      <c r="M1026" s="341"/>
    </row>
    <row r="1027">
      <c r="E1027" s="341"/>
      <c r="F1027" s="341"/>
      <c r="J1027" s="341"/>
      <c r="M1027" s="341"/>
    </row>
    <row r="1028">
      <c r="E1028" s="341"/>
      <c r="F1028" s="341"/>
      <c r="J1028" s="341"/>
      <c r="M1028" s="341"/>
    </row>
    <row r="1029">
      <c r="E1029" s="341"/>
      <c r="F1029" s="341"/>
      <c r="J1029" s="341"/>
      <c r="M1029" s="341"/>
    </row>
    <row r="1030">
      <c r="E1030" s="341"/>
      <c r="F1030" s="341"/>
      <c r="J1030" s="341"/>
      <c r="M1030" s="341"/>
    </row>
    <row r="1031">
      <c r="E1031" s="341"/>
      <c r="F1031" s="341"/>
      <c r="J1031" s="341"/>
      <c r="M1031" s="341"/>
    </row>
    <row r="1032">
      <c r="E1032" s="341"/>
      <c r="F1032" s="341"/>
      <c r="J1032" s="341"/>
      <c r="M1032" s="341"/>
    </row>
    <row r="1033">
      <c r="E1033" s="341"/>
      <c r="F1033" s="341"/>
      <c r="J1033" s="341"/>
      <c r="M1033" s="341"/>
    </row>
    <row r="1034">
      <c r="E1034" s="341"/>
      <c r="F1034" s="341"/>
      <c r="J1034" s="341"/>
      <c r="M1034" s="341"/>
    </row>
    <row r="1035">
      <c r="E1035" s="341"/>
      <c r="F1035" s="341"/>
      <c r="J1035" s="341"/>
      <c r="M1035" s="341"/>
    </row>
    <row r="1036">
      <c r="E1036" s="341"/>
      <c r="F1036" s="341"/>
      <c r="J1036" s="341"/>
      <c r="M1036" s="341"/>
    </row>
    <row r="1037">
      <c r="E1037" s="341"/>
      <c r="F1037" s="341"/>
      <c r="J1037" s="341"/>
      <c r="M1037" s="341"/>
    </row>
    <row r="1038">
      <c r="E1038" s="341"/>
      <c r="F1038" s="341"/>
      <c r="J1038" s="341"/>
      <c r="M1038" s="341"/>
    </row>
    <row r="1039">
      <c r="E1039" s="341"/>
      <c r="F1039" s="341"/>
      <c r="J1039" s="341"/>
      <c r="M1039" s="341"/>
    </row>
    <row r="1040">
      <c r="E1040" s="341"/>
      <c r="F1040" s="341"/>
      <c r="J1040" s="341"/>
      <c r="M1040" s="341"/>
    </row>
  </sheetData>
  <autoFilter ref="$A$1:$AM$97"/>
  <dataValidations>
    <dataValidation type="list" allowBlank="1" showErrorMessage="1" sqref="I2:I97">
      <formula1>"01.Usaquén,02.Chapinero,03.Santa Fe,04.San Cristóbal,05.Usme,06.Tunjuelito,07.Bosa,08.Kennedy,09.Fontibón,10.Engativá,11.Suba,12.Barrios Unidos,13.Teusaquillo,14.Los Mártires,15.Antonio Nariño,16.Puente Aranda,17.La Candelaria,18.Rafael Uribe Uribe,19.Ciu"&amp;"dad Bolívar,20.Sumapaz,N/A"</formula1>
    </dataValidation>
    <dataValidation type="list" allowBlank="1" showErrorMessage="1" sqref="B2:B97">
      <formula1>"1,2,3,4,5,6,7,8,9,10,11,12"</formula1>
    </dataValidation>
    <dataValidation type="list" allowBlank="1" showErrorMessage="1" sqref="O2:O97">
      <formula1>"Asesor,Edil"</formula1>
    </dataValidation>
    <dataValidation type="list" allowBlank="1" sqref="A2:A97">
      <formula1>"2024,2025,2026,2027 "</formula1>
    </dataValidation>
    <dataValidation type="list" allowBlank="1" showErrorMessage="1" sqref="P2:P97">
      <formula1>"Alexandra García ,Angie Benitez,Angie Serrano,Fernando Samora,Jairo Jaramillo,Julián Scarpetta,Katherine Galindo,Maicol Quiroga,No se solicita ayuda,N/A"</formula1>
    </dataValidation>
    <dataValidation type="list" allowBlank="1" showErrorMessage="1" sqref="L2:L97">
      <formula1>"Apoyo Bancada,Apoyo Ciudadano,Derecho de petición,Gestión Comunidades,Invitaciones Institucionales,Mesas técnicas,Mesas de trabajo,Relacionamiento Público"</formula1>
    </dataValidation>
    <dataValidation type="list" allowBlank="1" showErrorMessage="1" sqref="C2:C44 C48:C59 C61:C65 C69:C75 C77:C97">
      <formula1>"Enero,Febrero,Marzo,Abril,Mayo,Junio,Julio,Agosto,Septiembre,Octubre,Diciembre,Noviembre ,N/A"</formula1>
    </dataValidation>
    <dataValidation type="list" allowBlank="1" showErrorMessage="1" sqref="G2:G97">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N2:N97">
      <formula1>"Pendiente,Positivo,Negativo,N/A"</formula1>
    </dataValidation>
    <dataValidation type="list" allowBlank="1" showErrorMessage="1" sqref="H2:H97">
      <formula1>"Secretaría General,Departamento Administrativo del Servicio Civil Distrital - Dascd,Secretaría Distrital de Gobierno,Departamento Administrativo de la Defensoría del Espacio Público - Dadep,Instituto Distrital de la Participación y Acción Comunal - IDPAC,"&amp;"Secretaría Distrital de Hacienda,Fondo de Prestaciones Económicas, Cesantías y Pensiones - FONCEP,Unidad Administrativa Especial de Catastro Distrital - UAECD,Lotería de Bogotá,Secretaría Distrital de Planeación,Secretaría Distrital de Desarrollo Económic"&amp;"o,Instituto Para la Economía Social - IPES,Instituto Distrital de Turismo,Corporación para el Desarrollo y la Productividad -BOGOTÁ REGIÓN,Secretaría de Educación del Distrito,Instituto Distrital para la Investigacion Educativa y el Desarrollo Pedagógico "&amp;"- IDEP,Secretaría Distrital de Salud,Fondo Financiero Distrital de Salud - FFDS,Subredes Integradas de Servicios de Salud E.S.E.s,Capital Salud EPS-S SAS,Entidad Asesora de Gestión Administrativa y Técnica,Instituto Distrital deCiencia, Biotecnología Inno"&amp;"vación en Salud-IDCBIS,Secretaría Distrital de Integración Social,Instituto Distrital para la Protección de la Niñez y la Juventud - IDIPRON,Secretaría Distrital de Cultura, Recreación y Deporte,Inst. Dist. de Recreación y Deporte - IDRD,Inst. Dist. de Pa"&amp;"trimonio Cultural - IDPC,Instituto Distrital de las Artes - IDARTES,Secretaría Distrital de Ambiente,Instituto Distrital de Protección y Bienestar Animal - IDPYBA,Instituto Distrital de Gestión de Riesgos y Cambio Climático - IDIGER,Secretaría Distrital d"&amp;"e Movilidad,UAE de Rehabilitación y Mantenimiento Vial - UAERMV,Instituto de Desarrollo Urbano - IDU,Empresa de Transporte del Tercer Milenio Transmilenio S.A.,Empresa Metro de Bogotá S.A.,Secretaría Distrital del Hábitat,Unidad Administrativa Especial de"&amp;" Servicios Públicos - UAESP,Caja de Vivienda Popular - CVP,Empresa de Renovación y Desarrollo Urbano de Bogotá D.C.,Empresa de Energía de Bogotá S.A. - EEB - ESP,Empresa de Acueducto y Alcantarillado de Bogotá -ESP,Empresa de Telecomunicaciones de Bogotá "&amp;"S.A. ESP - ETB,Secretaría Distrital de la Mujer,Secretaría Distrital de Seguridad, Convivencia y Justicia,UAE Cuerpo Oficial de Bomberos de Bogota,Enel - Codensa,Secretaría Jurídica Distrital,Alcaldía Mayor de Bogotá,Alcaldias Locales,Contraloría Distrita"&amp;"l,Personería Distrital,Policía Nacional,Registraduría,Veeduría Distrital,Superintendencia de Salud,Superintendencia de servicios públicos,Area Metropolitana,Alta Consejeria TIC,Unidad de mantenimiento vial - UMV,Concejo Distrital,Congreso,Camara de Comerc"&amp;"io,Concejo Como Vamos,Fiscalía General de la Nación ,Defensoria del Pueblo,Cámara de comercio de Bogotá,VANTI,SENA,Jardín botánico,Otras,N/A"</formula1>
    </dataValidation>
    <dataValidation type="list" allowBlank="1" showErrorMessage="1" sqref="C45:C47 C60 C66:C68 C76">
      <formula1>"Enero,Febrero,Marzo,Abril,Mayo,Junio,Julio,Agosto,Septiembre,Octubre,Noviembre ,Diciembre,N/A"</formula1>
    </dataValidation>
    <dataValidation type="list" allowBlank="1" showErrorMessage="1" sqref="Q2:Q97">
      <formula1>"SI,NO"</formula1>
    </dataValidation>
    <dataValidation type="list" allowBlank="1" showErrorMessage="1" sqref="K2:K97">
      <formula1>"En Proceso,Pendiente,Finalizado,N/A"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25.5"/>
    <col customWidth="1" min="2" max="4" width="17.38"/>
    <col customWidth="1" min="5" max="5" width="20.0"/>
    <col customWidth="1" min="6" max="6" width="73.38"/>
    <col customWidth="1" min="7" max="7" width="20.38"/>
  </cols>
  <sheetData>
    <row r="1" ht="50.25" customHeight="1">
      <c r="A1" s="342" t="s">
        <v>1332</v>
      </c>
      <c r="B1" s="342" t="s">
        <v>1147</v>
      </c>
      <c r="C1" s="342" t="s">
        <v>1333</v>
      </c>
      <c r="D1" s="342" t="s">
        <v>30</v>
      </c>
      <c r="E1" s="342" t="s">
        <v>1145</v>
      </c>
      <c r="F1" s="342" t="s">
        <v>1334</v>
      </c>
      <c r="G1" s="343"/>
    </row>
    <row r="2">
      <c r="A2" s="344" t="s">
        <v>1335</v>
      </c>
      <c r="B2" s="91" t="s">
        <v>1336</v>
      </c>
      <c r="C2" s="91" t="s">
        <v>1337</v>
      </c>
      <c r="D2" s="91" t="s">
        <v>1338</v>
      </c>
      <c r="E2" s="91" t="s">
        <v>1339</v>
      </c>
      <c r="F2" s="91" t="s">
        <v>1340</v>
      </c>
      <c r="G2" s="345"/>
    </row>
    <row r="3">
      <c r="A3" s="344" t="s">
        <v>1335</v>
      </c>
      <c r="B3" s="91" t="s">
        <v>1336</v>
      </c>
      <c r="C3" s="91" t="s">
        <v>1337</v>
      </c>
      <c r="D3" s="91" t="s">
        <v>1338</v>
      </c>
      <c r="E3" s="91" t="s">
        <v>1341</v>
      </c>
      <c r="F3" s="91" t="s">
        <v>1342</v>
      </c>
      <c r="G3" s="345"/>
    </row>
    <row r="4">
      <c r="A4" s="91" t="s">
        <v>1343</v>
      </c>
      <c r="B4" s="91" t="s">
        <v>1336</v>
      </c>
      <c r="C4" s="91" t="s">
        <v>1337</v>
      </c>
      <c r="D4" s="91" t="s">
        <v>1338</v>
      </c>
      <c r="E4" s="91" t="s">
        <v>1344</v>
      </c>
      <c r="F4" s="346" t="s">
        <v>1345</v>
      </c>
      <c r="G4" s="345"/>
    </row>
    <row r="5">
      <c r="A5" s="91" t="s">
        <v>1343</v>
      </c>
      <c r="B5" s="91" t="s">
        <v>1336</v>
      </c>
      <c r="C5" s="91" t="s">
        <v>1337</v>
      </c>
      <c r="D5" s="91" t="s">
        <v>1338</v>
      </c>
      <c r="E5" s="91" t="s">
        <v>1341</v>
      </c>
      <c r="F5" s="344" t="s">
        <v>1346</v>
      </c>
      <c r="G5" s="345"/>
    </row>
    <row r="6">
      <c r="A6" s="347" t="s">
        <v>1347</v>
      </c>
      <c r="B6" s="91" t="s">
        <v>1348</v>
      </c>
      <c r="C6" s="91" t="s">
        <v>1349</v>
      </c>
      <c r="D6" s="91" t="s">
        <v>1350</v>
      </c>
      <c r="E6" s="91" t="s">
        <v>1344</v>
      </c>
      <c r="F6" s="91" t="s">
        <v>1351</v>
      </c>
      <c r="G6" s="345"/>
    </row>
    <row r="7">
      <c r="A7" s="91" t="s">
        <v>1352</v>
      </c>
      <c r="B7" s="348" t="s">
        <v>1353</v>
      </c>
      <c r="C7" s="348" t="s">
        <v>1354</v>
      </c>
      <c r="D7" s="91" t="s">
        <v>1355</v>
      </c>
      <c r="E7" s="348" t="s">
        <v>1356</v>
      </c>
      <c r="F7" s="91" t="s">
        <v>1357</v>
      </c>
      <c r="G7" s="345"/>
    </row>
    <row r="8">
      <c r="A8" s="91" t="s">
        <v>1358</v>
      </c>
      <c r="B8" s="348" t="s">
        <v>1353</v>
      </c>
      <c r="C8" s="348" t="s">
        <v>1354</v>
      </c>
      <c r="D8" s="91" t="s">
        <v>1355</v>
      </c>
      <c r="E8" s="91" t="s">
        <v>1359</v>
      </c>
      <c r="F8" s="91" t="s">
        <v>1360</v>
      </c>
      <c r="G8" s="345"/>
    </row>
    <row r="9">
      <c r="A9" s="348" t="s">
        <v>1361</v>
      </c>
      <c r="B9" s="348" t="s">
        <v>1362</v>
      </c>
      <c r="C9" s="345"/>
      <c r="D9" s="345"/>
      <c r="E9" s="345"/>
      <c r="F9" s="91" t="s">
        <v>1363</v>
      </c>
      <c r="G9" s="345"/>
    </row>
    <row r="10">
      <c r="A10" s="91" t="s">
        <v>1364</v>
      </c>
      <c r="B10" s="91" t="s">
        <v>1365</v>
      </c>
      <c r="C10" s="91" t="s">
        <v>1366</v>
      </c>
      <c r="D10" s="91" t="s">
        <v>1367</v>
      </c>
      <c r="E10" s="91" t="s">
        <v>1341</v>
      </c>
      <c r="F10" s="91" t="s">
        <v>1368</v>
      </c>
      <c r="G10" s="345"/>
    </row>
    <row r="11">
      <c r="A11" s="91" t="s">
        <v>1364</v>
      </c>
      <c r="B11" s="91" t="s">
        <v>1365</v>
      </c>
      <c r="C11" s="91" t="s">
        <v>1366</v>
      </c>
      <c r="D11" s="91" t="s">
        <v>1367</v>
      </c>
      <c r="E11" s="348" t="s">
        <v>1344</v>
      </c>
      <c r="F11" s="91" t="s">
        <v>1369</v>
      </c>
      <c r="G11" s="345"/>
    </row>
    <row r="12">
      <c r="A12" s="91" t="s">
        <v>1370</v>
      </c>
      <c r="B12" s="348" t="s">
        <v>1371</v>
      </c>
      <c r="C12" s="348" t="s">
        <v>1372</v>
      </c>
      <c r="D12" s="348" t="s">
        <v>1355</v>
      </c>
      <c r="E12" s="348" t="s">
        <v>1373</v>
      </c>
      <c r="F12" s="91" t="s">
        <v>1374</v>
      </c>
      <c r="G12" s="345"/>
    </row>
    <row r="13">
      <c r="A13" s="91" t="s">
        <v>1370</v>
      </c>
      <c r="B13" s="348" t="s">
        <v>1371</v>
      </c>
      <c r="C13" s="348" t="s">
        <v>1372</v>
      </c>
      <c r="D13" s="348" t="s">
        <v>1355</v>
      </c>
      <c r="E13" s="348" t="s">
        <v>1375</v>
      </c>
      <c r="F13" s="91" t="s">
        <v>1376</v>
      </c>
      <c r="G13" s="345"/>
    </row>
    <row r="14">
      <c r="A14" s="91" t="s">
        <v>1370</v>
      </c>
      <c r="B14" s="348" t="s">
        <v>1371</v>
      </c>
      <c r="C14" s="348" t="s">
        <v>1372</v>
      </c>
      <c r="D14" s="348" t="s">
        <v>1355</v>
      </c>
      <c r="E14" s="348" t="s">
        <v>1373</v>
      </c>
      <c r="F14" s="91" t="s">
        <v>1377</v>
      </c>
      <c r="G14" s="345"/>
    </row>
    <row r="15">
      <c r="A15" s="91" t="s">
        <v>1378</v>
      </c>
      <c r="B15" s="348" t="s">
        <v>1379</v>
      </c>
      <c r="C15" s="348" t="s">
        <v>1380</v>
      </c>
      <c r="D15" s="348" t="s">
        <v>1355</v>
      </c>
      <c r="E15" s="348" t="s">
        <v>1381</v>
      </c>
      <c r="F15" s="91" t="s">
        <v>1382</v>
      </c>
      <c r="G15" s="345"/>
    </row>
    <row r="16">
      <c r="A16" s="91" t="s">
        <v>1378</v>
      </c>
      <c r="B16" s="348" t="s">
        <v>1379</v>
      </c>
      <c r="C16" s="348" t="s">
        <v>1380</v>
      </c>
      <c r="D16" s="348" t="s">
        <v>1355</v>
      </c>
      <c r="E16" s="348" t="s">
        <v>1341</v>
      </c>
      <c r="F16" s="91" t="s">
        <v>1383</v>
      </c>
      <c r="G16" s="345"/>
    </row>
    <row r="17">
      <c r="A17" s="91" t="s">
        <v>1378</v>
      </c>
      <c r="B17" s="348" t="s">
        <v>1379</v>
      </c>
      <c r="C17" s="348" t="s">
        <v>1380</v>
      </c>
      <c r="D17" s="348" t="s">
        <v>1355</v>
      </c>
      <c r="E17" s="348" t="s">
        <v>1381</v>
      </c>
      <c r="F17" s="91" t="s">
        <v>1384</v>
      </c>
      <c r="G17" s="345"/>
    </row>
    <row r="18">
      <c r="A18" s="348" t="s">
        <v>1385</v>
      </c>
      <c r="B18" s="348" t="s">
        <v>1386</v>
      </c>
      <c r="C18" s="348" t="s">
        <v>1387</v>
      </c>
      <c r="D18" s="348" t="s">
        <v>1350</v>
      </c>
      <c r="E18" s="348" t="s">
        <v>1388</v>
      </c>
      <c r="F18" s="91" t="s">
        <v>1389</v>
      </c>
      <c r="G18" s="345"/>
    </row>
    <row r="19">
      <c r="A19" s="348" t="s">
        <v>1385</v>
      </c>
      <c r="B19" s="348" t="s">
        <v>1386</v>
      </c>
      <c r="C19" s="348" t="s">
        <v>1387</v>
      </c>
      <c r="D19" s="348" t="s">
        <v>1350</v>
      </c>
      <c r="E19" s="348" t="s">
        <v>1341</v>
      </c>
      <c r="F19" s="91" t="s">
        <v>1390</v>
      </c>
      <c r="G19" s="345"/>
    </row>
    <row r="20">
      <c r="A20" s="348" t="s">
        <v>1385</v>
      </c>
      <c r="B20" s="348" t="s">
        <v>1386</v>
      </c>
      <c r="C20" s="348" t="s">
        <v>1387</v>
      </c>
      <c r="D20" s="348" t="s">
        <v>1350</v>
      </c>
      <c r="E20" s="348" t="s">
        <v>1391</v>
      </c>
      <c r="F20" s="91" t="s">
        <v>1392</v>
      </c>
      <c r="G20" s="345"/>
    </row>
    <row r="21">
      <c r="A21" s="348" t="s">
        <v>1385</v>
      </c>
      <c r="B21" s="348" t="s">
        <v>1386</v>
      </c>
      <c r="C21" s="348" t="s">
        <v>1387</v>
      </c>
      <c r="D21" s="348" t="s">
        <v>1350</v>
      </c>
      <c r="E21" s="348" t="s">
        <v>1341</v>
      </c>
      <c r="F21" s="91" t="s">
        <v>1393</v>
      </c>
      <c r="G21" s="345"/>
    </row>
    <row r="22">
      <c r="A22" s="91" t="s">
        <v>1394</v>
      </c>
      <c r="B22" s="348" t="s">
        <v>1395</v>
      </c>
      <c r="C22" s="348" t="s">
        <v>1396</v>
      </c>
      <c r="D22" s="348" t="s">
        <v>1397</v>
      </c>
      <c r="E22" s="348" t="s">
        <v>1398</v>
      </c>
      <c r="F22" s="91" t="s">
        <v>1399</v>
      </c>
      <c r="G22" s="345"/>
    </row>
    <row r="23">
      <c r="A23" s="91" t="s">
        <v>1400</v>
      </c>
      <c r="B23" s="91" t="s">
        <v>1401</v>
      </c>
      <c r="C23" s="91" t="s">
        <v>1402</v>
      </c>
      <c r="D23" s="91" t="s">
        <v>57</v>
      </c>
      <c r="E23" s="91" t="s">
        <v>1381</v>
      </c>
      <c r="F23" s="91" t="s">
        <v>1403</v>
      </c>
      <c r="G23" s="345"/>
    </row>
    <row r="24">
      <c r="A24" s="91" t="s">
        <v>1404</v>
      </c>
      <c r="B24" s="348" t="s">
        <v>1405</v>
      </c>
      <c r="C24" s="348" t="s">
        <v>1338</v>
      </c>
      <c r="D24" s="348" t="s">
        <v>1338</v>
      </c>
      <c r="E24" s="345"/>
      <c r="F24" s="91" t="s">
        <v>1406</v>
      </c>
      <c r="G24" s="345"/>
    </row>
    <row r="25">
      <c r="A25" s="91" t="s">
        <v>1407</v>
      </c>
      <c r="B25" s="348" t="s">
        <v>1350</v>
      </c>
      <c r="C25" s="348" t="s">
        <v>1408</v>
      </c>
      <c r="D25" s="348" t="s">
        <v>1350</v>
      </c>
      <c r="E25" s="348" t="s">
        <v>1344</v>
      </c>
      <c r="F25" s="91" t="s">
        <v>1409</v>
      </c>
      <c r="G25" s="345"/>
    </row>
    <row r="26">
      <c r="A26" s="91" t="s">
        <v>1407</v>
      </c>
      <c r="B26" s="348" t="s">
        <v>1350</v>
      </c>
      <c r="C26" s="348" t="s">
        <v>1408</v>
      </c>
      <c r="D26" s="348" t="s">
        <v>1350</v>
      </c>
      <c r="E26" s="348" t="s">
        <v>1344</v>
      </c>
      <c r="F26" s="91" t="s">
        <v>1410</v>
      </c>
      <c r="G26" s="345"/>
    </row>
    <row r="27">
      <c r="A27" s="91" t="s">
        <v>1407</v>
      </c>
      <c r="B27" s="348" t="s">
        <v>1350</v>
      </c>
      <c r="C27" s="348" t="s">
        <v>1408</v>
      </c>
      <c r="D27" s="348" t="s">
        <v>1350</v>
      </c>
      <c r="E27" s="92" t="s">
        <v>1398</v>
      </c>
      <c r="F27" s="158" t="s">
        <v>1411</v>
      </c>
      <c r="G27" s="297"/>
    </row>
    <row r="28">
      <c r="A28" s="91" t="s">
        <v>1407</v>
      </c>
      <c r="B28" s="348" t="s">
        <v>1350</v>
      </c>
      <c r="C28" s="348" t="s">
        <v>1408</v>
      </c>
      <c r="D28" s="348" t="s">
        <v>1350</v>
      </c>
      <c r="E28" s="348" t="s">
        <v>1344</v>
      </c>
      <c r="F28" s="349" t="s">
        <v>1412</v>
      </c>
      <c r="G28" s="297"/>
    </row>
    <row r="29">
      <c r="A29" s="91" t="s">
        <v>1413</v>
      </c>
      <c r="B29" s="91" t="s">
        <v>1414</v>
      </c>
      <c r="C29" s="91" t="s">
        <v>1415</v>
      </c>
      <c r="D29" s="91" t="s">
        <v>1397</v>
      </c>
      <c r="E29" s="91" t="s">
        <v>1416</v>
      </c>
      <c r="F29" s="91" t="s">
        <v>1417</v>
      </c>
      <c r="G29" s="345"/>
    </row>
    <row r="30">
      <c r="A30" s="91" t="s">
        <v>1418</v>
      </c>
      <c r="B30" s="91" t="s">
        <v>1419</v>
      </c>
      <c r="C30" s="91" t="s">
        <v>1420</v>
      </c>
      <c r="D30" s="91" t="s">
        <v>1397</v>
      </c>
      <c r="E30" s="91" t="s">
        <v>1398</v>
      </c>
      <c r="F30" s="91" t="s">
        <v>1421</v>
      </c>
      <c r="G30" s="345"/>
    </row>
    <row r="31">
      <c r="A31" s="348" t="s">
        <v>1422</v>
      </c>
      <c r="B31" s="348" t="s">
        <v>1423</v>
      </c>
      <c r="C31" s="348" t="s">
        <v>1424</v>
      </c>
      <c r="D31" s="348" t="s">
        <v>1338</v>
      </c>
      <c r="E31" s="348" t="s">
        <v>1425</v>
      </c>
      <c r="F31" s="91" t="s">
        <v>1426</v>
      </c>
      <c r="G31" s="345"/>
    </row>
    <row r="32">
      <c r="A32" s="91" t="s">
        <v>1427</v>
      </c>
      <c r="B32" s="348" t="s">
        <v>1428</v>
      </c>
      <c r="C32" s="348" t="s">
        <v>1429</v>
      </c>
      <c r="D32" s="348" t="s">
        <v>1338</v>
      </c>
      <c r="E32" s="348" t="s">
        <v>1425</v>
      </c>
      <c r="F32" s="91" t="s">
        <v>1430</v>
      </c>
      <c r="G32" s="345"/>
    </row>
    <row r="33">
      <c r="A33" s="91" t="s">
        <v>1431</v>
      </c>
      <c r="B33" s="348" t="s">
        <v>1432</v>
      </c>
      <c r="C33" s="348" t="s">
        <v>1433</v>
      </c>
      <c r="D33" s="348" t="s">
        <v>1338</v>
      </c>
      <c r="E33" s="348" t="s">
        <v>1434</v>
      </c>
      <c r="F33" s="91" t="s">
        <v>1435</v>
      </c>
      <c r="G33" s="345"/>
    </row>
    <row r="34">
      <c r="A34" s="91" t="s">
        <v>1436</v>
      </c>
      <c r="B34" s="91" t="s">
        <v>1437</v>
      </c>
      <c r="C34" s="91" t="s">
        <v>1438</v>
      </c>
      <c r="D34" s="91" t="s">
        <v>1338</v>
      </c>
      <c r="E34" s="91" t="s">
        <v>1341</v>
      </c>
      <c r="F34" s="91" t="s">
        <v>1439</v>
      </c>
      <c r="G34" s="345"/>
    </row>
    <row r="35">
      <c r="A35" s="91" t="s">
        <v>1436</v>
      </c>
      <c r="B35" s="91" t="s">
        <v>1437</v>
      </c>
      <c r="C35" s="91" t="s">
        <v>1438</v>
      </c>
      <c r="D35" s="91" t="s">
        <v>1338</v>
      </c>
      <c r="E35" s="91" t="s">
        <v>1341</v>
      </c>
      <c r="F35" s="91" t="s">
        <v>1440</v>
      </c>
      <c r="G35" s="345"/>
    </row>
    <row r="36">
      <c r="A36" s="91" t="s">
        <v>1441</v>
      </c>
      <c r="B36" s="91" t="s">
        <v>1442</v>
      </c>
      <c r="C36" s="91" t="s">
        <v>1443</v>
      </c>
      <c r="D36" s="91" t="s">
        <v>1397</v>
      </c>
      <c r="E36" s="91" t="s">
        <v>1341</v>
      </c>
      <c r="F36" s="91" t="s">
        <v>1444</v>
      </c>
      <c r="G36" s="345"/>
    </row>
    <row r="37">
      <c r="A37" s="91" t="s">
        <v>1441</v>
      </c>
      <c r="B37" s="91" t="s">
        <v>1442</v>
      </c>
      <c r="C37" s="91" t="s">
        <v>1443</v>
      </c>
      <c r="D37" s="91" t="s">
        <v>1397</v>
      </c>
      <c r="E37" s="91" t="s">
        <v>1341</v>
      </c>
      <c r="F37" s="91" t="s">
        <v>1445</v>
      </c>
      <c r="G37" s="345"/>
    </row>
    <row r="38">
      <c r="A38" s="91" t="s">
        <v>1446</v>
      </c>
      <c r="B38" s="91" t="s">
        <v>1432</v>
      </c>
      <c r="C38" s="91" t="s">
        <v>1447</v>
      </c>
      <c r="D38" s="91" t="s">
        <v>1338</v>
      </c>
      <c r="E38" s="91" t="s">
        <v>1341</v>
      </c>
      <c r="F38" s="91" t="s">
        <v>1448</v>
      </c>
      <c r="G38" s="345"/>
    </row>
    <row r="39">
      <c r="A39" s="91" t="s">
        <v>1449</v>
      </c>
      <c r="B39" s="348" t="s">
        <v>1350</v>
      </c>
      <c r="C39" s="348" t="s">
        <v>1450</v>
      </c>
      <c r="D39" s="348" t="s">
        <v>1350</v>
      </c>
      <c r="E39" s="348" t="s">
        <v>1341</v>
      </c>
      <c r="F39" s="91" t="s">
        <v>1448</v>
      </c>
      <c r="G39" s="345"/>
    </row>
    <row r="40">
      <c r="A40" s="91" t="s">
        <v>1451</v>
      </c>
      <c r="B40" s="348" t="s">
        <v>1452</v>
      </c>
      <c r="C40" s="91" t="s">
        <v>1453</v>
      </c>
      <c r="D40" s="348" t="s">
        <v>1355</v>
      </c>
      <c r="E40" s="348" t="s">
        <v>1398</v>
      </c>
      <c r="F40" s="348" t="s">
        <v>1454</v>
      </c>
      <c r="G40" s="345"/>
    </row>
    <row r="41">
      <c r="A41" s="91" t="s">
        <v>1455</v>
      </c>
      <c r="B41" s="348" t="s">
        <v>1456</v>
      </c>
      <c r="C41" s="91" t="s">
        <v>1457</v>
      </c>
      <c r="D41" s="348" t="s">
        <v>1397</v>
      </c>
      <c r="E41" s="348" t="s">
        <v>1341</v>
      </c>
      <c r="F41" s="91" t="s">
        <v>1458</v>
      </c>
      <c r="G41" s="345"/>
    </row>
    <row r="42">
      <c r="A42" s="91" t="s">
        <v>1459</v>
      </c>
      <c r="B42" s="348" t="s">
        <v>1460</v>
      </c>
      <c r="C42" s="91" t="s">
        <v>1461</v>
      </c>
      <c r="D42" s="348" t="s">
        <v>1397</v>
      </c>
      <c r="E42" s="348" t="s">
        <v>1462</v>
      </c>
      <c r="F42" s="91" t="s">
        <v>1463</v>
      </c>
      <c r="G42" s="345"/>
    </row>
    <row r="43">
      <c r="A43" s="91" t="s">
        <v>1464</v>
      </c>
      <c r="B43" s="348" t="s">
        <v>1465</v>
      </c>
      <c r="C43" s="91" t="s">
        <v>1466</v>
      </c>
      <c r="D43" s="348" t="s">
        <v>1338</v>
      </c>
      <c r="E43" s="348" t="s">
        <v>1341</v>
      </c>
      <c r="F43" s="348" t="s">
        <v>1467</v>
      </c>
      <c r="G43" s="345"/>
    </row>
    <row r="44">
      <c r="A44" s="91" t="s">
        <v>1464</v>
      </c>
      <c r="B44" s="348" t="s">
        <v>1465</v>
      </c>
      <c r="C44" s="91" t="s">
        <v>1466</v>
      </c>
      <c r="D44" s="348" t="s">
        <v>1338</v>
      </c>
      <c r="E44" s="348" t="s">
        <v>1468</v>
      </c>
      <c r="F44" s="91" t="s">
        <v>1469</v>
      </c>
      <c r="G44" s="345"/>
    </row>
    <row r="45">
      <c r="A45" s="91" t="s">
        <v>1470</v>
      </c>
      <c r="B45" s="348" t="s">
        <v>1397</v>
      </c>
      <c r="C45" s="348" t="s">
        <v>1471</v>
      </c>
      <c r="D45" s="348" t="s">
        <v>1397</v>
      </c>
      <c r="E45" s="348" t="s">
        <v>1425</v>
      </c>
      <c r="F45" s="91" t="s">
        <v>1472</v>
      </c>
      <c r="G45" s="345"/>
    </row>
    <row r="46">
      <c r="A46" s="91" t="s">
        <v>1473</v>
      </c>
      <c r="B46" s="348" t="s">
        <v>1474</v>
      </c>
      <c r="C46" s="348" t="s">
        <v>1475</v>
      </c>
      <c r="D46" s="348" t="s">
        <v>1397</v>
      </c>
      <c r="E46" s="348" t="s">
        <v>1416</v>
      </c>
      <c r="F46" s="91" t="s">
        <v>1476</v>
      </c>
      <c r="G46" s="345"/>
    </row>
    <row r="47">
      <c r="A47" s="91" t="s">
        <v>1477</v>
      </c>
      <c r="B47" s="91" t="s">
        <v>1478</v>
      </c>
      <c r="C47" s="348" t="s">
        <v>1479</v>
      </c>
      <c r="D47" s="348" t="s">
        <v>1397</v>
      </c>
      <c r="E47" s="348" t="s">
        <v>1425</v>
      </c>
      <c r="F47" s="91" t="s">
        <v>1480</v>
      </c>
      <c r="G47" s="345"/>
    </row>
    <row r="48">
      <c r="A48" s="91" t="s">
        <v>1481</v>
      </c>
      <c r="B48" s="348" t="s">
        <v>1482</v>
      </c>
      <c r="C48" s="348" t="s">
        <v>1483</v>
      </c>
      <c r="D48" s="348" t="s">
        <v>1367</v>
      </c>
      <c r="E48" s="348" t="s">
        <v>1341</v>
      </c>
      <c r="F48" s="91" t="s">
        <v>1484</v>
      </c>
      <c r="G48" s="345"/>
    </row>
    <row r="49">
      <c r="A49" s="91" t="s">
        <v>1481</v>
      </c>
      <c r="B49" s="91" t="s">
        <v>1482</v>
      </c>
      <c r="C49" s="348" t="s">
        <v>1483</v>
      </c>
      <c r="D49" s="348" t="s">
        <v>1367</v>
      </c>
      <c r="E49" s="348" t="s">
        <v>1416</v>
      </c>
      <c r="F49" s="91" t="s">
        <v>1485</v>
      </c>
      <c r="G49" s="345"/>
    </row>
    <row r="50">
      <c r="A50" s="91" t="s">
        <v>1486</v>
      </c>
      <c r="B50" s="91" t="s">
        <v>1487</v>
      </c>
      <c r="C50" s="348" t="s">
        <v>1488</v>
      </c>
      <c r="D50" s="348" t="s">
        <v>1397</v>
      </c>
      <c r="E50" s="348" t="s">
        <v>1341</v>
      </c>
      <c r="F50" s="91" t="s">
        <v>1489</v>
      </c>
      <c r="G50" s="345"/>
    </row>
    <row r="51">
      <c r="A51" s="91" t="s">
        <v>1486</v>
      </c>
      <c r="B51" s="91" t="s">
        <v>1487</v>
      </c>
      <c r="C51" s="348" t="s">
        <v>1488</v>
      </c>
      <c r="D51" s="348" t="s">
        <v>1397</v>
      </c>
      <c r="E51" s="348" t="s">
        <v>1416</v>
      </c>
      <c r="F51" s="91" t="s">
        <v>1490</v>
      </c>
      <c r="G51" s="345"/>
    </row>
    <row r="52">
      <c r="A52" s="91" t="s">
        <v>1486</v>
      </c>
      <c r="B52" s="91" t="s">
        <v>1487</v>
      </c>
      <c r="C52" s="348" t="s">
        <v>1488</v>
      </c>
      <c r="D52" s="348" t="s">
        <v>1397</v>
      </c>
      <c r="E52" s="348" t="s">
        <v>1344</v>
      </c>
      <c r="F52" s="349" t="s">
        <v>1491</v>
      </c>
      <c r="G52" s="345"/>
    </row>
    <row r="53">
      <c r="A53" s="91" t="s">
        <v>1492</v>
      </c>
      <c r="B53" s="91" t="s">
        <v>1405</v>
      </c>
      <c r="C53" s="91" t="s">
        <v>1433</v>
      </c>
      <c r="D53" s="91" t="s">
        <v>1338</v>
      </c>
      <c r="E53" s="91" t="s">
        <v>1468</v>
      </c>
      <c r="F53" s="91" t="s">
        <v>1493</v>
      </c>
      <c r="G53" s="345"/>
    </row>
    <row r="54">
      <c r="A54" s="91" t="s">
        <v>1494</v>
      </c>
      <c r="B54" s="91" t="s">
        <v>1495</v>
      </c>
      <c r="C54" s="91" t="s">
        <v>1496</v>
      </c>
      <c r="D54" s="91" t="s">
        <v>1350</v>
      </c>
      <c r="E54" s="91" t="s">
        <v>1341</v>
      </c>
      <c r="F54" s="91" t="s">
        <v>1497</v>
      </c>
      <c r="G54" s="345"/>
    </row>
    <row r="55">
      <c r="A55" s="91" t="s">
        <v>1498</v>
      </c>
      <c r="B55" s="91" t="s">
        <v>1499</v>
      </c>
      <c r="C55" s="91" t="s">
        <v>1500</v>
      </c>
      <c r="D55" s="91" t="s">
        <v>1355</v>
      </c>
      <c r="E55" s="91" t="s">
        <v>1501</v>
      </c>
      <c r="F55" s="91" t="s">
        <v>1502</v>
      </c>
      <c r="G55" s="345"/>
    </row>
    <row r="56">
      <c r="A56" s="91" t="s">
        <v>1498</v>
      </c>
      <c r="B56" s="91" t="s">
        <v>1499</v>
      </c>
      <c r="C56" s="91" t="s">
        <v>1500</v>
      </c>
      <c r="D56" s="91" t="s">
        <v>1355</v>
      </c>
      <c r="E56" s="91" t="s">
        <v>1416</v>
      </c>
      <c r="F56" s="91" t="s">
        <v>1503</v>
      </c>
      <c r="G56" s="345"/>
    </row>
    <row r="57">
      <c r="A57" s="91" t="s">
        <v>1498</v>
      </c>
      <c r="B57" s="91" t="s">
        <v>1499</v>
      </c>
      <c r="C57" s="91" t="s">
        <v>1500</v>
      </c>
      <c r="D57" s="91" t="s">
        <v>1355</v>
      </c>
      <c r="E57" s="91" t="s">
        <v>1341</v>
      </c>
      <c r="F57" s="91" t="s">
        <v>1504</v>
      </c>
      <c r="G57" s="345"/>
    </row>
    <row r="58">
      <c r="A58" s="91" t="s">
        <v>1498</v>
      </c>
      <c r="B58" s="91" t="s">
        <v>1499</v>
      </c>
      <c r="C58" s="91" t="s">
        <v>1500</v>
      </c>
      <c r="D58" s="91" t="s">
        <v>1355</v>
      </c>
      <c r="E58" s="91" t="s">
        <v>1341</v>
      </c>
      <c r="F58" s="91" t="s">
        <v>1505</v>
      </c>
      <c r="G58" s="345"/>
    </row>
    <row r="59">
      <c r="A59" s="158" t="s">
        <v>1506</v>
      </c>
      <c r="B59" s="158" t="s">
        <v>1507</v>
      </c>
      <c r="C59" s="158" t="s">
        <v>1508</v>
      </c>
      <c r="D59" s="158" t="s">
        <v>1355</v>
      </c>
      <c r="E59" s="158" t="s">
        <v>1341</v>
      </c>
      <c r="F59" s="158" t="s">
        <v>1509</v>
      </c>
      <c r="G59" s="297"/>
    </row>
    <row r="60">
      <c r="A60" s="158" t="s">
        <v>1510</v>
      </c>
      <c r="B60" s="158" t="s">
        <v>1350</v>
      </c>
      <c r="C60" s="158" t="s">
        <v>1511</v>
      </c>
      <c r="D60" s="158" t="s">
        <v>1350</v>
      </c>
      <c r="E60" s="158" t="s">
        <v>1341</v>
      </c>
      <c r="F60" s="158" t="s">
        <v>1512</v>
      </c>
      <c r="G60" s="297"/>
    </row>
    <row r="61">
      <c r="A61" s="158" t="s">
        <v>1513</v>
      </c>
      <c r="B61" s="158" t="s">
        <v>1350</v>
      </c>
      <c r="C61" s="158" t="s">
        <v>1349</v>
      </c>
      <c r="D61" s="158" t="s">
        <v>1350</v>
      </c>
      <c r="E61" s="158" t="s">
        <v>1341</v>
      </c>
      <c r="F61" s="158" t="s">
        <v>1514</v>
      </c>
      <c r="G61" s="297"/>
    </row>
    <row r="62">
      <c r="A62" s="158" t="s">
        <v>1513</v>
      </c>
      <c r="B62" s="158" t="s">
        <v>1350</v>
      </c>
      <c r="C62" s="158" t="s">
        <v>1349</v>
      </c>
      <c r="D62" s="158" t="s">
        <v>1350</v>
      </c>
      <c r="E62" s="158" t="s">
        <v>1341</v>
      </c>
      <c r="F62" s="349" t="s">
        <v>1515</v>
      </c>
      <c r="G62" s="297"/>
    </row>
    <row r="63">
      <c r="A63" s="158" t="s">
        <v>1516</v>
      </c>
      <c r="B63" s="158" t="s">
        <v>1456</v>
      </c>
      <c r="C63" s="158" t="s">
        <v>1517</v>
      </c>
      <c r="D63" s="158" t="s">
        <v>1397</v>
      </c>
      <c r="E63" s="158" t="s">
        <v>1468</v>
      </c>
      <c r="F63" s="158" t="s">
        <v>1518</v>
      </c>
      <c r="G63" s="297"/>
    </row>
    <row r="64">
      <c r="A64" s="158" t="s">
        <v>1519</v>
      </c>
      <c r="B64" s="158" t="s">
        <v>1520</v>
      </c>
      <c r="C64" s="158" t="s">
        <v>1521</v>
      </c>
      <c r="D64" s="158" t="s">
        <v>1338</v>
      </c>
      <c r="E64" s="158" t="s">
        <v>1344</v>
      </c>
      <c r="F64" s="349" t="s">
        <v>1522</v>
      </c>
      <c r="G64" s="297"/>
    </row>
    <row r="65">
      <c r="A65" s="158" t="s">
        <v>1519</v>
      </c>
      <c r="B65" s="158" t="s">
        <v>1520</v>
      </c>
      <c r="C65" s="158" t="s">
        <v>1521</v>
      </c>
      <c r="D65" s="158" t="s">
        <v>1338</v>
      </c>
      <c r="E65" s="158" t="s">
        <v>1341</v>
      </c>
      <c r="F65" s="158" t="s">
        <v>1523</v>
      </c>
      <c r="G65" s="297"/>
    </row>
    <row r="66">
      <c r="A66" s="158" t="s">
        <v>1519</v>
      </c>
      <c r="B66" s="158" t="s">
        <v>1520</v>
      </c>
      <c r="C66" s="158" t="s">
        <v>1521</v>
      </c>
      <c r="D66" s="158" t="s">
        <v>1338</v>
      </c>
      <c r="E66" s="158" t="s">
        <v>1344</v>
      </c>
      <c r="F66" s="349" t="s">
        <v>1524</v>
      </c>
      <c r="G66" s="297"/>
    </row>
    <row r="67">
      <c r="A67" s="158" t="s">
        <v>1525</v>
      </c>
      <c r="B67" s="158" t="s">
        <v>1423</v>
      </c>
      <c r="C67" s="158" t="s">
        <v>1526</v>
      </c>
      <c r="D67" s="158" t="s">
        <v>1338</v>
      </c>
      <c r="E67" s="158" t="s">
        <v>1341</v>
      </c>
      <c r="F67" s="158" t="s">
        <v>1527</v>
      </c>
      <c r="G67" s="297"/>
    </row>
    <row r="68">
      <c r="A68" s="158" t="s">
        <v>1525</v>
      </c>
      <c r="B68" s="158" t="s">
        <v>1423</v>
      </c>
      <c r="C68" s="158" t="s">
        <v>1526</v>
      </c>
      <c r="D68" s="158" t="s">
        <v>1338</v>
      </c>
      <c r="E68" s="158" t="s">
        <v>1341</v>
      </c>
      <c r="F68" s="158" t="s">
        <v>1528</v>
      </c>
      <c r="G68" s="297"/>
    </row>
    <row r="69">
      <c r="A69" s="158" t="s">
        <v>1529</v>
      </c>
      <c r="B69" s="119" t="s">
        <v>1530</v>
      </c>
      <c r="C69" s="119" t="s">
        <v>1531</v>
      </c>
      <c r="D69" s="119" t="s">
        <v>1338</v>
      </c>
      <c r="E69" s="119" t="s">
        <v>1344</v>
      </c>
      <c r="F69" s="158" t="s">
        <v>1532</v>
      </c>
      <c r="G69" s="297"/>
    </row>
    <row r="70">
      <c r="A70" s="158" t="s">
        <v>1529</v>
      </c>
      <c r="B70" s="158" t="s">
        <v>1530</v>
      </c>
      <c r="C70" s="158" t="s">
        <v>1531</v>
      </c>
      <c r="D70" s="158" t="s">
        <v>1338</v>
      </c>
      <c r="E70" s="158" t="s">
        <v>1341</v>
      </c>
      <c r="F70" s="158" t="s">
        <v>1533</v>
      </c>
      <c r="G70" s="297"/>
    </row>
    <row r="71">
      <c r="A71" s="158" t="s">
        <v>1529</v>
      </c>
      <c r="B71" s="158" t="s">
        <v>1530</v>
      </c>
      <c r="C71" s="158" t="s">
        <v>1531</v>
      </c>
      <c r="D71" s="158" t="s">
        <v>1338</v>
      </c>
      <c r="E71" s="158" t="s">
        <v>1344</v>
      </c>
      <c r="F71" s="158" t="s">
        <v>1534</v>
      </c>
      <c r="G71" s="297"/>
    </row>
    <row r="72">
      <c r="A72" s="158" t="s">
        <v>1529</v>
      </c>
      <c r="B72" s="158" t="s">
        <v>1530</v>
      </c>
      <c r="C72" s="158" t="s">
        <v>1531</v>
      </c>
      <c r="D72" s="158" t="s">
        <v>1338</v>
      </c>
      <c r="E72" s="158" t="s">
        <v>1425</v>
      </c>
      <c r="F72" s="158" t="s">
        <v>1535</v>
      </c>
      <c r="G72" s="297"/>
    </row>
    <row r="73">
      <c r="A73" s="158" t="s">
        <v>1529</v>
      </c>
      <c r="B73" s="158" t="s">
        <v>1530</v>
      </c>
      <c r="C73" s="158" t="s">
        <v>1531</v>
      </c>
      <c r="D73" s="158" t="s">
        <v>1338</v>
      </c>
      <c r="E73" s="158" t="s">
        <v>1425</v>
      </c>
      <c r="F73" s="158" t="s">
        <v>1536</v>
      </c>
      <c r="G73" s="297"/>
    </row>
    <row r="74">
      <c r="A74" s="158" t="s">
        <v>1537</v>
      </c>
      <c r="B74" s="158" t="s">
        <v>1111</v>
      </c>
      <c r="C74" s="158" t="s">
        <v>1538</v>
      </c>
      <c r="D74" s="158" t="s">
        <v>1338</v>
      </c>
      <c r="E74" s="158" t="s">
        <v>1468</v>
      </c>
      <c r="F74" s="158" t="s">
        <v>1539</v>
      </c>
    </row>
    <row r="75">
      <c r="A75" s="158" t="s">
        <v>1540</v>
      </c>
      <c r="B75" s="158" t="s">
        <v>1541</v>
      </c>
      <c r="C75" s="158" t="s">
        <v>1542</v>
      </c>
      <c r="D75" s="158" t="s">
        <v>1397</v>
      </c>
      <c r="E75" s="158" t="s">
        <v>1425</v>
      </c>
      <c r="F75" s="158" t="s">
        <v>1543</v>
      </c>
    </row>
    <row r="76">
      <c r="A76" s="158" t="s">
        <v>1540</v>
      </c>
      <c r="B76" s="158" t="s">
        <v>1541</v>
      </c>
      <c r="C76" s="158" t="s">
        <v>1542</v>
      </c>
      <c r="D76" s="158" t="s">
        <v>1397</v>
      </c>
      <c r="E76" s="158" t="s">
        <v>1416</v>
      </c>
      <c r="F76" s="158" t="s">
        <v>1544</v>
      </c>
    </row>
    <row r="77">
      <c r="A77" s="158" t="s">
        <v>1545</v>
      </c>
      <c r="B77" s="158" t="s">
        <v>1397</v>
      </c>
      <c r="C77" s="158" t="s">
        <v>1546</v>
      </c>
      <c r="D77" s="158" t="s">
        <v>1397</v>
      </c>
      <c r="E77" s="158" t="s">
        <v>1344</v>
      </c>
      <c r="F77" s="158" t="s">
        <v>1547</v>
      </c>
    </row>
    <row r="78">
      <c r="A78" s="158" t="s">
        <v>1548</v>
      </c>
      <c r="B78" s="158" t="s">
        <v>1111</v>
      </c>
      <c r="C78" s="158" t="s">
        <v>1549</v>
      </c>
      <c r="D78" s="158" t="s">
        <v>1338</v>
      </c>
      <c r="E78" s="158" t="s">
        <v>1425</v>
      </c>
      <c r="F78" s="158" t="s">
        <v>1550</v>
      </c>
    </row>
    <row r="79">
      <c r="A79" s="158" t="s">
        <v>1548</v>
      </c>
      <c r="B79" s="158" t="s">
        <v>1111</v>
      </c>
      <c r="C79" s="158" t="s">
        <v>1549</v>
      </c>
      <c r="D79" s="158" t="s">
        <v>1338</v>
      </c>
      <c r="E79" s="158" t="s">
        <v>1341</v>
      </c>
      <c r="F79" s="158" t="s">
        <v>1527</v>
      </c>
    </row>
    <row r="80">
      <c r="A80" s="158" t="s">
        <v>1551</v>
      </c>
      <c r="B80" s="158" t="s">
        <v>1507</v>
      </c>
      <c r="C80" s="158" t="s">
        <v>1552</v>
      </c>
      <c r="D80" s="158" t="s">
        <v>1355</v>
      </c>
      <c r="E80" s="158" t="s">
        <v>1341</v>
      </c>
      <c r="F80" s="158" t="s">
        <v>1448</v>
      </c>
    </row>
    <row r="81">
      <c r="A81" s="158" t="s">
        <v>1553</v>
      </c>
      <c r="B81" s="158" t="s">
        <v>1554</v>
      </c>
      <c r="C81" s="158" t="s">
        <v>1555</v>
      </c>
      <c r="D81" s="158" t="s">
        <v>1367</v>
      </c>
      <c r="E81" s="158" t="s">
        <v>1341</v>
      </c>
      <c r="F81" s="158" t="s">
        <v>1556</v>
      </c>
    </row>
    <row r="82">
      <c r="A82" s="158" t="s">
        <v>1557</v>
      </c>
      <c r="B82" s="158" t="s">
        <v>1558</v>
      </c>
      <c r="C82" s="158" t="s">
        <v>1559</v>
      </c>
      <c r="D82" s="158" t="s">
        <v>1397</v>
      </c>
      <c r="E82" s="158" t="s">
        <v>1468</v>
      </c>
      <c r="F82" s="158" t="s">
        <v>1560</v>
      </c>
    </row>
    <row r="83">
      <c r="A83" s="158" t="s">
        <v>1561</v>
      </c>
      <c r="B83" s="158" t="s">
        <v>1562</v>
      </c>
      <c r="C83" s="158" t="s">
        <v>1563</v>
      </c>
      <c r="D83" s="158" t="s">
        <v>1355</v>
      </c>
      <c r="E83" s="158" t="s">
        <v>1341</v>
      </c>
      <c r="F83" s="158" t="s">
        <v>1564</v>
      </c>
    </row>
    <row r="84">
      <c r="A84" s="158" t="s">
        <v>1565</v>
      </c>
      <c r="B84" s="158" t="s">
        <v>1566</v>
      </c>
      <c r="C84" s="158" t="s">
        <v>1567</v>
      </c>
      <c r="D84" s="158" t="s">
        <v>1355</v>
      </c>
      <c r="E84" s="158" t="s">
        <v>1341</v>
      </c>
      <c r="F84" s="158" t="s">
        <v>1568</v>
      </c>
    </row>
    <row r="85">
      <c r="A85" s="158" t="s">
        <v>1565</v>
      </c>
      <c r="B85" s="158" t="s">
        <v>1566</v>
      </c>
      <c r="C85" s="158" t="s">
        <v>1567</v>
      </c>
      <c r="D85" s="158" t="s">
        <v>1355</v>
      </c>
      <c r="E85" s="158" t="s">
        <v>1341</v>
      </c>
      <c r="F85" s="158" t="s">
        <v>1569</v>
      </c>
    </row>
    <row r="86">
      <c r="A86" s="158" t="s">
        <v>1570</v>
      </c>
      <c r="B86" s="158" t="s">
        <v>1571</v>
      </c>
      <c r="C86" s="158" t="s">
        <v>1572</v>
      </c>
      <c r="D86" s="158" t="s">
        <v>1338</v>
      </c>
      <c r="E86" s="158" t="s">
        <v>1341</v>
      </c>
      <c r="F86" s="158" t="s">
        <v>1573</v>
      </c>
    </row>
    <row r="87">
      <c r="A87" s="158" t="s">
        <v>1574</v>
      </c>
      <c r="B87" s="158" t="s">
        <v>1367</v>
      </c>
      <c r="C87" s="158" t="s">
        <v>1575</v>
      </c>
      <c r="D87" s="158" t="s">
        <v>1367</v>
      </c>
      <c r="E87" s="158" t="s">
        <v>1344</v>
      </c>
      <c r="F87" s="158" t="s">
        <v>1576</v>
      </c>
    </row>
    <row r="88">
      <c r="A88" s="158" t="s">
        <v>1574</v>
      </c>
      <c r="B88" s="158" t="s">
        <v>1367</v>
      </c>
      <c r="C88" s="158" t="s">
        <v>1575</v>
      </c>
      <c r="D88" s="158" t="s">
        <v>1367</v>
      </c>
      <c r="E88" s="350"/>
      <c r="F88" s="158" t="s">
        <v>1577</v>
      </c>
    </row>
    <row r="89">
      <c r="A89" s="158" t="s">
        <v>1574</v>
      </c>
      <c r="B89" s="158" t="s">
        <v>1367</v>
      </c>
      <c r="C89" s="158" t="s">
        <v>1575</v>
      </c>
      <c r="D89" s="158" t="s">
        <v>1367</v>
      </c>
      <c r="E89" s="158" t="s">
        <v>1425</v>
      </c>
      <c r="F89" s="351" t="s">
        <v>1578</v>
      </c>
    </row>
    <row r="90">
      <c r="A90" s="158" t="s">
        <v>1579</v>
      </c>
      <c r="B90" s="158" t="s">
        <v>1580</v>
      </c>
      <c r="C90" s="158" t="s">
        <v>1581</v>
      </c>
      <c r="D90" s="158" t="s">
        <v>1338</v>
      </c>
      <c r="E90" s="158" t="s">
        <v>1341</v>
      </c>
      <c r="F90" s="158" t="s">
        <v>1582</v>
      </c>
    </row>
    <row r="91">
      <c r="A91" s="352" t="s">
        <v>1583</v>
      </c>
      <c r="B91" s="158" t="s">
        <v>1350</v>
      </c>
      <c r="C91" s="158" t="s">
        <v>1584</v>
      </c>
      <c r="D91" s="158" t="s">
        <v>1350</v>
      </c>
      <c r="E91" s="158" t="s">
        <v>1425</v>
      </c>
      <c r="F91" s="158" t="s">
        <v>1585</v>
      </c>
    </row>
    <row r="92">
      <c r="A92" s="352" t="s">
        <v>1583</v>
      </c>
      <c r="B92" s="158" t="s">
        <v>1350</v>
      </c>
      <c r="C92" s="158" t="s">
        <v>1584</v>
      </c>
      <c r="D92" s="158" t="s">
        <v>1350</v>
      </c>
      <c r="E92" s="158" t="s">
        <v>1341</v>
      </c>
      <c r="F92" s="349" t="s">
        <v>1586</v>
      </c>
    </row>
    <row r="93">
      <c r="A93" s="353" t="s">
        <v>1583</v>
      </c>
      <c r="B93" s="354" t="s">
        <v>1350</v>
      </c>
      <c r="C93" s="354" t="s">
        <v>1584</v>
      </c>
      <c r="D93" s="354" t="s">
        <v>1350</v>
      </c>
      <c r="E93" s="354" t="s">
        <v>1425</v>
      </c>
      <c r="F93" s="355" t="s">
        <v>1587</v>
      </c>
    </row>
    <row r="94">
      <c r="A94" s="353" t="s">
        <v>1583</v>
      </c>
      <c r="B94" s="354" t="s">
        <v>1350</v>
      </c>
      <c r="C94" s="354" t="s">
        <v>1584</v>
      </c>
      <c r="D94" s="354" t="s">
        <v>1350</v>
      </c>
      <c r="E94" s="354" t="s">
        <v>1341</v>
      </c>
      <c r="F94" s="354" t="s">
        <v>1573</v>
      </c>
    </row>
    <row r="95">
      <c r="A95" s="354" t="s">
        <v>1588</v>
      </c>
      <c r="B95" s="354" t="s">
        <v>1589</v>
      </c>
      <c r="C95" s="354" t="s">
        <v>1590</v>
      </c>
      <c r="D95" s="354" t="s">
        <v>1355</v>
      </c>
      <c r="E95" s="354" t="s">
        <v>1341</v>
      </c>
      <c r="F95" s="354" t="s">
        <v>1591</v>
      </c>
    </row>
    <row r="96">
      <c r="A96" s="354" t="s">
        <v>1592</v>
      </c>
      <c r="B96" s="354" t="s">
        <v>1593</v>
      </c>
      <c r="C96" s="354" t="s">
        <v>1594</v>
      </c>
      <c r="D96" s="354" t="s">
        <v>1397</v>
      </c>
      <c r="E96" s="354" t="s">
        <v>1595</v>
      </c>
      <c r="F96" s="354" t="s">
        <v>1596</v>
      </c>
    </row>
    <row r="97">
      <c r="A97" s="158" t="s">
        <v>1597</v>
      </c>
      <c r="B97" s="158" t="s">
        <v>1598</v>
      </c>
      <c r="C97" s="158" t="s">
        <v>1599</v>
      </c>
      <c r="D97" s="158" t="s">
        <v>1355</v>
      </c>
      <c r="E97" s="158" t="s">
        <v>1468</v>
      </c>
      <c r="F97" s="158" t="s">
        <v>1600</v>
      </c>
    </row>
    <row r="98">
      <c r="A98" s="158" t="s">
        <v>1597</v>
      </c>
      <c r="B98" s="158" t="s">
        <v>1598</v>
      </c>
      <c r="C98" s="158" t="s">
        <v>1599</v>
      </c>
      <c r="D98" s="158" t="s">
        <v>1355</v>
      </c>
      <c r="E98" s="158" t="s">
        <v>1344</v>
      </c>
      <c r="F98" s="349" t="s">
        <v>1601</v>
      </c>
    </row>
    <row r="99">
      <c r="A99" s="158" t="s">
        <v>1602</v>
      </c>
      <c r="B99" s="158" t="s">
        <v>1603</v>
      </c>
      <c r="C99" s="158" t="s">
        <v>1604</v>
      </c>
      <c r="D99" s="158" t="s">
        <v>1338</v>
      </c>
      <c r="E99" s="158" t="s">
        <v>1344</v>
      </c>
      <c r="F99" s="349" t="s">
        <v>1605</v>
      </c>
    </row>
    <row r="100">
      <c r="A100" s="158" t="s">
        <v>1602</v>
      </c>
      <c r="B100" s="158" t="s">
        <v>1603</v>
      </c>
      <c r="C100" s="158" t="s">
        <v>1604</v>
      </c>
      <c r="D100" s="158" t="s">
        <v>1338</v>
      </c>
      <c r="E100" s="158" t="s">
        <v>1344</v>
      </c>
      <c r="F100" s="349" t="s">
        <v>1606</v>
      </c>
    </row>
    <row r="101">
      <c r="A101" s="158" t="s">
        <v>1602</v>
      </c>
      <c r="B101" s="158" t="s">
        <v>1603</v>
      </c>
      <c r="C101" s="158" t="s">
        <v>1604</v>
      </c>
      <c r="D101" s="158" t="s">
        <v>1338</v>
      </c>
      <c r="E101" s="158" t="s">
        <v>1344</v>
      </c>
      <c r="F101" s="349" t="s">
        <v>1607</v>
      </c>
    </row>
    <row r="102">
      <c r="A102" s="349" t="s">
        <v>1608</v>
      </c>
      <c r="B102" s="158" t="s">
        <v>1609</v>
      </c>
      <c r="C102" s="158" t="s">
        <v>1610</v>
      </c>
      <c r="D102" s="158" t="s">
        <v>1355</v>
      </c>
      <c r="E102" s="158" t="s">
        <v>1468</v>
      </c>
      <c r="F102" s="158" t="s">
        <v>1600</v>
      </c>
    </row>
    <row r="103">
      <c r="A103" s="158" t="s">
        <v>1611</v>
      </c>
      <c r="B103" s="158" t="s">
        <v>1612</v>
      </c>
      <c r="C103" s="158" t="s">
        <v>1613</v>
      </c>
      <c r="D103" s="158" t="s">
        <v>1355</v>
      </c>
      <c r="E103" s="158" t="s">
        <v>1434</v>
      </c>
      <c r="F103" s="158" t="s">
        <v>1614</v>
      </c>
    </row>
    <row r="104">
      <c r="A104" s="158" t="s">
        <v>1611</v>
      </c>
      <c r="B104" s="158" t="s">
        <v>1612</v>
      </c>
      <c r="C104" s="158" t="s">
        <v>1613</v>
      </c>
      <c r="D104" s="158" t="s">
        <v>1355</v>
      </c>
      <c r="E104" s="158" t="s">
        <v>1425</v>
      </c>
      <c r="F104" s="158" t="s">
        <v>1615</v>
      </c>
    </row>
    <row r="105">
      <c r="A105" s="158" t="s">
        <v>1611</v>
      </c>
      <c r="B105" s="158" t="s">
        <v>1612</v>
      </c>
      <c r="C105" s="158" t="s">
        <v>1613</v>
      </c>
      <c r="D105" s="158" t="s">
        <v>1355</v>
      </c>
      <c r="E105" s="158" t="s">
        <v>1341</v>
      </c>
      <c r="F105" s="349" t="s">
        <v>1616</v>
      </c>
    </row>
    <row r="106">
      <c r="A106" s="158" t="s">
        <v>1617</v>
      </c>
      <c r="B106" s="158" t="s">
        <v>1482</v>
      </c>
      <c r="C106" s="158" t="s">
        <v>1618</v>
      </c>
      <c r="D106" s="158" t="s">
        <v>1397</v>
      </c>
      <c r="E106" s="158" t="s">
        <v>1619</v>
      </c>
      <c r="F106" s="349" t="s">
        <v>1620</v>
      </c>
    </row>
    <row r="107">
      <c r="A107" s="158" t="s">
        <v>1617</v>
      </c>
      <c r="B107" s="158" t="s">
        <v>1482</v>
      </c>
      <c r="C107" s="158" t="s">
        <v>1618</v>
      </c>
      <c r="D107" s="158" t="s">
        <v>1397</v>
      </c>
      <c r="E107" s="158" t="s">
        <v>1425</v>
      </c>
      <c r="F107" s="158" t="s">
        <v>1621</v>
      </c>
    </row>
    <row r="108">
      <c r="A108" s="158" t="s">
        <v>1617</v>
      </c>
      <c r="B108" s="158" t="s">
        <v>1482</v>
      </c>
      <c r="C108" s="158" t="s">
        <v>1618</v>
      </c>
      <c r="D108" s="158" t="s">
        <v>1397</v>
      </c>
      <c r="E108" s="158" t="s">
        <v>1425</v>
      </c>
      <c r="F108" s="158" t="s">
        <v>1622</v>
      </c>
    </row>
    <row r="109">
      <c r="A109" s="158" t="s">
        <v>1623</v>
      </c>
      <c r="B109" s="158" t="s">
        <v>1624</v>
      </c>
      <c r="C109" s="158" t="s">
        <v>1625</v>
      </c>
      <c r="D109" s="158" t="s">
        <v>1397</v>
      </c>
      <c r="E109" s="158" t="s">
        <v>1341</v>
      </c>
      <c r="F109" s="349" t="s">
        <v>1626</v>
      </c>
    </row>
    <row r="110">
      <c r="A110" s="354" t="s">
        <v>1623</v>
      </c>
      <c r="B110" s="354" t="s">
        <v>1624</v>
      </c>
      <c r="C110" s="354" t="s">
        <v>1625</v>
      </c>
      <c r="D110" s="354" t="s">
        <v>1397</v>
      </c>
      <c r="E110" s="354" t="s">
        <v>1344</v>
      </c>
      <c r="F110" s="354" t="s">
        <v>1627</v>
      </c>
    </row>
    <row r="111">
      <c r="A111" s="354" t="s">
        <v>1623</v>
      </c>
      <c r="B111" s="354" t="s">
        <v>1624</v>
      </c>
      <c r="C111" s="354" t="s">
        <v>1625</v>
      </c>
      <c r="D111" s="354" t="s">
        <v>1397</v>
      </c>
      <c r="E111" s="354" t="s">
        <v>1341</v>
      </c>
      <c r="F111" s="355" t="s">
        <v>1628</v>
      </c>
    </row>
    <row r="112">
      <c r="A112" s="354" t="s">
        <v>1629</v>
      </c>
      <c r="B112" s="354" t="s">
        <v>1460</v>
      </c>
      <c r="C112" s="354" t="s">
        <v>1630</v>
      </c>
      <c r="D112" s="354" t="s">
        <v>1397</v>
      </c>
      <c r="E112" s="354" t="s">
        <v>1425</v>
      </c>
      <c r="F112" s="354" t="s">
        <v>1631</v>
      </c>
    </row>
    <row r="113">
      <c r="A113" s="158" t="s">
        <v>1632</v>
      </c>
      <c r="B113" s="158" t="s">
        <v>1633</v>
      </c>
      <c r="C113" s="158" t="s">
        <v>1634</v>
      </c>
      <c r="D113" s="158" t="s">
        <v>1350</v>
      </c>
      <c r="E113" s="158" t="s">
        <v>1341</v>
      </c>
      <c r="F113" s="158" t="s">
        <v>1635</v>
      </c>
    </row>
    <row r="114">
      <c r="A114" s="158" t="s">
        <v>1632</v>
      </c>
      <c r="B114" s="158" t="s">
        <v>1633</v>
      </c>
      <c r="C114" s="158" t="s">
        <v>1636</v>
      </c>
      <c r="D114" s="158" t="s">
        <v>1350</v>
      </c>
      <c r="E114" s="158" t="s">
        <v>1425</v>
      </c>
      <c r="F114" s="158" t="s">
        <v>1637</v>
      </c>
    </row>
    <row r="115">
      <c r="A115" s="158" t="s">
        <v>1632</v>
      </c>
      <c r="B115" s="158" t="s">
        <v>1633</v>
      </c>
      <c r="C115" s="158" t="s">
        <v>1636</v>
      </c>
      <c r="D115" s="158" t="s">
        <v>1350</v>
      </c>
      <c r="E115" s="158" t="s">
        <v>1341</v>
      </c>
      <c r="F115" s="158" t="s">
        <v>1638</v>
      </c>
    </row>
    <row r="116">
      <c r="A116" s="119" t="s">
        <v>1639</v>
      </c>
      <c r="B116" s="119" t="s">
        <v>1640</v>
      </c>
      <c r="C116" s="119" t="s">
        <v>1457</v>
      </c>
      <c r="D116" s="119" t="s">
        <v>1397</v>
      </c>
      <c r="E116" s="119" t="s">
        <v>1425</v>
      </c>
      <c r="F116" s="158" t="s">
        <v>1641</v>
      </c>
    </row>
    <row r="117">
      <c r="A117" s="119" t="s">
        <v>1642</v>
      </c>
      <c r="B117" s="119" t="s">
        <v>1643</v>
      </c>
      <c r="C117" s="119" t="s">
        <v>1644</v>
      </c>
      <c r="D117" s="119" t="s">
        <v>1367</v>
      </c>
      <c r="E117" s="119" t="s">
        <v>1425</v>
      </c>
      <c r="F117" s="349" t="s">
        <v>1645</v>
      </c>
    </row>
    <row r="118">
      <c r="A118" s="119" t="s">
        <v>1646</v>
      </c>
      <c r="B118" s="119" t="s">
        <v>1365</v>
      </c>
      <c r="C118" s="119" t="s">
        <v>1647</v>
      </c>
      <c r="D118" s="119" t="s">
        <v>1350</v>
      </c>
      <c r="E118" s="119" t="s">
        <v>1341</v>
      </c>
      <c r="F118" s="158" t="s">
        <v>1648</v>
      </c>
    </row>
    <row r="119">
      <c r="A119" s="119" t="s">
        <v>1646</v>
      </c>
      <c r="B119" s="119" t="s">
        <v>1365</v>
      </c>
      <c r="C119" s="119" t="s">
        <v>1647</v>
      </c>
      <c r="D119" s="119" t="s">
        <v>1350</v>
      </c>
      <c r="E119" s="119" t="s">
        <v>1425</v>
      </c>
      <c r="F119" s="158" t="s">
        <v>1649</v>
      </c>
    </row>
    <row r="120">
      <c r="A120" s="158" t="s">
        <v>1650</v>
      </c>
      <c r="B120" s="158" t="s">
        <v>1651</v>
      </c>
      <c r="C120" s="158" t="s">
        <v>1652</v>
      </c>
      <c r="D120" s="158" t="s">
        <v>1397</v>
      </c>
      <c r="E120" s="158" t="s">
        <v>1341</v>
      </c>
      <c r="F120" s="158" t="s">
        <v>1653</v>
      </c>
    </row>
    <row r="121">
      <c r="A121" s="158" t="s">
        <v>1654</v>
      </c>
      <c r="B121" s="158" t="s">
        <v>1609</v>
      </c>
      <c r="C121" s="158" t="s">
        <v>1655</v>
      </c>
      <c r="D121" s="158" t="s">
        <v>1338</v>
      </c>
      <c r="E121" s="158" t="s">
        <v>1341</v>
      </c>
      <c r="F121" s="158" t="s">
        <v>1656</v>
      </c>
    </row>
    <row r="122">
      <c r="A122" s="158" t="s">
        <v>1654</v>
      </c>
      <c r="B122" s="158" t="s">
        <v>1609</v>
      </c>
      <c r="C122" s="158" t="s">
        <v>1655</v>
      </c>
      <c r="D122" s="158" t="s">
        <v>1338</v>
      </c>
      <c r="E122" s="158" t="s">
        <v>1341</v>
      </c>
      <c r="F122" s="349" t="s">
        <v>1657</v>
      </c>
    </row>
    <row r="123">
      <c r="A123" s="158" t="s">
        <v>1654</v>
      </c>
      <c r="B123" s="158" t="s">
        <v>1609</v>
      </c>
      <c r="C123" s="158" t="s">
        <v>1655</v>
      </c>
      <c r="D123" s="158" t="s">
        <v>1338</v>
      </c>
      <c r="E123" s="158" t="s">
        <v>1619</v>
      </c>
      <c r="F123" s="349" t="s">
        <v>1658</v>
      </c>
    </row>
    <row r="124">
      <c r="A124" s="158" t="s">
        <v>1659</v>
      </c>
      <c r="B124" s="158" t="s">
        <v>1660</v>
      </c>
      <c r="C124" s="158" t="s">
        <v>1661</v>
      </c>
      <c r="D124" s="158" t="s">
        <v>1355</v>
      </c>
      <c r="E124" s="158" t="s">
        <v>1468</v>
      </c>
      <c r="F124" s="158" t="s">
        <v>1662</v>
      </c>
    </row>
    <row r="125">
      <c r="A125" s="158" t="s">
        <v>1663</v>
      </c>
      <c r="B125" s="158" t="s">
        <v>1664</v>
      </c>
      <c r="C125" s="158" t="s">
        <v>1665</v>
      </c>
      <c r="D125" s="158" t="s">
        <v>1355</v>
      </c>
      <c r="E125" s="158" t="s">
        <v>1425</v>
      </c>
      <c r="F125" s="158" t="s">
        <v>1666</v>
      </c>
    </row>
    <row r="126">
      <c r="A126" s="158" t="s">
        <v>1667</v>
      </c>
      <c r="B126" s="158" t="s">
        <v>1668</v>
      </c>
      <c r="C126" s="158" t="s">
        <v>1669</v>
      </c>
      <c r="D126" s="158" t="s">
        <v>1355</v>
      </c>
      <c r="E126" s="158" t="s">
        <v>1416</v>
      </c>
      <c r="F126" s="158" t="s">
        <v>1670</v>
      </c>
    </row>
    <row r="127">
      <c r="A127" s="158" t="s">
        <v>1667</v>
      </c>
      <c r="B127" s="158" t="s">
        <v>1668</v>
      </c>
      <c r="C127" s="158" t="s">
        <v>1669</v>
      </c>
      <c r="D127" s="158" t="s">
        <v>1355</v>
      </c>
      <c r="E127" s="158" t="s">
        <v>1341</v>
      </c>
      <c r="F127" s="158" t="s">
        <v>1671</v>
      </c>
    </row>
    <row r="128">
      <c r="A128" s="158" t="s">
        <v>1667</v>
      </c>
      <c r="B128" s="158" t="s">
        <v>1668</v>
      </c>
      <c r="C128" s="158" t="s">
        <v>1669</v>
      </c>
      <c r="D128" s="158" t="s">
        <v>1355</v>
      </c>
      <c r="E128" s="158" t="s">
        <v>1672</v>
      </c>
      <c r="F128" s="158" t="s">
        <v>1673</v>
      </c>
    </row>
    <row r="129">
      <c r="A129" s="158" t="s">
        <v>1667</v>
      </c>
      <c r="B129" s="158" t="s">
        <v>1668</v>
      </c>
      <c r="C129" s="158" t="s">
        <v>1669</v>
      </c>
      <c r="D129" s="158" t="s">
        <v>1355</v>
      </c>
      <c r="E129" s="158" t="s">
        <v>1434</v>
      </c>
      <c r="F129" s="158" t="s">
        <v>1674</v>
      </c>
    </row>
    <row r="130">
      <c r="A130" s="158" t="s">
        <v>1667</v>
      </c>
      <c r="B130" s="158" t="s">
        <v>1668</v>
      </c>
      <c r="C130" s="158" t="s">
        <v>1669</v>
      </c>
      <c r="D130" s="158" t="s">
        <v>1355</v>
      </c>
      <c r="E130" s="158" t="s">
        <v>1416</v>
      </c>
      <c r="F130" s="158" t="s">
        <v>1675</v>
      </c>
    </row>
    <row r="131">
      <c r="A131" s="158" t="s">
        <v>1676</v>
      </c>
      <c r="B131" s="158" t="s">
        <v>1401</v>
      </c>
      <c r="C131" s="158" t="s">
        <v>1677</v>
      </c>
      <c r="D131" s="158" t="s">
        <v>1397</v>
      </c>
      <c r="E131" s="158" t="s">
        <v>1425</v>
      </c>
      <c r="F131" s="158" t="s">
        <v>1678</v>
      </c>
    </row>
    <row r="132">
      <c r="A132" s="158" t="s">
        <v>1676</v>
      </c>
      <c r="B132" s="158" t="s">
        <v>1401</v>
      </c>
      <c r="C132" s="158" t="s">
        <v>1677</v>
      </c>
      <c r="D132" s="158" t="s">
        <v>1397</v>
      </c>
      <c r="E132" s="158" t="s">
        <v>1468</v>
      </c>
      <c r="F132" s="158" t="s">
        <v>1679</v>
      </c>
    </row>
    <row r="133">
      <c r="A133" s="354" t="s">
        <v>1680</v>
      </c>
      <c r="B133" s="354" t="s">
        <v>1530</v>
      </c>
      <c r="C133" s="354" t="s">
        <v>1681</v>
      </c>
      <c r="D133" s="354" t="s">
        <v>1338</v>
      </c>
      <c r="E133" s="354" t="s">
        <v>1339</v>
      </c>
      <c r="F133" s="356" t="s">
        <v>1682</v>
      </c>
    </row>
    <row r="134">
      <c r="A134" s="158" t="s">
        <v>1683</v>
      </c>
      <c r="B134" s="158" t="s">
        <v>1684</v>
      </c>
      <c r="C134" s="158" t="s">
        <v>1685</v>
      </c>
      <c r="D134" s="158" t="s">
        <v>1367</v>
      </c>
      <c r="E134" s="158" t="s">
        <v>1341</v>
      </c>
      <c r="F134" s="356" t="s">
        <v>1686</v>
      </c>
    </row>
    <row r="135">
      <c r="A135" s="158" t="s">
        <v>1683</v>
      </c>
      <c r="B135" s="158" t="s">
        <v>1684</v>
      </c>
      <c r="C135" s="158" t="s">
        <v>1685</v>
      </c>
      <c r="D135" s="158" t="s">
        <v>1367</v>
      </c>
      <c r="E135" s="158" t="s">
        <v>1416</v>
      </c>
      <c r="F135" s="356" t="s">
        <v>1687</v>
      </c>
    </row>
    <row r="136">
      <c r="A136" s="158" t="s">
        <v>1688</v>
      </c>
      <c r="B136" s="158" t="s">
        <v>1689</v>
      </c>
      <c r="C136" s="158" t="s">
        <v>1690</v>
      </c>
      <c r="D136" s="158" t="s">
        <v>1355</v>
      </c>
      <c r="E136" s="158" t="s">
        <v>1341</v>
      </c>
      <c r="F136" s="158" t="s">
        <v>1691</v>
      </c>
    </row>
    <row r="137">
      <c r="A137" s="158" t="s">
        <v>1688</v>
      </c>
      <c r="B137" s="158" t="s">
        <v>1689</v>
      </c>
      <c r="C137" s="158" t="s">
        <v>1690</v>
      </c>
      <c r="D137" s="158" t="s">
        <v>1355</v>
      </c>
      <c r="E137" s="158" t="s">
        <v>1672</v>
      </c>
      <c r="F137" s="158" t="s">
        <v>1692</v>
      </c>
    </row>
    <row r="138">
      <c r="A138" s="158" t="s">
        <v>1688</v>
      </c>
      <c r="B138" s="158" t="s">
        <v>1689</v>
      </c>
      <c r="C138" s="158" t="s">
        <v>1690</v>
      </c>
      <c r="D138" s="158" t="s">
        <v>1355</v>
      </c>
      <c r="E138" s="158" t="s">
        <v>1619</v>
      </c>
      <c r="F138" s="158" t="s">
        <v>1693</v>
      </c>
    </row>
    <row r="139">
      <c r="A139" s="158" t="s">
        <v>1688</v>
      </c>
      <c r="B139" s="158" t="s">
        <v>1689</v>
      </c>
      <c r="C139" s="158" t="s">
        <v>1690</v>
      </c>
      <c r="D139" s="158" t="s">
        <v>1355</v>
      </c>
      <c r="E139" s="158" t="s">
        <v>1672</v>
      </c>
      <c r="F139" s="351" t="s">
        <v>1694</v>
      </c>
    </row>
    <row r="140">
      <c r="A140" s="158" t="s">
        <v>1695</v>
      </c>
      <c r="B140" s="158" t="s">
        <v>1371</v>
      </c>
      <c r="C140" s="158" t="s">
        <v>1696</v>
      </c>
      <c r="D140" s="158" t="s">
        <v>1355</v>
      </c>
      <c r="E140" s="158" t="s">
        <v>1468</v>
      </c>
      <c r="F140" s="158" t="s">
        <v>1697</v>
      </c>
    </row>
    <row r="141">
      <c r="A141" s="158" t="s">
        <v>1695</v>
      </c>
      <c r="B141" s="158" t="s">
        <v>1371</v>
      </c>
      <c r="C141" s="158" t="s">
        <v>1696</v>
      </c>
      <c r="D141" s="158" t="s">
        <v>1355</v>
      </c>
      <c r="E141" s="158" t="s">
        <v>1341</v>
      </c>
      <c r="F141" s="351" t="s">
        <v>1698</v>
      </c>
    </row>
    <row r="142">
      <c r="A142" s="158" t="s">
        <v>1699</v>
      </c>
      <c r="B142" s="158" t="s">
        <v>1700</v>
      </c>
      <c r="C142" s="158" t="s">
        <v>1701</v>
      </c>
      <c r="D142" s="158" t="s">
        <v>1338</v>
      </c>
      <c r="E142" s="158" t="s">
        <v>1339</v>
      </c>
      <c r="F142" s="158" t="s">
        <v>1702</v>
      </c>
    </row>
    <row r="143">
      <c r="A143" s="158" t="s">
        <v>1703</v>
      </c>
      <c r="B143" s="158" t="s">
        <v>1397</v>
      </c>
      <c r="C143" s="158" t="s">
        <v>1704</v>
      </c>
      <c r="D143" s="158" t="s">
        <v>1397</v>
      </c>
      <c r="E143" s="158" t="s">
        <v>1341</v>
      </c>
      <c r="F143" s="158" t="s">
        <v>1705</v>
      </c>
    </row>
    <row r="144">
      <c r="A144" s="354" t="s">
        <v>1703</v>
      </c>
      <c r="B144" s="354" t="s">
        <v>1397</v>
      </c>
      <c r="C144" s="354" t="s">
        <v>1704</v>
      </c>
      <c r="D144" s="354" t="s">
        <v>1397</v>
      </c>
      <c r="E144" s="354" t="s">
        <v>1341</v>
      </c>
      <c r="F144" s="354" t="s">
        <v>1706</v>
      </c>
    </row>
    <row r="145">
      <c r="A145" s="354" t="s">
        <v>1703</v>
      </c>
      <c r="B145" s="354" t="s">
        <v>1397</v>
      </c>
      <c r="C145" s="354" t="s">
        <v>1704</v>
      </c>
      <c r="D145" s="354" t="s">
        <v>1397</v>
      </c>
      <c r="E145" s="354" t="s">
        <v>1341</v>
      </c>
      <c r="F145" s="354" t="s">
        <v>1707</v>
      </c>
    </row>
    <row r="146">
      <c r="A146" s="354" t="s">
        <v>1708</v>
      </c>
      <c r="B146" s="354" t="s">
        <v>1664</v>
      </c>
      <c r="C146" s="354" t="s">
        <v>1709</v>
      </c>
      <c r="D146" s="354" t="s">
        <v>1355</v>
      </c>
      <c r="E146" s="354" t="s">
        <v>1468</v>
      </c>
      <c r="F146" s="354" t="s">
        <v>1600</v>
      </c>
    </row>
    <row r="147">
      <c r="A147" s="119" t="s">
        <v>1710</v>
      </c>
      <c r="B147" s="119" t="s">
        <v>1711</v>
      </c>
      <c r="C147" s="119" t="s">
        <v>1712</v>
      </c>
      <c r="D147" s="119" t="s">
        <v>1367</v>
      </c>
      <c r="E147" s="119" t="s">
        <v>1344</v>
      </c>
      <c r="F147" s="119" t="s">
        <v>1713</v>
      </c>
    </row>
    <row r="148">
      <c r="A148" s="119" t="s">
        <v>1710</v>
      </c>
      <c r="B148" s="119" t="s">
        <v>1711</v>
      </c>
      <c r="C148" s="119" t="s">
        <v>1712</v>
      </c>
      <c r="D148" s="119" t="s">
        <v>1367</v>
      </c>
      <c r="E148" s="119" t="s">
        <v>1341</v>
      </c>
      <c r="F148" s="119" t="s">
        <v>1714</v>
      </c>
    </row>
    <row r="149">
      <c r="A149" s="119" t="s">
        <v>1715</v>
      </c>
      <c r="B149" s="119" t="s">
        <v>1367</v>
      </c>
      <c r="C149" s="119" t="s">
        <v>1716</v>
      </c>
      <c r="D149" s="119" t="s">
        <v>1367</v>
      </c>
      <c r="E149" s="119" t="s">
        <v>1341</v>
      </c>
      <c r="F149" s="119" t="s">
        <v>1717</v>
      </c>
    </row>
    <row r="150">
      <c r="A150" s="119" t="s">
        <v>1715</v>
      </c>
      <c r="B150" s="119" t="s">
        <v>1367</v>
      </c>
      <c r="C150" s="119" t="s">
        <v>1716</v>
      </c>
      <c r="D150" s="119" t="s">
        <v>1367</v>
      </c>
      <c r="E150" s="119" t="s">
        <v>1425</v>
      </c>
      <c r="F150" s="119" t="s">
        <v>1718</v>
      </c>
    </row>
    <row r="151">
      <c r="A151" s="119" t="s">
        <v>1715</v>
      </c>
      <c r="B151" s="119" t="s">
        <v>1367</v>
      </c>
      <c r="C151" s="119" t="s">
        <v>1716</v>
      </c>
      <c r="D151" s="119" t="s">
        <v>1367</v>
      </c>
      <c r="E151" s="119" t="s">
        <v>1425</v>
      </c>
      <c r="F151" s="119" t="s">
        <v>1719</v>
      </c>
    </row>
    <row r="152">
      <c r="A152" s="119" t="s">
        <v>1720</v>
      </c>
      <c r="B152" s="119" t="s">
        <v>1401</v>
      </c>
      <c r="C152" s="119" t="s">
        <v>1488</v>
      </c>
      <c r="D152" s="119" t="s">
        <v>1397</v>
      </c>
      <c r="E152" s="119" t="s">
        <v>1344</v>
      </c>
      <c r="F152" s="357" t="s">
        <v>1721</v>
      </c>
    </row>
    <row r="153">
      <c r="A153" s="119" t="s">
        <v>1722</v>
      </c>
      <c r="B153" s="119" t="s">
        <v>1684</v>
      </c>
      <c r="C153" s="119" t="s">
        <v>1723</v>
      </c>
      <c r="D153" s="119" t="s">
        <v>1367</v>
      </c>
      <c r="E153" s="119" t="s">
        <v>1344</v>
      </c>
      <c r="F153" s="297"/>
    </row>
    <row r="154">
      <c r="A154" s="297"/>
      <c r="B154" s="297"/>
      <c r="C154" s="297"/>
      <c r="D154" s="297"/>
      <c r="E154" s="297"/>
      <c r="F154" s="297"/>
    </row>
    <row r="155">
      <c r="A155" s="297"/>
      <c r="B155" s="297"/>
      <c r="C155" s="297"/>
      <c r="D155" s="297"/>
      <c r="E155" s="297"/>
      <c r="F155" s="29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6.63"/>
  </cols>
  <sheetData>
    <row r="1">
      <c r="A1" s="359" t="s">
        <v>1140</v>
      </c>
      <c r="B1" s="359" t="s">
        <v>20</v>
      </c>
      <c r="C1" s="359" t="s">
        <v>1726</v>
      </c>
      <c r="D1" s="359" t="s">
        <v>1727</v>
      </c>
      <c r="E1" s="359" t="s">
        <v>1728</v>
      </c>
      <c r="F1" s="359" t="s">
        <v>30</v>
      </c>
      <c r="G1" s="262" t="s">
        <v>1729</v>
      </c>
      <c r="H1" s="262" t="s">
        <v>1730</v>
      </c>
      <c r="I1" s="262" t="s">
        <v>1731</v>
      </c>
    </row>
    <row r="2">
      <c r="A2" s="360">
        <v>2024.0</v>
      </c>
      <c r="B2" s="286" t="s">
        <v>528</v>
      </c>
      <c r="C2" s="361">
        <v>45529.0</v>
      </c>
      <c r="D2" s="286" t="s">
        <v>1732</v>
      </c>
      <c r="E2" s="286" t="s">
        <v>1733</v>
      </c>
      <c r="F2" s="286" t="s">
        <v>99</v>
      </c>
      <c r="G2" s="39"/>
      <c r="H2" s="38" t="s">
        <v>1734</v>
      </c>
      <c r="I2" s="39"/>
    </row>
    <row r="3">
      <c r="A3" s="360">
        <v>2024.0</v>
      </c>
      <c r="B3" s="286" t="s">
        <v>528</v>
      </c>
      <c r="C3" s="361">
        <v>45530.0</v>
      </c>
      <c r="D3" s="286" t="s">
        <v>1735</v>
      </c>
      <c r="E3" s="286" t="s">
        <v>1736</v>
      </c>
      <c r="F3" s="286" t="s">
        <v>60</v>
      </c>
      <c r="G3" s="39"/>
      <c r="H3" s="38" t="s">
        <v>1734</v>
      </c>
      <c r="I3" s="39"/>
    </row>
    <row r="4">
      <c r="A4" s="360">
        <v>2024.0</v>
      </c>
      <c r="B4" s="286" t="s">
        <v>528</v>
      </c>
      <c r="C4" s="361">
        <v>45531.0</v>
      </c>
      <c r="D4" s="286" t="s">
        <v>1737</v>
      </c>
      <c r="E4" s="286" t="s">
        <v>1738</v>
      </c>
      <c r="F4" s="286" t="s">
        <v>99</v>
      </c>
      <c r="G4" s="39"/>
      <c r="H4" s="38" t="s">
        <v>1734</v>
      </c>
      <c r="I4" s="39"/>
    </row>
    <row r="5">
      <c r="A5" s="362">
        <v>2024.0</v>
      </c>
      <c r="B5" s="286" t="s">
        <v>528</v>
      </c>
      <c r="C5" s="361">
        <v>45532.0</v>
      </c>
      <c r="D5" s="286" t="s">
        <v>1739</v>
      </c>
      <c r="E5" s="286" t="s">
        <v>1738</v>
      </c>
      <c r="F5" s="286" t="s">
        <v>99</v>
      </c>
      <c r="G5" s="288"/>
      <c r="H5" s="286" t="s">
        <v>1734</v>
      </c>
      <c r="I5" s="288"/>
    </row>
    <row r="6">
      <c r="A6" s="362">
        <v>2024.0</v>
      </c>
      <c r="B6" s="286" t="s">
        <v>528</v>
      </c>
      <c r="C6" s="361">
        <v>45532.0</v>
      </c>
      <c r="D6" s="286" t="s">
        <v>1739</v>
      </c>
      <c r="E6" s="286" t="s">
        <v>1736</v>
      </c>
      <c r="F6" s="286" t="s">
        <v>60</v>
      </c>
      <c r="G6" s="288"/>
      <c r="H6" s="286" t="s">
        <v>1734</v>
      </c>
      <c r="I6" s="288"/>
    </row>
    <row r="7">
      <c r="A7" s="362">
        <v>2024.0</v>
      </c>
      <c r="B7" s="286" t="s">
        <v>528</v>
      </c>
      <c r="C7" s="361">
        <v>45533.0</v>
      </c>
      <c r="D7" s="286" t="s">
        <v>1740</v>
      </c>
      <c r="E7" s="286" t="s">
        <v>1738</v>
      </c>
      <c r="F7" s="286" t="s">
        <v>99</v>
      </c>
      <c r="G7" s="288"/>
      <c r="H7" s="286" t="s">
        <v>1734</v>
      </c>
      <c r="I7" s="288"/>
    </row>
    <row r="8">
      <c r="A8" s="362">
        <v>2024.0</v>
      </c>
      <c r="B8" s="286" t="s">
        <v>528</v>
      </c>
      <c r="C8" s="361">
        <v>45533.0</v>
      </c>
      <c r="D8" s="286" t="s">
        <v>1740</v>
      </c>
      <c r="E8" s="286" t="s">
        <v>1736</v>
      </c>
      <c r="F8" s="286" t="s">
        <v>60</v>
      </c>
      <c r="G8" s="288"/>
      <c r="H8" s="286" t="s">
        <v>1734</v>
      </c>
      <c r="I8" s="288"/>
    </row>
    <row r="9">
      <c r="A9" s="362">
        <v>2024.0</v>
      </c>
      <c r="B9" s="286" t="s">
        <v>625</v>
      </c>
      <c r="C9" s="361">
        <v>45536.0</v>
      </c>
      <c r="D9" s="286" t="s">
        <v>1732</v>
      </c>
      <c r="E9" s="286" t="s">
        <v>1733</v>
      </c>
      <c r="F9" s="286" t="s">
        <v>99</v>
      </c>
      <c r="G9" s="288"/>
      <c r="H9" s="286" t="s">
        <v>1734</v>
      </c>
      <c r="I9" s="288"/>
    </row>
    <row r="10">
      <c r="A10" s="362">
        <v>2024.0</v>
      </c>
      <c r="B10" s="286" t="s">
        <v>625</v>
      </c>
      <c r="C10" s="361">
        <v>45537.0</v>
      </c>
      <c r="D10" s="286" t="s">
        <v>1735</v>
      </c>
      <c r="E10" s="286" t="s">
        <v>1736</v>
      </c>
      <c r="F10" s="286" t="s">
        <v>60</v>
      </c>
      <c r="G10" s="288"/>
      <c r="H10" s="286" t="s">
        <v>1734</v>
      </c>
      <c r="I10" s="288"/>
    </row>
    <row r="11">
      <c r="A11" s="362">
        <v>2024.0</v>
      </c>
      <c r="B11" s="286" t="s">
        <v>625</v>
      </c>
      <c r="C11" s="361">
        <v>45538.0</v>
      </c>
      <c r="D11" s="286" t="s">
        <v>1737</v>
      </c>
      <c r="E11" s="286" t="s">
        <v>1738</v>
      </c>
      <c r="F11" s="286" t="s">
        <v>99</v>
      </c>
      <c r="G11" s="288"/>
      <c r="H11" s="286" t="s">
        <v>1734</v>
      </c>
      <c r="I11" s="288"/>
    </row>
    <row r="12">
      <c r="A12" s="362">
        <v>2024.0</v>
      </c>
      <c r="B12" s="286" t="s">
        <v>625</v>
      </c>
      <c r="C12" s="361">
        <v>45538.0</v>
      </c>
      <c r="D12" s="286" t="s">
        <v>1737</v>
      </c>
      <c r="E12" s="286" t="s">
        <v>1736</v>
      </c>
      <c r="F12" s="286" t="s">
        <v>60</v>
      </c>
      <c r="G12" s="288"/>
      <c r="H12" s="286" t="s">
        <v>1734</v>
      </c>
      <c r="I12" s="288"/>
    </row>
    <row r="13" ht="19.5" customHeight="1">
      <c r="A13" s="362">
        <v>2024.0</v>
      </c>
      <c r="B13" s="286" t="s">
        <v>625</v>
      </c>
      <c r="C13" s="361">
        <v>45539.0</v>
      </c>
      <c r="D13" s="286" t="s">
        <v>1739</v>
      </c>
      <c r="E13" s="286" t="s">
        <v>1738</v>
      </c>
      <c r="F13" s="286" t="s">
        <v>99</v>
      </c>
      <c r="G13" s="288"/>
      <c r="H13" s="286" t="s">
        <v>1734</v>
      </c>
      <c r="I13" s="363" t="s">
        <v>1741</v>
      </c>
    </row>
    <row r="14" ht="17.25" customHeight="1">
      <c r="A14" s="362">
        <v>2024.0</v>
      </c>
      <c r="B14" s="286" t="s">
        <v>625</v>
      </c>
      <c r="C14" s="361">
        <v>45540.0</v>
      </c>
      <c r="D14" s="286" t="s">
        <v>1740</v>
      </c>
      <c r="E14" s="286" t="s">
        <v>1738</v>
      </c>
      <c r="F14" s="286" t="s">
        <v>99</v>
      </c>
      <c r="G14" s="288"/>
      <c r="H14" s="286" t="s">
        <v>1734</v>
      </c>
      <c r="I14" s="363" t="s">
        <v>1741</v>
      </c>
    </row>
    <row r="15">
      <c r="A15" s="362">
        <v>2024.0</v>
      </c>
      <c r="B15" s="286" t="s">
        <v>625</v>
      </c>
      <c r="C15" s="361">
        <v>45543.0</v>
      </c>
      <c r="D15" s="286" t="s">
        <v>1732</v>
      </c>
      <c r="E15" s="286" t="s">
        <v>1733</v>
      </c>
      <c r="F15" s="286" t="s">
        <v>99</v>
      </c>
      <c r="G15" s="288"/>
      <c r="H15" s="286" t="s">
        <v>1734</v>
      </c>
      <c r="I15" s="288"/>
    </row>
    <row r="16">
      <c r="A16" s="362">
        <v>2024.0</v>
      </c>
      <c r="B16" s="286" t="s">
        <v>625</v>
      </c>
      <c r="C16" s="361">
        <v>45544.0</v>
      </c>
      <c r="D16" s="286" t="s">
        <v>1735</v>
      </c>
      <c r="E16" s="286" t="s">
        <v>1742</v>
      </c>
      <c r="F16" s="286" t="s">
        <v>184</v>
      </c>
      <c r="G16" s="288"/>
      <c r="H16" s="286" t="s">
        <v>1734</v>
      </c>
      <c r="I16" s="288"/>
    </row>
    <row r="17">
      <c r="A17" s="362">
        <v>2024.0</v>
      </c>
      <c r="B17" s="286" t="s">
        <v>625</v>
      </c>
      <c r="C17" s="361">
        <v>45545.0</v>
      </c>
      <c r="D17" s="286" t="s">
        <v>1737</v>
      </c>
      <c r="E17" s="286" t="s">
        <v>1736</v>
      </c>
      <c r="F17" s="286" t="s">
        <v>60</v>
      </c>
      <c r="G17" s="288"/>
      <c r="H17" s="286" t="s">
        <v>1734</v>
      </c>
      <c r="I17" s="288"/>
    </row>
    <row r="18">
      <c r="A18" s="362">
        <v>2024.0</v>
      </c>
      <c r="B18" s="286" t="s">
        <v>625</v>
      </c>
      <c r="C18" s="361">
        <v>45546.0</v>
      </c>
      <c r="D18" s="286" t="s">
        <v>1739</v>
      </c>
      <c r="E18" s="286" t="s">
        <v>1738</v>
      </c>
      <c r="F18" s="286" t="s">
        <v>99</v>
      </c>
      <c r="G18" s="288"/>
      <c r="H18" s="286" t="s">
        <v>1734</v>
      </c>
      <c r="I18" s="288"/>
    </row>
    <row r="19">
      <c r="A19" s="362">
        <v>2024.0</v>
      </c>
      <c r="B19" s="286" t="s">
        <v>625</v>
      </c>
      <c r="C19" s="361">
        <v>45547.0</v>
      </c>
      <c r="D19" s="286" t="s">
        <v>1740</v>
      </c>
      <c r="E19" s="286" t="s">
        <v>1738</v>
      </c>
      <c r="F19" s="286" t="s">
        <v>99</v>
      </c>
      <c r="G19" s="288"/>
      <c r="H19" s="286" t="s">
        <v>1734</v>
      </c>
      <c r="I19" s="288"/>
    </row>
    <row r="20">
      <c r="A20" s="362">
        <v>2024.0</v>
      </c>
      <c r="B20" s="286" t="s">
        <v>625</v>
      </c>
      <c r="C20" s="361">
        <v>45550.0</v>
      </c>
      <c r="D20" s="286" t="s">
        <v>1732</v>
      </c>
      <c r="E20" s="286" t="s">
        <v>1733</v>
      </c>
      <c r="F20" s="286" t="s">
        <v>99</v>
      </c>
      <c r="G20" s="288"/>
      <c r="H20" s="286" t="s">
        <v>1734</v>
      </c>
      <c r="I20" s="288"/>
    </row>
    <row r="21">
      <c r="A21" s="362">
        <v>2024.0</v>
      </c>
      <c r="B21" s="286" t="s">
        <v>625</v>
      </c>
      <c r="C21" s="361">
        <v>45551.0</v>
      </c>
      <c r="D21" s="286" t="s">
        <v>1735</v>
      </c>
      <c r="E21" s="286" t="s">
        <v>1738</v>
      </c>
      <c r="F21" s="286" t="s">
        <v>99</v>
      </c>
      <c r="G21" s="288"/>
      <c r="H21" s="286" t="s">
        <v>1734</v>
      </c>
      <c r="I21" s="288"/>
    </row>
    <row r="22">
      <c r="A22" s="362">
        <v>2024.0</v>
      </c>
      <c r="B22" s="286" t="s">
        <v>625</v>
      </c>
      <c r="C22" s="361">
        <v>45552.0</v>
      </c>
      <c r="D22" s="286" t="s">
        <v>1737</v>
      </c>
      <c r="E22" s="286" t="s">
        <v>1738</v>
      </c>
      <c r="F22" s="286" t="s">
        <v>99</v>
      </c>
      <c r="G22" s="288"/>
      <c r="H22" s="286" t="s">
        <v>1734</v>
      </c>
      <c r="I22" s="288"/>
    </row>
    <row r="23">
      <c r="A23" s="362">
        <v>2024.0</v>
      </c>
      <c r="B23" s="286" t="s">
        <v>625</v>
      </c>
      <c r="C23" s="361">
        <v>45553.0</v>
      </c>
      <c r="D23" s="286" t="s">
        <v>1739</v>
      </c>
      <c r="E23" s="286" t="s">
        <v>1736</v>
      </c>
      <c r="F23" s="286" t="s">
        <v>60</v>
      </c>
      <c r="G23" s="288"/>
      <c r="H23" s="286" t="s">
        <v>1734</v>
      </c>
      <c r="I23" s="288"/>
    </row>
    <row r="24">
      <c r="A24" s="362">
        <v>2024.0</v>
      </c>
      <c r="B24" s="286" t="s">
        <v>625</v>
      </c>
      <c r="C24" s="361">
        <v>45554.0</v>
      </c>
      <c r="D24" s="286" t="s">
        <v>1740</v>
      </c>
      <c r="E24" s="286" t="s">
        <v>1736</v>
      </c>
      <c r="F24" s="286" t="s">
        <v>60</v>
      </c>
      <c r="G24" s="288"/>
      <c r="H24" s="286" t="s">
        <v>1734</v>
      </c>
      <c r="I24" s="288"/>
    </row>
    <row r="25">
      <c r="A25" s="362">
        <v>2024.0</v>
      </c>
      <c r="B25" s="286" t="s">
        <v>625</v>
      </c>
      <c r="C25" s="361">
        <v>45557.0</v>
      </c>
      <c r="D25" s="286" t="s">
        <v>1732</v>
      </c>
      <c r="E25" s="286" t="s">
        <v>1733</v>
      </c>
      <c r="F25" s="286" t="s">
        <v>60</v>
      </c>
      <c r="G25" s="288"/>
      <c r="H25" s="286" t="s">
        <v>1734</v>
      </c>
      <c r="I25" s="288"/>
    </row>
    <row r="26">
      <c r="A26" s="362">
        <v>2024.0</v>
      </c>
      <c r="B26" s="286" t="s">
        <v>625</v>
      </c>
      <c r="C26" s="361">
        <v>45558.0</v>
      </c>
      <c r="D26" s="286" t="s">
        <v>1735</v>
      </c>
      <c r="E26" s="286" t="s">
        <v>1742</v>
      </c>
      <c r="F26" s="286" t="s">
        <v>136</v>
      </c>
      <c r="G26" s="288"/>
      <c r="H26" s="286" t="s">
        <v>1734</v>
      </c>
      <c r="I26" s="288"/>
    </row>
    <row r="27">
      <c r="A27" s="362">
        <v>2024.0</v>
      </c>
      <c r="B27" s="286" t="s">
        <v>625</v>
      </c>
      <c r="C27" s="361">
        <v>45559.0</v>
      </c>
      <c r="D27" s="286" t="s">
        <v>1737</v>
      </c>
      <c r="E27" s="286" t="s">
        <v>1738</v>
      </c>
      <c r="F27" s="286" t="s">
        <v>99</v>
      </c>
      <c r="G27" s="288"/>
      <c r="H27" s="286" t="s">
        <v>1734</v>
      </c>
      <c r="I27" s="288"/>
    </row>
    <row r="28">
      <c r="A28" s="362">
        <v>2024.0</v>
      </c>
      <c r="B28" s="286" t="s">
        <v>625</v>
      </c>
      <c r="C28" s="361">
        <v>45560.0</v>
      </c>
      <c r="D28" s="286" t="s">
        <v>1739</v>
      </c>
      <c r="E28" s="286" t="s">
        <v>1742</v>
      </c>
      <c r="F28" s="286" t="s">
        <v>99</v>
      </c>
      <c r="G28" s="288"/>
      <c r="H28" s="286" t="s">
        <v>1734</v>
      </c>
      <c r="I28" s="288"/>
    </row>
    <row r="29">
      <c r="A29" s="362">
        <v>2024.0</v>
      </c>
      <c r="B29" s="286" t="s">
        <v>625</v>
      </c>
      <c r="C29" s="361">
        <v>45561.0</v>
      </c>
      <c r="D29" s="286" t="s">
        <v>1740</v>
      </c>
      <c r="E29" s="286" t="s">
        <v>1742</v>
      </c>
      <c r="F29" s="286" t="s">
        <v>99</v>
      </c>
      <c r="G29" s="288"/>
      <c r="H29" s="286" t="s">
        <v>1734</v>
      </c>
      <c r="I29" s="288"/>
    </row>
    <row r="30">
      <c r="A30" s="362">
        <v>2024.0</v>
      </c>
      <c r="B30" s="286" t="s">
        <v>625</v>
      </c>
      <c r="C30" s="361">
        <v>45562.0</v>
      </c>
      <c r="D30" s="286" t="s">
        <v>1743</v>
      </c>
      <c r="E30" s="286" t="s">
        <v>1738</v>
      </c>
      <c r="F30" s="286" t="s">
        <v>99</v>
      </c>
      <c r="G30" s="288"/>
      <c r="H30" s="286" t="s">
        <v>1734</v>
      </c>
      <c r="I30" s="288"/>
    </row>
    <row r="31">
      <c r="A31" s="362">
        <v>2024.0</v>
      </c>
      <c r="B31" s="286" t="s">
        <v>625</v>
      </c>
      <c r="C31" s="361">
        <v>45564.0</v>
      </c>
      <c r="D31" s="286" t="s">
        <v>1732</v>
      </c>
      <c r="E31" s="286" t="s">
        <v>1733</v>
      </c>
      <c r="F31" s="286" t="s">
        <v>99</v>
      </c>
      <c r="G31" s="288"/>
      <c r="H31" s="286" t="s">
        <v>1734</v>
      </c>
      <c r="I31" s="288"/>
    </row>
    <row r="32">
      <c r="A32" s="362">
        <v>2024.0</v>
      </c>
      <c r="B32" s="286" t="s">
        <v>625</v>
      </c>
      <c r="C32" s="361">
        <v>45565.0</v>
      </c>
      <c r="D32" s="286" t="s">
        <v>1735</v>
      </c>
      <c r="E32" s="286" t="s">
        <v>1738</v>
      </c>
      <c r="F32" s="286" t="s">
        <v>99</v>
      </c>
      <c r="G32" s="288"/>
      <c r="H32" s="286" t="s">
        <v>1734</v>
      </c>
      <c r="I32" s="288"/>
    </row>
    <row r="33">
      <c r="A33" s="362">
        <v>2024.0</v>
      </c>
      <c r="B33" s="286" t="s">
        <v>711</v>
      </c>
      <c r="C33" s="361">
        <v>45566.0</v>
      </c>
      <c r="D33" s="286" t="s">
        <v>1737</v>
      </c>
      <c r="E33" s="286" t="s">
        <v>1738</v>
      </c>
      <c r="F33" s="286" t="s">
        <v>99</v>
      </c>
      <c r="G33" s="288"/>
      <c r="H33" s="286" t="s">
        <v>1734</v>
      </c>
      <c r="I33" s="288"/>
    </row>
    <row r="34">
      <c r="A34" s="362">
        <v>2024.0</v>
      </c>
      <c r="B34" s="286" t="s">
        <v>711</v>
      </c>
      <c r="C34" s="361">
        <v>45568.0</v>
      </c>
      <c r="D34" s="286" t="s">
        <v>1740</v>
      </c>
      <c r="E34" s="286" t="s">
        <v>1742</v>
      </c>
      <c r="F34" s="286" t="s">
        <v>99</v>
      </c>
      <c r="G34" s="288"/>
      <c r="H34" s="286" t="s">
        <v>1734</v>
      </c>
      <c r="I34" s="288"/>
    </row>
    <row r="35">
      <c r="A35" s="362">
        <v>2024.0</v>
      </c>
      <c r="B35" s="286" t="s">
        <v>711</v>
      </c>
      <c r="C35" s="361">
        <v>45569.0</v>
      </c>
      <c r="D35" s="286" t="s">
        <v>1743</v>
      </c>
      <c r="E35" s="286" t="s">
        <v>1738</v>
      </c>
      <c r="F35" s="286" t="s">
        <v>99</v>
      </c>
      <c r="G35" s="288"/>
      <c r="H35" s="286" t="s">
        <v>1734</v>
      </c>
      <c r="I35" s="288"/>
    </row>
    <row r="36">
      <c r="A36" s="362">
        <v>2024.0</v>
      </c>
      <c r="B36" s="286" t="s">
        <v>711</v>
      </c>
      <c r="C36" s="361">
        <v>45571.0</v>
      </c>
      <c r="D36" s="286" t="s">
        <v>1732</v>
      </c>
      <c r="E36" s="286" t="s">
        <v>1733</v>
      </c>
      <c r="F36" s="286" t="s">
        <v>99</v>
      </c>
      <c r="G36" s="288"/>
      <c r="H36" s="286" t="s">
        <v>1734</v>
      </c>
      <c r="I36" s="288"/>
    </row>
    <row r="37">
      <c r="A37" s="362">
        <v>2024.0</v>
      </c>
      <c r="B37" s="286" t="s">
        <v>711</v>
      </c>
      <c r="C37" s="361">
        <v>45572.0</v>
      </c>
      <c r="D37" s="286" t="s">
        <v>1735</v>
      </c>
      <c r="E37" s="286" t="s">
        <v>1742</v>
      </c>
      <c r="F37" s="286" t="s">
        <v>99</v>
      </c>
      <c r="G37" s="288"/>
      <c r="H37" s="286" t="s">
        <v>1734</v>
      </c>
      <c r="I37" s="288"/>
    </row>
    <row r="38">
      <c r="A38" s="362">
        <v>2024.0</v>
      </c>
      <c r="B38" s="286" t="s">
        <v>711</v>
      </c>
      <c r="C38" s="361">
        <v>45573.0</v>
      </c>
      <c r="D38" s="286" t="s">
        <v>1737</v>
      </c>
      <c r="E38" s="286" t="s">
        <v>1738</v>
      </c>
      <c r="F38" s="286" t="s">
        <v>99</v>
      </c>
      <c r="G38" s="288"/>
      <c r="H38" s="286" t="s">
        <v>1734</v>
      </c>
      <c r="I38" s="288"/>
    </row>
    <row r="39">
      <c r="A39" s="362">
        <v>2024.0</v>
      </c>
      <c r="B39" s="286" t="s">
        <v>711</v>
      </c>
      <c r="C39" s="361">
        <v>45574.0</v>
      </c>
      <c r="D39" s="286" t="s">
        <v>1739</v>
      </c>
      <c r="E39" s="286" t="s">
        <v>1736</v>
      </c>
      <c r="F39" s="286" t="s">
        <v>99</v>
      </c>
      <c r="G39" s="288"/>
      <c r="H39" s="286" t="s">
        <v>1734</v>
      </c>
      <c r="I39" s="288"/>
    </row>
    <row r="40">
      <c r="A40" s="362">
        <v>2024.0</v>
      </c>
      <c r="B40" s="286" t="s">
        <v>711</v>
      </c>
      <c r="C40" s="361">
        <v>45575.0</v>
      </c>
      <c r="D40" s="286" t="s">
        <v>1740</v>
      </c>
      <c r="E40" s="286" t="s">
        <v>1736</v>
      </c>
      <c r="F40" s="286" t="s">
        <v>60</v>
      </c>
      <c r="G40" s="288"/>
      <c r="H40" s="286" t="s">
        <v>1734</v>
      </c>
      <c r="I40" s="288"/>
    </row>
    <row r="41">
      <c r="A41" s="362">
        <v>2024.0</v>
      </c>
      <c r="B41" s="286" t="s">
        <v>711</v>
      </c>
      <c r="C41" s="361">
        <v>45576.0</v>
      </c>
      <c r="D41" s="286" t="s">
        <v>1743</v>
      </c>
      <c r="E41" s="286" t="s">
        <v>1738</v>
      </c>
      <c r="F41" s="286" t="s">
        <v>99</v>
      </c>
      <c r="G41" s="288"/>
      <c r="H41" s="286" t="s">
        <v>1734</v>
      </c>
      <c r="I41" s="288"/>
    </row>
    <row r="42">
      <c r="A42" s="362">
        <v>2024.0</v>
      </c>
      <c r="B42" s="286" t="s">
        <v>711</v>
      </c>
      <c r="C42" s="361">
        <v>45578.0</v>
      </c>
      <c r="D42" s="286" t="s">
        <v>1732</v>
      </c>
      <c r="E42" s="286" t="s">
        <v>1733</v>
      </c>
      <c r="F42" s="286" t="s">
        <v>99</v>
      </c>
      <c r="G42" s="288"/>
      <c r="H42" s="286" t="s">
        <v>1734</v>
      </c>
      <c r="I42" s="288"/>
    </row>
    <row r="43">
      <c r="A43" s="362">
        <v>2024.0</v>
      </c>
      <c r="B43" s="286" t="s">
        <v>711</v>
      </c>
      <c r="C43" s="361">
        <v>45579.0</v>
      </c>
      <c r="D43" s="286" t="s">
        <v>1735</v>
      </c>
      <c r="E43" s="286" t="s">
        <v>1744</v>
      </c>
      <c r="F43" s="286" t="s">
        <v>99</v>
      </c>
      <c r="G43" s="288"/>
      <c r="H43" s="286" t="s">
        <v>1734</v>
      </c>
      <c r="I43" s="288"/>
    </row>
    <row r="44">
      <c r="A44" s="362">
        <v>2024.0</v>
      </c>
      <c r="B44" s="286" t="s">
        <v>711</v>
      </c>
      <c r="C44" s="361">
        <v>45580.0</v>
      </c>
      <c r="D44" s="286" t="s">
        <v>1737</v>
      </c>
      <c r="E44" s="286" t="s">
        <v>1742</v>
      </c>
      <c r="F44" s="286" t="s">
        <v>99</v>
      </c>
      <c r="G44" s="288"/>
      <c r="H44" s="286" t="s">
        <v>1734</v>
      </c>
      <c r="I44" s="288"/>
    </row>
    <row r="45">
      <c r="A45" s="362">
        <v>2024.0</v>
      </c>
      <c r="B45" s="286" t="s">
        <v>711</v>
      </c>
      <c r="C45" s="361">
        <v>45581.0</v>
      </c>
      <c r="D45" s="286" t="s">
        <v>1739</v>
      </c>
      <c r="E45" s="286" t="s">
        <v>1736</v>
      </c>
      <c r="F45" s="286" t="s">
        <v>60</v>
      </c>
      <c r="G45" s="288"/>
      <c r="H45" s="286" t="s">
        <v>1734</v>
      </c>
      <c r="I45" s="288"/>
    </row>
    <row r="46">
      <c r="A46" s="362">
        <v>2024.0</v>
      </c>
      <c r="B46" s="286" t="s">
        <v>711</v>
      </c>
      <c r="C46" s="361">
        <v>45582.0</v>
      </c>
      <c r="D46" s="286" t="s">
        <v>1740</v>
      </c>
      <c r="E46" s="286" t="s">
        <v>1745</v>
      </c>
      <c r="F46" s="286" t="s">
        <v>60</v>
      </c>
      <c r="G46" s="288"/>
      <c r="H46" s="286" t="s">
        <v>1734</v>
      </c>
      <c r="I46" s="288"/>
    </row>
    <row r="47">
      <c r="A47" s="362">
        <v>2024.0</v>
      </c>
      <c r="B47" s="286" t="s">
        <v>711</v>
      </c>
      <c r="C47" s="361">
        <v>45583.0</v>
      </c>
      <c r="D47" s="286" t="s">
        <v>1743</v>
      </c>
      <c r="E47" s="286" t="s">
        <v>1738</v>
      </c>
      <c r="F47" s="286" t="s">
        <v>99</v>
      </c>
      <c r="G47" s="288"/>
      <c r="H47" s="286" t="s">
        <v>1734</v>
      </c>
      <c r="I47" s="288"/>
    </row>
    <row r="48">
      <c r="A48" s="362">
        <v>2024.0</v>
      </c>
      <c r="B48" s="286" t="s">
        <v>711</v>
      </c>
      <c r="C48" s="361">
        <v>45585.0</v>
      </c>
      <c r="D48" s="286" t="s">
        <v>1732</v>
      </c>
      <c r="E48" s="286" t="s">
        <v>1746</v>
      </c>
      <c r="F48" s="286" t="s">
        <v>99</v>
      </c>
      <c r="G48" s="288"/>
      <c r="H48" s="286" t="s">
        <v>1734</v>
      </c>
      <c r="I48" s="288"/>
    </row>
    <row r="49">
      <c r="A49" s="362">
        <v>2024.0</v>
      </c>
      <c r="B49" s="286" t="s">
        <v>711</v>
      </c>
      <c r="C49" s="361">
        <v>45586.0</v>
      </c>
      <c r="D49" s="286" t="s">
        <v>1735</v>
      </c>
      <c r="E49" s="286" t="s">
        <v>1742</v>
      </c>
      <c r="F49" s="286" t="s">
        <v>99</v>
      </c>
      <c r="G49" s="288"/>
      <c r="H49" s="286" t="s">
        <v>1734</v>
      </c>
      <c r="I49" s="288"/>
    </row>
    <row r="50">
      <c r="A50" s="362">
        <v>2024.0</v>
      </c>
      <c r="B50" s="286" t="s">
        <v>711</v>
      </c>
      <c r="C50" s="361">
        <v>45587.0</v>
      </c>
      <c r="D50" s="286" t="s">
        <v>1737</v>
      </c>
      <c r="E50" s="286" t="s">
        <v>1742</v>
      </c>
      <c r="F50" s="286" t="s">
        <v>136</v>
      </c>
      <c r="G50" s="288"/>
      <c r="H50" s="286" t="s">
        <v>1734</v>
      </c>
      <c r="I50" s="288"/>
    </row>
    <row r="51">
      <c r="A51" s="362">
        <v>2024.0</v>
      </c>
      <c r="B51" s="286" t="s">
        <v>711</v>
      </c>
      <c r="C51" s="361"/>
      <c r="D51" s="286"/>
      <c r="E51" s="286"/>
      <c r="F51" s="286"/>
      <c r="G51" s="288"/>
      <c r="H51" s="286"/>
      <c r="I51" s="288"/>
    </row>
    <row r="52">
      <c r="A52" s="362">
        <v>2024.0</v>
      </c>
      <c r="B52" s="286" t="s">
        <v>711</v>
      </c>
      <c r="C52" s="361"/>
      <c r="D52" s="286"/>
      <c r="E52" s="286"/>
      <c r="F52" s="286"/>
      <c r="G52" s="288"/>
      <c r="H52" s="286"/>
      <c r="I52" s="288"/>
    </row>
  </sheetData>
  <dataValidations>
    <dataValidation type="list" allowBlank="1" showErrorMessage="1" sqref="H2:H52">
      <formula1>"Si,No"</formula1>
    </dataValidation>
    <dataValidation type="list" allowBlank="1" showErrorMessage="1" sqref="E2:E52">
      <formula1>"7:00am,8:00am,10:00am,11:00am,3:00pm,5:00pm,6:00pm,7:00pm,4:00pm"</formula1>
    </dataValidation>
    <dataValidation type="list" allowBlank="1" showErrorMessage="1" sqref="A2:A52">
      <formula1>"2024,2025,2026,2027"</formula1>
    </dataValidation>
    <dataValidation type="list" allowBlank="1" showErrorMessage="1" sqref="D2:D52">
      <formula1>"Lunes,Martes,Miercoles,Jueves,Viernes,Sabado,Domingo"</formula1>
    </dataValidation>
    <dataValidation type="list" allowBlank="1" showErrorMessage="1" sqref="B2:B52">
      <formula1>"Enero,Febrero,Marzo,Abril,Mayo,Junio,Julio,Agosto,Septiembre,Octubre,Noviembre,Diciembre"</formula1>
    </dataValidation>
    <dataValidation type="list" allowBlank="1" showErrorMessage="1" sqref="F2:F52">
      <formula1>"01.Lijacá,01.Orquídeas,02.Chapinero,04.La Victoria,04.Sosiego,05.Santa Librada,05.Usme,06.San Vicente Ferrer,07.Bosa Estación ,07.Bosa Recreo,08.Carvajal,08.Class,08.Kennedy Central ,08.Patio Bonito,09.Fontibón,10.Ferias,10.La Granja,10.Villa Gladys,11.La"&amp;" Colina,11.Prado Veraniego,11.Suba Flóres,11.Suba Las Mercedes,11.Suba Lisboa,11.Suba Pinar,11.Suba  Rincón,15.Santander,16.Galán,18.Santa Lucia,19.Candelaria la nueva,N/A"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13"/>
    <col customWidth="1" min="2" max="2" width="10.75"/>
    <col customWidth="1" min="6" max="6" width="18.75"/>
    <col customWidth="1" min="11" max="11" width="11.75"/>
    <col customWidth="1" min="12" max="12" width="16.5"/>
  </cols>
  <sheetData>
    <row r="1" ht="22.5" customHeight="1">
      <c r="A1" s="364" t="s">
        <v>1747</v>
      </c>
      <c r="B1" s="364" t="s">
        <v>1140</v>
      </c>
      <c r="C1" s="364" t="s">
        <v>20</v>
      </c>
      <c r="D1" s="364" t="s">
        <v>31</v>
      </c>
      <c r="E1" s="364" t="s">
        <v>1748</v>
      </c>
      <c r="F1" s="364" t="s">
        <v>22</v>
      </c>
      <c r="G1" s="364" t="s">
        <v>29</v>
      </c>
      <c r="H1" s="364" t="s">
        <v>1147</v>
      </c>
      <c r="I1" s="364" t="s">
        <v>28</v>
      </c>
      <c r="J1" s="364" t="s">
        <v>1749</v>
      </c>
      <c r="K1" s="364" t="s">
        <v>1750</v>
      </c>
      <c r="L1" s="365" t="s">
        <v>1751</v>
      </c>
      <c r="M1" s="366" t="s">
        <v>1752</v>
      </c>
      <c r="N1" s="366" t="s">
        <v>1753</v>
      </c>
      <c r="O1" s="366" t="s">
        <v>1754</v>
      </c>
      <c r="P1" s="364" t="s">
        <v>1755</v>
      </c>
      <c r="Q1" s="364" t="s">
        <v>1729</v>
      </c>
      <c r="R1" s="366" t="s">
        <v>1150</v>
      </c>
      <c r="S1" s="367"/>
      <c r="T1" s="367"/>
      <c r="U1" s="367"/>
      <c r="V1" s="367"/>
      <c r="W1" s="367"/>
      <c r="X1" s="367"/>
      <c r="Y1" s="367"/>
      <c r="Z1" s="367"/>
    </row>
    <row r="2" ht="22.5" customHeight="1">
      <c r="A2" s="368"/>
      <c r="B2" s="369">
        <v>2024.0</v>
      </c>
      <c r="C2" s="296" t="s">
        <v>200</v>
      </c>
      <c r="D2" s="29"/>
      <c r="E2" s="370" t="s">
        <v>169</v>
      </c>
      <c r="F2" s="296" t="s">
        <v>132</v>
      </c>
      <c r="G2" s="296" t="s">
        <v>1756</v>
      </c>
      <c r="H2" s="296" t="s">
        <v>171</v>
      </c>
      <c r="I2" s="296" t="s">
        <v>58</v>
      </c>
      <c r="J2" s="296" t="s">
        <v>1757</v>
      </c>
      <c r="K2" s="368"/>
      <c r="L2" s="371" t="s">
        <v>1758</v>
      </c>
      <c r="M2" s="79">
        <v>3.9705617E7</v>
      </c>
      <c r="N2" s="79">
        <v>3.144106948E9</v>
      </c>
      <c r="O2" s="372" t="s">
        <v>1018</v>
      </c>
      <c r="P2" s="368"/>
      <c r="Q2" s="296" t="s">
        <v>1759</v>
      </c>
      <c r="R2" s="373"/>
      <c r="S2" s="367"/>
      <c r="T2" s="367"/>
      <c r="U2" s="367"/>
      <c r="V2" s="367"/>
      <c r="W2" s="367"/>
      <c r="X2" s="367"/>
      <c r="Y2" s="367"/>
      <c r="Z2" s="367"/>
    </row>
    <row r="3" ht="22.5" customHeight="1">
      <c r="A3" s="368"/>
      <c r="B3" s="369">
        <v>2024.0</v>
      </c>
      <c r="C3" s="296" t="s">
        <v>200</v>
      </c>
      <c r="D3" s="29"/>
      <c r="E3" s="322" t="s">
        <v>1760</v>
      </c>
      <c r="F3" s="296" t="s">
        <v>132</v>
      </c>
      <c r="G3" s="296" t="s">
        <v>1756</v>
      </c>
      <c r="H3" s="296" t="s">
        <v>171</v>
      </c>
      <c r="I3" s="296" t="s">
        <v>58</v>
      </c>
      <c r="J3" s="296" t="s">
        <v>1757</v>
      </c>
      <c r="K3" s="368"/>
      <c r="L3" s="371" t="s">
        <v>1761</v>
      </c>
      <c r="M3" s="79">
        <v>2.3629908E7</v>
      </c>
      <c r="N3" s="79">
        <v>3.103495141E9</v>
      </c>
      <c r="O3" s="372" t="s">
        <v>1018</v>
      </c>
      <c r="P3" s="368"/>
      <c r="Q3" s="296" t="s">
        <v>1759</v>
      </c>
      <c r="R3" s="373"/>
      <c r="S3" s="367"/>
      <c r="T3" s="367"/>
      <c r="U3" s="367"/>
      <c r="V3" s="367"/>
      <c r="W3" s="367"/>
      <c r="X3" s="367"/>
      <c r="Y3" s="367"/>
      <c r="Z3" s="367"/>
    </row>
    <row r="4" ht="22.5" customHeight="1">
      <c r="A4" s="368"/>
      <c r="B4" s="369">
        <v>2024.0</v>
      </c>
      <c r="C4" s="296" t="s">
        <v>200</v>
      </c>
      <c r="D4" s="29"/>
      <c r="E4" s="322" t="s">
        <v>1762</v>
      </c>
      <c r="F4" s="296" t="s">
        <v>132</v>
      </c>
      <c r="G4" s="296" t="s">
        <v>1756</v>
      </c>
      <c r="H4" s="296" t="s">
        <v>171</v>
      </c>
      <c r="I4" s="296" t="s">
        <v>58</v>
      </c>
      <c r="J4" s="296" t="s">
        <v>1757</v>
      </c>
      <c r="K4" s="368"/>
      <c r="L4" s="371" t="s">
        <v>1763</v>
      </c>
      <c r="M4" s="79">
        <v>1.9441928E7</v>
      </c>
      <c r="N4" s="79">
        <v>3.13264776E9</v>
      </c>
      <c r="O4" s="372" t="s">
        <v>1764</v>
      </c>
      <c r="P4" s="368"/>
      <c r="Q4" s="296" t="s">
        <v>1759</v>
      </c>
      <c r="R4" s="373"/>
      <c r="S4" s="367"/>
      <c r="T4" s="367"/>
      <c r="U4" s="367"/>
      <c r="V4" s="367"/>
      <c r="W4" s="367"/>
      <c r="X4" s="367"/>
      <c r="Y4" s="367"/>
      <c r="Z4" s="367"/>
    </row>
    <row r="5" ht="22.5" customHeight="1">
      <c r="A5" s="368"/>
      <c r="B5" s="369">
        <v>2024.0</v>
      </c>
      <c r="C5" s="296" t="s">
        <v>200</v>
      </c>
      <c r="D5" s="29"/>
      <c r="E5" s="322" t="s">
        <v>1765</v>
      </c>
      <c r="F5" s="296" t="s">
        <v>132</v>
      </c>
      <c r="G5" s="296" t="s">
        <v>1756</v>
      </c>
      <c r="H5" s="296" t="s">
        <v>171</v>
      </c>
      <c r="I5" s="296" t="s">
        <v>58</v>
      </c>
      <c r="J5" s="296" t="s">
        <v>1757</v>
      </c>
      <c r="K5" s="368"/>
      <c r="L5" s="371" t="s">
        <v>1766</v>
      </c>
      <c r="M5" s="79">
        <v>1.9407902E7</v>
      </c>
      <c r="N5" s="79">
        <v>3.504407292E9</v>
      </c>
      <c r="O5" s="372" t="s">
        <v>1764</v>
      </c>
      <c r="P5" s="368"/>
      <c r="Q5" s="296" t="s">
        <v>1759</v>
      </c>
      <c r="R5" s="373"/>
      <c r="S5" s="367"/>
      <c r="T5" s="367"/>
      <c r="U5" s="367"/>
      <c r="V5" s="367"/>
      <c r="W5" s="367"/>
      <c r="X5" s="367"/>
      <c r="Y5" s="367"/>
      <c r="Z5" s="367"/>
    </row>
    <row r="6" ht="22.5" customHeight="1">
      <c r="A6" s="368"/>
      <c r="B6" s="369">
        <v>2024.0</v>
      </c>
      <c r="C6" s="296" t="s">
        <v>200</v>
      </c>
      <c r="D6" s="29"/>
      <c r="E6" s="322" t="s">
        <v>1767</v>
      </c>
      <c r="F6" s="296" t="s">
        <v>132</v>
      </c>
      <c r="G6" s="296" t="s">
        <v>1756</v>
      </c>
      <c r="H6" s="296" t="s">
        <v>171</v>
      </c>
      <c r="I6" s="296" t="s">
        <v>58</v>
      </c>
      <c r="J6" s="296" t="s">
        <v>1757</v>
      </c>
      <c r="K6" s="368"/>
      <c r="L6" s="371" t="s">
        <v>1768</v>
      </c>
      <c r="M6" s="79">
        <v>5.1759022E7</v>
      </c>
      <c r="N6" s="79">
        <v>3.118988921E9</v>
      </c>
      <c r="O6" s="372" t="s">
        <v>1018</v>
      </c>
      <c r="P6" s="368"/>
      <c r="Q6" s="296" t="s">
        <v>1759</v>
      </c>
      <c r="R6" s="373"/>
      <c r="S6" s="367"/>
      <c r="T6" s="367"/>
      <c r="U6" s="367"/>
      <c r="V6" s="367"/>
      <c r="W6" s="367"/>
      <c r="X6" s="367"/>
      <c r="Y6" s="367"/>
      <c r="Z6" s="367"/>
    </row>
    <row r="7" ht="22.5" customHeight="1">
      <c r="A7" s="368"/>
      <c r="B7" s="369">
        <v>2024.0</v>
      </c>
      <c r="C7" s="296" t="s">
        <v>200</v>
      </c>
      <c r="D7" s="29"/>
      <c r="E7" s="322" t="s">
        <v>1769</v>
      </c>
      <c r="F7" s="296" t="s">
        <v>132</v>
      </c>
      <c r="G7" s="296" t="s">
        <v>1756</v>
      </c>
      <c r="H7" s="296" t="s">
        <v>171</v>
      </c>
      <c r="I7" s="296" t="s">
        <v>58</v>
      </c>
      <c r="J7" s="296" t="s">
        <v>1757</v>
      </c>
      <c r="K7" s="368"/>
      <c r="L7" s="371" t="s">
        <v>1770</v>
      </c>
      <c r="M7" s="79">
        <v>5.1574443E7</v>
      </c>
      <c r="N7" s="79">
        <v>3.144359628E9</v>
      </c>
      <c r="O7" s="372" t="s">
        <v>1018</v>
      </c>
      <c r="P7" s="368"/>
      <c r="Q7" s="296" t="s">
        <v>1759</v>
      </c>
      <c r="R7" s="373"/>
      <c r="S7" s="367"/>
      <c r="T7" s="367"/>
      <c r="U7" s="367"/>
      <c r="V7" s="367"/>
      <c r="W7" s="367"/>
      <c r="X7" s="367"/>
      <c r="Y7" s="367"/>
      <c r="Z7" s="367"/>
    </row>
    <row r="8" ht="22.5" customHeight="1">
      <c r="A8" s="368"/>
      <c r="B8" s="369">
        <v>2024.0</v>
      </c>
      <c r="C8" s="296" t="s">
        <v>200</v>
      </c>
      <c r="D8" s="29"/>
      <c r="E8" s="322" t="s">
        <v>1771</v>
      </c>
      <c r="F8" s="296" t="s">
        <v>132</v>
      </c>
      <c r="G8" s="296" t="s">
        <v>1756</v>
      </c>
      <c r="H8" s="296" t="s">
        <v>171</v>
      </c>
      <c r="I8" s="296" t="s">
        <v>58</v>
      </c>
      <c r="J8" s="296" t="s">
        <v>1757</v>
      </c>
      <c r="K8" s="368"/>
      <c r="L8" s="371" t="s">
        <v>1772</v>
      </c>
      <c r="M8" s="79">
        <v>5.1840524E7</v>
      </c>
      <c r="N8" s="79">
        <v>3.214317571E9</v>
      </c>
      <c r="O8" s="372" t="s">
        <v>1018</v>
      </c>
      <c r="P8" s="368"/>
      <c r="Q8" s="296" t="s">
        <v>1759</v>
      </c>
      <c r="R8" s="373"/>
      <c r="S8" s="367"/>
      <c r="T8" s="367"/>
      <c r="U8" s="367"/>
      <c r="V8" s="367"/>
      <c r="W8" s="367"/>
      <c r="X8" s="367"/>
      <c r="Y8" s="367"/>
      <c r="Z8" s="367"/>
    </row>
    <row r="9" ht="22.5" customHeight="1">
      <c r="A9" s="368"/>
      <c r="B9" s="369">
        <v>2024.0</v>
      </c>
      <c r="C9" s="296" t="s">
        <v>200</v>
      </c>
      <c r="D9" s="29"/>
      <c r="E9" s="322" t="s">
        <v>1773</v>
      </c>
      <c r="F9" s="296" t="s">
        <v>132</v>
      </c>
      <c r="G9" s="296" t="s">
        <v>1756</v>
      </c>
      <c r="H9" s="296" t="s">
        <v>171</v>
      </c>
      <c r="I9" s="296" t="s">
        <v>58</v>
      </c>
      <c r="J9" s="296" t="s">
        <v>1757</v>
      </c>
      <c r="K9" s="368"/>
      <c r="L9" s="371" t="s">
        <v>1774</v>
      </c>
      <c r="M9" s="79">
        <v>1.9320708E7</v>
      </c>
      <c r="N9" s="79">
        <v>3.204964498E9</v>
      </c>
      <c r="O9" s="372" t="s">
        <v>1764</v>
      </c>
      <c r="P9" s="368"/>
      <c r="Q9" s="296" t="s">
        <v>1759</v>
      </c>
      <c r="R9" s="373"/>
      <c r="S9" s="367"/>
      <c r="T9" s="367"/>
      <c r="U9" s="367"/>
      <c r="V9" s="367"/>
      <c r="W9" s="367"/>
      <c r="X9" s="367"/>
      <c r="Y9" s="367"/>
      <c r="Z9" s="367"/>
    </row>
    <row r="10" ht="22.5" customHeight="1">
      <c r="A10" s="368"/>
      <c r="B10" s="369">
        <v>2024.0</v>
      </c>
      <c r="C10" s="296" t="s">
        <v>200</v>
      </c>
      <c r="D10" s="29"/>
      <c r="E10" s="322" t="s">
        <v>1775</v>
      </c>
      <c r="F10" s="296" t="s">
        <v>132</v>
      </c>
      <c r="G10" s="296" t="s">
        <v>1756</v>
      </c>
      <c r="H10" s="296" t="s">
        <v>171</v>
      </c>
      <c r="I10" s="296" t="s">
        <v>58</v>
      </c>
      <c r="J10" s="296" t="s">
        <v>1757</v>
      </c>
      <c r="K10" s="368"/>
      <c r="L10" s="371" t="s">
        <v>1776</v>
      </c>
      <c r="M10" s="79">
        <v>2.2532404E7</v>
      </c>
      <c r="N10" s="79">
        <v>3.006130307E9</v>
      </c>
      <c r="O10" s="372" t="s">
        <v>1018</v>
      </c>
      <c r="P10" s="368"/>
      <c r="Q10" s="296" t="s">
        <v>1759</v>
      </c>
      <c r="R10" s="373"/>
      <c r="S10" s="367"/>
      <c r="T10" s="367"/>
      <c r="U10" s="367"/>
      <c r="V10" s="367"/>
      <c r="W10" s="367"/>
      <c r="X10" s="367"/>
      <c r="Y10" s="367"/>
      <c r="Z10" s="367"/>
    </row>
    <row r="11" ht="22.5" customHeight="1">
      <c r="A11" s="368"/>
      <c r="B11" s="369">
        <v>2024.0</v>
      </c>
      <c r="C11" s="296" t="s">
        <v>200</v>
      </c>
      <c r="D11" s="29"/>
      <c r="E11" s="322" t="s">
        <v>1777</v>
      </c>
      <c r="F11" s="296" t="s">
        <v>132</v>
      </c>
      <c r="G11" s="296" t="s">
        <v>1756</v>
      </c>
      <c r="H11" s="296" t="s">
        <v>171</v>
      </c>
      <c r="I11" s="296" t="s">
        <v>58</v>
      </c>
      <c r="J11" s="296" t="s">
        <v>1757</v>
      </c>
      <c r="K11" s="368"/>
      <c r="L11" s="371" t="s">
        <v>1778</v>
      </c>
      <c r="M11" s="79">
        <v>1.4269252E7</v>
      </c>
      <c r="N11" s="79">
        <v>3.133683676E9</v>
      </c>
      <c r="O11" s="372" t="s">
        <v>1764</v>
      </c>
      <c r="P11" s="368"/>
      <c r="Q11" s="296" t="s">
        <v>1759</v>
      </c>
      <c r="R11" s="373"/>
      <c r="S11" s="367"/>
      <c r="T11" s="367"/>
      <c r="U11" s="367"/>
      <c r="V11" s="367"/>
      <c r="W11" s="367"/>
      <c r="X11" s="367"/>
      <c r="Y11" s="367"/>
      <c r="Z11" s="367"/>
    </row>
    <row r="12" ht="22.5" customHeight="1">
      <c r="A12" s="368"/>
      <c r="B12" s="369">
        <v>2024.0</v>
      </c>
      <c r="C12" s="296" t="s">
        <v>200</v>
      </c>
      <c r="D12" s="29"/>
      <c r="E12" s="322" t="s">
        <v>1779</v>
      </c>
      <c r="F12" s="296" t="s">
        <v>132</v>
      </c>
      <c r="G12" s="296" t="s">
        <v>1756</v>
      </c>
      <c r="H12" s="296" t="s">
        <v>171</v>
      </c>
      <c r="I12" s="296" t="s">
        <v>58</v>
      </c>
      <c r="J12" s="296" t="s">
        <v>1757</v>
      </c>
      <c r="K12" s="368"/>
      <c r="L12" s="371" t="s">
        <v>1780</v>
      </c>
      <c r="M12" s="79">
        <v>5.1946049E7</v>
      </c>
      <c r="N12" s="79">
        <v>3.125174224E9</v>
      </c>
      <c r="O12" s="372" t="s">
        <v>1018</v>
      </c>
      <c r="P12" s="368"/>
      <c r="Q12" s="296" t="s">
        <v>1759</v>
      </c>
      <c r="R12" s="373"/>
      <c r="S12" s="367"/>
      <c r="T12" s="367"/>
      <c r="U12" s="367"/>
      <c r="V12" s="367"/>
      <c r="W12" s="367"/>
      <c r="X12" s="367"/>
      <c r="Y12" s="367"/>
      <c r="Z12" s="367"/>
    </row>
    <row r="13" ht="22.5" customHeight="1">
      <c r="A13" s="368"/>
      <c r="B13" s="369">
        <v>2024.0</v>
      </c>
      <c r="C13" s="296" t="s">
        <v>200</v>
      </c>
      <c r="D13" s="29"/>
      <c r="E13" s="322" t="s">
        <v>1781</v>
      </c>
      <c r="F13" s="296" t="s">
        <v>132</v>
      </c>
      <c r="G13" s="296" t="s">
        <v>1756</v>
      </c>
      <c r="H13" s="296" t="s">
        <v>171</v>
      </c>
      <c r="I13" s="296" t="s">
        <v>58</v>
      </c>
      <c r="J13" s="296" t="s">
        <v>1757</v>
      </c>
      <c r="K13" s="368"/>
      <c r="L13" s="371" t="s">
        <v>1782</v>
      </c>
      <c r="M13" s="79">
        <v>4.1783255E7</v>
      </c>
      <c r="N13" s="79"/>
      <c r="O13" s="372" t="s">
        <v>1018</v>
      </c>
      <c r="P13" s="368"/>
      <c r="Q13" s="296" t="s">
        <v>1759</v>
      </c>
      <c r="R13" s="373"/>
      <c r="S13" s="367"/>
      <c r="T13" s="367"/>
      <c r="U13" s="367"/>
      <c r="V13" s="367"/>
      <c r="W13" s="367"/>
      <c r="X13" s="367"/>
      <c r="Y13" s="367"/>
      <c r="Z13" s="367"/>
    </row>
    <row r="14" ht="22.5" customHeight="1">
      <c r="A14" s="368"/>
      <c r="B14" s="369">
        <v>2024.0</v>
      </c>
      <c r="C14" s="296" t="s">
        <v>200</v>
      </c>
      <c r="D14" s="29"/>
      <c r="E14" s="322" t="s">
        <v>1783</v>
      </c>
      <c r="F14" s="296" t="s">
        <v>132</v>
      </c>
      <c r="G14" s="296" t="s">
        <v>1756</v>
      </c>
      <c r="H14" s="296" t="s">
        <v>171</v>
      </c>
      <c r="I14" s="296" t="s">
        <v>58</v>
      </c>
      <c r="J14" s="296" t="s">
        <v>1757</v>
      </c>
      <c r="K14" s="368"/>
      <c r="L14" s="371" t="s">
        <v>1784</v>
      </c>
      <c r="M14" s="79">
        <v>4.1598719E7</v>
      </c>
      <c r="N14" s="79"/>
      <c r="O14" s="372" t="s">
        <v>1018</v>
      </c>
      <c r="P14" s="368"/>
      <c r="Q14" s="296" t="s">
        <v>1759</v>
      </c>
      <c r="R14" s="373"/>
      <c r="S14" s="367"/>
      <c r="T14" s="367"/>
      <c r="U14" s="367"/>
      <c r="V14" s="367"/>
      <c r="W14" s="367"/>
      <c r="X14" s="367"/>
      <c r="Y14" s="367"/>
      <c r="Z14" s="367"/>
    </row>
    <row r="15" ht="22.5" customHeight="1">
      <c r="A15" s="368"/>
      <c r="B15" s="369">
        <v>2024.0</v>
      </c>
      <c r="C15" s="296" t="s">
        <v>200</v>
      </c>
      <c r="D15" s="29"/>
      <c r="E15" s="322" t="s">
        <v>1785</v>
      </c>
      <c r="F15" s="296" t="s">
        <v>132</v>
      </c>
      <c r="G15" s="296" t="s">
        <v>1756</v>
      </c>
      <c r="H15" s="296" t="s">
        <v>171</v>
      </c>
      <c r="I15" s="296" t="s">
        <v>58</v>
      </c>
      <c r="J15" s="296" t="s">
        <v>1757</v>
      </c>
      <c r="K15" s="368"/>
      <c r="L15" s="371" t="s">
        <v>1786</v>
      </c>
      <c r="M15" s="79">
        <v>3.7791273E7</v>
      </c>
      <c r="N15" s="79">
        <v>3.024319336E9</v>
      </c>
      <c r="O15" s="372" t="s">
        <v>1018</v>
      </c>
      <c r="P15" s="368"/>
      <c r="Q15" s="296" t="s">
        <v>1759</v>
      </c>
      <c r="R15" s="373"/>
      <c r="S15" s="367"/>
      <c r="T15" s="367"/>
      <c r="U15" s="367"/>
      <c r="V15" s="367"/>
      <c r="W15" s="367"/>
      <c r="X15" s="367"/>
      <c r="Y15" s="367"/>
      <c r="Z15" s="367"/>
    </row>
    <row r="16" ht="22.5" customHeight="1">
      <c r="A16" s="368"/>
      <c r="B16" s="369">
        <v>2024.0</v>
      </c>
      <c r="C16" s="296" t="s">
        <v>200</v>
      </c>
      <c r="D16" s="29"/>
      <c r="E16" s="322" t="s">
        <v>1787</v>
      </c>
      <c r="F16" s="296" t="s">
        <v>132</v>
      </c>
      <c r="G16" s="296" t="s">
        <v>1756</v>
      </c>
      <c r="H16" s="296" t="s">
        <v>171</v>
      </c>
      <c r="I16" s="296" t="s">
        <v>58</v>
      </c>
      <c r="J16" s="296" t="s">
        <v>1757</v>
      </c>
      <c r="K16" s="368"/>
      <c r="L16" s="371" t="s">
        <v>1788</v>
      </c>
      <c r="M16" s="79"/>
      <c r="N16" s="79">
        <v>3.102408422E9</v>
      </c>
      <c r="O16" s="372" t="s">
        <v>1764</v>
      </c>
      <c r="P16" s="368"/>
      <c r="Q16" s="296" t="s">
        <v>1759</v>
      </c>
      <c r="R16" s="373"/>
      <c r="S16" s="367"/>
      <c r="T16" s="367"/>
      <c r="U16" s="367"/>
      <c r="V16" s="367"/>
      <c r="W16" s="367"/>
      <c r="X16" s="367"/>
      <c r="Y16" s="367"/>
      <c r="Z16" s="367"/>
    </row>
    <row r="17" ht="22.5" customHeight="1">
      <c r="A17" s="368"/>
      <c r="B17" s="369">
        <v>2024.0</v>
      </c>
      <c r="C17" s="296" t="s">
        <v>200</v>
      </c>
      <c r="D17" s="29"/>
      <c r="E17" s="322" t="s">
        <v>1789</v>
      </c>
      <c r="F17" s="296" t="s">
        <v>132</v>
      </c>
      <c r="G17" s="296" t="s">
        <v>1756</v>
      </c>
      <c r="H17" s="296" t="s">
        <v>171</v>
      </c>
      <c r="I17" s="296" t="s">
        <v>58</v>
      </c>
      <c r="J17" s="296" t="s">
        <v>1757</v>
      </c>
      <c r="K17" s="368"/>
      <c r="L17" s="371" t="s">
        <v>1790</v>
      </c>
      <c r="M17" s="79">
        <v>1.9275565E7</v>
      </c>
      <c r="N17" s="79">
        <v>3.107871691E9</v>
      </c>
      <c r="O17" s="372" t="s">
        <v>1764</v>
      </c>
      <c r="P17" s="368"/>
      <c r="Q17" s="296" t="s">
        <v>1759</v>
      </c>
      <c r="R17" s="373"/>
      <c r="S17" s="367"/>
      <c r="T17" s="367"/>
      <c r="U17" s="367"/>
      <c r="V17" s="367"/>
      <c r="W17" s="367"/>
      <c r="X17" s="367"/>
      <c r="Y17" s="367"/>
      <c r="Z17" s="367"/>
    </row>
    <row r="18" ht="22.5" customHeight="1">
      <c r="A18" s="368"/>
      <c r="B18" s="369">
        <v>2024.0</v>
      </c>
      <c r="C18" s="296" t="s">
        <v>200</v>
      </c>
      <c r="D18" s="29"/>
      <c r="E18" s="322" t="s">
        <v>1791</v>
      </c>
      <c r="F18" s="296" t="s">
        <v>132</v>
      </c>
      <c r="G18" s="296" t="s">
        <v>1756</v>
      </c>
      <c r="H18" s="296" t="s">
        <v>171</v>
      </c>
      <c r="I18" s="296" t="s">
        <v>58</v>
      </c>
      <c r="J18" s="296" t="s">
        <v>1757</v>
      </c>
      <c r="K18" s="368"/>
      <c r="L18" s="371" t="s">
        <v>1792</v>
      </c>
      <c r="M18" s="79">
        <v>1.7182777E7</v>
      </c>
      <c r="N18" s="79">
        <v>3.203858869E9</v>
      </c>
      <c r="O18" s="372" t="s">
        <v>1764</v>
      </c>
      <c r="P18" s="368"/>
      <c r="Q18" s="296" t="s">
        <v>1759</v>
      </c>
      <c r="R18" s="373"/>
      <c r="S18" s="367"/>
      <c r="T18" s="367"/>
      <c r="U18" s="367"/>
      <c r="V18" s="367"/>
      <c r="W18" s="367"/>
      <c r="X18" s="367"/>
      <c r="Y18" s="367"/>
      <c r="Z18" s="367"/>
    </row>
    <row r="19" ht="22.5" customHeight="1">
      <c r="A19" s="368"/>
      <c r="B19" s="369">
        <v>2024.0</v>
      </c>
      <c r="C19" s="296" t="s">
        <v>54</v>
      </c>
      <c r="D19" s="300" t="s">
        <v>133</v>
      </c>
      <c r="E19" s="141" t="s">
        <v>1793</v>
      </c>
      <c r="F19" s="296" t="s">
        <v>132</v>
      </c>
      <c r="G19" s="296" t="s">
        <v>1756</v>
      </c>
      <c r="H19" s="143" t="s">
        <v>90</v>
      </c>
      <c r="I19" s="296" t="s">
        <v>58</v>
      </c>
      <c r="J19" s="296" t="s">
        <v>1757</v>
      </c>
      <c r="K19" s="367"/>
      <c r="L19" s="371" t="s">
        <v>1794</v>
      </c>
      <c r="M19" s="79">
        <v>7.9886989E7</v>
      </c>
      <c r="N19" s="79">
        <v>3.138966178E9</v>
      </c>
      <c r="O19" s="372" t="s">
        <v>1764</v>
      </c>
      <c r="P19" s="368"/>
      <c r="Q19" s="306" t="s">
        <v>142</v>
      </c>
      <c r="R19" s="373"/>
      <c r="S19" s="367"/>
      <c r="T19" s="367"/>
      <c r="U19" s="367"/>
      <c r="V19" s="367"/>
      <c r="W19" s="367"/>
      <c r="X19" s="367"/>
      <c r="Y19" s="367"/>
      <c r="Z19" s="367"/>
    </row>
    <row r="20" ht="22.5" customHeight="1">
      <c r="A20" s="368"/>
      <c r="B20" s="369">
        <v>2024.0</v>
      </c>
      <c r="C20" s="296" t="s">
        <v>54</v>
      </c>
      <c r="D20" s="300" t="s">
        <v>133</v>
      </c>
      <c r="E20" s="141" t="s">
        <v>1795</v>
      </c>
      <c r="F20" s="296" t="s">
        <v>132</v>
      </c>
      <c r="G20" s="296" t="s">
        <v>1756</v>
      </c>
      <c r="H20" s="143" t="s">
        <v>90</v>
      </c>
      <c r="I20" s="296" t="s">
        <v>58</v>
      </c>
      <c r="J20" s="296" t="s">
        <v>1757</v>
      </c>
      <c r="K20" s="367"/>
      <c r="L20" s="371" t="s">
        <v>1796</v>
      </c>
      <c r="M20" s="79">
        <v>4.1427583E7</v>
      </c>
      <c r="N20" s="79">
        <v>3.103261502E9</v>
      </c>
      <c r="O20" s="372" t="s">
        <v>1018</v>
      </c>
      <c r="P20" s="368"/>
      <c r="Q20" s="306" t="s">
        <v>1797</v>
      </c>
      <c r="R20" s="373"/>
      <c r="S20" s="367"/>
      <c r="T20" s="367"/>
      <c r="U20" s="367"/>
      <c r="V20" s="367"/>
      <c r="W20" s="367"/>
      <c r="X20" s="367"/>
      <c r="Y20" s="367"/>
      <c r="Z20" s="367"/>
    </row>
    <row r="21" ht="22.5" customHeight="1">
      <c r="A21" s="368"/>
      <c r="B21" s="369">
        <v>2024.0</v>
      </c>
      <c r="C21" s="296" t="s">
        <v>54</v>
      </c>
      <c r="D21" s="300" t="s">
        <v>133</v>
      </c>
      <c r="E21" s="141" t="s">
        <v>1798</v>
      </c>
      <c r="F21" s="296" t="s">
        <v>132</v>
      </c>
      <c r="G21" s="296" t="s">
        <v>1756</v>
      </c>
      <c r="H21" s="143" t="s">
        <v>90</v>
      </c>
      <c r="I21" s="296" t="s">
        <v>58</v>
      </c>
      <c r="J21" s="296" t="s">
        <v>1757</v>
      </c>
      <c r="K21" s="367"/>
      <c r="L21" s="371" t="s">
        <v>1799</v>
      </c>
      <c r="M21" s="79">
        <v>5.2773991E7</v>
      </c>
      <c r="N21" s="79">
        <v>3.123361286E9</v>
      </c>
      <c r="O21" s="372" t="s">
        <v>1018</v>
      </c>
      <c r="P21" s="368"/>
      <c r="Q21" s="306" t="s">
        <v>1800</v>
      </c>
      <c r="R21" s="373"/>
      <c r="S21" s="367"/>
      <c r="T21" s="367"/>
      <c r="U21" s="367"/>
      <c r="V21" s="367"/>
      <c r="W21" s="367"/>
      <c r="X21" s="367"/>
      <c r="Y21" s="367"/>
      <c r="Z21" s="367"/>
    </row>
    <row r="22" ht="22.5" customHeight="1">
      <c r="A22" s="368"/>
      <c r="B22" s="369">
        <v>2024.0</v>
      </c>
      <c r="C22" s="296" t="s">
        <v>54</v>
      </c>
      <c r="D22" s="300" t="s">
        <v>133</v>
      </c>
      <c r="E22" s="141" t="s">
        <v>1801</v>
      </c>
      <c r="F22" s="296" t="s">
        <v>132</v>
      </c>
      <c r="G22" s="296" t="s">
        <v>1756</v>
      </c>
      <c r="H22" s="143" t="s">
        <v>90</v>
      </c>
      <c r="I22" s="296" t="s">
        <v>58</v>
      </c>
      <c r="J22" s="296" t="s">
        <v>1757</v>
      </c>
      <c r="K22" s="367"/>
      <c r="L22" s="371" t="s">
        <v>1802</v>
      </c>
      <c r="M22" s="79">
        <v>7.1718066E7</v>
      </c>
      <c r="N22" s="79">
        <v>3.174234921E9</v>
      </c>
      <c r="O22" s="372" t="s">
        <v>1018</v>
      </c>
      <c r="P22" s="368"/>
      <c r="Q22" s="306" t="s">
        <v>1803</v>
      </c>
      <c r="R22" s="373"/>
      <c r="S22" s="367"/>
      <c r="T22" s="367"/>
      <c r="U22" s="367"/>
      <c r="V22" s="367"/>
      <c r="W22" s="367"/>
      <c r="X22" s="367"/>
      <c r="Y22" s="367"/>
      <c r="Z22" s="367"/>
    </row>
    <row r="23" ht="22.5" customHeight="1">
      <c r="A23" s="368"/>
      <c r="B23" s="369">
        <v>2024.0</v>
      </c>
      <c r="C23" s="296" t="s">
        <v>54</v>
      </c>
      <c r="D23" s="300" t="s">
        <v>133</v>
      </c>
      <c r="E23" s="141" t="s">
        <v>1804</v>
      </c>
      <c r="F23" s="296" t="s">
        <v>132</v>
      </c>
      <c r="G23" s="296" t="s">
        <v>1756</v>
      </c>
      <c r="H23" s="143" t="s">
        <v>90</v>
      </c>
      <c r="I23" s="296" t="s">
        <v>58</v>
      </c>
      <c r="J23" s="296" t="s">
        <v>1757</v>
      </c>
      <c r="K23" s="367"/>
      <c r="L23" s="371" t="s">
        <v>1805</v>
      </c>
      <c r="M23" s="79">
        <v>3.9657487E7</v>
      </c>
      <c r="N23" s="79">
        <v>3.006735121E9</v>
      </c>
      <c r="O23" s="372" t="s">
        <v>1018</v>
      </c>
      <c r="P23" s="368"/>
      <c r="Q23" s="306" t="s">
        <v>1806</v>
      </c>
      <c r="R23" s="373"/>
      <c r="S23" s="367"/>
      <c r="T23" s="367"/>
      <c r="U23" s="367"/>
      <c r="V23" s="367"/>
      <c r="W23" s="367"/>
      <c r="X23" s="367"/>
      <c r="Y23" s="367"/>
      <c r="Z23" s="367"/>
    </row>
    <row r="24" ht="22.5" customHeight="1">
      <c r="A24" s="368"/>
      <c r="B24" s="369">
        <v>2024.0</v>
      </c>
      <c r="C24" s="296" t="s">
        <v>54</v>
      </c>
      <c r="D24" s="300" t="s">
        <v>133</v>
      </c>
      <c r="E24" s="141" t="s">
        <v>1807</v>
      </c>
      <c r="F24" s="296" t="s">
        <v>132</v>
      </c>
      <c r="G24" s="296" t="s">
        <v>1756</v>
      </c>
      <c r="H24" s="143" t="s">
        <v>90</v>
      </c>
      <c r="I24" s="296" t="s">
        <v>58</v>
      </c>
      <c r="J24" s="296" t="s">
        <v>1757</v>
      </c>
      <c r="K24" s="367"/>
      <c r="L24" s="371" t="s">
        <v>1808</v>
      </c>
      <c r="M24" s="79">
        <v>1.7096565E7</v>
      </c>
      <c r="N24" s="79">
        <v>3.114538356E9</v>
      </c>
      <c r="O24" s="372" t="s">
        <v>1764</v>
      </c>
      <c r="P24" s="368"/>
      <c r="Q24" s="306" t="s">
        <v>1809</v>
      </c>
      <c r="R24" s="373"/>
      <c r="S24" s="367"/>
      <c r="T24" s="367"/>
      <c r="U24" s="367"/>
      <c r="V24" s="367"/>
      <c r="W24" s="367"/>
      <c r="X24" s="367"/>
      <c r="Y24" s="367"/>
      <c r="Z24" s="367"/>
    </row>
    <row r="25" ht="22.5" customHeight="1">
      <c r="A25" s="368"/>
      <c r="B25" s="369">
        <v>2024.0</v>
      </c>
      <c r="C25" s="296" t="s">
        <v>54</v>
      </c>
      <c r="D25" s="300" t="s">
        <v>133</v>
      </c>
      <c r="E25" s="141" t="s">
        <v>1810</v>
      </c>
      <c r="F25" s="296" t="s">
        <v>132</v>
      </c>
      <c r="G25" s="296" t="s">
        <v>1756</v>
      </c>
      <c r="H25" s="143" t="s">
        <v>90</v>
      </c>
      <c r="I25" s="296" t="s">
        <v>58</v>
      </c>
      <c r="J25" s="296" t="s">
        <v>1757</v>
      </c>
      <c r="K25" s="367"/>
      <c r="L25" s="371" t="s">
        <v>694</v>
      </c>
      <c r="M25" s="79">
        <v>1.030661619E9</v>
      </c>
      <c r="N25" s="79">
        <v>3.202378574E9</v>
      </c>
      <c r="O25" s="372" t="s">
        <v>1764</v>
      </c>
      <c r="P25" s="368"/>
      <c r="Q25" s="306" t="s">
        <v>1811</v>
      </c>
      <c r="R25" s="373"/>
      <c r="S25" s="367"/>
      <c r="T25" s="367"/>
      <c r="U25" s="367"/>
      <c r="V25" s="367"/>
      <c r="W25" s="367"/>
      <c r="X25" s="367"/>
      <c r="Y25" s="367"/>
      <c r="Z25" s="367"/>
    </row>
    <row r="26" ht="22.5" customHeight="1">
      <c r="A26" s="368"/>
      <c r="B26" s="369">
        <v>2024.0</v>
      </c>
      <c r="C26" s="296" t="s">
        <v>54</v>
      </c>
      <c r="D26" s="300" t="s">
        <v>133</v>
      </c>
      <c r="E26" s="141" t="s">
        <v>1812</v>
      </c>
      <c r="F26" s="296" t="s">
        <v>132</v>
      </c>
      <c r="G26" s="296" t="s">
        <v>1756</v>
      </c>
      <c r="H26" s="143" t="s">
        <v>90</v>
      </c>
      <c r="I26" s="296" t="s">
        <v>58</v>
      </c>
      <c r="J26" s="296" t="s">
        <v>1757</v>
      </c>
      <c r="K26" s="367"/>
      <c r="L26" s="371" t="s">
        <v>1813</v>
      </c>
      <c r="M26" s="79">
        <v>8.6047004E7</v>
      </c>
      <c r="N26" s="79">
        <v>3.223497611E9</v>
      </c>
      <c r="O26" s="372" t="s">
        <v>1764</v>
      </c>
      <c r="P26" s="368"/>
      <c r="Q26" s="306" t="s">
        <v>1814</v>
      </c>
      <c r="R26" s="373"/>
      <c r="S26" s="367"/>
      <c r="T26" s="367"/>
      <c r="U26" s="367"/>
      <c r="V26" s="367"/>
      <c r="W26" s="367"/>
      <c r="X26" s="367"/>
      <c r="Y26" s="367"/>
      <c r="Z26" s="367"/>
    </row>
    <row r="27" ht="22.5" customHeight="1">
      <c r="A27" s="368"/>
      <c r="B27" s="369">
        <v>2024.0</v>
      </c>
      <c r="C27" s="296" t="s">
        <v>54</v>
      </c>
      <c r="D27" s="300" t="s">
        <v>133</v>
      </c>
      <c r="E27" s="141" t="s">
        <v>1815</v>
      </c>
      <c r="F27" s="296" t="s">
        <v>132</v>
      </c>
      <c r="G27" s="296" t="s">
        <v>1756</v>
      </c>
      <c r="H27" s="143" t="s">
        <v>90</v>
      </c>
      <c r="I27" s="296" t="s">
        <v>58</v>
      </c>
      <c r="J27" s="296" t="s">
        <v>1757</v>
      </c>
      <c r="K27" s="367"/>
      <c r="L27" s="371" t="s">
        <v>1816</v>
      </c>
      <c r="M27" s="79">
        <v>8.0148264E7</v>
      </c>
      <c r="N27" s="79">
        <v>3.12416735E9</v>
      </c>
      <c r="O27" s="372" t="s">
        <v>1764</v>
      </c>
      <c r="P27" s="368"/>
      <c r="Q27" s="306" t="s">
        <v>1817</v>
      </c>
      <c r="R27" s="373"/>
      <c r="S27" s="367"/>
      <c r="T27" s="367"/>
      <c r="U27" s="367"/>
      <c r="V27" s="367"/>
      <c r="W27" s="367"/>
      <c r="X27" s="367"/>
      <c r="Y27" s="367"/>
      <c r="Z27" s="367"/>
    </row>
    <row r="28" ht="22.5" customHeight="1">
      <c r="A28" s="368"/>
      <c r="B28" s="369">
        <v>2024.0</v>
      </c>
      <c r="C28" s="296" t="s">
        <v>54</v>
      </c>
      <c r="D28" s="300" t="s">
        <v>133</v>
      </c>
      <c r="E28" s="141" t="s">
        <v>1818</v>
      </c>
      <c r="F28" s="296" t="s">
        <v>132</v>
      </c>
      <c r="G28" s="296" t="s">
        <v>1756</v>
      </c>
      <c r="H28" s="143" t="s">
        <v>90</v>
      </c>
      <c r="I28" s="296" t="s">
        <v>58</v>
      </c>
      <c r="J28" s="296" t="s">
        <v>1757</v>
      </c>
      <c r="K28" s="367"/>
      <c r="L28" s="371" t="s">
        <v>1819</v>
      </c>
      <c r="M28" s="79">
        <v>8.0032024E7</v>
      </c>
      <c r="N28" s="79">
        <v>3.213813296E9</v>
      </c>
      <c r="O28" s="372" t="s">
        <v>1764</v>
      </c>
      <c r="P28" s="368"/>
      <c r="Q28" s="306" t="s">
        <v>1820</v>
      </c>
      <c r="R28" s="373"/>
      <c r="S28" s="367"/>
      <c r="T28" s="367"/>
      <c r="U28" s="367"/>
      <c r="V28" s="367"/>
      <c r="W28" s="367"/>
      <c r="X28" s="367"/>
      <c r="Y28" s="367"/>
      <c r="Z28" s="367"/>
    </row>
    <row r="29" ht="22.5" customHeight="1">
      <c r="A29" s="368"/>
      <c r="B29" s="369">
        <v>2024.0</v>
      </c>
      <c r="C29" s="296" t="s">
        <v>54</v>
      </c>
      <c r="D29" s="300" t="s">
        <v>133</v>
      </c>
      <c r="E29" s="141" t="s">
        <v>1821</v>
      </c>
      <c r="F29" s="296" t="s">
        <v>132</v>
      </c>
      <c r="G29" s="296" t="s">
        <v>1756</v>
      </c>
      <c r="H29" s="143" t="s">
        <v>90</v>
      </c>
      <c r="I29" s="296" t="s">
        <v>58</v>
      </c>
      <c r="J29" s="296" t="s">
        <v>1757</v>
      </c>
      <c r="K29" s="367"/>
      <c r="L29" s="371" t="s">
        <v>1822</v>
      </c>
      <c r="M29" s="79">
        <v>7958170.0</v>
      </c>
      <c r="N29" s="79">
        <v>3.175657048E9</v>
      </c>
      <c r="O29" s="372" t="s">
        <v>1764</v>
      </c>
      <c r="P29" s="368"/>
      <c r="Q29" s="306" t="s">
        <v>1823</v>
      </c>
      <c r="R29" s="373"/>
      <c r="S29" s="367"/>
      <c r="T29" s="367"/>
      <c r="U29" s="367"/>
      <c r="V29" s="367"/>
      <c r="W29" s="367"/>
      <c r="X29" s="367"/>
      <c r="Y29" s="367"/>
      <c r="Z29" s="367"/>
    </row>
    <row r="30" ht="22.5" customHeight="1">
      <c r="A30" s="368"/>
      <c r="B30" s="369">
        <v>2024.0</v>
      </c>
      <c r="C30" s="296" t="s">
        <v>54</v>
      </c>
      <c r="D30" s="300" t="s">
        <v>133</v>
      </c>
      <c r="E30" s="141" t="s">
        <v>1824</v>
      </c>
      <c r="F30" s="296" t="s">
        <v>132</v>
      </c>
      <c r="G30" s="296" t="s">
        <v>1756</v>
      </c>
      <c r="H30" s="143" t="s">
        <v>90</v>
      </c>
      <c r="I30" s="296" t="s">
        <v>58</v>
      </c>
      <c r="J30" s="296" t="s">
        <v>1757</v>
      </c>
      <c r="K30" s="367"/>
      <c r="L30" s="371" t="s">
        <v>1825</v>
      </c>
      <c r="M30" s="79">
        <v>5712610.0</v>
      </c>
      <c r="N30" s="79">
        <v>3.112124382E9</v>
      </c>
      <c r="O30" s="372" t="s">
        <v>1764</v>
      </c>
      <c r="P30" s="368"/>
      <c r="Q30" s="306" t="s">
        <v>1826</v>
      </c>
      <c r="R30" s="373"/>
      <c r="S30" s="367"/>
      <c r="T30" s="367"/>
      <c r="U30" s="367"/>
      <c r="V30" s="367"/>
      <c r="W30" s="367"/>
      <c r="X30" s="367"/>
      <c r="Y30" s="367"/>
      <c r="Z30" s="367"/>
    </row>
    <row r="31" ht="22.5" customHeight="1">
      <c r="A31" s="368"/>
      <c r="B31" s="369">
        <v>2024.0</v>
      </c>
      <c r="C31" s="296" t="s">
        <v>54</v>
      </c>
      <c r="D31" s="300" t="s">
        <v>133</v>
      </c>
      <c r="E31" s="141" t="s">
        <v>1827</v>
      </c>
      <c r="F31" s="296" t="s">
        <v>132</v>
      </c>
      <c r="G31" s="296" t="s">
        <v>1756</v>
      </c>
      <c r="H31" s="143" t="s">
        <v>90</v>
      </c>
      <c r="I31" s="296" t="s">
        <v>58</v>
      </c>
      <c r="J31" s="296" t="s">
        <v>1757</v>
      </c>
      <c r="K31" s="367"/>
      <c r="L31" s="371" t="s">
        <v>1828</v>
      </c>
      <c r="M31" s="79">
        <v>2.830829E7</v>
      </c>
      <c r="N31" s="79">
        <v>3.118875353E9</v>
      </c>
      <c r="O31" s="372" t="s">
        <v>1018</v>
      </c>
      <c r="P31" s="368"/>
      <c r="Q31" s="306" t="s">
        <v>1829</v>
      </c>
      <c r="R31" s="373"/>
      <c r="S31" s="367"/>
      <c r="T31" s="367"/>
      <c r="U31" s="367"/>
      <c r="V31" s="367"/>
      <c r="W31" s="367"/>
      <c r="X31" s="367"/>
      <c r="Y31" s="367"/>
      <c r="Z31" s="367"/>
    </row>
    <row r="32" ht="22.5" customHeight="1">
      <c r="A32" s="368"/>
      <c r="B32" s="369">
        <v>2024.0</v>
      </c>
      <c r="C32" s="296" t="s">
        <v>54</v>
      </c>
      <c r="D32" s="300" t="s">
        <v>133</v>
      </c>
      <c r="E32" s="141" t="s">
        <v>1830</v>
      </c>
      <c r="F32" s="296" t="s">
        <v>132</v>
      </c>
      <c r="G32" s="296" t="s">
        <v>1756</v>
      </c>
      <c r="H32" s="143" t="s">
        <v>90</v>
      </c>
      <c r="I32" s="296" t="s">
        <v>58</v>
      </c>
      <c r="J32" s="296" t="s">
        <v>1757</v>
      </c>
      <c r="K32" s="367"/>
      <c r="L32" s="371" t="s">
        <v>1831</v>
      </c>
      <c r="M32" s="79">
        <v>1.9493368E7</v>
      </c>
      <c r="N32" s="79">
        <v>3.163517242E9</v>
      </c>
      <c r="O32" s="372" t="s">
        <v>1764</v>
      </c>
      <c r="P32" s="368"/>
      <c r="Q32" s="306" t="s">
        <v>1832</v>
      </c>
      <c r="R32" s="373"/>
      <c r="S32" s="367"/>
      <c r="T32" s="367"/>
      <c r="U32" s="367"/>
      <c r="V32" s="367"/>
      <c r="W32" s="367"/>
      <c r="X32" s="367"/>
      <c r="Y32" s="367"/>
      <c r="Z32" s="367"/>
    </row>
    <row r="33" ht="22.5" customHeight="1">
      <c r="A33" s="368"/>
      <c r="B33" s="369">
        <v>2024.0</v>
      </c>
      <c r="C33" s="296" t="s">
        <v>54</v>
      </c>
      <c r="D33" s="300" t="s">
        <v>133</v>
      </c>
      <c r="E33" s="141" t="s">
        <v>1833</v>
      </c>
      <c r="F33" s="296" t="s">
        <v>132</v>
      </c>
      <c r="G33" s="296" t="s">
        <v>1756</v>
      </c>
      <c r="H33" s="143" t="s">
        <v>90</v>
      </c>
      <c r="I33" s="296" t="s">
        <v>58</v>
      </c>
      <c r="J33" s="296" t="s">
        <v>1757</v>
      </c>
      <c r="K33" s="367"/>
      <c r="L33" s="371" t="s">
        <v>1834</v>
      </c>
      <c r="M33" s="79">
        <v>7.9788652E7</v>
      </c>
      <c r="N33" s="79">
        <v>3.208858786E9</v>
      </c>
      <c r="O33" s="372" t="s">
        <v>1764</v>
      </c>
      <c r="P33" s="368"/>
      <c r="Q33" s="306" t="s">
        <v>1835</v>
      </c>
      <c r="R33" s="373"/>
      <c r="S33" s="367"/>
      <c r="T33" s="367"/>
      <c r="U33" s="367"/>
      <c r="V33" s="367"/>
      <c r="W33" s="367"/>
      <c r="X33" s="367"/>
      <c r="Y33" s="367"/>
      <c r="Z33" s="367"/>
    </row>
    <row r="34" ht="22.5" customHeight="1">
      <c r="A34" s="368"/>
      <c r="B34" s="369">
        <v>2024.0</v>
      </c>
      <c r="C34" s="296" t="s">
        <v>54</v>
      </c>
      <c r="D34" s="300" t="s">
        <v>133</v>
      </c>
      <c r="E34" s="141" t="s">
        <v>1836</v>
      </c>
      <c r="F34" s="296" t="s">
        <v>132</v>
      </c>
      <c r="G34" s="296" t="s">
        <v>1756</v>
      </c>
      <c r="H34" s="143" t="s">
        <v>90</v>
      </c>
      <c r="I34" s="296" t="s">
        <v>58</v>
      </c>
      <c r="J34" s="296" t="s">
        <v>1757</v>
      </c>
      <c r="K34" s="367"/>
      <c r="L34" s="371" t="s">
        <v>1837</v>
      </c>
      <c r="M34" s="79">
        <v>7.9860991E7</v>
      </c>
      <c r="N34" s="79">
        <v>3.103499079E9</v>
      </c>
      <c r="O34" s="372" t="s">
        <v>1764</v>
      </c>
      <c r="P34" s="368"/>
      <c r="Q34" s="306" t="s">
        <v>1838</v>
      </c>
      <c r="R34" s="373"/>
      <c r="S34" s="367"/>
      <c r="T34" s="367"/>
      <c r="U34" s="367"/>
      <c r="V34" s="367"/>
      <c r="W34" s="367"/>
      <c r="X34" s="367"/>
      <c r="Y34" s="367"/>
      <c r="Z34" s="367"/>
    </row>
    <row r="35" ht="22.5" customHeight="1">
      <c r="A35" s="368"/>
      <c r="B35" s="369">
        <v>2024.0</v>
      </c>
      <c r="C35" s="296" t="s">
        <v>54</v>
      </c>
      <c r="D35" s="300" t="s">
        <v>133</v>
      </c>
      <c r="E35" s="141" t="s">
        <v>1839</v>
      </c>
      <c r="F35" s="296" t="s">
        <v>132</v>
      </c>
      <c r="G35" s="296" t="s">
        <v>1756</v>
      </c>
      <c r="H35" s="143" t="s">
        <v>90</v>
      </c>
      <c r="I35" s="296" t="s">
        <v>58</v>
      </c>
      <c r="J35" s="296" t="s">
        <v>1757</v>
      </c>
      <c r="K35" s="367"/>
      <c r="L35" s="371" t="s">
        <v>1840</v>
      </c>
      <c r="M35" s="79">
        <v>1.000592601E9</v>
      </c>
      <c r="N35" s="79">
        <v>3.219208419E9</v>
      </c>
      <c r="O35" s="372" t="s">
        <v>1018</v>
      </c>
      <c r="P35" s="368"/>
      <c r="Q35" s="306" t="s">
        <v>1841</v>
      </c>
      <c r="R35" s="373"/>
      <c r="S35" s="367"/>
      <c r="T35" s="367"/>
      <c r="U35" s="367"/>
      <c r="V35" s="367"/>
      <c r="W35" s="367"/>
      <c r="X35" s="367"/>
      <c r="Y35" s="367"/>
      <c r="Z35" s="367"/>
    </row>
    <row r="36" ht="22.5" customHeight="1">
      <c r="A36" s="368"/>
      <c r="B36" s="369">
        <v>2024.0</v>
      </c>
      <c r="C36" s="296" t="s">
        <v>54</v>
      </c>
      <c r="D36" s="300" t="s">
        <v>133</v>
      </c>
      <c r="E36" s="141" t="s">
        <v>1842</v>
      </c>
      <c r="F36" s="296" t="s">
        <v>132</v>
      </c>
      <c r="G36" s="296" t="s">
        <v>1756</v>
      </c>
      <c r="H36" s="143" t="s">
        <v>90</v>
      </c>
      <c r="I36" s="296" t="s">
        <v>58</v>
      </c>
      <c r="J36" s="296" t="s">
        <v>1757</v>
      </c>
      <c r="K36" s="367"/>
      <c r="L36" s="371" t="s">
        <v>1843</v>
      </c>
      <c r="M36" s="79">
        <v>2.4196772E7</v>
      </c>
      <c r="N36" s="79">
        <v>3.01294507E9</v>
      </c>
      <c r="O36" s="372" t="s">
        <v>1018</v>
      </c>
      <c r="P36" s="368"/>
      <c r="Q36" s="306" t="s">
        <v>1844</v>
      </c>
      <c r="R36" s="373"/>
      <c r="S36" s="367"/>
      <c r="T36" s="367"/>
      <c r="U36" s="367"/>
      <c r="V36" s="367"/>
      <c r="W36" s="367"/>
      <c r="X36" s="367"/>
      <c r="Y36" s="367"/>
      <c r="Z36" s="367"/>
    </row>
    <row r="37" ht="22.5" customHeight="1">
      <c r="A37" s="368"/>
      <c r="B37" s="369">
        <v>2024.0</v>
      </c>
      <c r="C37" s="296" t="s">
        <v>54</v>
      </c>
      <c r="D37" s="300" t="s">
        <v>133</v>
      </c>
      <c r="E37" s="141" t="s">
        <v>1845</v>
      </c>
      <c r="F37" s="296" t="s">
        <v>132</v>
      </c>
      <c r="G37" s="296" t="s">
        <v>1756</v>
      </c>
      <c r="H37" s="143" t="s">
        <v>90</v>
      </c>
      <c r="I37" s="296" t="s">
        <v>58</v>
      </c>
      <c r="J37" s="296" t="s">
        <v>1757</v>
      </c>
      <c r="K37" s="367"/>
      <c r="L37" s="374" t="s">
        <v>1846</v>
      </c>
      <c r="M37" s="79">
        <v>7.9445436E7</v>
      </c>
      <c r="N37" s="79">
        <v>3.118892395E9</v>
      </c>
      <c r="O37" s="372" t="s">
        <v>1764</v>
      </c>
      <c r="P37" s="368"/>
      <c r="Q37" s="306" t="s">
        <v>1847</v>
      </c>
      <c r="R37" s="373"/>
      <c r="S37" s="367"/>
      <c r="T37" s="367"/>
      <c r="U37" s="367"/>
      <c r="V37" s="367"/>
      <c r="W37" s="367"/>
      <c r="X37" s="367"/>
      <c r="Y37" s="367"/>
      <c r="Z37" s="367"/>
    </row>
    <row r="38" ht="22.5" customHeight="1">
      <c r="A38" s="368"/>
      <c r="B38" s="369">
        <v>2024.0</v>
      </c>
      <c r="C38" s="296" t="s">
        <v>54</v>
      </c>
      <c r="D38" s="300" t="s">
        <v>133</v>
      </c>
      <c r="E38" s="141" t="s">
        <v>1848</v>
      </c>
      <c r="F38" s="296" t="s">
        <v>132</v>
      </c>
      <c r="G38" s="296" t="s">
        <v>1756</v>
      </c>
      <c r="H38" s="143" t="s">
        <v>90</v>
      </c>
      <c r="I38" s="296" t="s">
        <v>58</v>
      </c>
      <c r="J38" s="296" t="s">
        <v>1757</v>
      </c>
      <c r="K38" s="367"/>
      <c r="L38" s="371" t="s">
        <v>1849</v>
      </c>
      <c r="M38" s="79">
        <v>5.2906539E7</v>
      </c>
      <c r="N38" s="79">
        <v>3.137429238E9</v>
      </c>
      <c r="O38" s="372" t="s">
        <v>1018</v>
      </c>
      <c r="P38" s="368"/>
      <c r="Q38" s="306" t="s">
        <v>1850</v>
      </c>
      <c r="R38" s="373"/>
      <c r="S38" s="367"/>
      <c r="T38" s="367"/>
      <c r="U38" s="367"/>
      <c r="V38" s="367"/>
      <c r="W38" s="367"/>
      <c r="X38" s="367"/>
      <c r="Y38" s="367"/>
      <c r="Z38" s="367"/>
    </row>
    <row r="39" ht="22.5" customHeight="1">
      <c r="A39" s="368"/>
      <c r="B39" s="369">
        <v>2024.0</v>
      </c>
      <c r="C39" s="296" t="s">
        <v>54</v>
      </c>
      <c r="D39" s="300" t="s">
        <v>133</v>
      </c>
      <c r="E39" s="141" t="s">
        <v>1851</v>
      </c>
      <c r="F39" s="296" t="s">
        <v>132</v>
      </c>
      <c r="G39" s="296" t="s">
        <v>1756</v>
      </c>
      <c r="H39" s="143" t="s">
        <v>90</v>
      </c>
      <c r="I39" s="296" t="s">
        <v>58</v>
      </c>
      <c r="J39" s="296" t="s">
        <v>1757</v>
      </c>
      <c r="K39" s="367"/>
      <c r="L39" s="371" t="s">
        <v>1852</v>
      </c>
      <c r="M39" s="79">
        <v>1.080920967E9</v>
      </c>
      <c r="N39" s="79">
        <v>3.026041064E9</v>
      </c>
      <c r="O39" s="372" t="s">
        <v>1764</v>
      </c>
      <c r="P39" s="368"/>
      <c r="Q39" s="306" t="s">
        <v>1853</v>
      </c>
      <c r="R39" s="373"/>
      <c r="S39" s="367"/>
      <c r="T39" s="367"/>
      <c r="U39" s="367"/>
      <c r="V39" s="367"/>
      <c r="W39" s="367"/>
      <c r="X39" s="367"/>
      <c r="Y39" s="367"/>
      <c r="Z39" s="367"/>
    </row>
    <row r="40" ht="22.5" customHeight="1">
      <c r="A40" s="368"/>
      <c r="B40" s="369">
        <v>2024.0</v>
      </c>
      <c r="C40" s="296" t="s">
        <v>54</v>
      </c>
      <c r="D40" s="300" t="s">
        <v>133</v>
      </c>
      <c r="E40" s="141" t="s">
        <v>1854</v>
      </c>
      <c r="F40" s="296" t="s">
        <v>132</v>
      </c>
      <c r="G40" s="296" t="s">
        <v>1756</v>
      </c>
      <c r="H40" s="143" t="s">
        <v>90</v>
      </c>
      <c r="I40" s="296" t="s">
        <v>58</v>
      </c>
      <c r="J40" s="296" t="s">
        <v>1757</v>
      </c>
      <c r="K40" s="367"/>
      <c r="L40" s="371" t="s">
        <v>1855</v>
      </c>
      <c r="M40" s="79">
        <v>1.021313663E9</v>
      </c>
      <c r="N40" s="79">
        <v>3.166603254E9</v>
      </c>
      <c r="O40" s="372" t="s">
        <v>1018</v>
      </c>
      <c r="P40" s="368"/>
      <c r="Q40" s="306" t="s">
        <v>1856</v>
      </c>
      <c r="R40" s="373"/>
      <c r="S40" s="367"/>
      <c r="T40" s="367"/>
      <c r="U40" s="367"/>
      <c r="V40" s="367"/>
      <c r="W40" s="367"/>
      <c r="X40" s="367"/>
      <c r="Y40" s="367"/>
      <c r="Z40" s="367"/>
    </row>
    <row r="41" ht="22.5" customHeight="1">
      <c r="A41" s="368"/>
      <c r="B41" s="369">
        <v>2024.0</v>
      </c>
      <c r="C41" s="296" t="s">
        <v>54</v>
      </c>
      <c r="D41" s="300" t="s">
        <v>133</v>
      </c>
      <c r="E41" s="141" t="s">
        <v>1857</v>
      </c>
      <c r="F41" s="296" t="s">
        <v>132</v>
      </c>
      <c r="G41" s="296" t="s">
        <v>1756</v>
      </c>
      <c r="H41" s="143" t="s">
        <v>90</v>
      </c>
      <c r="I41" s="296" t="s">
        <v>58</v>
      </c>
      <c r="J41" s="296" t="s">
        <v>1757</v>
      </c>
      <c r="K41" s="367"/>
      <c r="L41" s="371" t="s">
        <v>1858</v>
      </c>
      <c r="M41" s="79">
        <v>5.189877E7</v>
      </c>
      <c r="N41" s="79">
        <v>3.114520381E9</v>
      </c>
      <c r="O41" s="372" t="s">
        <v>1018</v>
      </c>
      <c r="P41" s="368"/>
      <c r="Q41" s="306" t="s">
        <v>1859</v>
      </c>
      <c r="R41" s="373"/>
      <c r="S41" s="367"/>
      <c r="T41" s="367"/>
      <c r="U41" s="367"/>
      <c r="V41" s="367"/>
      <c r="W41" s="367"/>
      <c r="X41" s="367"/>
      <c r="Y41" s="367"/>
      <c r="Z41" s="367"/>
    </row>
    <row r="42" ht="22.5" customHeight="1">
      <c r="A42" s="368"/>
      <c r="B42" s="369">
        <v>2024.0</v>
      </c>
      <c r="C42" s="296" t="s">
        <v>54</v>
      </c>
      <c r="D42" s="300" t="s">
        <v>133</v>
      </c>
      <c r="E42" s="141" t="s">
        <v>1860</v>
      </c>
      <c r="F42" s="296" t="s">
        <v>132</v>
      </c>
      <c r="G42" s="296" t="s">
        <v>1756</v>
      </c>
      <c r="H42" s="143" t="s">
        <v>90</v>
      </c>
      <c r="I42" s="296" t="s">
        <v>58</v>
      </c>
      <c r="J42" s="296" t="s">
        <v>1757</v>
      </c>
      <c r="K42" s="367"/>
      <c r="L42" s="371" t="s">
        <v>1861</v>
      </c>
      <c r="M42" s="79">
        <v>5.2773383E7</v>
      </c>
      <c r="N42" s="79">
        <v>3.133686414E9</v>
      </c>
      <c r="O42" s="372" t="s">
        <v>1018</v>
      </c>
      <c r="P42" s="368"/>
      <c r="Q42" s="306" t="s">
        <v>1862</v>
      </c>
      <c r="R42" s="373"/>
      <c r="S42" s="367"/>
      <c r="T42" s="367"/>
      <c r="U42" s="367"/>
      <c r="V42" s="367"/>
      <c r="W42" s="367"/>
      <c r="X42" s="367"/>
      <c r="Y42" s="367"/>
      <c r="Z42" s="367"/>
    </row>
    <row r="43" ht="22.5" customHeight="1">
      <c r="A43" s="368"/>
      <c r="B43" s="369">
        <v>2024.0</v>
      </c>
      <c r="C43" s="296" t="s">
        <v>54</v>
      </c>
      <c r="D43" s="300" t="s">
        <v>133</v>
      </c>
      <c r="E43" s="141" t="s">
        <v>1863</v>
      </c>
      <c r="F43" s="296" t="s">
        <v>132</v>
      </c>
      <c r="G43" s="296" t="s">
        <v>1756</v>
      </c>
      <c r="H43" s="143" t="s">
        <v>90</v>
      </c>
      <c r="I43" s="296" t="s">
        <v>58</v>
      </c>
      <c r="J43" s="296" t="s">
        <v>1757</v>
      </c>
      <c r="K43" s="367"/>
      <c r="L43" s="371" t="s">
        <v>1864</v>
      </c>
      <c r="M43" s="79">
        <v>1.053276812E9</v>
      </c>
      <c r="N43" s="79">
        <v>3.114563857E9</v>
      </c>
      <c r="O43" s="372" t="s">
        <v>1764</v>
      </c>
      <c r="P43" s="368"/>
      <c r="Q43" s="306" t="s">
        <v>1865</v>
      </c>
      <c r="R43" s="373"/>
      <c r="S43" s="367"/>
      <c r="T43" s="367"/>
      <c r="U43" s="367"/>
      <c r="V43" s="367"/>
      <c r="W43" s="367"/>
      <c r="X43" s="367"/>
      <c r="Y43" s="367"/>
      <c r="Z43" s="367"/>
    </row>
    <row r="44" ht="22.5" customHeight="1">
      <c r="A44" s="368"/>
      <c r="B44" s="369">
        <v>2024.0</v>
      </c>
      <c r="C44" s="296" t="s">
        <v>54</v>
      </c>
      <c r="D44" s="300" t="s">
        <v>133</v>
      </c>
      <c r="E44" s="141" t="s">
        <v>1866</v>
      </c>
      <c r="F44" s="296" t="s">
        <v>132</v>
      </c>
      <c r="G44" s="296" t="s">
        <v>1756</v>
      </c>
      <c r="H44" s="143" t="s">
        <v>90</v>
      </c>
      <c r="I44" s="296" t="s">
        <v>58</v>
      </c>
      <c r="J44" s="296" t="s">
        <v>1757</v>
      </c>
      <c r="K44" s="367"/>
      <c r="L44" s="371" t="s">
        <v>1867</v>
      </c>
      <c r="M44" s="79">
        <v>1.4252961E8</v>
      </c>
      <c r="N44" s="79">
        <v>3.144274887E9</v>
      </c>
      <c r="O44" s="372" t="s">
        <v>1764</v>
      </c>
      <c r="P44" s="368"/>
      <c r="Q44" s="306" t="s">
        <v>1868</v>
      </c>
      <c r="R44" s="373"/>
      <c r="S44" s="367"/>
      <c r="T44" s="367"/>
      <c r="U44" s="367"/>
      <c r="V44" s="367"/>
      <c r="W44" s="367"/>
      <c r="X44" s="367"/>
      <c r="Y44" s="367"/>
      <c r="Z44" s="367"/>
    </row>
    <row r="45" ht="22.5" customHeight="1">
      <c r="A45" s="368"/>
      <c r="B45" s="369">
        <v>2024.0</v>
      </c>
      <c r="C45" s="296" t="s">
        <v>54</v>
      </c>
      <c r="D45" s="300" t="s">
        <v>133</v>
      </c>
      <c r="E45" s="141" t="s">
        <v>1869</v>
      </c>
      <c r="F45" s="296" t="s">
        <v>132</v>
      </c>
      <c r="G45" s="296" t="s">
        <v>1756</v>
      </c>
      <c r="H45" s="143" t="s">
        <v>90</v>
      </c>
      <c r="I45" s="296" t="s">
        <v>58</v>
      </c>
      <c r="J45" s="296" t="s">
        <v>1757</v>
      </c>
      <c r="K45" s="367"/>
      <c r="L45" s="371" t="s">
        <v>1870</v>
      </c>
      <c r="M45" s="79">
        <v>7.9201729E7</v>
      </c>
      <c r="N45" s="79">
        <v>3.102052185E9</v>
      </c>
      <c r="O45" s="372" t="s">
        <v>1764</v>
      </c>
      <c r="P45" s="368"/>
      <c r="Q45" s="306" t="s">
        <v>1871</v>
      </c>
      <c r="R45" s="373"/>
      <c r="S45" s="367"/>
      <c r="T45" s="367"/>
      <c r="U45" s="367"/>
      <c r="V45" s="367"/>
      <c r="W45" s="367"/>
      <c r="X45" s="367"/>
      <c r="Y45" s="367"/>
      <c r="Z45" s="367"/>
    </row>
    <row r="46" ht="22.5" customHeight="1">
      <c r="A46" s="368"/>
      <c r="B46" s="369">
        <v>2024.0</v>
      </c>
      <c r="C46" s="296" t="s">
        <v>54</v>
      </c>
      <c r="D46" s="300" t="s">
        <v>133</v>
      </c>
      <c r="E46" s="141" t="s">
        <v>1872</v>
      </c>
      <c r="F46" s="296" t="s">
        <v>132</v>
      </c>
      <c r="G46" s="296" t="s">
        <v>1756</v>
      </c>
      <c r="H46" s="143" t="s">
        <v>90</v>
      </c>
      <c r="I46" s="296" t="s">
        <v>58</v>
      </c>
      <c r="J46" s="296" t="s">
        <v>1757</v>
      </c>
      <c r="K46" s="367"/>
      <c r="L46" s="371" t="s">
        <v>1873</v>
      </c>
      <c r="M46" s="79">
        <v>4.1387432E7</v>
      </c>
      <c r="N46" s="79">
        <v>3.115319947E9</v>
      </c>
      <c r="O46" s="372" t="s">
        <v>1018</v>
      </c>
      <c r="P46" s="368"/>
      <c r="Q46" s="306" t="s">
        <v>1874</v>
      </c>
      <c r="R46" s="373"/>
      <c r="S46" s="367"/>
      <c r="T46" s="367"/>
      <c r="U46" s="367"/>
      <c r="V46" s="367"/>
      <c r="W46" s="367"/>
      <c r="X46" s="367"/>
      <c r="Y46" s="367"/>
      <c r="Z46" s="367"/>
    </row>
    <row r="47" ht="22.5" customHeight="1">
      <c r="A47" s="368"/>
      <c r="B47" s="369">
        <v>2024.0</v>
      </c>
      <c r="C47" s="296" t="s">
        <v>54</v>
      </c>
      <c r="D47" s="300" t="s">
        <v>133</v>
      </c>
      <c r="E47" s="141" t="s">
        <v>1875</v>
      </c>
      <c r="F47" s="296" t="s">
        <v>132</v>
      </c>
      <c r="G47" s="296" t="s">
        <v>1756</v>
      </c>
      <c r="H47" s="143" t="s">
        <v>90</v>
      </c>
      <c r="I47" s="296" t="s">
        <v>58</v>
      </c>
      <c r="J47" s="296" t="s">
        <v>1757</v>
      </c>
      <c r="K47" s="367"/>
      <c r="L47" s="371" t="s">
        <v>1876</v>
      </c>
      <c r="M47" s="79">
        <v>5.2863732E7</v>
      </c>
      <c r="N47" s="79">
        <v>3.001170088E9</v>
      </c>
      <c r="O47" s="372" t="s">
        <v>1018</v>
      </c>
      <c r="P47" s="368"/>
      <c r="Q47" s="306" t="s">
        <v>1877</v>
      </c>
      <c r="R47" s="373"/>
      <c r="S47" s="367"/>
      <c r="T47" s="367"/>
      <c r="U47" s="367"/>
      <c r="V47" s="367"/>
      <c r="W47" s="367"/>
      <c r="X47" s="367"/>
      <c r="Y47" s="367"/>
      <c r="Z47" s="367"/>
    </row>
    <row r="48" ht="22.5" customHeight="1">
      <c r="A48" s="368"/>
      <c r="B48" s="369">
        <v>2024.0</v>
      </c>
      <c r="C48" s="296" t="s">
        <v>54</v>
      </c>
      <c r="D48" s="300" t="s">
        <v>133</v>
      </c>
      <c r="E48" s="141" t="s">
        <v>1878</v>
      </c>
      <c r="F48" s="296" t="s">
        <v>132</v>
      </c>
      <c r="G48" s="296" t="s">
        <v>1756</v>
      </c>
      <c r="H48" s="143" t="s">
        <v>90</v>
      </c>
      <c r="I48" s="296" t="s">
        <v>58</v>
      </c>
      <c r="J48" s="296" t="s">
        <v>1757</v>
      </c>
      <c r="K48" s="367"/>
      <c r="L48" s="371" t="s">
        <v>1879</v>
      </c>
      <c r="M48" s="79">
        <v>5.2202023E7</v>
      </c>
      <c r="N48" s="79">
        <v>3.108525864E9</v>
      </c>
      <c r="O48" s="372" t="s">
        <v>1018</v>
      </c>
      <c r="P48" s="368"/>
      <c r="Q48" s="306" t="s">
        <v>1880</v>
      </c>
      <c r="R48" s="373"/>
      <c r="S48" s="367"/>
      <c r="T48" s="367"/>
      <c r="U48" s="367"/>
      <c r="V48" s="367"/>
      <c r="W48" s="367"/>
      <c r="X48" s="367"/>
      <c r="Y48" s="367"/>
      <c r="Z48" s="367"/>
    </row>
    <row r="49" ht="22.5" customHeight="1">
      <c r="A49" s="368"/>
      <c r="B49" s="369">
        <v>2024.0</v>
      </c>
      <c r="C49" s="296" t="s">
        <v>54</v>
      </c>
      <c r="D49" s="300" t="s">
        <v>133</v>
      </c>
      <c r="E49" s="141" t="s">
        <v>1881</v>
      </c>
      <c r="F49" s="296" t="s">
        <v>132</v>
      </c>
      <c r="G49" s="296" t="s">
        <v>1756</v>
      </c>
      <c r="H49" s="143" t="s">
        <v>90</v>
      </c>
      <c r="I49" s="296" t="s">
        <v>58</v>
      </c>
      <c r="J49" s="296" t="s">
        <v>1757</v>
      </c>
      <c r="K49" s="367"/>
      <c r="L49" s="371" t="s">
        <v>1882</v>
      </c>
      <c r="M49" s="79">
        <v>5.1951293E7</v>
      </c>
      <c r="N49" s="79">
        <v>3.212378038E9</v>
      </c>
      <c r="O49" s="372" t="s">
        <v>1018</v>
      </c>
      <c r="P49" s="368"/>
      <c r="Q49" s="306" t="s">
        <v>1883</v>
      </c>
      <c r="R49" s="373"/>
      <c r="S49" s="367"/>
      <c r="T49" s="367"/>
      <c r="U49" s="367"/>
      <c r="V49" s="367"/>
      <c r="W49" s="367"/>
      <c r="X49" s="367"/>
      <c r="Y49" s="367"/>
      <c r="Z49" s="367"/>
    </row>
    <row r="50" ht="22.5" customHeight="1">
      <c r="A50" s="368"/>
      <c r="B50" s="369">
        <v>2024.0</v>
      </c>
      <c r="C50" s="296" t="s">
        <v>54</v>
      </c>
      <c r="D50" s="300" t="s">
        <v>133</v>
      </c>
      <c r="E50" s="141" t="s">
        <v>1884</v>
      </c>
      <c r="F50" s="296" t="s">
        <v>132</v>
      </c>
      <c r="G50" s="296" t="s">
        <v>1756</v>
      </c>
      <c r="H50" s="143" t="s">
        <v>90</v>
      </c>
      <c r="I50" s="296" t="s">
        <v>58</v>
      </c>
      <c r="J50" s="296" t="s">
        <v>1757</v>
      </c>
      <c r="K50" s="367"/>
      <c r="L50" s="371" t="s">
        <v>1885</v>
      </c>
      <c r="M50" s="79">
        <v>5.2558679E7</v>
      </c>
      <c r="N50" s="79">
        <v>3.114768971E9</v>
      </c>
      <c r="O50" s="372" t="s">
        <v>1018</v>
      </c>
      <c r="P50" s="368"/>
      <c r="Q50" s="306" t="s">
        <v>1886</v>
      </c>
      <c r="R50" s="373"/>
      <c r="S50" s="367"/>
      <c r="T50" s="367"/>
      <c r="U50" s="367"/>
      <c r="V50" s="367"/>
      <c r="W50" s="367"/>
      <c r="X50" s="367"/>
      <c r="Y50" s="367"/>
      <c r="Z50" s="367"/>
    </row>
    <row r="51" ht="22.5" customHeight="1">
      <c r="A51" s="368"/>
      <c r="B51" s="369">
        <v>2024.0</v>
      </c>
      <c r="C51" s="296" t="s">
        <v>179</v>
      </c>
      <c r="D51" s="300" t="s">
        <v>82</v>
      </c>
      <c r="E51" s="332" t="s">
        <v>1887</v>
      </c>
      <c r="F51" s="296" t="s">
        <v>132</v>
      </c>
      <c r="G51" s="296" t="s">
        <v>1756</v>
      </c>
      <c r="H51" s="143" t="s">
        <v>163</v>
      </c>
      <c r="I51" s="296" t="s">
        <v>58</v>
      </c>
      <c r="J51" s="296" t="s">
        <v>1757</v>
      </c>
      <c r="K51" s="367"/>
      <c r="L51" s="371" t="s">
        <v>1888</v>
      </c>
      <c r="M51" s="79">
        <v>5.195328E7</v>
      </c>
      <c r="N51" s="79">
        <v>3.202202671E9</v>
      </c>
      <c r="O51" s="372" t="s">
        <v>1018</v>
      </c>
      <c r="P51" s="368"/>
      <c r="Q51" s="369" t="s">
        <v>166</v>
      </c>
      <c r="R51" s="373"/>
      <c r="S51" s="367"/>
      <c r="T51" s="367"/>
      <c r="U51" s="367"/>
      <c r="V51" s="367"/>
      <c r="W51" s="367"/>
      <c r="X51" s="367"/>
      <c r="Y51" s="367"/>
      <c r="Z51" s="367"/>
    </row>
    <row r="52" ht="22.5" customHeight="1">
      <c r="A52" s="368"/>
      <c r="B52" s="369">
        <v>2024.0</v>
      </c>
      <c r="C52" s="296" t="s">
        <v>179</v>
      </c>
      <c r="D52" s="300" t="s">
        <v>82</v>
      </c>
      <c r="E52" s="332" t="s">
        <v>1887</v>
      </c>
      <c r="F52" s="296" t="s">
        <v>132</v>
      </c>
      <c r="G52" s="296" t="s">
        <v>1756</v>
      </c>
      <c r="H52" s="143" t="s">
        <v>163</v>
      </c>
      <c r="I52" s="296" t="s">
        <v>58</v>
      </c>
      <c r="J52" s="296" t="s">
        <v>1757</v>
      </c>
      <c r="K52" s="367"/>
      <c r="L52" s="371" t="s">
        <v>1889</v>
      </c>
      <c r="M52" s="79">
        <v>1.1522083E7</v>
      </c>
      <c r="N52" s="79">
        <v>3.045487619E9</v>
      </c>
      <c r="O52" s="372" t="s">
        <v>1764</v>
      </c>
      <c r="P52" s="368"/>
      <c r="Q52" s="369" t="s">
        <v>1890</v>
      </c>
      <c r="R52" s="373"/>
      <c r="S52" s="367"/>
      <c r="T52" s="367"/>
      <c r="U52" s="367"/>
      <c r="V52" s="367"/>
      <c r="W52" s="367"/>
      <c r="X52" s="367"/>
      <c r="Y52" s="367"/>
      <c r="Z52" s="367"/>
    </row>
    <row r="53" ht="22.5" customHeight="1">
      <c r="A53" s="368"/>
      <c r="B53" s="369">
        <v>2024.0</v>
      </c>
      <c r="C53" s="296" t="s">
        <v>179</v>
      </c>
      <c r="D53" s="300" t="s">
        <v>82</v>
      </c>
      <c r="E53" s="332" t="s">
        <v>1887</v>
      </c>
      <c r="F53" s="296" t="s">
        <v>132</v>
      </c>
      <c r="G53" s="296" t="s">
        <v>1756</v>
      </c>
      <c r="H53" s="143" t="s">
        <v>163</v>
      </c>
      <c r="I53" s="296" t="s">
        <v>58</v>
      </c>
      <c r="J53" s="296" t="s">
        <v>1757</v>
      </c>
      <c r="K53" s="367"/>
      <c r="L53" s="371" t="s">
        <v>1891</v>
      </c>
      <c r="M53" s="79">
        <v>7793275.0</v>
      </c>
      <c r="N53" s="79">
        <v>3.204335682E9</v>
      </c>
      <c r="O53" s="372" t="s">
        <v>1764</v>
      </c>
      <c r="P53" s="368"/>
      <c r="Q53" s="369" t="s">
        <v>1892</v>
      </c>
      <c r="R53" s="373"/>
      <c r="S53" s="367"/>
      <c r="T53" s="367"/>
      <c r="U53" s="367"/>
      <c r="V53" s="367"/>
      <c r="W53" s="367"/>
      <c r="X53" s="367"/>
      <c r="Y53" s="367"/>
      <c r="Z53" s="367"/>
    </row>
    <row r="54" ht="22.5" customHeight="1">
      <c r="A54" s="368"/>
      <c r="B54" s="369">
        <v>2024.0</v>
      </c>
      <c r="C54" s="296" t="s">
        <v>179</v>
      </c>
      <c r="D54" s="300" t="s">
        <v>82</v>
      </c>
      <c r="E54" s="332" t="s">
        <v>1887</v>
      </c>
      <c r="F54" s="296" t="s">
        <v>132</v>
      </c>
      <c r="G54" s="296" t="s">
        <v>1756</v>
      </c>
      <c r="H54" s="143" t="s">
        <v>163</v>
      </c>
      <c r="I54" s="296" t="s">
        <v>58</v>
      </c>
      <c r="J54" s="296" t="s">
        <v>1757</v>
      </c>
      <c r="K54" s="367"/>
      <c r="L54" s="374" t="s">
        <v>1893</v>
      </c>
      <c r="M54" s="79">
        <v>5.2059311E7</v>
      </c>
      <c r="N54" s="79">
        <v>3.2038081336E10</v>
      </c>
      <c r="O54" s="372" t="s">
        <v>1018</v>
      </c>
      <c r="P54" s="368"/>
      <c r="Q54" s="369" t="s">
        <v>1894</v>
      </c>
      <c r="R54" s="373"/>
      <c r="S54" s="367"/>
      <c r="T54" s="367"/>
      <c r="U54" s="367"/>
      <c r="V54" s="367"/>
      <c r="W54" s="367"/>
      <c r="X54" s="367"/>
      <c r="Y54" s="367"/>
      <c r="Z54" s="367"/>
    </row>
    <row r="55" ht="22.5" customHeight="1">
      <c r="A55" s="368"/>
      <c r="B55" s="369">
        <v>2024.0</v>
      </c>
      <c r="C55" s="296" t="s">
        <v>179</v>
      </c>
      <c r="D55" s="300" t="s">
        <v>82</v>
      </c>
      <c r="E55" s="332" t="s">
        <v>1887</v>
      </c>
      <c r="F55" s="296" t="s">
        <v>132</v>
      </c>
      <c r="G55" s="296" t="s">
        <v>1756</v>
      </c>
      <c r="H55" s="143" t="s">
        <v>163</v>
      </c>
      <c r="I55" s="296" t="s">
        <v>58</v>
      </c>
      <c r="J55" s="296" t="s">
        <v>1757</v>
      </c>
      <c r="K55" s="367"/>
      <c r="L55" s="371" t="s">
        <v>1895</v>
      </c>
      <c r="M55" s="79">
        <v>1.030590899E9</v>
      </c>
      <c r="N55" s="79">
        <v>3.144541731E9</v>
      </c>
      <c r="O55" s="372" t="s">
        <v>1018</v>
      </c>
      <c r="P55" s="368"/>
      <c r="Q55" s="369" t="s">
        <v>1896</v>
      </c>
      <c r="R55" s="373"/>
      <c r="S55" s="367"/>
      <c r="T55" s="367"/>
      <c r="U55" s="367"/>
      <c r="V55" s="367"/>
      <c r="W55" s="367"/>
      <c r="X55" s="367"/>
      <c r="Y55" s="367"/>
      <c r="Z55" s="367"/>
    </row>
    <row r="56" ht="22.5" customHeight="1">
      <c r="A56" s="368"/>
      <c r="B56" s="369">
        <v>2024.0</v>
      </c>
      <c r="C56" s="296" t="s">
        <v>179</v>
      </c>
      <c r="D56" s="300" t="s">
        <v>82</v>
      </c>
      <c r="E56" s="332" t="s">
        <v>1887</v>
      </c>
      <c r="F56" s="296" t="s">
        <v>132</v>
      </c>
      <c r="G56" s="296" t="s">
        <v>1756</v>
      </c>
      <c r="H56" s="143" t="s">
        <v>163</v>
      </c>
      <c r="I56" s="296" t="s">
        <v>58</v>
      </c>
      <c r="J56" s="296" t="s">
        <v>1757</v>
      </c>
      <c r="K56" s="367"/>
      <c r="L56" s="371" t="s">
        <v>1897</v>
      </c>
      <c r="M56" s="79">
        <v>7.9613389E7</v>
      </c>
      <c r="N56" s="79">
        <v>3.12380803E9</v>
      </c>
      <c r="O56" s="372" t="s">
        <v>1764</v>
      </c>
      <c r="P56" s="368"/>
      <c r="Q56" s="369" t="s">
        <v>1898</v>
      </c>
      <c r="R56" s="373"/>
      <c r="S56" s="367"/>
      <c r="T56" s="367"/>
      <c r="U56" s="367"/>
      <c r="V56" s="367"/>
      <c r="W56" s="367"/>
      <c r="X56" s="367"/>
      <c r="Y56" s="367"/>
      <c r="Z56" s="367"/>
    </row>
    <row r="57" ht="22.5" customHeight="1">
      <c r="A57" s="368"/>
      <c r="B57" s="369">
        <v>2024.0</v>
      </c>
      <c r="C57" s="296" t="s">
        <v>179</v>
      </c>
      <c r="D57" s="300" t="s">
        <v>82</v>
      </c>
      <c r="E57" s="332" t="s">
        <v>1887</v>
      </c>
      <c r="F57" s="296" t="s">
        <v>132</v>
      </c>
      <c r="G57" s="296" t="s">
        <v>1756</v>
      </c>
      <c r="H57" s="143" t="s">
        <v>163</v>
      </c>
      <c r="I57" s="296" t="s">
        <v>58</v>
      </c>
      <c r="J57" s="296" t="s">
        <v>1757</v>
      </c>
      <c r="K57" s="367"/>
      <c r="L57" s="371" t="s">
        <v>1899</v>
      </c>
      <c r="M57" s="79">
        <v>1.013102228E9</v>
      </c>
      <c r="N57" s="79">
        <v>3.158985387E9</v>
      </c>
      <c r="O57" s="372" t="s">
        <v>1764</v>
      </c>
      <c r="P57" s="368"/>
      <c r="Q57" s="369" t="s">
        <v>1900</v>
      </c>
      <c r="R57" s="373"/>
      <c r="S57" s="367"/>
      <c r="T57" s="367"/>
      <c r="U57" s="367"/>
      <c r="V57" s="367"/>
      <c r="W57" s="367"/>
      <c r="X57" s="367"/>
      <c r="Y57" s="367"/>
      <c r="Z57" s="367"/>
    </row>
    <row r="58" ht="22.5" customHeight="1">
      <c r="A58" s="368"/>
      <c r="B58" s="369">
        <v>2024.0</v>
      </c>
      <c r="C58" s="296" t="s">
        <v>179</v>
      </c>
      <c r="D58" s="300" t="s">
        <v>82</v>
      </c>
      <c r="E58" s="332" t="s">
        <v>1887</v>
      </c>
      <c r="F58" s="296" t="s">
        <v>132</v>
      </c>
      <c r="G58" s="296" t="s">
        <v>1756</v>
      </c>
      <c r="H58" s="143" t="s">
        <v>163</v>
      </c>
      <c r="I58" s="296" t="s">
        <v>58</v>
      </c>
      <c r="J58" s="296" t="s">
        <v>1757</v>
      </c>
      <c r="K58" s="367"/>
      <c r="L58" s="371" t="s">
        <v>1901</v>
      </c>
      <c r="M58" s="79">
        <v>1.030676531E9</v>
      </c>
      <c r="N58" s="79">
        <v>3.223021468E9</v>
      </c>
      <c r="O58" s="372" t="s">
        <v>1764</v>
      </c>
      <c r="P58" s="368"/>
      <c r="Q58" s="369" t="s">
        <v>1902</v>
      </c>
      <c r="R58" s="373"/>
      <c r="S58" s="367"/>
      <c r="T58" s="367"/>
      <c r="U58" s="367"/>
      <c r="V58" s="367"/>
      <c r="W58" s="367"/>
      <c r="X58" s="367"/>
      <c r="Y58" s="367"/>
      <c r="Z58" s="367"/>
    </row>
    <row r="59" ht="22.5" customHeight="1">
      <c r="A59" s="368"/>
      <c r="B59" s="369">
        <v>2024.0</v>
      </c>
      <c r="C59" s="296" t="s">
        <v>179</v>
      </c>
      <c r="D59" s="300" t="s">
        <v>82</v>
      </c>
      <c r="E59" s="332" t="s">
        <v>1887</v>
      </c>
      <c r="F59" s="296" t="s">
        <v>132</v>
      </c>
      <c r="G59" s="296" t="s">
        <v>1756</v>
      </c>
      <c r="H59" s="143" t="s">
        <v>163</v>
      </c>
      <c r="I59" s="296" t="s">
        <v>58</v>
      </c>
      <c r="J59" s="296" t="s">
        <v>1757</v>
      </c>
      <c r="K59" s="367"/>
      <c r="L59" s="371" t="s">
        <v>1903</v>
      </c>
      <c r="M59" s="79">
        <v>5.2978839E7</v>
      </c>
      <c r="N59" s="79">
        <v>3.226401071E9</v>
      </c>
      <c r="O59" s="372" t="s">
        <v>1018</v>
      </c>
      <c r="P59" s="368"/>
      <c r="Q59" s="369" t="s">
        <v>1904</v>
      </c>
      <c r="R59" s="373"/>
      <c r="S59" s="367"/>
      <c r="T59" s="367"/>
      <c r="U59" s="367"/>
      <c r="V59" s="367"/>
      <c r="W59" s="367"/>
      <c r="X59" s="367"/>
      <c r="Y59" s="367"/>
      <c r="Z59" s="367"/>
    </row>
    <row r="60" ht="22.5" customHeight="1">
      <c r="A60" s="368"/>
      <c r="B60" s="369">
        <v>2024.0</v>
      </c>
      <c r="C60" s="296" t="s">
        <v>179</v>
      </c>
      <c r="D60" s="300" t="s">
        <v>82</v>
      </c>
      <c r="E60" s="332" t="s">
        <v>1887</v>
      </c>
      <c r="F60" s="296" t="s">
        <v>132</v>
      </c>
      <c r="G60" s="296" t="s">
        <v>1756</v>
      </c>
      <c r="H60" s="143" t="s">
        <v>163</v>
      </c>
      <c r="I60" s="296" t="s">
        <v>58</v>
      </c>
      <c r="J60" s="296" t="s">
        <v>1757</v>
      </c>
      <c r="K60" s="367"/>
      <c r="L60" s="371" t="s">
        <v>1905</v>
      </c>
      <c r="M60" s="79">
        <v>7.9234262E7</v>
      </c>
      <c r="N60" s="79">
        <v>3.143764251E9</v>
      </c>
      <c r="O60" s="372" t="s">
        <v>1764</v>
      </c>
      <c r="P60" s="368"/>
      <c r="Q60" s="369" t="s">
        <v>1906</v>
      </c>
      <c r="R60" s="373"/>
      <c r="S60" s="367"/>
      <c r="T60" s="367"/>
      <c r="U60" s="367"/>
      <c r="V60" s="367"/>
      <c r="W60" s="367"/>
      <c r="X60" s="367"/>
      <c r="Y60" s="367"/>
      <c r="Z60" s="367"/>
    </row>
    <row r="61" ht="22.5" customHeight="1">
      <c r="A61" s="368"/>
      <c r="B61" s="369">
        <v>2024.0</v>
      </c>
      <c r="C61" s="296" t="s">
        <v>179</v>
      </c>
      <c r="D61" s="300" t="s">
        <v>82</v>
      </c>
      <c r="E61" s="332" t="s">
        <v>1887</v>
      </c>
      <c r="F61" s="296" t="s">
        <v>132</v>
      </c>
      <c r="G61" s="296" t="s">
        <v>1756</v>
      </c>
      <c r="H61" s="143" t="s">
        <v>163</v>
      </c>
      <c r="I61" s="296" t="s">
        <v>58</v>
      </c>
      <c r="J61" s="296" t="s">
        <v>1757</v>
      </c>
      <c r="K61" s="367"/>
      <c r="L61" s="371" t="s">
        <v>1907</v>
      </c>
      <c r="M61" s="79">
        <v>6570436.0</v>
      </c>
      <c r="N61" s="79">
        <v>3.134406559E9</v>
      </c>
      <c r="O61" s="372" t="s">
        <v>1018</v>
      </c>
      <c r="P61" s="368"/>
      <c r="Q61" s="369" t="s">
        <v>1908</v>
      </c>
      <c r="R61" s="373"/>
      <c r="S61" s="367"/>
      <c r="T61" s="367"/>
      <c r="U61" s="367"/>
      <c r="V61" s="367"/>
      <c r="W61" s="367"/>
      <c r="X61" s="367"/>
      <c r="Y61" s="367"/>
      <c r="Z61" s="367"/>
    </row>
    <row r="62" ht="22.5" customHeight="1">
      <c r="A62" s="368"/>
      <c r="B62" s="369">
        <v>2024.0</v>
      </c>
      <c r="C62" s="296" t="s">
        <v>179</v>
      </c>
      <c r="D62" s="300" t="s">
        <v>82</v>
      </c>
      <c r="E62" s="332" t="s">
        <v>1887</v>
      </c>
      <c r="F62" s="296" t="s">
        <v>132</v>
      </c>
      <c r="G62" s="296" t="s">
        <v>1756</v>
      </c>
      <c r="H62" s="143" t="s">
        <v>163</v>
      </c>
      <c r="I62" s="296" t="s">
        <v>58</v>
      </c>
      <c r="J62" s="296" t="s">
        <v>1757</v>
      </c>
      <c r="K62" s="367"/>
      <c r="L62" s="371" t="s">
        <v>1909</v>
      </c>
      <c r="M62" s="79">
        <v>1.5959814E7</v>
      </c>
      <c r="N62" s="79">
        <v>3.002941263E9</v>
      </c>
      <c r="O62" s="372" t="s">
        <v>1764</v>
      </c>
      <c r="P62" s="368"/>
      <c r="Q62" s="369" t="s">
        <v>1910</v>
      </c>
      <c r="R62" s="373"/>
      <c r="S62" s="367"/>
      <c r="T62" s="367"/>
      <c r="U62" s="367"/>
      <c r="V62" s="367"/>
      <c r="W62" s="367"/>
      <c r="X62" s="367"/>
      <c r="Y62" s="367"/>
      <c r="Z62" s="367"/>
    </row>
    <row r="63" ht="22.5" customHeight="1">
      <c r="A63" s="368"/>
      <c r="B63" s="369">
        <v>2024.0</v>
      </c>
      <c r="C63" s="296" t="s">
        <v>179</v>
      </c>
      <c r="D63" s="300" t="s">
        <v>82</v>
      </c>
      <c r="E63" s="332" t="s">
        <v>1887</v>
      </c>
      <c r="F63" s="296" t="s">
        <v>132</v>
      </c>
      <c r="G63" s="296" t="s">
        <v>1756</v>
      </c>
      <c r="H63" s="143" t="s">
        <v>163</v>
      </c>
      <c r="I63" s="296" t="s">
        <v>58</v>
      </c>
      <c r="J63" s="296" t="s">
        <v>1757</v>
      </c>
      <c r="K63" s="367"/>
      <c r="L63" s="371" t="s">
        <v>1911</v>
      </c>
      <c r="M63" s="79">
        <v>261599.0</v>
      </c>
      <c r="N63" s="79">
        <v>3.123673643E9</v>
      </c>
      <c r="O63" s="372" t="s">
        <v>1764</v>
      </c>
      <c r="P63" s="368"/>
      <c r="Q63" s="369" t="s">
        <v>1912</v>
      </c>
      <c r="R63" s="373"/>
      <c r="S63" s="367"/>
      <c r="T63" s="367"/>
      <c r="U63" s="367"/>
      <c r="V63" s="367"/>
      <c r="W63" s="367"/>
      <c r="X63" s="367"/>
      <c r="Y63" s="367"/>
      <c r="Z63" s="367"/>
    </row>
    <row r="64" ht="22.5" customHeight="1">
      <c r="A64" s="368"/>
      <c r="B64" s="369">
        <v>2024.0</v>
      </c>
      <c r="C64" s="296" t="s">
        <v>179</v>
      </c>
      <c r="D64" s="300" t="s">
        <v>82</v>
      </c>
      <c r="E64" s="332" t="s">
        <v>1887</v>
      </c>
      <c r="F64" s="296" t="s">
        <v>132</v>
      </c>
      <c r="G64" s="296" t="s">
        <v>1756</v>
      </c>
      <c r="H64" s="143" t="s">
        <v>163</v>
      </c>
      <c r="I64" s="296" t="s">
        <v>58</v>
      </c>
      <c r="J64" s="296" t="s">
        <v>1757</v>
      </c>
      <c r="K64" s="367"/>
      <c r="L64" s="371" t="s">
        <v>1913</v>
      </c>
      <c r="M64" s="79">
        <v>1.7282236E7</v>
      </c>
      <c r="N64" s="79">
        <v>3.144852203E9</v>
      </c>
      <c r="O64" s="372" t="s">
        <v>1764</v>
      </c>
      <c r="P64" s="368"/>
      <c r="Q64" s="369" t="s">
        <v>1914</v>
      </c>
      <c r="R64" s="373"/>
      <c r="S64" s="367"/>
      <c r="T64" s="367"/>
      <c r="U64" s="367"/>
      <c r="V64" s="367"/>
      <c r="W64" s="367"/>
      <c r="X64" s="367"/>
      <c r="Y64" s="367"/>
      <c r="Z64" s="367"/>
    </row>
    <row r="65" ht="22.5" customHeight="1">
      <c r="A65" s="368"/>
      <c r="B65" s="369">
        <v>2024.0</v>
      </c>
      <c r="C65" s="296" t="s">
        <v>179</v>
      </c>
      <c r="D65" s="300" t="s">
        <v>82</v>
      </c>
      <c r="E65" s="332" t="s">
        <v>1887</v>
      </c>
      <c r="F65" s="296" t="s">
        <v>132</v>
      </c>
      <c r="G65" s="296" t="s">
        <v>1756</v>
      </c>
      <c r="H65" s="143" t="s">
        <v>163</v>
      </c>
      <c r="I65" s="296" t="s">
        <v>58</v>
      </c>
      <c r="J65" s="296" t="s">
        <v>1757</v>
      </c>
      <c r="K65" s="367"/>
      <c r="L65" s="371" t="s">
        <v>1915</v>
      </c>
      <c r="M65" s="79">
        <v>5858061.0</v>
      </c>
      <c r="N65" s="79">
        <v>3.213005202E9</v>
      </c>
      <c r="O65" s="372" t="s">
        <v>1018</v>
      </c>
      <c r="P65" s="368"/>
      <c r="Q65" s="369" t="s">
        <v>1916</v>
      </c>
      <c r="R65" s="373"/>
      <c r="S65" s="367"/>
      <c r="T65" s="367"/>
      <c r="U65" s="367"/>
      <c r="V65" s="367"/>
      <c r="W65" s="367"/>
      <c r="X65" s="367"/>
      <c r="Y65" s="367"/>
      <c r="Z65" s="367"/>
    </row>
    <row r="66" ht="22.5" customHeight="1">
      <c r="A66" s="368"/>
      <c r="B66" s="369">
        <v>2024.0</v>
      </c>
      <c r="C66" s="296" t="s">
        <v>179</v>
      </c>
      <c r="D66" s="300" t="s">
        <v>82</v>
      </c>
      <c r="E66" s="332" t="s">
        <v>1887</v>
      </c>
      <c r="F66" s="296" t="s">
        <v>132</v>
      </c>
      <c r="G66" s="296" t="s">
        <v>1756</v>
      </c>
      <c r="H66" s="143" t="s">
        <v>163</v>
      </c>
      <c r="I66" s="296" t="s">
        <v>58</v>
      </c>
      <c r="J66" s="296" t="s">
        <v>1757</v>
      </c>
      <c r="K66" s="367"/>
      <c r="L66" s="371" t="s">
        <v>1917</v>
      </c>
      <c r="M66" s="79">
        <v>5.2238807E7</v>
      </c>
      <c r="N66" s="79">
        <v>3.13406822E9</v>
      </c>
      <c r="O66" s="372" t="s">
        <v>1018</v>
      </c>
      <c r="P66" s="368"/>
      <c r="Q66" s="369" t="s">
        <v>1918</v>
      </c>
      <c r="R66" s="373"/>
      <c r="S66" s="367"/>
      <c r="T66" s="367"/>
      <c r="U66" s="367"/>
      <c r="V66" s="367"/>
      <c r="W66" s="367"/>
      <c r="X66" s="367"/>
      <c r="Y66" s="367"/>
      <c r="Z66" s="367"/>
    </row>
    <row r="67" ht="22.5" customHeight="1">
      <c r="A67" s="368"/>
      <c r="B67" s="369">
        <v>2024.0</v>
      </c>
      <c r="C67" s="296" t="s">
        <v>179</v>
      </c>
      <c r="D67" s="300" t="s">
        <v>82</v>
      </c>
      <c r="E67" s="332" t="s">
        <v>1887</v>
      </c>
      <c r="F67" s="296" t="s">
        <v>132</v>
      </c>
      <c r="G67" s="296" t="s">
        <v>1756</v>
      </c>
      <c r="H67" s="143" t="s">
        <v>163</v>
      </c>
      <c r="I67" s="296" t="s">
        <v>58</v>
      </c>
      <c r="J67" s="296" t="s">
        <v>1757</v>
      </c>
      <c r="K67" s="367"/>
      <c r="L67" s="371" t="s">
        <v>1919</v>
      </c>
      <c r="M67" s="79">
        <v>1.026261594E9</v>
      </c>
      <c r="N67" s="79">
        <v>3.107500384E9</v>
      </c>
      <c r="O67" s="372" t="s">
        <v>1018</v>
      </c>
      <c r="P67" s="368"/>
      <c r="Q67" s="369" t="s">
        <v>1920</v>
      </c>
      <c r="R67" s="373"/>
      <c r="S67" s="367"/>
      <c r="T67" s="367"/>
      <c r="U67" s="367"/>
      <c r="V67" s="367"/>
      <c r="W67" s="367"/>
      <c r="X67" s="367"/>
      <c r="Y67" s="367"/>
      <c r="Z67" s="367"/>
    </row>
    <row r="68" ht="22.5" customHeight="1">
      <c r="A68" s="368"/>
      <c r="B68" s="369">
        <v>2024.0</v>
      </c>
      <c r="C68" s="296" t="s">
        <v>179</v>
      </c>
      <c r="D68" s="300" t="s">
        <v>82</v>
      </c>
      <c r="E68" s="332" t="s">
        <v>1887</v>
      </c>
      <c r="F68" s="296" t="s">
        <v>132</v>
      </c>
      <c r="G68" s="296" t="s">
        <v>1756</v>
      </c>
      <c r="H68" s="143" t="s">
        <v>163</v>
      </c>
      <c r="I68" s="296" t="s">
        <v>58</v>
      </c>
      <c r="J68" s="296" t="s">
        <v>1757</v>
      </c>
      <c r="K68" s="367"/>
      <c r="L68" s="371" t="s">
        <v>1921</v>
      </c>
      <c r="M68" s="79">
        <v>5.2601233E7</v>
      </c>
      <c r="N68" s="79">
        <v>3.244331306E9</v>
      </c>
      <c r="O68" s="372" t="s">
        <v>1018</v>
      </c>
      <c r="P68" s="368"/>
      <c r="Q68" s="369" t="s">
        <v>1922</v>
      </c>
      <c r="R68" s="373"/>
      <c r="S68" s="367"/>
      <c r="T68" s="367"/>
      <c r="U68" s="367"/>
      <c r="V68" s="367"/>
      <c r="W68" s="367"/>
      <c r="X68" s="367"/>
      <c r="Y68" s="367"/>
      <c r="Z68" s="367"/>
    </row>
    <row r="69" ht="22.5" customHeight="1">
      <c r="A69" s="368"/>
      <c r="B69" s="369">
        <v>2024.0</v>
      </c>
      <c r="C69" s="296" t="s">
        <v>179</v>
      </c>
      <c r="D69" s="300" t="s">
        <v>82</v>
      </c>
      <c r="E69" s="332" t="s">
        <v>1887</v>
      </c>
      <c r="F69" s="296" t="s">
        <v>132</v>
      </c>
      <c r="G69" s="296" t="s">
        <v>1756</v>
      </c>
      <c r="H69" s="143" t="s">
        <v>163</v>
      </c>
      <c r="I69" s="296" t="s">
        <v>58</v>
      </c>
      <c r="J69" s="296" t="s">
        <v>1757</v>
      </c>
      <c r="K69" s="367"/>
      <c r="L69" s="371" t="s">
        <v>1923</v>
      </c>
      <c r="M69" s="79">
        <v>3.455141E7</v>
      </c>
      <c r="N69" s="79">
        <v>3.204086453E9</v>
      </c>
      <c r="O69" s="372" t="s">
        <v>1018</v>
      </c>
      <c r="P69" s="368"/>
      <c r="Q69" s="369" t="s">
        <v>1924</v>
      </c>
      <c r="R69" s="373"/>
      <c r="S69" s="367"/>
      <c r="T69" s="367"/>
      <c r="U69" s="367"/>
      <c r="V69" s="367"/>
      <c r="W69" s="367"/>
      <c r="X69" s="367"/>
      <c r="Y69" s="367"/>
      <c r="Z69" s="367"/>
    </row>
    <row r="70" ht="22.5" customHeight="1">
      <c r="A70" s="368"/>
      <c r="B70" s="369">
        <v>2024.0</v>
      </c>
      <c r="C70" s="296" t="s">
        <v>200</v>
      </c>
      <c r="D70" s="300" t="s">
        <v>82</v>
      </c>
      <c r="E70" s="141" t="s">
        <v>1925</v>
      </c>
      <c r="F70" s="296" t="s">
        <v>132</v>
      </c>
      <c r="G70" s="296" t="s">
        <v>1756</v>
      </c>
      <c r="H70" s="143" t="s">
        <v>1926</v>
      </c>
      <c r="I70" s="296" t="s">
        <v>58</v>
      </c>
      <c r="J70" s="296" t="s">
        <v>1757</v>
      </c>
      <c r="K70" s="367"/>
      <c r="L70" s="371" t="s">
        <v>1927</v>
      </c>
      <c r="M70" s="79">
        <v>1.9089829E7</v>
      </c>
      <c r="N70" s="79">
        <v>3.168152705E9</v>
      </c>
      <c r="O70" s="372" t="s">
        <v>1764</v>
      </c>
      <c r="P70" s="367"/>
      <c r="Q70" s="306" t="s">
        <v>286</v>
      </c>
      <c r="R70" s="367"/>
      <c r="S70" s="367"/>
      <c r="T70" s="367"/>
      <c r="U70" s="367"/>
      <c r="V70" s="367"/>
      <c r="W70" s="367"/>
      <c r="X70" s="367"/>
      <c r="Y70" s="367"/>
      <c r="Z70" s="367"/>
    </row>
    <row r="71" ht="22.5" customHeight="1">
      <c r="A71" s="368"/>
      <c r="B71" s="369">
        <v>2024.0</v>
      </c>
      <c r="C71" s="296" t="s">
        <v>200</v>
      </c>
      <c r="D71" s="300" t="s">
        <v>82</v>
      </c>
      <c r="E71" s="141" t="s">
        <v>1925</v>
      </c>
      <c r="F71" s="296" t="s">
        <v>132</v>
      </c>
      <c r="G71" s="296" t="s">
        <v>1756</v>
      </c>
      <c r="H71" s="143" t="s">
        <v>1926</v>
      </c>
      <c r="I71" s="296" t="s">
        <v>58</v>
      </c>
      <c r="J71" s="296" t="s">
        <v>1757</v>
      </c>
      <c r="K71" s="367"/>
      <c r="L71" s="371" t="s">
        <v>1928</v>
      </c>
      <c r="M71" s="79">
        <v>1.7131942E7</v>
      </c>
      <c r="N71" s="79">
        <v>3.19709037E9</v>
      </c>
      <c r="O71" s="372" t="s">
        <v>1764</v>
      </c>
      <c r="P71" s="367"/>
      <c r="Q71" s="306" t="s">
        <v>286</v>
      </c>
      <c r="R71" s="367"/>
      <c r="S71" s="367"/>
      <c r="T71" s="367"/>
      <c r="U71" s="367"/>
      <c r="V71" s="367"/>
      <c r="W71" s="367"/>
      <c r="X71" s="367"/>
      <c r="Y71" s="367"/>
      <c r="Z71" s="367"/>
    </row>
    <row r="72" ht="22.5" customHeight="1">
      <c r="A72" s="368"/>
      <c r="B72" s="369">
        <v>2024.0</v>
      </c>
      <c r="C72" s="296" t="s">
        <v>200</v>
      </c>
      <c r="D72" s="300" t="s">
        <v>82</v>
      </c>
      <c r="E72" s="141" t="s">
        <v>1925</v>
      </c>
      <c r="F72" s="296" t="s">
        <v>132</v>
      </c>
      <c r="G72" s="296" t="s">
        <v>1756</v>
      </c>
      <c r="H72" s="143" t="s">
        <v>1926</v>
      </c>
      <c r="I72" s="296" t="s">
        <v>58</v>
      </c>
      <c r="J72" s="296" t="s">
        <v>1757</v>
      </c>
      <c r="K72" s="367"/>
      <c r="L72" s="371" t="s">
        <v>1929</v>
      </c>
      <c r="M72" s="79">
        <v>4.1361571E7</v>
      </c>
      <c r="N72" s="79">
        <v>3.002678422E9</v>
      </c>
      <c r="O72" s="372" t="s">
        <v>1018</v>
      </c>
      <c r="P72" s="367"/>
      <c r="Q72" s="306" t="s">
        <v>286</v>
      </c>
      <c r="R72" s="367"/>
      <c r="S72" s="367"/>
      <c r="T72" s="367"/>
      <c r="U72" s="367"/>
      <c r="V72" s="367"/>
      <c r="W72" s="367"/>
      <c r="X72" s="367"/>
      <c r="Y72" s="367"/>
      <c r="Z72" s="367"/>
    </row>
    <row r="73" ht="22.5" customHeight="1">
      <c r="A73" s="368"/>
      <c r="B73" s="369">
        <v>2024.0</v>
      </c>
      <c r="C73" s="296" t="s">
        <v>200</v>
      </c>
      <c r="D73" s="300" t="s">
        <v>82</v>
      </c>
      <c r="E73" s="141" t="s">
        <v>1925</v>
      </c>
      <c r="F73" s="296" t="s">
        <v>132</v>
      </c>
      <c r="G73" s="296" t="s">
        <v>1756</v>
      </c>
      <c r="H73" s="143" t="s">
        <v>1926</v>
      </c>
      <c r="I73" s="296" t="s">
        <v>58</v>
      </c>
      <c r="J73" s="296" t="s">
        <v>1757</v>
      </c>
      <c r="K73" s="367"/>
      <c r="L73" s="371" t="s">
        <v>1930</v>
      </c>
      <c r="M73" s="79">
        <v>6.0283324E7</v>
      </c>
      <c r="N73" s="79">
        <v>3.133988255E9</v>
      </c>
      <c r="O73" s="372" t="s">
        <v>1018</v>
      </c>
      <c r="P73" s="367"/>
      <c r="Q73" s="306" t="s">
        <v>286</v>
      </c>
      <c r="R73" s="367"/>
      <c r="S73" s="367"/>
      <c r="T73" s="367"/>
      <c r="U73" s="367"/>
      <c r="V73" s="367"/>
      <c r="W73" s="367"/>
      <c r="X73" s="367"/>
      <c r="Y73" s="367"/>
      <c r="Z73" s="367"/>
    </row>
    <row r="74" ht="22.5" customHeight="1">
      <c r="A74" s="368"/>
      <c r="B74" s="369">
        <v>2024.0</v>
      </c>
      <c r="C74" s="296" t="s">
        <v>200</v>
      </c>
      <c r="D74" s="300" t="s">
        <v>82</v>
      </c>
      <c r="E74" s="141" t="s">
        <v>1925</v>
      </c>
      <c r="F74" s="296" t="s">
        <v>132</v>
      </c>
      <c r="G74" s="296" t="s">
        <v>1756</v>
      </c>
      <c r="H74" s="143" t="s">
        <v>1926</v>
      </c>
      <c r="I74" s="296" t="s">
        <v>58</v>
      </c>
      <c r="J74" s="296" t="s">
        <v>1757</v>
      </c>
      <c r="K74" s="367"/>
      <c r="L74" s="371" t="s">
        <v>1931</v>
      </c>
      <c r="M74" s="79">
        <v>1.7545502E7</v>
      </c>
      <c r="N74" s="79">
        <v>3.11509905E9</v>
      </c>
      <c r="O74" s="372" t="s">
        <v>1764</v>
      </c>
      <c r="P74" s="367"/>
      <c r="Q74" s="306" t="s">
        <v>286</v>
      </c>
      <c r="R74" s="367"/>
      <c r="S74" s="367"/>
      <c r="T74" s="367"/>
      <c r="U74" s="367"/>
      <c r="V74" s="367"/>
      <c r="W74" s="367"/>
      <c r="X74" s="367"/>
      <c r="Y74" s="367"/>
      <c r="Z74" s="367"/>
    </row>
    <row r="75" ht="22.5" customHeight="1">
      <c r="A75" s="368"/>
      <c r="B75" s="369">
        <v>2024.0</v>
      </c>
      <c r="C75" s="296" t="s">
        <v>200</v>
      </c>
      <c r="D75" s="300" t="s">
        <v>82</v>
      </c>
      <c r="E75" s="141" t="s">
        <v>1925</v>
      </c>
      <c r="F75" s="296" t="s">
        <v>132</v>
      </c>
      <c r="G75" s="296" t="s">
        <v>1756</v>
      </c>
      <c r="H75" s="143" t="s">
        <v>1926</v>
      </c>
      <c r="I75" s="296" t="s">
        <v>58</v>
      </c>
      <c r="J75" s="296" t="s">
        <v>1757</v>
      </c>
      <c r="K75" s="367"/>
      <c r="L75" s="371" t="s">
        <v>1932</v>
      </c>
      <c r="M75" s="79">
        <v>4162652.0</v>
      </c>
      <c r="N75" s="79">
        <v>3.102765933E9</v>
      </c>
      <c r="O75" s="372" t="s">
        <v>1018</v>
      </c>
      <c r="P75" s="367"/>
      <c r="Q75" s="306" t="s">
        <v>286</v>
      </c>
      <c r="R75" s="367"/>
      <c r="S75" s="367"/>
      <c r="T75" s="367"/>
      <c r="U75" s="367"/>
      <c r="V75" s="367"/>
      <c r="W75" s="367"/>
      <c r="X75" s="367"/>
      <c r="Y75" s="367"/>
      <c r="Z75" s="367"/>
    </row>
    <row r="76" ht="22.5" customHeight="1">
      <c r="A76" s="368"/>
      <c r="B76" s="369">
        <v>2024.0</v>
      </c>
      <c r="C76" s="296" t="s">
        <v>200</v>
      </c>
      <c r="D76" s="300" t="s">
        <v>82</v>
      </c>
      <c r="E76" s="141" t="s">
        <v>1925</v>
      </c>
      <c r="F76" s="296" t="s">
        <v>132</v>
      </c>
      <c r="G76" s="296" t="s">
        <v>1756</v>
      </c>
      <c r="H76" s="143" t="s">
        <v>1926</v>
      </c>
      <c r="I76" s="296" t="s">
        <v>58</v>
      </c>
      <c r="J76" s="296" t="s">
        <v>1757</v>
      </c>
      <c r="K76" s="367"/>
      <c r="L76" s="371" t="s">
        <v>1933</v>
      </c>
      <c r="M76" s="79">
        <v>7508524.0</v>
      </c>
      <c r="N76" s="79">
        <v>3.006647087E9</v>
      </c>
      <c r="O76" s="372" t="s">
        <v>1764</v>
      </c>
      <c r="P76" s="367"/>
      <c r="Q76" s="306" t="s">
        <v>286</v>
      </c>
      <c r="R76" s="367"/>
      <c r="S76" s="367"/>
      <c r="T76" s="367"/>
      <c r="U76" s="367"/>
      <c r="V76" s="367"/>
      <c r="W76" s="367"/>
      <c r="X76" s="367"/>
      <c r="Y76" s="367"/>
      <c r="Z76" s="367"/>
    </row>
    <row r="77" ht="22.5" customHeight="1">
      <c r="A77" s="368"/>
      <c r="B77" s="369">
        <v>2024.0</v>
      </c>
      <c r="C77" s="296" t="s">
        <v>143</v>
      </c>
      <c r="D77" s="300" t="s">
        <v>82</v>
      </c>
      <c r="E77" s="141" t="s">
        <v>1934</v>
      </c>
      <c r="F77" s="296" t="s">
        <v>132</v>
      </c>
      <c r="G77" s="296" t="s">
        <v>1756</v>
      </c>
      <c r="H77" s="143" t="s">
        <v>75</v>
      </c>
      <c r="I77" s="296" t="s">
        <v>58</v>
      </c>
      <c r="J77" s="296" t="s">
        <v>1757</v>
      </c>
      <c r="K77" s="367"/>
      <c r="L77" s="371" t="s">
        <v>1935</v>
      </c>
      <c r="M77" s="79">
        <v>5.18715E7</v>
      </c>
      <c r="N77" s="79">
        <v>3.212082367E9</v>
      </c>
      <c r="O77" s="372" t="s">
        <v>1018</v>
      </c>
      <c r="P77" s="367"/>
      <c r="Q77" s="367"/>
      <c r="R77" s="367"/>
      <c r="S77" s="367"/>
      <c r="T77" s="367"/>
      <c r="U77" s="367"/>
      <c r="V77" s="367"/>
      <c r="W77" s="367"/>
      <c r="X77" s="367"/>
      <c r="Y77" s="367"/>
      <c r="Z77" s="367"/>
    </row>
    <row r="78" ht="22.5" customHeight="1">
      <c r="A78" s="368"/>
      <c r="B78" s="369">
        <v>2024.0</v>
      </c>
      <c r="C78" s="296" t="s">
        <v>143</v>
      </c>
      <c r="D78" s="300" t="s">
        <v>82</v>
      </c>
      <c r="E78" s="141" t="s">
        <v>1936</v>
      </c>
      <c r="F78" s="296" t="s">
        <v>132</v>
      </c>
      <c r="G78" s="296" t="s">
        <v>1756</v>
      </c>
      <c r="H78" s="143" t="s">
        <v>75</v>
      </c>
      <c r="I78" s="296" t="s">
        <v>58</v>
      </c>
      <c r="J78" s="296" t="s">
        <v>1757</v>
      </c>
      <c r="K78" s="367"/>
      <c r="L78" s="371" t="s">
        <v>1937</v>
      </c>
      <c r="M78" s="79">
        <v>4.1493523E7</v>
      </c>
      <c r="N78" s="79">
        <v>6005450.0</v>
      </c>
      <c r="O78" s="372" t="s">
        <v>1018</v>
      </c>
      <c r="P78" s="367"/>
      <c r="Q78" s="367"/>
      <c r="R78" s="367"/>
      <c r="S78" s="367"/>
      <c r="T78" s="367"/>
      <c r="U78" s="367"/>
      <c r="V78" s="367"/>
      <c r="W78" s="367"/>
      <c r="X78" s="367"/>
      <c r="Y78" s="367"/>
      <c r="Z78" s="367"/>
    </row>
    <row r="79" ht="22.5" customHeight="1">
      <c r="A79" s="368"/>
      <c r="B79" s="369">
        <v>2024.0</v>
      </c>
      <c r="C79" s="296" t="s">
        <v>143</v>
      </c>
      <c r="D79" s="300" t="s">
        <v>82</v>
      </c>
      <c r="E79" s="141" t="s">
        <v>1938</v>
      </c>
      <c r="F79" s="296" t="s">
        <v>132</v>
      </c>
      <c r="G79" s="296" t="s">
        <v>1756</v>
      </c>
      <c r="H79" s="143" t="s">
        <v>75</v>
      </c>
      <c r="I79" s="296" t="s">
        <v>58</v>
      </c>
      <c r="J79" s="296" t="s">
        <v>1757</v>
      </c>
      <c r="K79" s="367"/>
      <c r="L79" s="371" t="s">
        <v>1939</v>
      </c>
      <c r="M79" s="79">
        <v>5.156961E7</v>
      </c>
      <c r="N79" s="79">
        <v>3.104720224E9</v>
      </c>
      <c r="O79" s="372" t="s">
        <v>1018</v>
      </c>
      <c r="P79" s="367"/>
      <c r="Q79" s="367"/>
      <c r="R79" s="367"/>
      <c r="S79" s="367"/>
      <c r="T79" s="367"/>
      <c r="U79" s="367"/>
      <c r="V79" s="367"/>
      <c r="W79" s="367"/>
      <c r="X79" s="367"/>
      <c r="Y79" s="367"/>
      <c r="Z79" s="367"/>
    </row>
    <row r="80" ht="22.5" customHeight="1">
      <c r="A80" s="368"/>
      <c r="B80" s="369">
        <v>2024.0</v>
      </c>
      <c r="C80" s="296" t="s">
        <v>143</v>
      </c>
      <c r="D80" s="300" t="s">
        <v>82</v>
      </c>
      <c r="E80" s="141" t="s">
        <v>1940</v>
      </c>
      <c r="F80" s="296" t="s">
        <v>132</v>
      </c>
      <c r="G80" s="296" t="s">
        <v>1756</v>
      </c>
      <c r="H80" s="143" t="s">
        <v>75</v>
      </c>
      <c r="I80" s="296" t="s">
        <v>58</v>
      </c>
      <c r="J80" s="296" t="s">
        <v>1757</v>
      </c>
      <c r="K80" s="367"/>
      <c r="L80" s="371" t="s">
        <v>1941</v>
      </c>
      <c r="M80" s="79">
        <v>1.3846223E7</v>
      </c>
      <c r="N80" s="79">
        <v>3.103401965E9</v>
      </c>
      <c r="O80" s="372" t="s">
        <v>1764</v>
      </c>
      <c r="P80" s="367"/>
      <c r="Q80" s="367"/>
      <c r="R80" s="367"/>
      <c r="S80" s="367"/>
      <c r="T80" s="367"/>
      <c r="U80" s="367"/>
      <c r="V80" s="367"/>
      <c r="W80" s="367"/>
      <c r="X80" s="367"/>
      <c r="Y80" s="367"/>
      <c r="Z80" s="367"/>
    </row>
    <row r="81" ht="22.5" customHeight="1">
      <c r="A81" s="368"/>
      <c r="B81" s="369">
        <v>2024.0</v>
      </c>
      <c r="C81" s="296" t="s">
        <v>143</v>
      </c>
      <c r="D81" s="300" t="s">
        <v>82</v>
      </c>
      <c r="E81" s="141" t="s">
        <v>1942</v>
      </c>
      <c r="F81" s="296" t="s">
        <v>132</v>
      </c>
      <c r="G81" s="296" t="s">
        <v>1756</v>
      </c>
      <c r="H81" s="143" t="s">
        <v>75</v>
      </c>
      <c r="I81" s="296" t="s">
        <v>58</v>
      </c>
      <c r="J81" s="296" t="s">
        <v>1757</v>
      </c>
      <c r="K81" s="367"/>
      <c r="L81" s="371" t="s">
        <v>1943</v>
      </c>
      <c r="M81" s="79">
        <v>2.3301083E7</v>
      </c>
      <c r="N81" s="79">
        <v>3.209161592E9</v>
      </c>
      <c r="O81" s="372" t="s">
        <v>1018</v>
      </c>
      <c r="P81" s="367"/>
      <c r="Q81" s="367"/>
      <c r="R81" s="367"/>
      <c r="S81" s="367"/>
      <c r="T81" s="367"/>
      <c r="U81" s="367"/>
      <c r="V81" s="367"/>
      <c r="W81" s="367"/>
      <c r="X81" s="367"/>
      <c r="Y81" s="367"/>
      <c r="Z81" s="367"/>
    </row>
    <row r="82" ht="22.5" customHeight="1">
      <c r="A82" s="368"/>
      <c r="B82" s="369">
        <v>2024.0</v>
      </c>
      <c r="C82" s="296" t="s">
        <v>143</v>
      </c>
      <c r="D82" s="300" t="s">
        <v>82</v>
      </c>
      <c r="E82" s="141" t="s">
        <v>1944</v>
      </c>
      <c r="F82" s="296" t="s">
        <v>132</v>
      </c>
      <c r="G82" s="296" t="s">
        <v>1756</v>
      </c>
      <c r="H82" s="143" t="s">
        <v>75</v>
      </c>
      <c r="I82" s="296" t="s">
        <v>58</v>
      </c>
      <c r="J82" s="296" t="s">
        <v>1757</v>
      </c>
      <c r="K82" s="367"/>
      <c r="L82" s="371" t="s">
        <v>1945</v>
      </c>
      <c r="M82" s="79">
        <v>4.16284418E8</v>
      </c>
      <c r="N82" s="79">
        <v>3.202550592E9</v>
      </c>
      <c r="O82" s="372" t="s">
        <v>1018</v>
      </c>
      <c r="P82" s="367"/>
      <c r="Q82" s="367"/>
      <c r="R82" s="367"/>
      <c r="S82" s="367"/>
      <c r="T82" s="367"/>
      <c r="U82" s="367"/>
      <c r="V82" s="367"/>
      <c r="W82" s="367"/>
      <c r="X82" s="367"/>
      <c r="Y82" s="367"/>
      <c r="Z82" s="367"/>
    </row>
    <row r="83" ht="22.5" customHeight="1">
      <c r="A83" s="368"/>
      <c r="B83" s="369">
        <v>2024.0</v>
      </c>
      <c r="C83" s="296" t="s">
        <v>143</v>
      </c>
      <c r="D83" s="300" t="s">
        <v>82</v>
      </c>
      <c r="E83" s="141" t="s">
        <v>1946</v>
      </c>
      <c r="F83" s="296" t="s">
        <v>132</v>
      </c>
      <c r="G83" s="296" t="s">
        <v>1756</v>
      </c>
      <c r="H83" s="143" t="s">
        <v>75</v>
      </c>
      <c r="I83" s="296" t="s">
        <v>58</v>
      </c>
      <c r="J83" s="296" t="s">
        <v>1757</v>
      </c>
      <c r="K83" s="367"/>
      <c r="L83" s="371" t="s">
        <v>1947</v>
      </c>
      <c r="M83" s="79">
        <v>1.9367641E7</v>
      </c>
      <c r="N83" s="79">
        <v>3.107908259E9</v>
      </c>
      <c r="O83" s="372" t="s">
        <v>1764</v>
      </c>
      <c r="P83" s="367"/>
      <c r="Q83" s="367"/>
      <c r="R83" s="367"/>
      <c r="S83" s="367"/>
      <c r="T83" s="367"/>
      <c r="U83" s="367"/>
      <c r="V83" s="367"/>
      <c r="W83" s="367"/>
      <c r="X83" s="367"/>
      <c r="Y83" s="367"/>
      <c r="Z83" s="367"/>
    </row>
    <row r="84" ht="22.5" customHeight="1">
      <c r="A84" s="368"/>
      <c r="B84" s="369">
        <v>2024.0</v>
      </c>
      <c r="C84" s="296" t="s">
        <v>143</v>
      </c>
      <c r="D84" s="300" t="s">
        <v>82</v>
      </c>
      <c r="E84" s="141" t="s">
        <v>1948</v>
      </c>
      <c r="F84" s="296" t="s">
        <v>132</v>
      </c>
      <c r="G84" s="296" t="s">
        <v>1756</v>
      </c>
      <c r="H84" s="143" t="s">
        <v>75</v>
      </c>
      <c r="I84" s="296" t="s">
        <v>58</v>
      </c>
      <c r="J84" s="296" t="s">
        <v>1757</v>
      </c>
      <c r="K84" s="367"/>
      <c r="L84" s="371" t="s">
        <v>1949</v>
      </c>
      <c r="M84" s="79">
        <v>9.3370257E7</v>
      </c>
      <c r="N84" s="79">
        <v>3.014518096E9</v>
      </c>
      <c r="O84" s="372" t="s">
        <v>1764</v>
      </c>
      <c r="P84" s="367"/>
      <c r="Q84" s="367"/>
      <c r="R84" s="367"/>
      <c r="S84" s="367"/>
      <c r="T84" s="367"/>
      <c r="U84" s="367"/>
      <c r="V84" s="367"/>
      <c r="W84" s="367"/>
      <c r="X84" s="367"/>
      <c r="Y84" s="367"/>
      <c r="Z84" s="367"/>
    </row>
    <row r="85" ht="22.5" customHeight="1">
      <c r="A85" s="368"/>
      <c r="B85" s="369">
        <v>2024.0</v>
      </c>
      <c r="C85" s="296" t="s">
        <v>143</v>
      </c>
      <c r="D85" s="300" t="s">
        <v>82</v>
      </c>
      <c r="E85" s="141" t="s">
        <v>1950</v>
      </c>
      <c r="F85" s="296" t="s">
        <v>132</v>
      </c>
      <c r="G85" s="296" t="s">
        <v>1756</v>
      </c>
      <c r="H85" s="143" t="s">
        <v>75</v>
      </c>
      <c r="I85" s="296" t="s">
        <v>58</v>
      </c>
      <c r="J85" s="296" t="s">
        <v>1757</v>
      </c>
      <c r="K85" s="367"/>
      <c r="L85" s="371" t="s">
        <v>1951</v>
      </c>
      <c r="M85" s="79">
        <v>5.1950303E7</v>
      </c>
      <c r="N85" s="79">
        <v>3.102692659E9</v>
      </c>
      <c r="O85" s="372" t="s">
        <v>1018</v>
      </c>
      <c r="P85" s="367"/>
      <c r="Q85" s="367"/>
      <c r="R85" s="367"/>
      <c r="S85" s="367"/>
      <c r="T85" s="367"/>
      <c r="U85" s="367"/>
      <c r="V85" s="367"/>
      <c r="W85" s="367"/>
      <c r="X85" s="367"/>
      <c r="Y85" s="367"/>
      <c r="Z85" s="367"/>
    </row>
    <row r="86" ht="22.5" customHeight="1">
      <c r="A86" s="368"/>
      <c r="B86" s="369">
        <v>2024.0</v>
      </c>
      <c r="C86" s="296" t="s">
        <v>143</v>
      </c>
      <c r="D86" s="300" t="s">
        <v>82</v>
      </c>
      <c r="E86" s="141" t="s">
        <v>1952</v>
      </c>
      <c r="F86" s="296" t="s">
        <v>132</v>
      </c>
      <c r="G86" s="296" t="s">
        <v>1756</v>
      </c>
      <c r="H86" s="143" t="s">
        <v>75</v>
      </c>
      <c r="I86" s="296" t="s">
        <v>58</v>
      </c>
      <c r="J86" s="296" t="s">
        <v>1757</v>
      </c>
      <c r="K86" s="367"/>
      <c r="L86" s="371" t="s">
        <v>1953</v>
      </c>
      <c r="M86" s="79">
        <v>5.290757E7</v>
      </c>
      <c r="N86" s="79">
        <v>3.142784606E9</v>
      </c>
      <c r="O86" s="372" t="s">
        <v>1018</v>
      </c>
      <c r="P86" s="367"/>
      <c r="Q86" s="367"/>
      <c r="R86" s="367"/>
      <c r="S86" s="367"/>
      <c r="T86" s="367"/>
      <c r="U86" s="367"/>
      <c r="V86" s="367"/>
      <c r="W86" s="367"/>
      <c r="X86" s="367"/>
      <c r="Y86" s="367"/>
      <c r="Z86" s="367"/>
    </row>
    <row r="87" ht="22.5" customHeight="1">
      <c r="A87" s="368"/>
      <c r="B87" s="369">
        <v>2024.0</v>
      </c>
      <c r="C87" s="296" t="s">
        <v>143</v>
      </c>
      <c r="D87" s="300" t="s">
        <v>82</v>
      </c>
      <c r="E87" s="141" t="s">
        <v>1954</v>
      </c>
      <c r="F87" s="296" t="s">
        <v>132</v>
      </c>
      <c r="G87" s="296" t="s">
        <v>1756</v>
      </c>
      <c r="H87" s="143" t="s">
        <v>75</v>
      </c>
      <c r="I87" s="296" t="s">
        <v>58</v>
      </c>
      <c r="J87" s="296" t="s">
        <v>1757</v>
      </c>
      <c r="K87" s="367"/>
      <c r="L87" s="371" t="s">
        <v>1955</v>
      </c>
      <c r="M87" s="79">
        <v>1.055350384E9</v>
      </c>
      <c r="N87" s="79">
        <v>3.216422005E9</v>
      </c>
      <c r="O87" s="372" t="s">
        <v>1764</v>
      </c>
      <c r="P87" s="367"/>
      <c r="Q87" s="367"/>
      <c r="R87" s="367"/>
      <c r="S87" s="367"/>
      <c r="T87" s="367"/>
      <c r="U87" s="367"/>
      <c r="V87" s="367"/>
      <c r="W87" s="367"/>
      <c r="X87" s="367"/>
      <c r="Y87" s="367"/>
      <c r="Z87" s="367"/>
    </row>
    <row r="88" ht="22.5" customHeight="1">
      <c r="A88" s="367"/>
      <c r="B88" s="369">
        <v>2024.0</v>
      </c>
      <c r="C88" s="296" t="s">
        <v>143</v>
      </c>
      <c r="D88" s="300" t="s">
        <v>82</v>
      </c>
      <c r="E88" s="141" t="s">
        <v>1956</v>
      </c>
      <c r="F88" s="296" t="s">
        <v>132</v>
      </c>
      <c r="G88" s="296" t="s">
        <v>1756</v>
      </c>
      <c r="H88" s="143" t="s">
        <v>75</v>
      </c>
      <c r="I88" s="296" t="s">
        <v>58</v>
      </c>
      <c r="J88" s="296" t="s">
        <v>1757</v>
      </c>
      <c r="K88" s="367"/>
      <c r="L88" s="371" t="s">
        <v>1957</v>
      </c>
      <c r="M88" s="79">
        <v>5.1581554E7</v>
      </c>
      <c r="N88" s="79">
        <v>3.103321213E9</v>
      </c>
      <c r="O88" s="372" t="s">
        <v>1018</v>
      </c>
      <c r="P88" s="367"/>
      <c r="Q88" s="367"/>
      <c r="R88" s="367"/>
      <c r="S88" s="367"/>
      <c r="T88" s="367"/>
      <c r="U88" s="367"/>
      <c r="V88" s="367"/>
      <c r="W88" s="367"/>
      <c r="X88" s="367"/>
      <c r="Y88" s="367"/>
      <c r="Z88" s="367"/>
    </row>
    <row r="89" ht="22.5" customHeight="1">
      <c r="A89" s="367"/>
      <c r="B89" s="369">
        <v>2024.0</v>
      </c>
      <c r="C89" s="296" t="s">
        <v>143</v>
      </c>
      <c r="D89" s="300" t="s">
        <v>82</v>
      </c>
      <c r="E89" s="141" t="s">
        <v>1958</v>
      </c>
      <c r="F89" s="296" t="s">
        <v>132</v>
      </c>
      <c r="G89" s="296" t="s">
        <v>1756</v>
      </c>
      <c r="H89" s="143" t="s">
        <v>75</v>
      </c>
      <c r="I89" s="296" t="s">
        <v>58</v>
      </c>
      <c r="J89" s="296" t="s">
        <v>1757</v>
      </c>
      <c r="K89" s="367"/>
      <c r="L89" s="371" t="s">
        <v>1959</v>
      </c>
      <c r="M89" s="79">
        <v>5.2973112E7</v>
      </c>
      <c r="N89" s="79">
        <v>3.022476411E9</v>
      </c>
      <c r="O89" s="372" t="s">
        <v>1018</v>
      </c>
      <c r="P89" s="367"/>
      <c r="Q89" s="367"/>
      <c r="R89" s="367"/>
      <c r="S89" s="367"/>
      <c r="T89" s="367"/>
      <c r="U89" s="367"/>
      <c r="V89" s="367"/>
      <c r="W89" s="367"/>
      <c r="X89" s="367"/>
      <c r="Y89" s="367"/>
      <c r="Z89" s="367"/>
    </row>
    <row r="90" ht="22.5" customHeight="1">
      <c r="A90" s="367"/>
      <c r="B90" s="369">
        <v>2024.0</v>
      </c>
      <c r="C90" s="296" t="s">
        <v>143</v>
      </c>
      <c r="D90" s="300" t="s">
        <v>82</v>
      </c>
      <c r="E90" s="141" t="s">
        <v>1960</v>
      </c>
      <c r="F90" s="296" t="s">
        <v>132</v>
      </c>
      <c r="G90" s="296" t="s">
        <v>1756</v>
      </c>
      <c r="H90" s="143" t="s">
        <v>75</v>
      </c>
      <c r="I90" s="296" t="s">
        <v>58</v>
      </c>
      <c r="J90" s="296" t="s">
        <v>1757</v>
      </c>
      <c r="K90" s="367"/>
      <c r="L90" s="371" t="s">
        <v>1961</v>
      </c>
      <c r="M90" s="79">
        <v>7.9161154E7</v>
      </c>
      <c r="N90" s="79">
        <v>3.132811577E9</v>
      </c>
      <c r="O90" s="372" t="s">
        <v>1764</v>
      </c>
      <c r="P90" s="367"/>
      <c r="Q90" s="143"/>
      <c r="R90" s="367"/>
      <c r="S90" s="367"/>
      <c r="T90" s="367"/>
      <c r="U90" s="367"/>
      <c r="V90" s="367"/>
      <c r="W90" s="367"/>
      <c r="X90" s="367"/>
      <c r="Y90" s="367"/>
      <c r="Z90" s="367"/>
    </row>
    <row r="91" ht="22.5" customHeight="1">
      <c r="A91" s="367"/>
      <c r="B91" s="369">
        <v>2024.0</v>
      </c>
      <c r="C91" s="296" t="s">
        <v>143</v>
      </c>
      <c r="D91" s="300" t="s">
        <v>82</v>
      </c>
      <c r="E91" s="141" t="s">
        <v>1962</v>
      </c>
      <c r="F91" s="296" t="s">
        <v>132</v>
      </c>
      <c r="G91" s="296" t="s">
        <v>1756</v>
      </c>
      <c r="H91" s="143" t="s">
        <v>90</v>
      </c>
      <c r="I91" s="296" t="s">
        <v>58</v>
      </c>
      <c r="J91" s="296" t="s">
        <v>1757</v>
      </c>
      <c r="K91" s="367"/>
      <c r="L91" s="371" t="s">
        <v>1963</v>
      </c>
      <c r="M91" s="79">
        <v>1.058431196E9</v>
      </c>
      <c r="N91" s="79">
        <v>3.202197539E9</v>
      </c>
      <c r="O91" s="372" t="s">
        <v>1764</v>
      </c>
      <c r="P91" s="367"/>
      <c r="Q91" s="141" t="s">
        <v>1964</v>
      </c>
      <c r="R91" s="367"/>
      <c r="S91" s="367"/>
      <c r="T91" s="367"/>
      <c r="U91" s="367"/>
      <c r="V91" s="367"/>
      <c r="W91" s="367"/>
      <c r="X91" s="367"/>
      <c r="Y91" s="367"/>
      <c r="Z91" s="367"/>
    </row>
    <row r="92" ht="22.5" customHeight="1">
      <c r="A92" s="367"/>
      <c r="B92" s="369">
        <v>2024.0</v>
      </c>
      <c r="C92" s="296" t="s">
        <v>143</v>
      </c>
      <c r="D92" s="300" t="s">
        <v>82</v>
      </c>
      <c r="E92" s="141" t="s">
        <v>1965</v>
      </c>
      <c r="F92" s="296" t="s">
        <v>132</v>
      </c>
      <c r="G92" s="296" t="s">
        <v>1756</v>
      </c>
      <c r="H92" s="143" t="s">
        <v>90</v>
      </c>
      <c r="I92" s="296" t="s">
        <v>58</v>
      </c>
      <c r="J92" s="296" t="s">
        <v>1757</v>
      </c>
      <c r="K92" s="367"/>
      <c r="L92" s="371" t="s">
        <v>1966</v>
      </c>
      <c r="M92" s="79">
        <v>1.022333203E9</v>
      </c>
      <c r="N92" s="79">
        <v>3.134763899E9</v>
      </c>
      <c r="O92" s="372" t="s">
        <v>1764</v>
      </c>
      <c r="P92" s="367"/>
      <c r="Q92" s="141" t="s">
        <v>1967</v>
      </c>
      <c r="R92" s="367"/>
      <c r="S92" s="367"/>
      <c r="T92" s="367"/>
      <c r="U92" s="367"/>
      <c r="V92" s="367"/>
      <c r="W92" s="367"/>
      <c r="X92" s="367"/>
      <c r="Y92" s="367"/>
      <c r="Z92" s="367"/>
    </row>
    <row r="93" ht="22.5" customHeight="1">
      <c r="A93" s="367"/>
      <c r="B93" s="369">
        <v>2024.0</v>
      </c>
      <c r="C93" s="296" t="s">
        <v>143</v>
      </c>
      <c r="D93" s="300" t="s">
        <v>82</v>
      </c>
      <c r="E93" s="141" t="s">
        <v>1968</v>
      </c>
      <c r="F93" s="296" t="s">
        <v>132</v>
      </c>
      <c r="G93" s="296" t="s">
        <v>1756</v>
      </c>
      <c r="H93" s="143" t="s">
        <v>90</v>
      </c>
      <c r="I93" s="296" t="s">
        <v>58</v>
      </c>
      <c r="J93" s="296" t="s">
        <v>1757</v>
      </c>
      <c r="K93" s="367"/>
      <c r="L93" s="371" t="s">
        <v>1969</v>
      </c>
      <c r="M93" s="79">
        <v>7.9837794E7</v>
      </c>
      <c r="N93" s="79">
        <v>3.124215077E9</v>
      </c>
      <c r="O93" s="372" t="s">
        <v>1764</v>
      </c>
      <c r="P93" s="367"/>
      <c r="Q93" s="141" t="s">
        <v>1970</v>
      </c>
      <c r="R93" s="367"/>
      <c r="S93" s="367"/>
      <c r="T93" s="367"/>
      <c r="U93" s="367"/>
      <c r="V93" s="367"/>
      <c r="W93" s="367"/>
      <c r="X93" s="367"/>
      <c r="Y93" s="367"/>
      <c r="Z93" s="367"/>
    </row>
    <row r="94" ht="22.5" customHeight="1">
      <c r="A94" s="367"/>
      <c r="B94" s="369">
        <v>2024.0</v>
      </c>
      <c r="C94" s="296" t="s">
        <v>143</v>
      </c>
      <c r="D94" s="300" t="s">
        <v>82</v>
      </c>
      <c r="E94" s="141" t="s">
        <v>1971</v>
      </c>
      <c r="F94" s="296" t="s">
        <v>132</v>
      </c>
      <c r="G94" s="296" t="s">
        <v>1756</v>
      </c>
      <c r="H94" s="143" t="s">
        <v>90</v>
      </c>
      <c r="I94" s="296" t="s">
        <v>58</v>
      </c>
      <c r="J94" s="296" t="s">
        <v>1757</v>
      </c>
      <c r="K94" s="367"/>
      <c r="L94" s="371" t="s">
        <v>1972</v>
      </c>
      <c r="M94" s="79">
        <v>5.2313793E7</v>
      </c>
      <c r="N94" s="79">
        <v>3.134621788E9</v>
      </c>
      <c r="O94" s="372" t="s">
        <v>1018</v>
      </c>
      <c r="P94" s="367"/>
      <c r="Q94" s="141" t="s">
        <v>1973</v>
      </c>
      <c r="R94" s="367"/>
      <c r="S94" s="367"/>
      <c r="T94" s="367"/>
      <c r="U94" s="367"/>
      <c r="V94" s="367"/>
      <c r="W94" s="367"/>
      <c r="X94" s="367"/>
      <c r="Y94" s="367"/>
      <c r="Z94" s="367"/>
    </row>
    <row r="95" ht="22.5" customHeight="1">
      <c r="A95" s="367"/>
      <c r="B95" s="369">
        <v>2024.0</v>
      </c>
      <c r="C95" s="296" t="s">
        <v>143</v>
      </c>
      <c r="D95" s="300" t="s">
        <v>82</v>
      </c>
      <c r="E95" s="141" t="s">
        <v>1974</v>
      </c>
      <c r="F95" s="296" t="s">
        <v>132</v>
      </c>
      <c r="G95" s="296" t="s">
        <v>1756</v>
      </c>
      <c r="H95" s="143" t="s">
        <v>90</v>
      </c>
      <c r="I95" s="296" t="s">
        <v>58</v>
      </c>
      <c r="J95" s="296" t="s">
        <v>1757</v>
      </c>
      <c r="K95" s="367"/>
      <c r="L95" s="371" t="s">
        <v>1975</v>
      </c>
      <c r="M95" s="79">
        <v>3.9641519E7</v>
      </c>
      <c r="N95" s="79">
        <v>3.177906694E9</v>
      </c>
      <c r="O95" s="372" t="s">
        <v>1018</v>
      </c>
      <c r="P95" s="367"/>
      <c r="Q95" s="141" t="s">
        <v>1976</v>
      </c>
      <c r="R95" s="367"/>
      <c r="S95" s="367"/>
      <c r="T95" s="367"/>
      <c r="U95" s="367"/>
      <c r="V95" s="367"/>
      <c r="W95" s="367"/>
      <c r="X95" s="367"/>
      <c r="Y95" s="367"/>
      <c r="Z95" s="367"/>
    </row>
    <row r="96" ht="22.5" customHeight="1">
      <c r="A96" s="367"/>
      <c r="B96" s="369">
        <v>2024.0</v>
      </c>
      <c r="C96" s="296" t="s">
        <v>143</v>
      </c>
      <c r="D96" s="300" t="s">
        <v>82</v>
      </c>
      <c r="E96" s="141" t="s">
        <v>1977</v>
      </c>
      <c r="F96" s="296" t="s">
        <v>132</v>
      </c>
      <c r="G96" s="296" t="s">
        <v>1756</v>
      </c>
      <c r="H96" s="143" t="s">
        <v>90</v>
      </c>
      <c r="I96" s="296" t="s">
        <v>58</v>
      </c>
      <c r="J96" s="296" t="s">
        <v>1757</v>
      </c>
      <c r="K96" s="367"/>
      <c r="L96" s="371" t="s">
        <v>1978</v>
      </c>
      <c r="M96" s="79">
        <v>4.1759346E7</v>
      </c>
      <c r="N96" s="79">
        <v>3.132288317E9</v>
      </c>
      <c r="O96" s="372" t="s">
        <v>1018</v>
      </c>
      <c r="P96" s="367"/>
      <c r="Q96" s="141" t="s">
        <v>1979</v>
      </c>
      <c r="R96" s="367"/>
      <c r="S96" s="367"/>
      <c r="T96" s="367"/>
      <c r="U96" s="367"/>
      <c r="V96" s="367"/>
      <c r="W96" s="367"/>
      <c r="X96" s="367"/>
      <c r="Y96" s="367"/>
      <c r="Z96" s="367"/>
    </row>
    <row r="97" ht="22.5" customHeight="1">
      <c r="A97" s="367"/>
      <c r="B97" s="369">
        <v>2024.0</v>
      </c>
      <c r="C97" s="296" t="s">
        <v>143</v>
      </c>
      <c r="D97" s="300" t="s">
        <v>82</v>
      </c>
      <c r="E97" s="141" t="s">
        <v>1980</v>
      </c>
      <c r="F97" s="296" t="s">
        <v>132</v>
      </c>
      <c r="G97" s="296" t="s">
        <v>1756</v>
      </c>
      <c r="H97" s="143" t="s">
        <v>90</v>
      </c>
      <c r="I97" s="296" t="s">
        <v>58</v>
      </c>
      <c r="J97" s="296" t="s">
        <v>1757</v>
      </c>
      <c r="K97" s="367"/>
      <c r="L97" s="371" t="s">
        <v>1981</v>
      </c>
      <c r="M97" s="79">
        <v>1.37012957E8</v>
      </c>
      <c r="N97" s="79">
        <v>3.003641577E9</v>
      </c>
      <c r="O97" s="372" t="s">
        <v>1764</v>
      </c>
      <c r="P97" s="367"/>
      <c r="Q97" s="141" t="s">
        <v>1982</v>
      </c>
      <c r="R97" s="367"/>
      <c r="S97" s="367"/>
      <c r="T97" s="367"/>
      <c r="U97" s="367"/>
      <c r="V97" s="367"/>
      <c r="W97" s="367"/>
      <c r="X97" s="367"/>
      <c r="Y97" s="367"/>
      <c r="Z97" s="367"/>
    </row>
    <row r="98" ht="22.5" customHeight="1">
      <c r="A98" s="367"/>
      <c r="B98" s="369">
        <v>2024.0</v>
      </c>
      <c r="C98" s="296" t="s">
        <v>143</v>
      </c>
      <c r="D98" s="300" t="s">
        <v>82</v>
      </c>
      <c r="E98" s="141" t="s">
        <v>1983</v>
      </c>
      <c r="F98" s="296" t="s">
        <v>132</v>
      </c>
      <c r="G98" s="296" t="s">
        <v>1756</v>
      </c>
      <c r="H98" s="143" t="s">
        <v>90</v>
      </c>
      <c r="I98" s="296" t="s">
        <v>58</v>
      </c>
      <c r="J98" s="296" t="s">
        <v>1757</v>
      </c>
      <c r="K98" s="367"/>
      <c r="L98" s="371" t="s">
        <v>1984</v>
      </c>
      <c r="M98" s="79">
        <v>1.007590338E9</v>
      </c>
      <c r="N98" s="79">
        <v>3.166840651E9</v>
      </c>
      <c r="O98" s="372" t="s">
        <v>1764</v>
      </c>
      <c r="P98" s="367"/>
      <c r="Q98" s="141" t="s">
        <v>1985</v>
      </c>
      <c r="R98" s="367"/>
      <c r="S98" s="367"/>
      <c r="T98" s="367"/>
      <c r="U98" s="367"/>
      <c r="V98" s="367"/>
      <c r="W98" s="367"/>
      <c r="X98" s="367"/>
      <c r="Y98" s="367"/>
      <c r="Z98" s="367"/>
    </row>
    <row r="99" ht="22.5" customHeight="1">
      <c r="A99" s="367"/>
      <c r="B99" s="369">
        <v>2024.0</v>
      </c>
      <c r="C99" s="296" t="s">
        <v>143</v>
      </c>
      <c r="D99" s="300" t="s">
        <v>82</v>
      </c>
      <c r="E99" s="141" t="s">
        <v>1986</v>
      </c>
      <c r="F99" s="296" t="s">
        <v>132</v>
      </c>
      <c r="G99" s="296" t="s">
        <v>1756</v>
      </c>
      <c r="H99" s="143" t="s">
        <v>90</v>
      </c>
      <c r="I99" s="367"/>
      <c r="J99" s="296" t="s">
        <v>1757</v>
      </c>
      <c r="K99" s="367"/>
      <c r="L99" s="371" t="s">
        <v>1987</v>
      </c>
      <c r="M99" s="79">
        <v>5.2916409E7</v>
      </c>
      <c r="N99" s="79">
        <v>3.04447894E9</v>
      </c>
      <c r="O99" s="372" t="s">
        <v>1018</v>
      </c>
      <c r="P99" s="367"/>
      <c r="Q99" s="141" t="s">
        <v>1988</v>
      </c>
      <c r="R99" s="367"/>
      <c r="S99" s="367"/>
      <c r="T99" s="367"/>
      <c r="U99" s="367"/>
      <c r="V99" s="367"/>
      <c r="W99" s="367"/>
      <c r="X99" s="367"/>
      <c r="Y99" s="367"/>
      <c r="Z99" s="367"/>
    </row>
    <row r="100" ht="22.5" customHeight="1">
      <c r="A100" s="375"/>
      <c r="B100" s="369">
        <v>2024.0</v>
      </c>
      <c r="C100" s="296" t="s">
        <v>480</v>
      </c>
      <c r="D100" s="300" t="s">
        <v>82</v>
      </c>
      <c r="E100" s="141" t="s">
        <v>1989</v>
      </c>
      <c r="F100" s="296" t="s">
        <v>132</v>
      </c>
      <c r="G100" s="296" t="s">
        <v>1756</v>
      </c>
      <c r="H100" s="141" t="s">
        <v>545</v>
      </c>
      <c r="I100" s="296" t="s">
        <v>58</v>
      </c>
      <c r="J100" s="296" t="s">
        <v>1757</v>
      </c>
      <c r="K100" s="375"/>
      <c r="L100" s="376" t="s">
        <v>1990</v>
      </c>
      <c r="M100" s="79">
        <v>5.28371E7</v>
      </c>
      <c r="N100" s="79">
        <v>3.132462407E9</v>
      </c>
      <c r="O100" s="372" t="s">
        <v>1018</v>
      </c>
      <c r="P100" s="375"/>
      <c r="Q100" s="306" t="s">
        <v>550</v>
      </c>
      <c r="R100" s="375"/>
      <c r="S100" s="375"/>
      <c r="T100" s="375"/>
      <c r="U100" s="375"/>
      <c r="V100" s="375"/>
      <c r="W100" s="375"/>
      <c r="X100" s="375"/>
      <c r="Y100" s="375"/>
      <c r="Z100" s="375"/>
    </row>
    <row r="101" ht="22.5" customHeight="1">
      <c r="A101" s="375"/>
      <c r="B101" s="369">
        <v>2024.0</v>
      </c>
      <c r="C101" s="296" t="s">
        <v>480</v>
      </c>
      <c r="D101" s="300" t="s">
        <v>82</v>
      </c>
      <c r="E101" s="141" t="s">
        <v>1989</v>
      </c>
      <c r="F101" s="296" t="s">
        <v>132</v>
      </c>
      <c r="G101" s="296" t="s">
        <v>1756</v>
      </c>
      <c r="H101" s="141" t="s">
        <v>545</v>
      </c>
      <c r="I101" s="296" t="s">
        <v>58</v>
      </c>
      <c r="J101" s="296" t="s">
        <v>1757</v>
      </c>
      <c r="K101" s="375"/>
      <c r="L101" s="371" t="s">
        <v>1991</v>
      </c>
      <c r="M101" s="79">
        <v>1.7197842E7</v>
      </c>
      <c r="N101" s="79">
        <v>3.115924745E9</v>
      </c>
      <c r="O101" s="372" t="s">
        <v>1764</v>
      </c>
      <c r="P101" s="375"/>
      <c r="Q101" s="306" t="s">
        <v>550</v>
      </c>
      <c r="R101" s="375"/>
      <c r="S101" s="375"/>
      <c r="T101" s="375"/>
      <c r="U101" s="375"/>
      <c r="V101" s="375"/>
      <c r="W101" s="375"/>
      <c r="X101" s="375"/>
      <c r="Y101" s="375"/>
      <c r="Z101" s="375"/>
    </row>
    <row r="102" ht="22.5" customHeight="1">
      <c r="A102" s="375"/>
      <c r="B102" s="369">
        <v>2024.0</v>
      </c>
      <c r="C102" s="296" t="s">
        <v>480</v>
      </c>
      <c r="D102" s="300" t="s">
        <v>82</v>
      </c>
      <c r="E102" s="141" t="s">
        <v>1989</v>
      </c>
      <c r="F102" s="296" t="s">
        <v>132</v>
      </c>
      <c r="G102" s="296" t="s">
        <v>1756</v>
      </c>
      <c r="H102" s="141" t="s">
        <v>545</v>
      </c>
      <c r="I102" s="296" t="s">
        <v>58</v>
      </c>
      <c r="J102" s="296" t="s">
        <v>1757</v>
      </c>
      <c r="K102" s="375"/>
      <c r="L102" s="374" t="s">
        <v>1992</v>
      </c>
      <c r="M102" s="79">
        <v>2.2897589E7</v>
      </c>
      <c r="N102" s="79">
        <v>3.026011172E9</v>
      </c>
      <c r="O102" s="372" t="s">
        <v>1018</v>
      </c>
      <c r="P102" s="375"/>
      <c r="Q102" s="306" t="s">
        <v>550</v>
      </c>
      <c r="R102" s="375"/>
      <c r="S102" s="375"/>
      <c r="T102" s="375"/>
      <c r="U102" s="375"/>
      <c r="V102" s="375"/>
      <c r="W102" s="375"/>
      <c r="X102" s="375"/>
      <c r="Y102" s="375"/>
      <c r="Z102" s="375"/>
    </row>
    <row r="103" ht="22.5" customHeight="1">
      <c r="A103" s="375"/>
      <c r="B103" s="369">
        <v>2024.0</v>
      </c>
      <c r="C103" s="296" t="s">
        <v>480</v>
      </c>
      <c r="D103" s="300" t="s">
        <v>82</v>
      </c>
      <c r="E103" s="141" t="s">
        <v>1989</v>
      </c>
      <c r="F103" s="296" t="s">
        <v>132</v>
      </c>
      <c r="G103" s="296" t="s">
        <v>1756</v>
      </c>
      <c r="H103" s="141" t="s">
        <v>545</v>
      </c>
      <c r="I103" s="296" t="s">
        <v>58</v>
      </c>
      <c r="J103" s="296" t="s">
        <v>1757</v>
      </c>
      <c r="K103" s="375"/>
      <c r="L103" s="371" t="s">
        <v>1993</v>
      </c>
      <c r="M103" s="79">
        <v>1.005001349E9</v>
      </c>
      <c r="N103" s="79">
        <v>3.1877236645E10</v>
      </c>
      <c r="O103" s="372" t="s">
        <v>1018</v>
      </c>
      <c r="P103" s="375"/>
      <c r="Q103" s="306" t="s">
        <v>550</v>
      </c>
      <c r="R103" s="375"/>
      <c r="S103" s="375"/>
      <c r="T103" s="375"/>
      <c r="U103" s="375"/>
      <c r="V103" s="375"/>
      <c r="W103" s="375"/>
      <c r="X103" s="375"/>
      <c r="Y103" s="375"/>
      <c r="Z103" s="375"/>
    </row>
    <row r="104" ht="22.5" customHeight="1">
      <c r="A104" s="375"/>
      <c r="B104" s="369">
        <v>2024.0</v>
      </c>
      <c r="C104" s="296" t="s">
        <v>480</v>
      </c>
      <c r="D104" s="300" t="s">
        <v>82</v>
      </c>
      <c r="E104" s="141" t="s">
        <v>1989</v>
      </c>
      <c r="F104" s="296" t="s">
        <v>132</v>
      </c>
      <c r="G104" s="296" t="s">
        <v>1756</v>
      </c>
      <c r="H104" s="141" t="s">
        <v>545</v>
      </c>
      <c r="I104" s="296" t="s">
        <v>58</v>
      </c>
      <c r="J104" s="296" t="s">
        <v>1757</v>
      </c>
      <c r="K104" s="375"/>
      <c r="L104" s="371" t="s">
        <v>1994</v>
      </c>
      <c r="M104" s="79">
        <v>1.018486771E9</v>
      </c>
      <c r="N104" s="79">
        <v>3.142356378E9</v>
      </c>
      <c r="O104" s="372" t="s">
        <v>1764</v>
      </c>
      <c r="P104" s="375"/>
      <c r="Q104" s="306" t="s">
        <v>550</v>
      </c>
      <c r="R104" s="375"/>
      <c r="S104" s="375"/>
      <c r="T104" s="375"/>
      <c r="U104" s="375"/>
      <c r="V104" s="375"/>
      <c r="W104" s="375"/>
      <c r="X104" s="375"/>
      <c r="Y104" s="375"/>
      <c r="Z104" s="375"/>
    </row>
    <row r="105" ht="22.5" customHeight="1">
      <c r="A105" s="375"/>
      <c r="B105" s="369">
        <v>2024.0</v>
      </c>
      <c r="C105" s="296" t="s">
        <v>480</v>
      </c>
      <c r="D105" s="300" t="s">
        <v>82</v>
      </c>
      <c r="E105" s="141" t="s">
        <v>1989</v>
      </c>
      <c r="F105" s="296" t="s">
        <v>132</v>
      </c>
      <c r="G105" s="296" t="s">
        <v>1756</v>
      </c>
      <c r="H105" s="141" t="s">
        <v>545</v>
      </c>
      <c r="I105" s="296" t="s">
        <v>58</v>
      </c>
      <c r="J105" s="296" t="s">
        <v>1757</v>
      </c>
      <c r="K105" s="375"/>
      <c r="L105" s="371" t="s">
        <v>1995</v>
      </c>
      <c r="M105" s="79">
        <v>348905.0</v>
      </c>
      <c r="N105" s="79">
        <v>3.163142227E9</v>
      </c>
      <c r="O105" s="372" t="s">
        <v>1764</v>
      </c>
      <c r="P105" s="375"/>
      <c r="Q105" s="306" t="s">
        <v>550</v>
      </c>
      <c r="R105" s="375"/>
      <c r="S105" s="375"/>
      <c r="T105" s="375"/>
      <c r="U105" s="375"/>
      <c r="V105" s="375"/>
      <c r="W105" s="375"/>
      <c r="X105" s="375"/>
      <c r="Y105" s="375"/>
      <c r="Z105" s="375"/>
    </row>
    <row r="106" ht="22.5" customHeight="1">
      <c r="A106" s="375"/>
      <c r="B106" s="369">
        <v>2024.0</v>
      </c>
      <c r="C106" s="296" t="s">
        <v>480</v>
      </c>
      <c r="D106" s="300" t="s">
        <v>82</v>
      </c>
      <c r="E106" s="141" t="s">
        <v>1989</v>
      </c>
      <c r="F106" s="296" t="s">
        <v>132</v>
      </c>
      <c r="G106" s="296" t="s">
        <v>1756</v>
      </c>
      <c r="H106" s="141" t="s">
        <v>545</v>
      </c>
      <c r="I106" s="296" t="s">
        <v>58</v>
      </c>
      <c r="J106" s="296" t="s">
        <v>1757</v>
      </c>
      <c r="K106" s="375"/>
      <c r="L106" s="371" t="s">
        <v>1996</v>
      </c>
      <c r="M106" s="79">
        <v>1.022333128E9</v>
      </c>
      <c r="N106" s="79">
        <v>3.183743217E9</v>
      </c>
      <c r="O106" s="372" t="s">
        <v>1018</v>
      </c>
      <c r="P106" s="375"/>
      <c r="Q106" s="306" t="s">
        <v>550</v>
      </c>
      <c r="R106" s="375"/>
      <c r="S106" s="375"/>
      <c r="T106" s="375"/>
      <c r="U106" s="375"/>
      <c r="V106" s="375"/>
      <c r="W106" s="375"/>
      <c r="X106" s="375"/>
      <c r="Y106" s="375"/>
      <c r="Z106" s="375"/>
    </row>
    <row r="107" ht="22.5" customHeight="1">
      <c r="A107" s="375"/>
      <c r="B107" s="369">
        <v>2024.0</v>
      </c>
      <c r="C107" s="296" t="s">
        <v>480</v>
      </c>
      <c r="D107" s="300" t="s">
        <v>82</v>
      </c>
      <c r="E107" s="141" t="s">
        <v>1989</v>
      </c>
      <c r="F107" s="296" t="s">
        <v>132</v>
      </c>
      <c r="G107" s="296" t="s">
        <v>1756</v>
      </c>
      <c r="H107" s="141" t="s">
        <v>545</v>
      </c>
      <c r="I107" s="296" t="s">
        <v>58</v>
      </c>
      <c r="J107" s="296" t="s">
        <v>1757</v>
      </c>
      <c r="K107" s="375"/>
      <c r="L107" s="371" t="s">
        <v>1997</v>
      </c>
      <c r="M107" s="79">
        <v>1.0911378812E10</v>
      </c>
      <c r="N107" s="79">
        <v>3.003949129E9</v>
      </c>
      <c r="O107" s="372" t="s">
        <v>1018</v>
      </c>
      <c r="P107" s="375"/>
      <c r="Q107" s="306" t="s">
        <v>550</v>
      </c>
      <c r="R107" s="375"/>
      <c r="S107" s="375"/>
      <c r="T107" s="375"/>
      <c r="U107" s="375"/>
      <c r="V107" s="375"/>
      <c r="W107" s="375"/>
      <c r="X107" s="375"/>
      <c r="Y107" s="375"/>
      <c r="Z107" s="375"/>
    </row>
    <row r="108" ht="22.5" customHeight="1">
      <c r="A108" s="375"/>
      <c r="B108" s="369">
        <v>2024.0</v>
      </c>
      <c r="C108" s="296" t="s">
        <v>480</v>
      </c>
      <c r="D108" s="300" t="s">
        <v>82</v>
      </c>
      <c r="E108" s="141" t="s">
        <v>1989</v>
      </c>
      <c r="F108" s="296" t="s">
        <v>132</v>
      </c>
      <c r="G108" s="296" t="s">
        <v>1756</v>
      </c>
      <c r="H108" s="141" t="s">
        <v>545</v>
      </c>
      <c r="I108" s="296" t="s">
        <v>58</v>
      </c>
      <c r="J108" s="296" t="s">
        <v>1757</v>
      </c>
      <c r="K108" s="375"/>
      <c r="L108" s="371" t="s">
        <v>1998</v>
      </c>
      <c r="M108" s="79">
        <v>2.3491973E7</v>
      </c>
      <c r="N108" s="79">
        <v>3.209011449E9</v>
      </c>
      <c r="O108" s="372" t="s">
        <v>1018</v>
      </c>
      <c r="P108" s="375"/>
      <c r="Q108" s="306" t="s">
        <v>550</v>
      </c>
      <c r="R108" s="375"/>
      <c r="S108" s="375"/>
      <c r="T108" s="375"/>
      <c r="U108" s="375"/>
      <c r="V108" s="375"/>
      <c r="W108" s="375"/>
      <c r="X108" s="375"/>
      <c r="Y108" s="375"/>
      <c r="Z108" s="375"/>
    </row>
    <row r="109" ht="22.5" customHeight="1">
      <c r="A109" s="375"/>
      <c r="B109" s="369">
        <v>2024.0</v>
      </c>
      <c r="C109" s="296" t="s">
        <v>480</v>
      </c>
      <c r="D109" s="300" t="s">
        <v>82</v>
      </c>
      <c r="E109" s="141" t="s">
        <v>1989</v>
      </c>
      <c r="F109" s="296" t="s">
        <v>132</v>
      </c>
      <c r="G109" s="296" t="s">
        <v>1756</v>
      </c>
      <c r="H109" s="141" t="s">
        <v>545</v>
      </c>
      <c r="I109" s="296" t="s">
        <v>58</v>
      </c>
      <c r="J109" s="296" t="s">
        <v>1757</v>
      </c>
      <c r="K109" s="375"/>
      <c r="L109" s="371" t="s">
        <v>1999</v>
      </c>
      <c r="M109" s="79">
        <v>9.11336E7</v>
      </c>
      <c r="N109" s="79">
        <v>3.21310932E9</v>
      </c>
      <c r="O109" s="372" t="s">
        <v>1764</v>
      </c>
      <c r="P109" s="375"/>
      <c r="Q109" s="306" t="s">
        <v>550</v>
      </c>
      <c r="R109" s="375"/>
      <c r="S109" s="375"/>
      <c r="T109" s="375"/>
      <c r="U109" s="375"/>
      <c r="V109" s="375"/>
      <c r="W109" s="375"/>
      <c r="X109" s="375"/>
      <c r="Y109" s="375"/>
      <c r="Z109" s="375"/>
    </row>
    <row r="110" ht="22.5" customHeight="1">
      <c r="A110" s="375"/>
      <c r="B110" s="369">
        <v>2024.0</v>
      </c>
      <c r="C110" s="296" t="s">
        <v>480</v>
      </c>
      <c r="D110" s="300" t="s">
        <v>82</v>
      </c>
      <c r="E110" s="141" t="s">
        <v>1989</v>
      </c>
      <c r="F110" s="296" t="s">
        <v>132</v>
      </c>
      <c r="G110" s="296" t="s">
        <v>1756</v>
      </c>
      <c r="H110" s="141" t="s">
        <v>545</v>
      </c>
      <c r="I110" s="296" t="s">
        <v>58</v>
      </c>
      <c r="J110" s="296" t="s">
        <v>1757</v>
      </c>
      <c r="K110" s="375"/>
      <c r="L110" s="371" t="s">
        <v>2000</v>
      </c>
      <c r="M110" s="79">
        <v>1.7337112E7</v>
      </c>
      <c r="N110" s="79">
        <v>3.12567672E9</v>
      </c>
      <c r="O110" s="372" t="s">
        <v>1764</v>
      </c>
      <c r="P110" s="375"/>
      <c r="Q110" s="306" t="s">
        <v>550</v>
      </c>
      <c r="R110" s="375"/>
      <c r="S110" s="375"/>
      <c r="T110" s="375"/>
      <c r="U110" s="375"/>
      <c r="V110" s="375"/>
      <c r="W110" s="375"/>
      <c r="X110" s="375"/>
      <c r="Y110" s="375"/>
      <c r="Z110" s="375"/>
    </row>
    <row r="111" ht="22.5" customHeight="1">
      <c r="A111" s="375"/>
      <c r="B111" s="369">
        <v>2024.0</v>
      </c>
      <c r="C111" s="296" t="s">
        <v>480</v>
      </c>
      <c r="D111" s="300" t="s">
        <v>82</v>
      </c>
      <c r="E111" s="141" t="s">
        <v>1989</v>
      </c>
      <c r="F111" s="296" t="s">
        <v>132</v>
      </c>
      <c r="G111" s="296" t="s">
        <v>1756</v>
      </c>
      <c r="H111" s="141" t="s">
        <v>545</v>
      </c>
      <c r="I111" s="296" t="s">
        <v>58</v>
      </c>
      <c r="J111" s="296" t="s">
        <v>1757</v>
      </c>
      <c r="K111" s="375"/>
      <c r="L111" s="371" t="s">
        <v>2001</v>
      </c>
      <c r="M111" s="79">
        <v>8.0154038E7</v>
      </c>
      <c r="N111" s="79">
        <v>3.132048017E9</v>
      </c>
      <c r="O111" s="372" t="s">
        <v>1764</v>
      </c>
      <c r="P111" s="375"/>
      <c r="Q111" s="306" t="s">
        <v>550</v>
      </c>
      <c r="R111" s="375"/>
      <c r="S111" s="375"/>
      <c r="T111" s="375"/>
      <c r="U111" s="375"/>
      <c r="V111" s="375"/>
      <c r="W111" s="375"/>
      <c r="X111" s="375"/>
      <c r="Y111" s="375"/>
      <c r="Z111" s="375"/>
    </row>
    <row r="112" ht="22.5" customHeight="1">
      <c r="A112" s="375"/>
      <c r="B112" s="369">
        <v>2024.0</v>
      </c>
      <c r="C112" s="296" t="s">
        <v>480</v>
      </c>
      <c r="D112" s="300" t="s">
        <v>82</v>
      </c>
      <c r="E112" s="141" t="s">
        <v>1989</v>
      </c>
      <c r="F112" s="296" t="s">
        <v>132</v>
      </c>
      <c r="G112" s="296" t="s">
        <v>1756</v>
      </c>
      <c r="H112" s="141" t="s">
        <v>545</v>
      </c>
      <c r="I112" s="296" t="s">
        <v>58</v>
      </c>
      <c r="J112" s="296" t="s">
        <v>1757</v>
      </c>
      <c r="K112" s="375"/>
      <c r="L112" s="371" t="s">
        <v>2002</v>
      </c>
      <c r="M112" s="79">
        <v>1.022399427E9</v>
      </c>
      <c r="N112" s="79">
        <v>3.105549989E9</v>
      </c>
      <c r="O112" s="372" t="s">
        <v>1018</v>
      </c>
      <c r="P112" s="375"/>
      <c r="Q112" s="306" t="s">
        <v>550</v>
      </c>
      <c r="R112" s="375"/>
      <c r="S112" s="375"/>
      <c r="T112" s="375"/>
      <c r="U112" s="375"/>
      <c r="V112" s="375"/>
      <c r="W112" s="375"/>
      <c r="X112" s="375"/>
      <c r="Y112" s="375"/>
      <c r="Z112" s="375"/>
    </row>
    <row r="113" ht="22.5" customHeight="1">
      <c r="A113" s="375"/>
      <c r="B113" s="369">
        <v>2024.0</v>
      </c>
      <c r="C113" s="296" t="s">
        <v>480</v>
      </c>
      <c r="D113" s="300" t="s">
        <v>82</v>
      </c>
      <c r="E113" s="141" t="s">
        <v>1989</v>
      </c>
      <c r="F113" s="296" t="s">
        <v>132</v>
      </c>
      <c r="G113" s="296" t="s">
        <v>1756</v>
      </c>
      <c r="H113" s="141" t="s">
        <v>545</v>
      </c>
      <c r="I113" s="296" t="s">
        <v>58</v>
      </c>
      <c r="J113" s="296" t="s">
        <v>1757</v>
      </c>
      <c r="K113" s="375"/>
      <c r="L113" s="371" t="s">
        <v>2003</v>
      </c>
      <c r="M113" s="79">
        <v>5832143.0</v>
      </c>
      <c r="N113" s="79">
        <v>3.107649302E9</v>
      </c>
      <c r="O113" s="372" t="s">
        <v>1764</v>
      </c>
      <c r="P113" s="375"/>
      <c r="Q113" s="306" t="s">
        <v>550</v>
      </c>
      <c r="R113" s="375"/>
      <c r="S113" s="375"/>
      <c r="T113" s="375"/>
      <c r="U113" s="375"/>
      <c r="V113" s="375"/>
      <c r="W113" s="375"/>
      <c r="X113" s="375"/>
      <c r="Y113" s="375"/>
      <c r="Z113" s="375"/>
    </row>
    <row r="114" ht="22.5" customHeight="1">
      <c r="A114" s="375"/>
      <c r="B114" s="369">
        <v>2024.0</v>
      </c>
      <c r="C114" s="296" t="s">
        <v>480</v>
      </c>
      <c r="D114" s="300" t="s">
        <v>82</v>
      </c>
      <c r="E114" s="141" t="s">
        <v>1989</v>
      </c>
      <c r="F114" s="296" t="s">
        <v>132</v>
      </c>
      <c r="G114" s="296" t="s">
        <v>1756</v>
      </c>
      <c r="H114" s="141" t="s">
        <v>545</v>
      </c>
      <c r="I114" s="296" t="s">
        <v>58</v>
      </c>
      <c r="J114" s="296" t="s">
        <v>1757</v>
      </c>
      <c r="K114" s="375"/>
      <c r="L114" s="371" t="s">
        <v>2004</v>
      </c>
      <c r="M114" s="79">
        <v>243161.0</v>
      </c>
      <c r="N114" s="79">
        <v>3.10333092E9</v>
      </c>
      <c r="O114" s="372" t="s">
        <v>1764</v>
      </c>
      <c r="P114" s="375"/>
      <c r="Q114" s="306" t="s">
        <v>550</v>
      </c>
      <c r="R114" s="375"/>
      <c r="S114" s="375"/>
      <c r="T114" s="375"/>
      <c r="U114" s="375"/>
      <c r="V114" s="375"/>
      <c r="W114" s="375"/>
      <c r="X114" s="375"/>
      <c r="Y114" s="375"/>
      <c r="Z114" s="375"/>
    </row>
    <row r="115" ht="22.5" customHeight="1">
      <c r="A115" s="375"/>
      <c r="B115" s="369">
        <v>2024.0</v>
      </c>
      <c r="C115" s="296" t="s">
        <v>480</v>
      </c>
      <c r="D115" s="300" t="s">
        <v>82</v>
      </c>
      <c r="E115" s="141" t="s">
        <v>1989</v>
      </c>
      <c r="F115" s="296" t="s">
        <v>132</v>
      </c>
      <c r="G115" s="296" t="s">
        <v>1756</v>
      </c>
      <c r="H115" s="141" t="s">
        <v>545</v>
      </c>
      <c r="I115" s="296" t="s">
        <v>58</v>
      </c>
      <c r="J115" s="296" t="s">
        <v>1757</v>
      </c>
      <c r="K115" s="375"/>
      <c r="L115" s="371" t="s">
        <v>2005</v>
      </c>
      <c r="M115" s="79">
        <v>1.01366315E8</v>
      </c>
      <c r="N115" s="79">
        <v>3.103090732E9</v>
      </c>
      <c r="O115" s="372" t="s">
        <v>1018</v>
      </c>
      <c r="P115" s="375"/>
      <c r="Q115" s="306" t="s">
        <v>550</v>
      </c>
      <c r="R115" s="375"/>
      <c r="S115" s="375"/>
      <c r="T115" s="375"/>
      <c r="U115" s="375"/>
      <c r="V115" s="375"/>
      <c r="W115" s="375"/>
      <c r="X115" s="375"/>
      <c r="Y115" s="375"/>
      <c r="Z115" s="375"/>
    </row>
    <row r="116" ht="22.5" customHeight="1">
      <c r="A116" s="375"/>
      <c r="B116" s="369">
        <v>2024.0</v>
      </c>
      <c r="C116" s="296" t="s">
        <v>480</v>
      </c>
      <c r="D116" s="300" t="s">
        <v>82</v>
      </c>
      <c r="E116" s="141" t="s">
        <v>1989</v>
      </c>
      <c r="F116" s="296" t="s">
        <v>132</v>
      </c>
      <c r="G116" s="296" t="s">
        <v>1756</v>
      </c>
      <c r="H116" s="141" t="s">
        <v>545</v>
      </c>
      <c r="I116" s="296" t="s">
        <v>58</v>
      </c>
      <c r="J116" s="296" t="s">
        <v>1757</v>
      </c>
      <c r="K116" s="375"/>
      <c r="L116" s="371" t="s">
        <v>2006</v>
      </c>
      <c r="M116" s="79">
        <v>8.0370529E7</v>
      </c>
      <c r="N116" s="79">
        <v>3.125473312E9</v>
      </c>
      <c r="O116" s="372" t="s">
        <v>1764</v>
      </c>
      <c r="P116" s="375"/>
      <c r="Q116" s="306" t="s">
        <v>550</v>
      </c>
      <c r="R116" s="375"/>
      <c r="S116" s="375"/>
      <c r="T116" s="375"/>
      <c r="U116" s="375"/>
      <c r="V116" s="375"/>
      <c r="W116" s="375"/>
      <c r="X116" s="375"/>
      <c r="Y116" s="375"/>
      <c r="Z116" s="375"/>
    </row>
    <row r="117" ht="22.5" customHeight="1">
      <c r="A117" s="375"/>
      <c r="B117" s="369">
        <v>2024.0</v>
      </c>
      <c r="C117" s="296" t="s">
        <v>480</v>
      </c>
      <c r="D117" s="300" t="s">
        <v>82</v>
      </c>
      <c r="E117" s="141" t="s">
        <v>1989</v>
      </c>
      <c r="F117" s="296" t="s">
        <v>132</v>
      </c>
      <c r="G117" s="296" t="s">
        <v>1756</v>
      </c>
      <c r="H117" s="141" t="s">
        <v>545</v>
      </c>
      <c r="I117" s="296" t="s">
        <v>58</v>
      </c>
      <c r="J117" s="296" t="s">
        <v>1757</v>
      </c>
      <c r="K117" s="375"/>
      <c r="L117" s="371" t="s">
        <v>2007</v>
      </c>
      <c r="M117" s="79">
        <v>1.001316524E9</v>
      </c>
      <c r="N117" s="79">
        <v>3.233111299E9</v>
      </c>
      <c r="O117" s="372" t="s">
        <v>1018</v>
      </c>
      <c r="P117" s="375"/>
      <c r="Q117" s="306" t="s">
        <v>550</v>
      </c>
      <c r="R117" s="375"/>
      <c r="S117" s="375"/>
      <c r="T117" s="375"/>
      <c r="U117" s="375"/>
      <c r="V117" s="375"/>
      <c r="W117" s="375"/>
      <c r="X117" s="375"/>
      <c r="Y117" s="375"/>
      <c r="Z117" s="375"/>
    </row>
    <row r="118" ht="22.5" customHeight="1">
      <c r="A118" s="375"/>
      <c r="B118" s="369">
        <v>2024.0</v>
      </c>
      <c r="C118" s="296" t="s">
        <v>480</v>
      </c>
      <c r="D118" s="300" t="s">
        <v>82</v>
      </c>
      <c r="E118" s="141" t="s">
        <v>1989</v>
      </c>
      <c r="F118" s="296" t="s">
        <v>132</v>
      </c>
      <c r="G118" s="296" t="s">
        <v>1756</v>
      </c>
      <c r="H118" s="141" t="s">
        <v>545</v>
      </c>
      <c r="I118" s="296" t="s">
        <v>58</v>
      </c>
      <c r="J118" s="296" t="s">
        <v>1757</v>
      </c>
      <c r="K118" s="375"/>
      <c r="L118" s="371" t="s">
        <v>2008</v>
      </c>
      <c r="M118" s="79">
        <v>5.2897942E7</v>
      </c>
      <c r="N118" s="79">
        <v>3.005611162E9</v>
      </c>
      <c r="O118" s="372" t="s">
        <v>1018</v>
      </c>
      <c r="P118" s="375"/>
      <c r="Q118" s="306" t="s">
        <v>550</v>
      </c>
      <c r="R118" s="375"/>
      <c r="S118" s="375"/>
      <c r="T118" s="375"/>
      <c r="U118" s="375"/>
      <c r="V118" s="375"/>
      <c r="W118" s="375"/>
      <c r="X118" s="375"/>
      <c r="Y118" s="375"/>
      <c r="Z118" s="375"/>
    </row>
    <row r="119" ht="22.5" customHeight="1">
      <c r="A119" s="375"/>
      <c r="B119" s="369">
        <v>2024.0</v>
      </c>
      <c r="C119" s="296" t="s">
        <v>480</v>
      </c>
      <c r="D119" s="300" t="s">
        <v>82</v>
      </c>
      <c r="E119" s="141" t="s">
        <v>1989</v>
      </c>
      <c r="F119" s="296" t="s">
        <v>132</v>
      </c>
      <c r="G119" s="296" t="s">
        <v>1756</v>
      </c>
      <c r="H119" s="141" t="s">
        <v>545</v>
      </c>
      <c r="I119" s="296" t="s">
        <v>58</v>
      </c>
      <c r="J119" s="296" t="s">
        <v>1757</v>
      </c>
      <c r="K119" s="375"/>
      <c r="L119" s="371" t="s">
        <v>2009</v>
      </c>
      <c r="M119" s="79">
        <v>1.030574662E9</v>
      </c>
      <c r="N119" s="79">
        <v>3.142847394E9</v>
      </c>
      <c r="O119" s="372" t="s">
        <v>1018</v>
      </c>
      <c r="P119" s="375"/>
      <c r="Q119" s="306" t="s">
        <v>550</v>
      </c>
      <c r="R119" s="375"/>
      <c r="S119" s="375"/>
      <c r="T119" s="375"/>
      <c r="U119" s="375"/>
      <c r="V119" s="375"/>
      <c r="W119" s="375"/>
      <c r="X119" s="375"/>
      <c r="Y119" s="375"/>
      <c r="Z119" s="375"/>
    </row>
    <row r="120" ht="22.5" customHeight="1">
      <c r="A120" s="375"/>
      <c r="B120" s="369">
        <v>2024.0</v>
      </c>
      <c r="C120" s="296" t="s">
        <v>480</v>
      </c>
      <c r="D120" s="300" t="s">
        <v>82</v>
      </c>
      <c r="E120" s="141" t="s">
        <v>1989</v>
      </c>
      <c r="F120" s="296" t="s">
        <v>132</v>
      </c>
      <c r="G120" s="296" t="s">
        <v>1756</v>
      </c>
      <c r="H120" s="141" t="s">
        <v>545</v>
      </c>
      <c r="I120" s="296" t="s">
        <v>58</v>
      </c>
      <c r="J120" s="296" t="s">
        <v>1757</v>
      </c>
      <c r="K120" s="375"/>
      <c r="L120" s="371" t="s">
        <v>2010</v>
      </c>
      <c r="M120" s="79">
        <v>1.7118721E7</v>
      </c>
      <c r="N120" s="79">
        <v>3.153573534E9</v>
      </c>
      <c r="O120" s="372" t="s">
        <v>1764</v>
      </c>
      <c r="P120" s="375"/>
      <c r="Q120" s="306" t="s">
        <v>550</v>
      </c>
      <c r="R120" s="375"/>
      <c r="S120" s="375"/>
      <c r="T120" s="375"/>
      <c r="U120" s="375"/>
      <c r="V120" s="375"/>
      <c r="W120" s="375"/>
      <c r="X120" s="375"/>
      <c r="Y120" s="375"/>
      <c r="Z120" s="375"/>
    </row>
    <row r="121" ht="22.5" customHeight="1">
      <c r="A121" s="375"/>
      <c r="B121" s="369">
        <v>2024.0</v>
      </c>
      <c r="C121" s="296" t="s">
        <v>480</v>
      </c>
      <c r="D121" s="300" t="s">
        <v>82</v>
      </c>
      <c r="E121" s="141" t="s">
        <v>1989</v>
      </c>
      <c r="F121" s="296" t="s">
        <v>132</v>
      </c>
      <c r="G121" s="296" t="s">
        <v>1756</v>
      </c>
      <c r="H121" s="141" t="s">
        <v>545</v>
      </c>
      <c r="I121" s="296" t="s">
        <v>58</v>
      </c>
      <c r="J121" s="296" t="s">
        <v>1757</v>
      </c>
      <c r="K121" s="375"/>
      <c r="L121" s="371" t="s">
        <v>2011</v>
      </c>
      <c r="M121" s="79">
        <v>1.030679748E9</v>
      </c>
      <c r="N121" s="79">
        <v>3.02286487E9</v>
      </c>
      <c r="O121" s="372" t="s">
        <v>1764</v>
      </c>
      <c r="P121" s="375"/>
      <c r="Q121" s="306" t="s">
        <v>550</v>
      </c>
      <c r="R121" s="375"/>
      <c r="S121" s="375"/>
      <c r="T121" s="375"/>
      <c r="U121" s="375"/>
      <c r="V121" s="375"/>
      <c r="W121" s="375"/>
      <c r="X121" s="375"/>
      <c r="Y121" s="375"/>
      <c r="Z121" s="375"/>
    </row>
    <row r="122" ht="22.5" customHeight="1">
      <c r="A122" s="375"/>
      <c r="B122" s="369">
        <v>2024.0</v>
      </c>
      <c r="C122" s="296" t="s">
        <v>480</v>
      </c>
      <c r="D122" s="300" t="s">
        <v>82</v>
      </c>
      <c r="E122" s="141" t="s">
        <v>1989</v>
      </c>
      <c r="F122" s="296" t="s">
        <v>132</v>
      </c>
      <c r="G122" s="296" t="s">
        <v>1756</v>
      </c>
      <c r="H122" s="141" t="s">
        <v>545</v>
      </c>
      <c r="I122" s="296" t="s">
        <v>58</v>
      </c>
      <c r="J122" s="296" t="s">
        <v>1757</v>
      </c>
      <c r="K122" s="375"/>
      <c r="L122" s="371" t="s">
        <v>2012</v>
      </c>
      <c r="M122" s="79">
        <v>1.025410868E9</v>
      </c>
      <c r="N122" s="79">
        <v>3.135762765E9</v>
      </c>
      <c r="O122" s="372" t="s">
        <v>1018</v>
      </c>
      <c r="P122" s="375"/>
      <c r="Q122" s="306" t="s">
        <v>550</v>
      </c>
      <c r="R122" s="375"/>
      <c r="S122" s="375"/>
      <c r="T122" s="375"/>
      <c r="U122" s="375"/>
      <c r="V122" s="375"/>
      <c r="W122" s="375"/>
      <c r="X122" s="375"/>
      <c r="Y122" s="375"/>
      <c r="Z122" s="375"/>
    </row>
    <row r="123" ht="22.5" customHeight="1">
      <c r="A123" s="375"/>
      <c r="B123" s="369">
        <v>2024.0</v>
      </c>
      <c r="C123" s="296" t="s">
        <v>480</v>
      </c>
      <c r="D123" s="300" t="s">
        <v>82</v>
      </c>
      <c r="E123" s="141" t="s">
        <v>1989</v>
      </c>
      <c r="F123" s="296" t="s">
        <v>132</v>
      </c>
      <c r="G123" s="296" t="s">
        <v>1756</v>
      </c>
      <c r="H123" s="141" t="s">
        <v>545</v>
      </c>
      <c r="I123" s="296" t="s">
        <v>58</v>
      </c>
      <c r="J123" s="296" t="s">
        <v>1757</v>
      </c>
      <c r="K123" s="375"/>
      <c r="L123" s="371" t="s">
        <v>2013</v>
      </c>
      <c r="M123" s="79">
        <v>1.080260018E9</v>
      </c>
      <c r="N123" s="79">
        <v>3.142892048E9</v>
      </c>
      <c r="O123" s="372" t="s">
        <v>1764</v>
      </c>
      <c r="P123" s="375"/>
      <c r="Q123" s="306" t="s">
        <v>550</v>
      </c>
      <c r="R123" s="375"/>
      <c r="S123" s="375"/>
      <c r="T123" s="375"/>
      <c r="U123" s="375"/>
      <c r="V123" s="375"/>
      <c r="W123" s="375"/>
      <c r="X123" s="375"/>
      <c r="Y123" s="375"/>
      <c r="Z123" s="375"/>
    </row>
    <row r="124" ht="22.5" customHeight="1">
      <c r="A124" s="375"/>
      <c r="B124" s="369">
        <v>2024.0</v>
      </c>
      <c r="C124" s="296" t="s">
        <v>480</v>
      </c>
      <c r="D124" s="300" t="s">
        <v>82</v>
      </c>
      <c r="E124" s="141" t="s">
        <v>1989</v>
      </c>
      <c r="F124" s="296" t="s">
        <v>132</v>
      </c>
      <c r="G124" s="296" t="s">
        <v>1756</v>
      </c>
      <c r="H124" s="141" t="s">
        <v>545</v>
      </c>
      <c r="I124" s="296" t="s">
        <v>58</v>
      </c>
      <c r="J124" s="296" t="s">
        <v>1757</v>
      </c>
      <c r="K124" s="375"/>
      <c r="L124" s="371" t="s">
        <v>2014</v>
      </c>
      <c r="M124" s="79">
        <v>1.01310811E9</v>
      </c>
      <c r="N124" s="79">
        <v>3.108045313E9</v>
      </c>
      <c r="O124" s="372" t="s">
        <v>1018</v>
      </c>
      <c r="P124" s="375"/>
      <c r="Q124" s="306" t="s">
        <v>550</v>
      </c>
      <c r="R124" s="375"/>
      <c r="S124" s="375"/>
      <c r="T124" s="375"/>
      <c r="U124" s="375"/>
      <c r="V124" s="375"/>
      <c r="W124" s="375"/>
      <c r="X124" s="375"/>
      <c r="Y124" s="375"/>
      <c r="Z124" s="375"/>
    </row>
    <row r="125" ht="22.5" customHeight="1">
      <c r="A125" s="375"/>
      <c r="B125" s="369">
        <v>2024.0</v>
      </c>
      <c r="C125" s="296" t="s">
        <v>480</v>
      </c>
      <c r="D125" s="300" t="s">
        <v>82</v>
      </c>
      <c r="E125" s="141" t="s">
        <v>1989</v>
      </c>
      <c r="F125" s="296" t="s">
        <v>132</v>
      </c>
      <c r="G125" s="296" t="s">
        <v>1756</v>
      </c>
      <c r="H125" s="141" t="s">
        <v>545</v>
      </c>
      <c r="I125" s="296" t="s">
        <v>58</v>
      </c>
      <c r="J125" s="296" t="s">
        <v>1757</v>
      </c>
      <c r="K125" s="375"/>
      <c r="L125" s="371" t="s">
        <v>2015</v>
      </c>
      <c r="M125" s="79">
        <v>5.2708015E7</v>
      </c>
      <c r="N125" s="79">
        <v>3.125875227E9</v>
      </c>
      <c r="O125" s="372" t="s">
        <v>1018</v>
      </c>
      <c r="P125" s="375"/>
      <c r="Q125" s="306" t="s">
        <v>550</v>
      </c>
      <c r="R125" s="375"/>
      <c r="S125" s="375"/>
      <c r="T125" s="375"/>
      <c r="U125" s="375"/>
      <c r="V125" s="375"/>
      <c r="W125" s="375"/>
      <c r="X125" s="375"/>
      <c r="Y125" s="375"/>
      <c r="Z125" s="375"/>
    </row>
    <row r="126" ht="22.5" customHeight="1">
      <c r="A126" s="375"/>
      <c r="B126" s="369">
        <v>2024.0</v>
      </c>
      <c r="C126" s="296" t="s">
        <v>480</v>
      </c>
      <c r="D126" s="300" t="s">
        <v>82</v>
      </c>
      <c r="E126" s="141" t="s">
        <v>1989</v>
      </c>
      <c r="F126" s="296" t="s">
        <v>132</v>
      </c>
      <c r="G126" s="296" t="s">
        <v>1756</v>
      </c>
      <c r="H126" s="141" t="s">
        <v>545</v>
      </c>
      <c r="I126" s="296" t="s">
        <v>58</v>
      </c>
      <c r="J126" s="296" t="s">
        <v>1757</v>
      </c>
      <c r="K126" s="375"/>
      <c r="L126" s="371" t="s">
        <v>2016</v>
      </c>
      <c r="M126" s="79">
        <v>7.9845056E7</v>
      </c>
      <c r="N126" s="79">
        <v>3.143760709E9</v>
      </c>
      <c r="O126" s="372" t="s">
        <v>1764</v>
      </c>
      <c r="P126" s="375"/>
      <c r="Q126" s="306" t="s">
        <v>550</v>
      </c>
      <c r="R126" s="375"/>
      <c r="S126" s="375"/>
      <c r="T126" s="375"/>
      <c r="U126" s="375"/>
      <c r="V126" s="375"/>
      <c r="W126" s="375"/>
      <c r="X126" s="375"/>
      <c r="Y126" s="375"/>
      <c r="Z126" s="375"/>
    </row>
    <row r="127" ht="22.5" customHeight="1">
      <c r="A127" s="375"/>
      <c r="B127" s="369">
        <v>2024.0</v>
      </c>
      <c r="C127" s="296" t="s">
        <v>480</v>
      </c>
      <c r="D127" s="300" t="s">
        <v>82</v>
      </c>
      <c r="E127" s="141" t="s">
        <v>1989</v>
      </c>
      <c r="F127" s="296" t="s">
        <v>132</v>
      </c>
      <c r="G127" s="296" t="s">
        <v>1756</v>
      </c>
      <c r="H127" s="141" t="s">
        <v>545</v>
      </c>
      <c r="I127" s="296" t="s">
        <v>58</v>
      </c>
      <c r="J127" s="296" t="s">
        <v>1757</v>
      </c>
      <c r="K127" s="375"/>
      <c r="L127" s="371" t="s">
        <v>2017</v>
      </c>
      <c r="M127" s="79">
        <v>1.000161025E9</v>
      </c>
      <c r="N127" s="79">
        <v>3.044462246E9</v>
      </c>
      <c r="O127" s="372" t="s">
        <v>1018</v>
      </c>
      <c r="P127" s="375"/>
      <c r="Q127" s="306" t="s">
        <v>550</v>
      </c>
      <c r="R127" s="375"/>
      <c r="S127" s="375"/>
      <c r="T127" s="375"/>
      <c r="U127" s="375"/>
      <c r="V127" s="375"/>
      <c r="W127" s="375"/>
      <c r="X127" s="375"/>
      <c r="Y127" s="375"/>
      <c r="Z127" s="375"/>
    </row>
    <row r="128" ht="22.5" customHeight="1">
      <c r="A128" s="375"/>
      <c r="B128" s="369">
        <v>2024.0</v>
      </c>
      <c r="C128" s="296" t="s">
        <v>480</v>
      </c>
      <c r="D128" s="300" t="s">
        <v>82</v>
      </c>
      <c r="E128" s="141" t="s">
        <v>1989</v>
      </c>
      <c r="F128" s="296" t="s">
        <v>132</v>
      </c>
      <c r="G128" s="296" t="s">
        <v>1756</v>
      </c>
      <c r="H128" s="141" t="s">
        <v>545</v>
      </c>
      <c r="I128" s="296" t="s">
        <v>58</v>
      </c>
      <c r="J128" s="296" t="s">
        <v>1757</v>
      </c>
      <c r="K128" s="375"/>
      <c r="L128" s="371" t="s">
        <v>2018</v>
      </c>
      <c r="M128" s="79">
        <v>5.3092807E7</v>
      </c>
      <c r="N128" s="79">
        <v>3.132829389E9</v>
      </c>
      <c r="O128" s="372" t="s">
        <v>1018</v>
      </c>
      <c r="P128" s="375"/>
      <c r="Q128" s="306" t="s">
        <v>550</v>
      </c>
      <c r="R128" s="375"/>
      <c r="S128" s="375"/>
      <c r="T128" s="375"/>
      <c r="U128" s="375"/>
      <c r="V128" s="375"/>
      <c r="W128" s="375"/>
      <c r="X128" s="375"/>
      <c r="Y128" s="375"/>
      <c r="Z128" s="375"/>
    </row>
    <row r="129" ht="22.5" customHeight="1">
      <c r="A129" s="375"/>
      <c r="B129" s="369">
        <v>2024.0</v>
      </c>
      <c r="C129" s="296" t="s">
        <v>480</v>
      </c>
      <c r="D129" s="300" t="s">
        <v>82</v>
      </c>
      <c r="E129" s="141" t="s">
        <v>1989</v>
      </c>
      <c r="F129" s="296" t="s">
        <v>132</v>
      </c>
      <c r="G129" s="296" t="s">
        <v>1756</v>
      </c>
      <c r="H129" s="141" t="s">
        <v>545</v>
      </c>
      <c r="I129" s="296" t="s">
        <v>58</v>
      </c>
      <c r="J129" s="296" t="s">
        <v>1757</v>
      </c>
      <c r="K129" s="375"/>
      <c r="L129" s="371" t="s">
        <v>2019</v>
      </c>
      <c r="M129" s="79">
        <v>5926793.0</v>
      </c>
      <c r="N129" s="79">
        <v>3.202132041E9</v>
      </c>
      <c r="O129" s="372" t="s">
        <v>1018</v>
      </c>
      <c r="P129" s="375"/>
      <c r="Q129" s="306" t="s">
        <v>550</v>
      </c>
      <c r="R129" s="375"/>
      <c r="S129" s="375"/>
      <c r="T129" s="375"/>
      <c r="U129" s="375"/>
      <c r="V129" s="375"/>
      <c r="W129" s="375"/>
      <c r="X129" s="375"/>
      <c r="Y129" s="375"/>
      <c r="Z129" s="375"/>
    </row>
    <row r="130" ht="22.5" customHeight="1">
      <c r="A130" s="375"/>
      <c r="B130" s="369">
        <v>2024.0</v>
      </c>
      <c r="C130" s="296" t="s">
        <v>480</v>
      </c>
      <c r="D130" s="300" t="s">
        <v>82</v>
      </c>
      <c r="E130" s="141" t="s">
        <v>1989</v>
      </c>
      <c r="F130" s="296" t="s">
        <v>132</v>
      </c>
      <c r="G130" s="296" t="s">
        <v>1756</v>
      </c>
      <c r="H130" s="141" t="s">
        <v>545</v>
      </c>
      <c r="I130" s="296" t="s">
        <v>58</v>
      </c>
      <c r="J130" s="296" t="s">
        <v>1757</v>
      </c>
      <c r="K130" s="375"/>
      <c r="L130" s="371" t="s">
        <v>2020</v>
      </c>
      <c r="M130" s="79">
        <v>5.2759421E7</v>
      </c>
      <c r="N130" s="79">
        <v>3.115015687E9</v>
      </c>
      <c r="O130" s="372" t="s">
        <v>1018</v>
      </c>
      <c r="P130" s="375"/>
      <c r="Q130" s="306" t="s">
        <v>550</v>
      </c>
      <c r="R130" s="375"/>
      <c r="S130" s="375"/>
      <c r="T130" s="375"/>
      <c r="U130" s="375"/>
      <c r="V130" s="375"/>
      <c r="W130" s="375"/>
      <c r="X130" s="375"/>
      <c r="Y130" s="375"/>
      <c r="Z130" s="375"/>
    </row>
    <row r="131" ht="22.5" customHeight="1">
      <c r="A131" s="375"/>
      <c r="B131" s="369">
        <v>2024.0</v>
      </c>
      <c r="C131" s="296" t="s">
        <v>480</v>
      </c>
      <c r="D131" s="300" t="s">
        <v>82</v>
      </c>
      <c r="E131" s="141" t="s">
        <v>1989</v>
      </c>
      <c r="F131" s="296" t="s">
        <v>132</v>
      </c>
      <c r="G131" s="296" t="s">
        <v>1756</v>
      </c>
      <c r="H131" s="141" t="s">
        <v>545</v>
      </c>
      <c r="I131" s="296" t="s">
        <v>58</v>
      </c>
      <c r="J131" s="296" t="s">
        <v>1757</v>
      </c>
      <c r="K131" s="375"/>
      <c r="L131" s="371" t="s">
        <v>2021</v>
      </c>
      <c r="M131" s="79">
        <v>5304070.0</v>
      </c>
      <c r="N131" s="79">
        <v>3.118041618E9</v>
      </c>
      <c r="O131" s="372" t="s">
        <v>1018</v>
      </c>
      <c r="P131" s="375"/>
      <c r="Q131" s="306" t="s">
        <v>550</v>
      </c>
      <c r="R131" s="375"/>
      <c r="S131" s="375"/>
      <c r="T131" s="375"/>
      <c r="U131" s="375"/>
      <c r="V131" s="375"/>
      <c r="W131" s="375"/>
      <c r="X131" s="375"/>
      <c r="Y131" s="375"/>
      <c r="Z131" s="375"/>
    </row>
    <row r="132" ht="22.5" customHeight="1">
      <c r="A132" s="375"/>
      <c r="B132" s="369">
        <v>2024.0</v>
      </c>
      <c r="C132" s="296" t="s">
        <v>480</v>
      </c>
      <c r="D132" s="300" t="s">
        <v>82</v>
      </c>
      <c r="E132" s="141" t="s">
        <v>1989</v>
      </c>
      <c r="F132" s="296" t="s">
        <v>132</v>
      </c>
      <c r="G132" s="296" t="s">
        <v>1756</v>
      </c>
      <c r="H132" s="141" t="s">
        <v>545</v>
      </c>
      <c r="I132" s="296" t="s">
        <v>58</v>
      </c>
      <c r="J132" s="296" t="s">
        <v>1757</v>
      </c>
      <c r="K132" s="375"/>
      <c r="L132" s="371" t="s">
        <v>2022</v>
      </c>
      <c r="M132" s="79">
        <v>3.962387E7</v>
      </c>
      <c r="N132" s="79">
        <v>3.105824855E9</v>
      </c>
      <c r="O132" s="372" t="s">
        <v>1018</v>
      </c>
      <c r="P132" s="375"/>
      <c r="Q132" s="306" t="s">
        <v>550</v>
      </c>
      <c r="R132" s="375"/>
      <c r="S132" s="375"/>
      <c r="T132" s="375"/>
      <c r="U132" s="375"/>
      <c r="V132" s="375"/>
      <c r="W132" s="375"/>
      <c r="X132" s="375"/>
      <c r="Y132" s="375"/>
      <c r="Z132" s="375"/>
    </row>
    <row r="133" ht="22.5" customHeight="1">
      <c r="A133" s="375"/>
      <c r="B133" s="369">
        <v>2024.0</v>
      </c>
      <c r="C133" s="296" t="s">
        <v>480</v>
      </c>
      <c r="D133" s="300" t="s">
        <v>82</v>
      </c>
      <c r="E133" s="141" t="s">
        <v>1989</v>
      </c>
      <c r="F133" s="296" t="s">
        <v>132</v>
      </c>
      <c r="G133" s="296" t="s">
        <v>1756</v>
      </c>
      <c r="H133" s="141" t="s">
        <v>545</v>
      </c>
      <c r="I133" s="296" t="s">
        <v>58</v>
      </c>
      <c r="J133" s="296" t="s">
        <v>1757</v>
      </c>
      <c r="K133" s="375"/>
      <c r="L133" s="371" t="s">
        <v>2023</v>
      </c>
      <c r="M133" s="79">
        <v>5.206959E7</v>
      </c>
      <c r="N133" s="79">
        <v>3.134419239E9</v>
      </c>
      <c r="O133" s="372" t="s">
        <v>1018</v>
      </c>
      <c r="P133" s="375"/>
      <c r="Q133" s="306" t="s">
        <v>550</v>
      </c>
      <c r="R133" s="375"/>
      <c r="S133" s="375"/>
      <c r="T133" s="375"/>
      <c r="U133" s="375"/>
      <c r="V133" s="375"/>
      <c r="W133" s="375"/>
      <c r="X133" s="375"/>
      <c r="Y133" s="375"/>
      <c r="Z133" s="375"/>
    </row>
    <row r="134" ht="22.5" customHeight="1">
      <c r="A134" s="375"/>
      <c r="B134" s="369">
        <v>2024.0</v>
      </c>
      <c r="C134" s="296" t="s">
        <v>480</v>
      </c>
      <c r="D134" s="300" t="s">
        <v>82</v>
      </c>
      <c r="E134" s="141" t="s">
        <v>1989</v>
      </c>
      <c r="F134" s="296" t="s">
        <v>132</v>
      </c>
      <c r="G134" s="296" t="s">
        <v>1756</v>
      </c>
      <c r="H134" s="141" t="s">
        <v>545</v>
      </c>
      <c r="I134" s="296" t="s">
        <v>58</v>
      </c>
      <c r="J134" s="296" t="s">
        <v>1757</v>
      </c>
      <c r="K134" s="375"/>
      <c r="L134" s="371" t="s">
        <v>2024</v>
      </c>
      <c r="M134" s="79">
        <v>1.1316782E7</v>
      </c>
      <c r="N134" s="79">
        <v>3.103036366E9</v>
      </c>
      <c r="O134" s="372" t="s">
        <v>1764</v>
      </c>
      <c r="P134" s="375"/>
      <c r="Q134" s="306" t="s">
        <v>550</v>
      </c>
      <c r="R134" s="375"/>
      <c r="S134" s="375"/>
      <c r="T134" s="375"/>
      <c r="U134" s="375"/>
      <c r="V134" s="375"/>
      <c r="W134" s="375"/>
      <c r="X134" s="375"/>
      <c r="Y134" s="375"/>
      <c r="Z134" s="375"/>
    </row>
    <row r="135" ht="22.5" customHeight="1">
      <c r="A135" s="375"/>
      <c r="B135" s="369">
        <v>2024.0</v>
      </c>
      <c r="C135" s="296" t="s">
        <v>480</v>
      </c>
      <c r="D135" s="300" t="s">
        <v>82</v>
      </c>
      <c r="E135" s="141" t="s">
        <v>1989</v>
      </c>
      <c r="F135" s="296" t="s">
        <v>132</v>
      </c>
      <c r="G135" s="296" t="s">
        <v>1756</v>
      </c>
      <c r="H135" s="141" t="s">
        <v>545</v>
      </c>
      <c r="I135" s="296" t="s">
        <v>58</v>
      </c>
      <c r="J135" s="296" t="s">
        <v>1757</v>
      </c>
      <c r="K135" s="375"/>
      <c r="L135" s="371" t="s">
        <v>2025</v>
      </c>
      <c r="M135" s="79">
        <v>5.211401E7</v>
      </c>
      <c r="N135" s="79">
        <v>3.193276909E9</v>
      </c>
      <c r="O135" s="372" t="s">
        <v>1018</v>
      </c>
      <c r="P135" s="375"/>
      <c r="Q135" s="306" t="s">
        <v>550</v>
      </c>
      <c r="R135" s="375"/>
      <c r="S135" s="375"/>
      <c r="T135" s="375"/>
      <c r="U135" s="375"/>
      <c r="V135" s="375"/>
      <c r="W135" s="375"/>
      <c r="X135" s="375"/>
      <c r="Y135" s="375"/>
      <c r="Z135" s="375"/>
    </row>
    <row r="136" ht="22.5" customHeight="1">
      <c r="A136" s="375"/>
      <c r="B136" s="369">
        <v>2024.0</v>
      </c>
      <c r="C136" s="296" t="s">
        <v>480</v>
      </c>
      <c r="D136" s="300" t="s">
        <v>82</v>
      </c>
      <c r="E136" s="141" t="s">
        <v>1989</v>
      </c>
      <c r="F136" s="296" t="s">
        <v>132</v>
      </c>
      <c r="G136" s="296" t="s">
        <v>1756</v>
      </c>
      <c r="H136" s="141" t="s">
        <v>545</v>
      </c>
      <c r="I136" s="296" t="s">
        <v>58</v>
      </c>
      <c r="J136" s="296" t="s">
        <v>1757</v>
      </c>
      <c r="K136" s="375"/>
      <c r="L136" s="371" t="s">
        <v>2026</v>
      </c>
      <c r="M136" s="79">
        <v>3.0384042E7</v>
      </c>
      <c r="N136" s="79">
        <v>3.138168401E9</v>
      </c>
      <c r="O136" s="372" t="s">
        <v>1018</v>
      </c>
      <c r="P136" s="375"/>
      <c r="Q136" s="306" t="s">
        <v>550</v>
      </c>
      <c r="R136" s="375"/>
      <c r="S136" s="375"/>
      <c r="T136" s="375"/>
      <c r="U136" s="375"/>
      <c r="V136" s="375"/>
      <c r="W136" s="375"/>
      <c r="X136" s="375"/>
      <c r="Y136" s="375"/>
      <c r="Z136" s="375"/>
    </row>
    <row r="137" ht="22.5" customHeight="1">
      <c r="A137" s="375"/>
      <c r="B137" s="369">
        <v>2024.0</v>
      </c>
      <c r="C137" s="296" t="s">
        <v>480</v>
      </c>
      <c r="D137" s="300" t="s">
        <v>82</v>
      </c>
      <c r="E137" s="141" t="s">
        <v>1989</v>
      </c>
      <c r="F137" s="296" t="s">
        <v>132</v>
      </c>
      <c r="G137" s="296" t="s">
        <v>1756</v>
      </c>
      <c r="H137" s="141" t="s">
        <v>545</v>
      </c>
      <c r="I137" s="296" t="s">
        <v>58</v>
      </c>
      <c r="J137" s="296" t="s">
        <v>1757</v>
      </c>
      <c r="K137" s="375"/>
      <c r="L137" s="371" t="s">
        <v>2027</v>
      </c>
      <c r="M137" s="79">
        <v>3.2384507E7</v>
      </c>
      <c r="N137" s="79">
        <v>3.108816471E9</v>
      </c>
      <c r="O137" s="372" t="s">
        <v>1018</v>
      </c>
      <c r="P137" s="375"/>
      <c r="Q137" s="306" t="s">
        <v>550</v>
      </c>
      <c r="R137" s="375"/>
      <c r="S137" s="375"/>
      <c r="T137" s="375"/>
      <c r="U137" s="375"/>
      <c r="V137" s="375"/>
      <c r="W137" s="375"/>
      <c r="X137" s="375"/>
      <c r="Y137" s="375"/>
      <c r="Z137" s="375"/>
    </row>
    <row r="138" ht="22.5" customHeight="1">
      <c r="A138" s="367"/>
      <c r="B138" s="369">
        <v>2024.0</v>
      </c>
      <c r="C138" s="296" t="s">
        <v>480</v>
      </c>
      <c r="D138" s="300" t="s">
        <v>82</v>
      </c>
      <c r="E138" s="141" t="s">
        <v>1989</v>
      </c>
      <c r="F138" s="296" t="s">
        <v>132</v>
      </c>
      <c r="G138" s="296" t="s">
        <v>1756</v>
      </c>
      <c r="H138" s="141" t="s">
        <v>545</v>
      </c>
      <c r="I138" s="296" t="s">
        <v>58</v>
      </c>
      <c r="J138" s="296" t="s">
        <v>1757</v>
      </c>
      <c r="K138" s="367"/>
      <c r="L138" s="371" t="s">
        <v>2028</v>
      </c>
      <c r="M138" s="79">
        <v>7.979874E7</v>
      </c>
      <c r="N138" s="79">
        <v>3.10389655E9</v>
      </c>
      <c r="O138" s="372" t="s">
        <v>1764</v>
      </c>
      <c r="P138" s="367"/>
      <c r="Q138" s="306" t="s">
        <v>550</v>
      </c>
      <c r="R138" s="367"/>
      <c r="S138" s="367"/>
      <c r="T138" s="367"/>
      <c r="U138" s="367"/>
      <c r="V138" s="367"/>
      <c r="W138" s="367"/>
      <c r="X138" s="367"/>
      <c r="Y138" s="367"/>
      <c r="Z138" s="367"/>
    </row>
    <row r="139" ht="22.5" customHeight="1">
      <c r="A139" s="367"/>
      <c r="B139" s="369">
        <v>2024.0</v>
      </c>
      <c r="C139" s="296" t="s">
        <v>480</v>
      </c>
      <c r="D139" s="300" t="s">
        <v>82</v>
      </c>
      <c r="E139" s="141" t="s">
        <v>1989</v>
      </c>
      <c r="F139" s="296" t="s">
        <v>132</v>
      </c>
      <c r="G139" s="296" t="s">
        <v>1756</v>
      </c>
      <c r="H139" s="141" t="s">
        <v>545</v>
      </c>
      <c r="I139" s="296" t="s">
        <v>58</v>
      </c>
      <c r="J139" s="296" t="s">
        <v>1757</v>
      </c>
      <c r="K139" s="367"/>
      <c r="L139" s="371" t="s">
        <v>2029</v>
      </c>
      <c r="M139" s="79">
        <v>1.119887113E9</v>
      </c>
      <c r="N139" s="79">
        <v>3.104756909E9</v>
      </c>
      <c r="O139" s="372" t="s">
        <v>1018</v>
      </c>
      <c r="P139" s="367"/>
      <c r="Q139" s="306" t="s">
        <v>550</v>
      </c>
      <c r="R139" s="367"/>
      <c r="S139" s="367"/>
      <c r="T139" s="367"/>
      <c r="U139" s="367"/>
      <c r="V139" s="367"/>
      <c r="W139" s="367"/>
      <c r="X139" s="367"/>
      <c r="Y139" s="367"/>
      <c r="Z139" s="367"/>
    </row>
    <row r="140" ht="22.5" customHeight="1">
      <c r="A140" s="367"/>
      <c r="B140" s="369">
        <v>2024.0</v>
      </c>
      <c r="C140" s="296" t="s">
        <v>480</v>
      </c>
      <c r="D140" s="300" t="s">
        <v>82</v>
      </c>
      <c r="E140" s="141" t="s">
        <v>1989</v>
      </c>
      <c r="F140" s="296" t="s">
        <v>132</v>
      </c>
      <c r="G140" s="296" t="s">
        <v>1756</v>
      </c>
      <c r="H140" s="141" t="s">
        <v>545</v>
      </c>
      <c r="I140" s="296" t="s">
        <v>58</v>
      </c>
      <c r="J140" s="296" t="s">
        <v>1757</v>
      </c>
      <c r="K140" s="367"/>
      <c r="L140" s="371" t="s">
        <v>2030</v>
      </c>
      <c r="M140" s="79">
        <v>7.9300226E7</v>
      </c>
      <c r="N140" s="79">
        <v>3.002995886E9</v>
      </c>
      <c r="O140" s="372" t="s">
        <v>1764</v>
      </c>
      <c r="P140" s="367"/>
      <c r="Q140" s="306" t="s">
        <v>550</v>
      </c>
      <c r="R140" s="367"/>
      <c r="S140" s="367"/>
      <c r="T140" s="367"/>
      <c r="U140" s="367"/>
      <c r="V140" s="367"/>
      <c r="W140" s="367"/>
      <c r="X140" s="367"/>
      <c r="Y140" s="367"/>
      <c r="Z140" s="367"/>
    </row>
    <row r="141" ht="22.5" customHeight="1">
      <c r="A141" s="367"/>
      <c r="B141" s="369">
        <v>2024.0</v>
      </c>
      <c r="C141" s="296" t="s">
        <v>480</v>
      </c>
      <c r="D141" s="300" t="s">
        <v>82</v>
      </c>
      <c r="E141" s="141" t="s">
        <v>1989</v>
      </c>
      <c r="F141" s="296" t="s">
        <v>132</v>
      </c>
      <c r="G141" s="296" t="s">
        <v>1756</v>
      </c>
      <c r="H141" s="141" t="s">
        <v>545</v>
      </c>
      <c r="I141" s="296" t="s">
        <v>58</v>
      </c>
      <c r="J141" s="296" t="s">
        <v>1757</v>
      </c>
      <c r="K141" s="367"/>
      <c r="L141" s="371" t="s">
        <v>2031</v>
      </c>
      <c r="M141" s="79">
        <v>7.9710513E7</v>
      </c>
      <c r="N141" s="79">
        <v>3.168744128E9</v>
      </c>
      <c r="O141" s="372" t="s">
        <v>1764</v>
      </c>
      <c r="P141" s="367"/>
      <c r="Q141" s="306" t="s">
        <v>550</v>
      </c>
      <c r="R141" s="367"/>
      <c r="S141" s="367"/>
      <c r="T141" s="367"/>
      <c r="U141" s="367"/>
      <c r="V141" s="367"/>
      <c r="W141" s="367"/>
      <c r="X141" s="367"/>
      <c r="Y141" s="367"/>
      <c r="Z141" s="367"/>
    </row>
    <row r="142" ht="22.5" customHeight="1">
      <c r="A142" s="367"/>
      <c r="B142" s="369">
        <v>2024.0</v>
      </c>
      <c r="C142" s="296" t="s">
        <v>480</v>
      </c>
      <c r="D142" s="300" t="s">
        <v>82</v>
      </c>
      <c r="E142" s="141" t="s">
        <v>1989</v>
      </c>
      <c r="F142" s="296" t="s">
        <v>132</v>
      </c>
      <c r="G142" s="296" t="s">
        <v>1756</v>
      </c>
      <c r="H142" s="141" t="s">
        <v>545</v>
      </c>
      <c r="I142" s="296" t="s">
        <v>58</v>
      </c>
      <c r="J142" s="296" t="s">
        <v>1757</v>
      </c>
      <c r="K142" s="367"/>
      <c r="L142" s="371" t="s">
        <v>2032</v>
      </c>
      <c r="M142" s="79">
        <v>4.1467877E7</v>
      </c>
      <c r="N142" s="79">
        <v>3.228417128E9</v>
      </c>
      <c r="O142" s="372" t="s">
        <v>1018</v>
      </c>
      <c r="P142" s="367"/>
      <c r="Q142" s="306" t="s">
        <v>550</v>
      </c>
      <c r="R142" s="367"/>
      <c r="S142" s="367"/>
      <c r="T142" s="367"/>
      <c r="U142" s="367"/>
      <c r="V142" s="367"/>
      <c r="W142" s="367"/>
      <c r="X142" s="367"/>
      <c r="Y142" s="367"/>
      <c r="Z142" s="367"/>
    </row>
    <row r="143" ht="22.5" customHeight="1">
      <c r="A143" s="367"/>
      <c r="B143" s="369">
        <v>2024.0</v>
      </c>
      <c r="C143" s="296" t="s">
        <v>480</v>
      </c>
      <c r="D143" s="300" t="s">
        <v>82</v>
      </c>
      <c r="E143" s="141" t="s">
        <v>1989</v>
      </c>
      <c r="F143" s="296" t="s">
        <v>132</v>
      </c>
      <c r="G143" s="296" t="s">
        <v>1756</v>
      </c>
      <c r="H143" s="141" t="s">
        <v>545</v>
      </c>
      <c r="I143" s="296" t="s">
        <v>58</v>
      </c>
      <c r="J143" s="296" t="s">
        <v>1757</v>
      </c>
      <c r="K143" s="367"/>
      <c r="L143" s="371" t="s">
        <v>2033</v>
      </c>
      <c r="M143" s="79">
        <v>3.2473022E7</v>
      </c>
      <c r="N143" s="377">
        <v>3.16879128E8</v>
      </c>
      <c r="O143" s="372" t="s">
        <v>1018</v>
      </c>
      <c r="P143" s="367"/>
      <c r="Q143" s="306" t="s">
        <v>550</v>
      </c>
      <c r="R143" s="367"/>
      <c r="S143" s="367"/>
      <c r="T143" s="367"/>
      <c r="U143" s="367"/>
      <c r="V143" s="367"/>
      <c r="W143" s="367"/>
      <c r="X143" s="367"/>
      <c r="Y143" s="367"/>
      <c r="Z143" s="367"/>
    </row>
    <row r="144" ht="22.5" customHeight="1">
      <c r="A144" s="367"/>
      <c r="B144" s="369">
        <v>2024.0</v>
      </c>
      <c r="C144" s="296" t="s">
        <v>480</v>
      </c>
      <c r="D144" s="300" t="s">
        <v>82</v>
      </c>
      <c r="E144" s="141" t="s">
        <v>1989</v>
      </c>
      <c r="F144" s="296" t="s">
        <v>132</v>
      </c>
      <c r="G144" s="296" t="s">
        <v>1756</v>
      </c>
      <c r="H144" s="141" t="s">
        <v>545</v>
      </c>
      <c r="I144" s="296" t="s">
        <v>58</v>
      </c>
      <c r="J144" s="296" t="s">
        <v>1757</v>
      </c>
      <c r="K144" s="367"/>
      <c r="L144" s="371" t="s">
        <v>2034</v>
      </c>
      <c r="M144" s="79">
        <v>5.17216E7</v>
      </c>
      <c r="N144" s="79">
        <v>3.217145409E9</v>
      </c>
      <c r="O144" s="372" t="s">
        <v>1018</v>
      </c>
      <c r="P144" s="367"/>
      <c r="Q144" s="306" t="s">
        <v>550</v>
      </c>
      <c r="R144" s="367"/>
      <c r="S144" s="367"/>
      <c r="T144" s="367"/>
      <c r="U144" s="367"/>
      <c r="V144" s="367"/>
      <c r="W144" s="367"/>
      <c r="X144" s="367"/>
      <c r="Y144" s="367"/>
      <c r="Z144" s="367"/>
    </row>
    <row r="145" ht="22.5" customHeight="1">
      <c r="A145" s="367"/>
      <c r="B145" s="369">
        <v>2024.0</v>
      </c>
      <c r="C145" s="296" t="s">
        <v>480</v>
      </c>
      <c r="D145" s="300" t="s">
        <v>82</v>
      </c>
      <c r="E145" s="141" t="s">
        <v>1989</v>
      </c>
      <c r="F145" s="296" t="s">
        <v>132</v>
      </c>
      <c r="G145" s="296" t="s">
        <v>1756</v>
      </c>
      <c r="H145" s="141" t="s">
        <v>545</v>
      </c>
      <c r="I145" s="296" t="s">
        <v>58</v>
      </c>
      <c r="J145" s="296" t="s">
        <v>1757</v>
      </c>
      <c r="K145" s="367"/>
      <c r="L145" s="371" t="s">
        <v>2035</v>
      </c>
      <c r="M145" s="79">
        <v>5.2365707E7</v>
      </c>
      <c r="N145" s="79">
        <v>3.103090732E9</v>
      </c>
      <c r="O145" s="372" t="s">
        <v>1018</v>
      </c>
      <c r="P145" s="367"/>
      <c r="Q145" s="306" t="s">
        <v>550</v>
      </c>
      <c r="R145" s="367"/>
      <c r="S145" s="367"/>
      <c r="T145" s="367"/>
      <c r="U145" s="367"/>
      <c r="V145" s="367"/>
      <c r="W145" s="367"/>
      <c r="X145" s="367"/>
      <c r="Y145" s="367"/>
      <c r="Z145" s="367"/>
    </row>
    <row r="146" ht="22.5" customHeight="1">
      <c r="A146" s="367"/>
      <c r="B146" s="369">
        <v>2024.0</v>
      </c>
      <c r="C146" s="296" t="s">
        <v>480</v>
      </c>
      <c r="D146" s="300" t="s">
        <v>82</v>
      </c>
      <c r="E146" s="141" t="s">
        <v>1989</v>
      </c>
      <c r="F146" s="296" t="s">
        <v>132</v>
      </c>
      <c r="G146" s="296" t="s">
        <v>1756</v>
      </c>
      <c r="H146" s="141" t="s">
        <v>545</v>
      </c>
      <c r="I146" s="296" t="s">
        <v>58</v>
      </c>
      <c r="J146" s="296" t="s">
        <v>1757</v>
      </c>
      <c r="K146" s="367"/>
      <c r="L146" s="371" t="s">
        <v>2036</v>
      </c>
      <c r="M146" s="79">
        <v>1.8144275E7</v>
      </c>
      <c r="N146" s="378"/>
      <c r="O146" s="372" t="s">
        <v>1764</v>
      </c>
      <c r="P146" s="367"/>
      <c r="Q146" s="306" t="s">
        <v>550</v>
      </c>
      <c r="R146" s="367"/>
      <c r="S146" s="367"/>
      <c r="T146" s="367"/>
      <c r="U146" s="367"/>
      <c r="V146" s="367"/>
      <c r="W146" s="367"/>
      <c r="X146" s="367"/>
      <c r="Y146" s="367"/>
      <c r="Z146" s="367"/>
    </row>
    <row r="147" ht="22.5" customHeight="1">
      <c r="A147" s="367"/>
      <c r="B147" s="369">
        <v>2024.0</v>
      </c>
      <c r="C147" s="296" t="s">
        <v>480</v>
      </c>
      <c r="D147" s="300" t="s">
        <v>82</v>
      </c>
      <c r="E147" s="141" t="s">
        <v>1989</v>
      </c>
      <c r="F147" s="296" t="s">
        <v>132</v>
      </c>
      <c r="G147" s="296" t="s">
        <v>1756</v>
      </c>
      <c r="H147" s="141" t="s">
        <v>545</v>
      </c>
      <c r="I147" s="296" t="s">
        <v>58</v>
      </c>
      <c r="J147" s="296" t="s">
        <v>1757</v>
      </c>
      <c r="K147" s="367"/>
      <c r="L147" s="371" t="s">
        <v>2037</v>
      </c>
      <c r="M147" s="79">
        <v>5.2763205E7</v>
      </c>
      <c r="N147" s="378"/>
      <c r="O147" s="372" t="s">
        <v>1018</v>
      </c>
      <c r="P147" s="367"/>
      <c r="Q147" s="306" t="s">
        <v>550</v>
      </c>
      <c r="R147" s="367"/>
      <c r="S147" s="367"/>
      <c r="T147" s="367"/>
      <c r="U147" s="367"/>
      <c r="V147" s="367"/>
      <c r="W147" s="367"/>
      <c r="X147" s="367"/>
      <c r="Y147" s="367"/>
      <c r="Z147" s="367"/>
    </row>
    <row r="148" ht="22.5" customHeight="1">
      <c r="A148" s="367"/>
      <c r="B148" s="369">
        <v>2024.0</v>
      </c>
      <c r="C148" s="296" t="s">
        <v>480</v>
      </c>
      <c r="D148" s="300" t="s">
        <v>82</v>
      </c>
      <c r="E148" s="141" t="s">
        <v>1989</v>
      </c>
      <c r="F148" s="296" t="s">
        <v>132</v>
      </c>
      <c r="G148" s="296" t="s">
        <v>1756</v>
      </c>
      <c r="H148" s="141" t="s">
        <v>545</v>
      </c>
      <c r="I148" s="296" t="s">
        <v>58</v>
      </c>
      <c r="J148" s="296" t="s">
        <v>1757</v>
      </c>
      <c r="K148" s="367"/>
      <c r="L148" s="371" t="s">
        <v>2038</v>
      </c>
      <c r="M148" s="79">
        <v>1.030682919E9</v>
      </c>
      <c r="N148" s="378"/>
      <c r="O148" s="372" t="s">
        <v>1018</v>
      </c>
      <c r="P148" s="367"/>
      <c r="Q148" s="306" t="s">
        <v>550</v>
      </c>
      <c r="R148" s="367"/>
      <c r="S148" s="367"/>
      <c r="T148" s="367"/>
      <c r="U148" s="367"/>
      <c r="V148" s="367"/>
      <c r="W148" s="367"/>
      <c r="X148" s="367"/>
      <c r="Y148" s="367"/>
      <c r="Z148" s="367"/>
    </row>
    <row r="149" ht="22.5" customHeight="1">
      <c r="A149" s="367"/>
      <c r="B149" s="369">
        <v>2024.0</v>
      </c>
      <c r="C149" s="296" t="s">
        <v>480</v>
      </c>
      <c r="D149" s="300" t="s">
        <v>82</v>
      </c>
      <c r="E149" s="141" t="s">
        <v>1989</v>
      </c>
      <c r="F149" s="296" t="s">
        <v>132</v>
      </c>
      <c r="G149" s="296" t="s">
        <v>1756</v>
      </c>
      <c r="H149" s="141" t="s">
        <v>545</v>
      </c>
      <c r="I149" s="296" t="s">
        <v>58</v>
      </c>
      <c r="J149" s="296" t="s">
        <v>1757</v>
      </c>
      <c r="K149" s="367"/>
      <c r="L149" s="371" t="s">
        <v>2039</v>
      </c>
      <c r="M149" s="79">
        <v>1.02790028E9</v>
      </c>
      <c r="N149" s="378"/>
      <c r="O149" s="372" t="s">
        <v>1764</v>
      </c>
      <c r="P149" s="367"/>
      <c r="Q149" s="306" t="s">
        <v>550</v>
      </c>
      <c r="R149" s="367"/>
      <c r="S149" s="367"/>
      <c r="T149" s="367"/>
      <c r="U149" s="367"/>
      <c r="V149" s="367"/>
      <c r="W149" s="367"/>
      <c r="X149" s="367"/>
      <c r="Y149" s="367"/>
      <c r="Z149" s="367"/>
    </row>
    <row r="150" ht="22.5" customHeight="1">
      <c r="A150" s="367"/>
      <c r="B150" s="369">
        <v>2024.0</v>
      </c>
      <c r="C150" s="296" t="s">
        <v>480</v>
      </c>
      <c r="D150" s="300" t="s">
        <v>82</v>
      </c>
      <c r="E150" s="141" t="s">
        <v>1989</v>
      </c>
      <c r="F150" s="296" t="s">
        <v>132</v>
      </c>
      <c r="G150" s="296" t="s">
        <v>1756</v>
      </c>
      <c r="H150" s="141" t="s">
        <v>545</v>
      </c>
      <c r="I150" s="296" t="s">
        <v>58</v>
      </c>
      <c r="J150" s="296" t="s">
        <v>1757</v>
      </c>
      <c r="K150" s="367"/>
      <c r="L150" s="371" t="s">
        <v>2040</v>
      </c>
      <c r="M150" s="79">
        <v>1.026304966E9</v>
      </c>
      <c r="N150" s="79">
        <v>3.229241259E9</v>
      </c>
      <c r="O150" s="372" t="s">
        <v>1018</v>
      </c>
      <c r="P150" s="367"/>
      <c r="Q150" s="306" t="s">
        <v>550</v>
      </c>
      <c r="R150" s="367"/>
      <c r="S150" s="367"/>
      <c r="T150" s="367"/>
      <c r="U150" s="367"/>
      <c r="V150" s="367"/>
      <c r="W150" s="367"/>
      <c r="X150" s="367"/>
      <c r="Y150" s="367"/>
      <c r="Z150" s="367"/>
    </row>
    <row r="151" ht="22.5" customHeight="1">
      <c r="A151" s="367"/>
      <c r="B151" s="369">
        <v>2024.0</v>
      </c>
      <c r="C151" s="296" t="s">
        <v>480</v>
      </c>
      <c r="D151" s="300" t="s">
        <v>82</v>
      </c>
      <c r="E151" s="141" t="s">
        <v>1989</v>
      </c>
      <c r="F151" s="296" t="s">
        <v>132</v>
      </c>
      <c r="G151" s="296" t="s">
        <v>1756</v>
      </c>
      <c r="H151" s="141" t="s">
        <v>545</v>
      </c>
      <c r="I151" s="296" t="s">
        <v>58</v>
      </c>
      <c r="J151" s="296" t="s">
        <v>1757</v>
      </c>
      <c r="K151" s="367"/>
      <c r="L151" s="371" t="s">
        <v>2041</v>
      </c>
      <c r="M151" s="79">
        <v>5.1916327E7</v>
      </c>
      <c r="N151" s="79">
        <v>3.107812543E9</v>
      </c>
      <c r="O151" s="372" t="s">
        <v>1018</v>
      </c>
      <c r="P151" s="367"/>
      <c r="Q151" s="306" t="s">
        <v>550</v>
      </c>
      <c r="R151" s="367"/>
      <c r="S151" s="367"/>
      <c r="T151" s="367"/>
      <c r="U151" s="367"/>
      <c r="V151" s="367"/>
      <c r="W151" s="367"/>
      <c r="X151" s="367"/>
      <c r="Y151" s="367"/>
      <c r="Z151" s="367"/>
    </row>
    <row r="152" ht="22.5" customHeight="1">
      <c r="A152" s="367"/>
      <c r="B152" s="369">
        <v>2024.0</v>
      </c>
      <c r="C152" s="296" t="s">
        <v>480</v>
      </c>
      <c r="D152" s="300" t="s">
        <v>82</v>
      </c>
      <c r="E152" s="141" t="s">
        <v>1989</v>
      </c>
      <c r="F152" s="296" t="s">
        <v>132</v>
      </c>
      <c r="G152" s="296" t="s">
        <v>1756</v>
      </c>
      <c r="H152" s="141" t="s">
        <v>545</v>
      </c>
      <c r="I152" s="296" t="s">
        <v>58</v>
      </c>
      <c r="J152" s="296" t="s">
        <v>1757</v>
      </c>
      <c r="K152" s="367"/>
      <c r="L152" s="371" t="s">
        <v>2042</v>
      </c>
      <c r="M152" s="79">
        <v>2232089.0</v>
      </c>
      <c r="N152" s="79">
        <v>3.195634694E9</v>
      </c>
      <c r="O152" s="372" t="s">
        <v>1764</v>
      </c>
      <c r="P152" s="367"/>
      <c r="Q152" s="306" t="s">
        <v>550</v>
      </c>
      <c r="R152" s="367"/>
      <c r="S152" s="367"/>
      <c r="T152" s="367"/>
      <c r="U152" s="367"/>
      <c r="V152" s="367"/>
      <c r="W152" s="367"/>
      <c r="X152" s="367"/>
      <c r="Y152" s="367"/>
      <c r="Z152" s="367"/>
    </row>
    <row r="153" ht="22.5" customHeight="1">
      <c r="A153" s="367"/>
      <c r="B153" s="369">
        <v>2024.0</v>
      </c>
      <c r="C153" s="296" t="s">
        <v>480</v>
      </c>
      <c r="D153" s="300" t="s">
        <v>82</v>
      </c>
      <c r="E153" s="141" t="s">
        <v>1989</v>
      </c>
      <c r="F153" s="296" t="s">
        <v>132</v>
      </c>
      <c r="G153" s="296" t="s">
        <v>1756</v>
      </c>
      <c r="H153" s="141" t="s">
        <v>545</v>
      </c>
      <c r="I153" s="296" t="s">
        <v>58</v>
      </c>
      <c r="J153" s="296" t="s">
        <v>1757</v>
      </c>
      <c r="K153" s="367"/>
      <c r="L153" s="371" t="s">
        <v>2043</v>
      </c>
      <c r="M153" s="378"/>
      <c r="N153" s="79">
        <v>3.195525106E9</v>
      </c>
      <c r="O153" s="372" t="s">
        <v>1764</v>
      </c>
      <c r="P153" s="367"/>
      <c r="Q153" s="306" t="s">
        <v>550</v>
      </c>
      <c r="R153" s="367"/>
      <c r="S153" s="367"/>
      <c r="T153" s="367"/>
      <c r="U153" s="367"/>
      <c r="V153" s="367"/>
      <c r="W153" s="367"/>
      <c r="X153" s="367"/>
      <c r="Y153" s="367"/>
      <c r="Z153" s="367"/>
    </row>
    <row r="154" ht="22.5" customHeight="1">
      <c r="A154" s="367"/>
      <c r="B154" s="369">
        <v>2024.0</v>
      </c>
      <c r="C154" s="296" t="s">
        <v>480</v>
      </c>
      <c r="D154" s="300" t="s">
        <v>82</v>
      </c>
      <c r="E154" s="141" t="s">
        <v>1989</v>
      </c>
      <c r="F154" s="296" t="s">
        <v>132</v>
      </c>
      <c r="G154" s="296" t="s">
        <v>1756</v>
      </c>
      <c r="H154" s="141" t="s">
        <v>545</v>
      </c>
      <c r="I154" s="296" t="s">
        <v>58</v>
      </c>
      <c r="J154" s="296" t="s">
        <v>1757</v>
      </c>
      <c r="K154" s="367"/>
      <c r="L154" s="371" t="s">
        <v>2044</v>
      </c>
      <c r="M154" s="79">
        <v>1.026304967E9</v>
      </c>
      <c r="N154" s="79">
        <v>3.19555492E9</v>
      </c>
      <c r="O154" s="372" t="s">
        <v>1764</v>
      </c>
      <c r="P154" s="367"/>
      <c r="Q154" s="306" t="s">
        <v>550</v>
      </c>
      <c r="R154" s="367"/>
      <c r="S154" s="367"/>
      <c r="T154" s="367"/>
      <c r="U154" s="367"/>
      <c r="V154" s="367"/>
      <c r="W154" s="367"/>
      <c r="X154" s="367"/>
      <c r="Y154" s="367"/>
      <c r="Z154" s="367"/>
    </row>
    <row r="155" ht="22.5" customHeight="1">
      <c r="A155" s="367"/>
      <c r="B155" s="369">
        <v>2024.0</v>
      </c>
      <c r="C155" s="296" t="s">
        <v>480</v>
      </c>
      <c r="D155" s="300" t="s">
        <v>82</v>
      </c>
      <c r="E155" s="141" t="s">
        <v>1989</v>
      </c>
      <c r="F155" s="296" t="s">
        <v>132</v>
      </c>
      <c r="G155" s="296" t="s">
        <v>1756</v>
      </c>
      <c r="H155" s="141" t="s">
        <v>545</v>
      </c>
      <c r="I155" s="296" t="s">
        <v>58</v>
      </c>
      <c r="J155" s="296" t="s">
        <v>1757</v>
      </c>
      <c r="K155" s="367"/>
      <c r="L155" s="371" t="s">
        <v>2045</v>
      </c>
      <c r="M155" s="378"/>
      <c r="N155" s="79">
        <v>3.506443633E9</v>
      </c>
      <c r="O155" s="372" t="s">
        <v>1764</v>
      </c>
      <c r="P155" s="367"/>
      <c r="Q155" s="306" t="s">
        <v>550</v>
      </c>
      <c r="R155" s="367"/>
      <c r="S155" s="367"/>
      <c r="T155" s="367"/>
      <c r="U155" s="367"/>
      <c r="V155" s="367"/>
      <c r="W155" s="367"/>
      <c r="X155" s="367"/>
      <c r="Y155" s="367"/>
      <c r="Z155" s="367"/>
    </row>
    <row r="156" ht="22.5" customHeight="1">
      <c r="A156" s="367"/>
      <c r="B156" s="369">
        <v>2024.0</v>
      </c>
      <c r="C156" s="296" t="s">
        <v>480</v>
      </c>
      <c r="D156" s="300" t="s">
        <v>82</v>
      </c>
      <c r="E156" s="141" t="s">
        <v>1989</v>
      </c>
      <c r="F156" s="296" t="s">
        <v>132</v>
      </c>
      <c r="G156" s="296" t="s">
        <v>1756</v>
      </c>
      <c r="H156" s="141" t="s">
        <v>545</v>
      </c>
      <c r="I156" s="296" t="s">
        <v>58</v>
      </c>
      <c r="J156" s="296" t="s">
        <v>1757</v>
      </c>
      <c r="K156" s="367"/>
      <c r="L156" s="371" t="s">
        <v>2046</v>
      </c>
      <c r="M156" s="79">
        <v>1.9334667E7</v>
      </c>
      <c r="N156" s="79">
        <v>3.104021337E9</v>
      </c>
      <c r="O156" s="372" t="s">
        <v>1764</v>
      </c>
      <c r="P156" s="367"/>
      <c r="Q156" s="306" t="s">
        <v>550</v>
      </c>
      <c r="R156" s="367"/>
      <c r="S156" s="367"/>
      <c r="T156" s="367"/>
      <c r="U156" s="367"/>
      <c r="V156" s="367"/>
      <c r="W156" s="367"/>
      <c r="X156" s="367"/>
      <c r="Y156" s="367"/>
      <c r="Z156" s="367"/>
    </row>
    <row r="157" ht="22.5" customHeight="1">
      <c r="A157" s="367"/>
      <c r="B157" s="369">
        <v>2024.0</v>
      </c>
      <c r="C157" s="296" t="s">
        <v>480</v>
      </c>
      <c r="D157" s="300" t="s">
        <v>82</v>
      </c>
      <c r="E157" s="141" t="s">
        <v>1989</v>
      </c>
      <c r="F157" s="296" t="s">
        <v>132</v>
      </c>
      <c r="G157" s="296" t="s">
        <v>1756</v>
      </c>
      <c r="H157" s="141" t="s">
        <v>545</v>
      </c>
      <c r="I157" s="296" t="s">
        <v>58</v>
      </c>
      <c r="J157" s="296" t="s">
        <v>1757</v>
      </c>
      <c r="K157" s="367"/>
      <c r="L157" s="371" t="s">
        <v>2047</v>
      </c>
      <c r="M157" s="79">
        <v>1.056482397E9</v>
      </c>
      <c r="N157" s="79">
        <v>3.213741426E9</v>
      </c>
      <c r="O157" s="372" t="s">
        <v>1018</v>
      </c>
      <c r="P157" s="367"/>
      <c r="Q157" s="306" t="s">
        <v>550</v>
      </c>
      <c r="R157" s="367"/>
      <c r="S157" s="367"/>
      <c r="T157" s="367"/>
      <c r="U157" s="367"/>
      <c r="V157" s="367"/>
      <c r="W157" s="367"/>
      <c r="X157" s="367"/>
      <c r="Y157" s="367"/>
      <c r="Z157" s="367"/>
    </row>
    <row r="158" ht="22.5" customHeight="1">
      <c r="A158" s="367"/>
      <c r="B158" s="369">
        <v>2024.0</v>
      </c>
      <c r="C158" s="296" t="s">
        <v>480</v>
      </c>
      <c r="D158" s="300" t="s">
        <v>82</v>
      </c>
      <c r="E158" s="141" t="s">
        <v>1989</v>
      </c>
      <c r="F158" s="296" t="s">
        <v>132</v>
      </c>
      <c r="G158" s="296" t="s">
        <v>1756</v>
      </c>
      <c r="H158" s="141" t="s">
        <v>545</v>
      </c>
      <c r="I158" s="296" t="s">
        <v>58</v>
      </c>
      <c r="J158" s="296" t="s">
        <v>1757</v>
      </c>
      <c r="K158" s="367"/>
      <c r="L158" s="371" t="s">
        <v>2048</v>
      </c>
      <c r="M158" s="79">
        <v>4.166987E7</v>
      </c>
      <c r="N158" s="79">
        <v>3.118201416E9</v>
      </c>
      <c r="O158" s="372" t="s">
        <v>1018</v>
      </c>
      <c r="P158" s="367"/>
      <c r="Q158" s="306" t="s">
        <v>550</v>
      </c>
      <c r="R158" s="367"/>
      <c r="S158" s="367"/>
      <c r="T158" s="367"/>
      <c r="U158" s="367"/>
      <c r="V158" s="367"/>
      <c r="W158" s="367"/>
      <c r="X158" s="367"/>
      <c r="Y158" s="367"/>
      <c r="Z158" s="367"/>
    </row>
    <row r="159" ht="22.5" customHeight="1">
      <c r="A159" s="367"/>
      <c r="B159" s="369">
        <v>2024.0</v>
      </c>
      <c r="C159" s="296" t="s">
        <v>480</v>
      </c>
      <c r="D159" s="300" t="s">
        <v>82</v>
      </c>
      <c r="E159" s="141" t="s">
        <v>1989</v>
      </c>
      <c r="F159" s="296" t="s">
        <v>132</v>
      </c>
      <c r="G159" s="296" t="s">
        <v>1756</v>
      </c>
      <c r="H159" s="141" t="s">
        <v>545</v>
      </c>
      <c r="I159" s="296" t="s">
        <v>58</v>
      </c>
      <c r="J159" s="296" t="s">
        <v>1757</v>
      </c>
      <c r="K159" s="367"/>
      <c r="L159" s="371" t="s">
        <v>2049</v>
      </c>
      <c r="M159" s="79">
        <v>4.1494906E7</v>
      </c>
      <c r="N159" s="79">
        <v>3.184878934E9</v>
      </c>
      <c r="O159" s="372" t="s">
        <v>1018</v>
      </c>
      <c r="P159" s="367"/>
      <c r="Q159" s="306" t="s">
        <v>550</v>
      </c>
      <c r="R159" s="367"/>
      <c r="S159" s="367"/>
      <c r="T159" s="367"/>
      <c r="U159" s="367"/>
      <c r="V159" s="367"/>
      <c r="W159" s="367"/>
      <c r="X159" s="367"/>
      <c r="Y159" s="367"/>
      <c r="Z159" s="367"/>
    </row>
    <row r="160" ht="22.5" customHeight="1">
      <c r="A160" s="367"/>
      <c r="B160" s="369">
        <v>2024.0</v>
      </c>
      <c r="C160" s="296" t="s">
        <v>480</v>
      </c>
      <c r="D160" s="300" t="s">
        <v>82</v>
      </c>
      <c r="E160" s="141" t="s">
        <v>1989</v>
      </c>
      <c r="F160" s="296" t="s">
        <v>132</v>
      </c>
      <c r="G160" s="296" t="s">
        <v>1756</v>
      </c>
      <c r="H160" s="141" t="s">
        <v>545</v>
      </c>
      <c r="I160" s="296" t="s">
        <v>58</v>
      </c>
      <c r="J160" s="296" t="s">
        <v>1757</v>
      </c>
      <c r="K160" s="367"/>
      <c r="L160" s="371" t="s">
        <v>2050</v>
      </c>
      <c r="M160" s="79">
        <v>7.9252208E7</v>
      </c>
      <c r="N160" s="79">
        <v>3.123499976E9</v>
      </c>
      <c r="O160" s="372" t="s">
        <v>1764</v>
      </c>
      <c r="P160" s="367"/>
      <c r="Q160" s="306" t="s">
        <v>550</v>
      </c>
      <c r="R160" s="367"/>
      <c r="S160" s="367"/>
      <c r="T160" s="367"/>
      <c r="U160" s="367"/>
      <c r="V160" s="367"/>
      <c r="W160" s="367"/>
      <c r="X160" s="367"/>
      <c r="Y160" s="367"/>
      <c r="Z160" s="367"/>
    </row>
    <row r="161" ht="22.5" customHeight="1">
      <c r="A161" s="367"/>
      <c r="B161" s="369">
        <v>2024.0</v>
      </c>
      <c r="C161" s="296" t="s">
        <v>480</v>
      </c>
      <c r="D161" s="300" t="s">
        <v>82</v>
      </c>
      <c r="E161" s="141" t="s">
        <v>1989</v>
      </c>
      <c r="F161" s="296" t="s">
        <v>132</v>
      </c>
      <c r="G161" s="296" t="s">
        <v>1756</v>
      </c>
      <c r="H161" s="141" t="s">
        <v>545</v>
      </c>
      <c r="I161" s="296" t="s">
        <v>58</v>
      </c>
      <c r="J161" s="296" t="s">
        <v>1757</v>
      </c>
      <c r="K161" s="367"/>
      <c r="L161" s="371" t="s">
        <v>2051</v>
      </c>
      <c r="M161" s="79">
        <v>3.9640471E7</v>
      </c>
      <c r="N161" s="79">
        <v>3.212434356E9</v>
      </c>
      <c r="O161" s="372" t="s">
        <v>1018</v>
      </c>
      <c r="P161" s="367"/>
      <c r="Q161" s="306" t="s">
        <v>550</v>
      </c>
      <c r="R161" s="367"/>
      <c r="S161" s="367"/>
      <c r="T161" s="367"/>
      <c r="U161" s="367"/>
      <c r="V161" s="367"/>
      <c r="W161" s="367"/>
      <c r="X161" s="367"/>
      <c r="Y161" s="367"/>
      <c r="Z161" s="367"/>
    </row>
    <row r="162" ht="22.5" customHeight="1">
      <c r="A162" s="367"/>
      <c r="B162" s="369">
        <v>2024.0</v>
      </c>
      <c r="C162" s="296" t="s">
        <v>480</v>
      </c>
      <c r="D162" s="300" t="s">
        <v>82</v>
      </c>
      <c r="E162" s="141" t="s">
        <v>1989</v>
      </c>
      <c r="F162" s="296" t="s">
        <v>132</v>
      </c>
      <c r="G162" s="296" t="s">
        <v>1756</v>
      </c>
      <c r="H162" s="141" t="s">
        <v>545</v>
      </c>
      <c r="I162" s="296" t="s">
        <v>58</v>
      </c>
      <c r="J162" s="296" t="s">
        <v>1757</v>
      </c>
      <c r="K162" s="367"/>
      <c r="L162" s="371" t="s">
        <v>2052</v>
      </c>
      <c r="M162" s="79">
        <v>1.0434934E7</v>
      </c>
      <c r="N162" s="79">
        <v>3.103488919E9</v>
      </c>
      <c r="O162" s="372" t="s">
        <v>1764</v>
      </c>
      <c r="P162" s="367"/>
      <c r="Q162" s="306" t="s">
        <v>550</v>
      </c>
      <c r="R162" s="367"/>
      <c r="S162" s="367"/>
      <c r="T162" s="367"/>
      <c r="U162" s="367"/>
      <c r="V162" s="367"/>
      <c r="W162" s="367"/>
      <c r="X162" s="367"/>
      <c r="Y162" s="367"/>
      <c r="Z162" s="367"/>
    </row>
    <row r="163" ht="22.5" customHeight="1">
      <c r="A163" s="367"/>
      <c r="B163" s="369">
        <v>2024.0</v>
      </c>
      <c r="C163" s="296" t="s">
        <v>480</v>
      </c>
      <c r="D163" s="300" t="s">
        <v>82</v>
      </c>
      <c r="E163" s="141" t="s">
        <v>1989</v>
      </c>
      <c r="F163" s="296" t="s">
        <v>132</v>
      </c>
      <c r="G163" s="296" t="s">
        <v>1756</v>
      </c>
      <c r="H163" s="141" t="s">
        <v>545</v>
      </c>
      <c r="I163" s="296" t="s">
        <v>58</v>
      </c>
      <c r="J163" s="296" t="s">
        <v>1757</v>
      </c>
      <c r="K163" s="367"/>
      <c r="L163" s="371" t="s">
        <v>2053</v>
      </c>
      <c r="M163" s="79">
        <v>5.2857426E7</v>
      </c>
      <c r="N163" s="79">
        <v>3.108843632E9</v>
      </c>
      <c r="O163" s="372" t="s">
        <v>1018</v>
      </c>
      <c r="P163" s="367"/>
      <c r="Q163" s="306" t="s">
        <v>550</v>
      </c>
      <c r="R163" s="367"/>
      <c r="S163" s="367"/>
      <c r="T163" s="367"/>
      <c r="U163" s="367"/>
      <c r="V163" s="367"/>
      <c r="W163" s="367"/>
      <c r="X163" s="367"/>
      <c r="Y163" s="367"/>
      <c r="Z163" s="367"/>
    </row>
    <row r="164" ht="22.5" customHeight="1">
      <c r="A164" s="367"/>
      <c r="B164" s="369">
        <v>2024.0</v>
      </c>
      <c r="C164" s="296" t="s">
        <v>480</v>
      </c>
      <c r="D164" s="300" t="s">
        <v>82</v>
      </c>
      <c r="E164" s="141" t="s">
        <v>1989</v>
      </c>
      <c r="F164" s="296" t="s">
        <v>132</v>
      </c>
      <c r="G164" s="296" t="s">
        <v>1756</v>
      </c>
      <c r="H164" s="141" t="s">
        <v>545</v>
      </c>
      <c r="I164" s="296" t="s">
        <v>58</v>
      </c>
      <c r="J164" s="296" t="s">
        <v>1757</v>
      </c>
      <c r="K164" s="367"/>
      <c r="L164" s="371" t="s">
        <v>2054</v>
      </c>
      <c r="M164" s="79">
        <v>8.0153716E7</v>
      </c>
      <c r="N164" s="79">
        <v>3.133519624E9</v>
      </c>
      <c r="O164" s="372" t="s">
        <v>1764</v>
      </c>
      <c r="P164" s="367"/>
      <c r="Q164" s="306" t="s">
        <v>550</v>
      </c>
      <c r="R164" s="367"/>
      <c r="S164" s="367"/>
      <c r="T164" s="367"/>
      <c r="U164" s="367"/>
      <c r="V164" s="367"/>
      <c r="W164" s="367"/>
      <c r="X164" s="367"/>
      <c r="Y164" s="367"/>
      <c r="Z164" s="367"/>
    </row>
    <row r="165" ht="22.5" customHeight="1">
      <c r="A165" s="367"/>
      <c r="B165" s="369">
        <v>2024.0</v>
      </c>
      <c r="C165" s="296" t="s">
        <v>480</v>
      </c>
      <c r="D165" s="300" t="s">
        <v>82</v>
      </c>
      <c r="E165" s="141" t="s">
        <v>1989</v>
      </c>
      <c r="F165" s="296" t="s">
        <v>132</v>
      </c>
      <c r="G165" s="296" t="s">
        <v>1756</v>
      </c>
      <c r="H165" s="141" t="s">
        <v>545</v>
      </c>
      <c r="I165" s="296" t="s">
        <v>58</v>
      </c>
      <c r="J165" s="296" t="s">
        <v>1757</v>
      </c>
      <c r="K165" s="367"/>
      <c r="L165" s="371" t="s">
        <v>2055</v>
      </c>
      <c r="M165" s="79">
        <v>1.921381E7</v>
      </c>
      <c r="N165" s="79">
        <v>3.132692213E9</v>
      </c>
      <c r="O165" s="372" t="s">
        <v>1764</v>
      </c>
      <c r="P165" s="367"/>
      <c r="Q165" s="306" t="s">
        <v>550</v>
      </c>
      <c r="R165" s="367"/>
      <c r="S165" s="367"/>
      <c r="T165" s="367"/>
      <c r="U165" s="367"/>
      <c r="V165" s="367"/>
      <c r="W165" s="367"/>
      <c r="X165" s="367"/>
      <c r="Y165" s="367"/>
      <c r="Z165" s="367"/>
    </row>
    <row r="166" ht="22.5" customHeight="1">
      <c r="A166" s="367"/>
      <c r="B166" s="369">
        <v>2024.0</v>
      </c>
      <c r="C166" s="296" t="s">
        <v>480</v>
      </c>
      <c r="D166" s="300" t="s">
        <v>82</v>
      </c>
      <c r="E166" s="141" t="s">
        <v>1989</v>
      </c>
      <c r="F166" s="296" t="s">
        <v>132</v>
      </c>
      <c r="G166" s="296" t="s">
        <v>1756</v>
      </c>
      <c r="H166" s="141" t="s">
        <v>545</v>
      </c>
      <c r="I166" s="296" t="s">
        <v>58</v>
      </c>
      <c r="J166" s="296" t="s">
        <v>1757</v>
      </c>
      <c r="K166" s="367"/>
      <c r="L166" s="371" t="s">
        <v>2056</v>
      </c>
      <c r="M166" s="79">
        <v>1.007107877E9</v>
      </c>
      <c r="N166" s="79">
        <v>3.132773197E9</v>
      </c>
      <c r="O166" s="372" t="s">
        <v>1764</v>
      </c>
      <c r="P166" s="367"/>
      <c r="Q166" s="306" t="s">
        <v>550</v>
      </c>
      <c r="R166" s="367"/>
      <c r="S166" s="367"/>
      <c r="T166" s="367"/>
      <c r="U166" s="367"/>
      <c r="V166" s="367"/>
      <c r="W166" s="367"/>
      <c r="X166" s="367"/>
      <c r="Y166" s="367"/>
      <c r="Z166" s="367"/>
    </row>
    <row r="167" ht="22.5" customHeight="1">
      <c r="A167" s="367"/>
      <c r="B167" s="369">
        <v>2024.0</v>
      </c>
      <c r="C167" s="296" t="s">
        <v>480</v>
      </c>
      <c r="D167" s="300" t="s">
        <v>82</v>
      </c>
      <c r="E167" s="141" t="s">
        <v>1989</v>
      </c>
      <c r="F167" s="296" t="s">
        <v>132</v>
      </c>
      <c r="G167" s="296" t="s">
        <v>1756</v>
      </c>
      <c r="H167" s="141" t="s">
        <v>545</v>
      </c>
      <c r="I167" s="296" t="s">
        <v>58</v>
      </c>
      <c r="J167" s="296" t="s">
        <v>1757</v>
      </c>
      <c r="K167" s="367"/>
      <c r="L167" s="371" t="s">
        <v>2057</v>
      </c>
      <c r="M167" s="79">
        <v>1.031124847E9</v>
      </c>
      <c r="N167" s="79">
        <v>3.142023736E9</v>
      </c>
      <c r="O167" s="372" t="s">
        <v>1764</v>
      </c>
      <c r="P167" s="367"/>
      <c r="Q167" s="306" t="s">
        <v>550</v>
      </c>
      <c r="R167" s="367"/>
      <c r="S167" s="367"/>
      <c r="T167" s="367"/>
      <c r="U167" s="367"/>
      <c r="V167" s="367"/>
      <c r="W167" s="367"/>
      <c r="X167" s="367"/>
      <c r="Y167" s="367"/>
      <c r="Z167" s="367"/>
    </row>
    <row r="168" ht="22.5" customHeight="1">
      <c r="A168" s="367"/>
      <c r="B168" s="369">
        <v>2024.0</v>
      </c>
      <c r="C168" s="296" t="s">
        <v>480</v>
      </c>
      <c r="D168" s="300" t="s">
        <v>82</v>
      </c>
      <c r="E168" s="141" t="s">
        <v>1989</v>
      </c>
      <c r="F168" s="296" t="s">
        <v>132</v>
      </c>
      <c r="G168" s="296" t="s">
        <v>1756</v>
      </c>
      <c r="H168" s="141" t="s">
        <v>545</v>
      </c>
      <c r="I168" s="296" t="s">
        <v>58</v>
      </c>
      <c r="J168" s="296" t="s">
        <v>1757</v>
      </c>
      <c r="K168" s="367"/>
      <c r="L168" s="371" t="s">
        <v>2058</v>
      </c>
      <c r="M168" s="79">
        <v>2.1075073E7</v>
      </c>
      <c r="N168" s="79">
        <v>3.142903388E9</v>
      </c>
      <c r="O168" s="372" t="s">
        <v>1018</v>
      </c>
      <c r="P168" s="367"/>
      <c r="Q168" s="306" t="s">
        <v>550</v>
      </c>
      <c r="R168" s="367"/>
      <c r="S168" s="367"/>
      <c r="T168" s="367"/>
      <c r="U168" s="367"/>
      <c r="V168" s="367"/>
      <c r="W168" s="367"/>
      <c r="X168" s="367"/>
      <c r="Y168" s="367"/>
      <c r="Z168" s="367"/>
    </row>
    <row r="169" ht="22.5" customHeight="1">
      <c r="A169" s="367"/>
      <c r="B169" s="369">
        <v>2024.0</v>
      </c>
      <c r="C169" s="296" t="s">
        <v>480</v>
      </c>
      <c r="D169" s="300" t="s">
        <v>82</v>
      </c>
      <c r="E169" s="141" t="s">
        <v>1989</v>
      </c>
      <c r="F169" s="296" t="s">
        <v>132</v>
      </c>
      <c r="G169" s="296" t="s">
        <v>1756</v>
      </c>
      <c r="H169" s="141" t="s">
        <v>545</v>
      </c>
      <c r="I169" s="296" t="s">
        <v>58</v>
      </c>
      <c r="J169" s="296" t="s">
        <v>1757</v>
      </c>
      <c r="K169" s="367"/>
      <c r="L169" s="371" t="s">
        <v>2059</v>
      </c>
      <c r="M169" s="79">
        <v>5.2527003E7</v>
      </c>
      <c r="N169" s="79">
        <v>3.186569297E9</v>
      </c>
      <c r="O169" s="372" t="s">
        <v>1018</v>
      </c>
      <c r="P169" s="367"/>
      <c r="Q169" s="306" t="s">
        <v>550</v>
      </c>
      <c r="R169" s="367"/>
      <c r="S169" s="367"/>
      <c r="T169" s="367"/>
      <c r="U169" s="367"/>
      <c r="V169" s="367"/>
      <c r="W169" s="367"/>
      <c r="X169" s="367"/>
      <c r="Y169" s="367"/>
      <c r="Z169" s="367"/>
    </row>
    <row r="170" ht="22.5" customHeight="1">
      <c r="A170" s="367"/>
      <c r="B170" s="369">
        <v>2024.0</v>
      </c>
      <c r="C170" s="296" t="s">
        <v>480</v>
      </c>
      <c r="D170" s="300" t="s">
        <v>82</v>
      </c>
      <c r="E170" s="141" t="s">
        <v>1989</v>
      </c>
      <c r="F170" s="296" t="s">
        <v>132</v>
      </c>
      <c r="G170" s="296" t="s">
        <v>1756</v>
      </c>
      <c r="H170" s="141" t="s">
        <v>545</v>
      </c>
      <c r="I170" s="296" t="s">
        <v>58</v>
      </c>
      <c r="J170" s="296" t="s">
        <v>1757</v>
      </c>
      <c r="K170" s="367"/>
      <c r="L170" s="371" t="s">
        <v>2060</v>
      </c>
      <c r="M170" s="79">
        <v>5.2742723E7</v>
      </c>
      <c r="N170" s="79">
        <v>3.108777448E9</v>
      </c>
      <c r="O170" s="372" t="s">
        <v>1018</v>
      </c>
      <c r="P170" s="367"/>
      <c r="Q170" s="306" t="s">
        <v>550</v>
      </c>
      <c r="R170" s="367"/>
      <c r="S170" s="367"/>
      <c r="T170" s="367"/>
      <c r="U170" s="367"/>
      <c r="V170" s="367"/>
      <c r="W170" s="367"/>
      <c r="X170" s="367"/>
      <c r="Y170" s="367"/>
      <c r="Z170" s="367"/>
    </row>
    <row r="171" ht="22.5" customHeight="1">
      <c r="A171" s="367"/>
      <c r="B171" s="369">
        <v>2024.0</v>
      </c>
      <c r="C171" s="296" t="s">
        <v>480</v>
      </c>
      <c r="D171" s="300" t="s">
        <v>82</v>
      </c>
      <c r="E171" s="141" t="s">
        <v>1989</v>
      </c>
      <c r="F171" s="296" t="s">
        <v>132</v>
      </c>
      <c r="G171" s="296" t="s">
        <v>1756</v>
      </c>
      <c r="H171" s="141" t="s">
        <v>545</v>
      </c>
      <c r="I171" s="296" t="s">
        <v>58</v>
      </c>
      <c r="J171" s="296" t="s">
        <v>1757</v>
      </c>
      <c r="K171" s="367"/>
      <c r="L171" s="371" t="s">
        <v>2061</v>
      </c>
      <c r="M171" s="79">
        <v>7216330.0</v>
      </c>
      <c r="N171" s="79">
        <v>3.15257152E9</v>
      </c>
      <c r="O171" s="372" t="s">
        <v>1764</v>
      </c>
      <c r="P171" s="367"/>
      <c r="Q171" s="306" t="s">
        <v>550</v>
      </c>
      <c r="R171" s="367"/>
      <c r="S171" s="367"/>
      <c r="T171" s="367"/>
      <c r="U171" s="367"/>
      <c r="V171" s="367"/>
      <c r="W171" s="367"/>
      <c r="X171" s="367"/>
      <c r="Y171" s="367"/>
      <c r="Z171" s="367"/>
    </row>
    <row r="172" ht="22.5" customHeight="1">
      <c r="A172" s="367"/>
      <c r="B172" s="369">
        <v>2024.0</v>
      </c>
      <c r="C172" s="296" t="s">
        <v>480</v>
      </c>
      <c r="D172" s="300" t="s">
        <v>82</v>
      </c>
      <c r="E172" s="141" t="s">
        <v>1989</v>
      </c>
      <c r="F172" s="296" t="s">
        <v>132</v>
      </c>
      <c r="G172" s="296" t="s">
        <v>1756</v>
      </c>
      <c r="H172" s="141" t="s">
        <v>545</v>
      </c>
      <c r="I172" s="296" t="s">
        <v>58</v>
      </c>
      <c r="J172" s="296" t="s">
        <v>1757</v>
      </c>
      <c r="K172" s="367"/>
      <c r="L172" s="371" t="s">
        <v>2062</v>
      </c>
      <c r="M172" s="79">
        <v>3.62752E7</v>
      </c>
      <c r="N172" s="79">
        <v>3.173911964E9</v>
      </c>
      <c r="O172" s="372" t="s">
        <v>1764</v>
      </c>
      <c r="P172" s="367"/>
      <c r="Q172" s="306" t="s">
        <v>550</v>
      </c>
      <c r="R172" s="367"/>
      <c r="S172" s="367"/>
      <c r="T172" s="367"/>
      <c r="U172" s="367"/>
      <c r="V172" s="367"/>
      <c r="W172" s="367"/>
      <c r="X172" s="367"/>
      <c r="Y172" s="367"/>
      <c r="Z172" s="367"/>
    </row>
    <row r="173" ht="22.5" customHeight="1">
      <c r="A173" s="367"/>
      <c r="B173" s="369">
        <v>2024.0</v>
      </c>
      <c r="C173" s="296" t="s">
        <v>480</v>
      </c>
      <c r="D173" s="300" t="s">
        <v>82</v>
      </c>
      <c r="E173" s="141" t="s">
        <v>1989</v>
      </c>
      <c r="F173" s="296" t="s">
        <v>132</v>
      </c>
      <c r="G173" s="296" t="s">
        <v>1756</v>
      </c>
      <c r="H173" s="141" t="s">
        <v>545</v>
      </c>
      <c r="I173" s="296" t="s">
        <v>58</v>
      </c>
      <c r="J173" s="296" t="s">
        <v>1757</v>
      </c>
      <c r="K173" s="367"/>
      <c r="L173" s="371" t="s">
        <v>2063</v>
      </c>
      <c r="M173" s="79">
        <v>2.7075149E7</v>
      </c>
      <c r="N173" s="79">
        <v>3.222528179E9</v>
      </c>
      <c r="O173" s="372" t="s">
        <v>1018</v>
      </c>
      <c r="P173" s="367"/>
      <c r="Q173" s="306" t="s">
        <v>550</v>
      </c>
      <c r="R173" s="367"/>
      <c r="S173" s="367"/>
      <c r="T173" s="367"/>
      <c r="U173" s="367"/>
      <c r="V173" s="367"/>
      <c r="W173" s="367"/>
      <c r="X173" s="367"/>
      <c r="Y173" s="367"/>
      <c r="Z173" s="367"/>
    </row>
    <row r="174" ht="22.5" customHeight="1">
      <c r="A174" s="367"/>
      <c r="B174" s="369">
        <v>2024.0</v>
      </c>
      <c r="C174" s="296" t="s">
        <v>480</v>
      </c>
      <c r="D174" s="300" t="s">
        <v>82</v>
      </c>
      <c r="E174" s="141" t="s">
        <v>1989</v>
      </c>
      <c r="F174" s="296" t="s">
        <v>132</v>
      </c>
      <c r="G174" s="296" t="s">
        <v>1756</v>
      </c>
      <c r="H174" s="141" t="s">
        <v>545</v>
      </c>
      <c r="I174" s="296" t="s">
        <v>58</v>
      </c>
      <c r="J174" s="296" t="s">
        <v>1757</v>
      </c>
      <c r="K174" s="367"/>
      <c r="L174" s="371" t="s">
        <v>2064</v>
      </c>
      <c r="M174" s="79">
        <v>3021439.0</v>
      </c>
      <c r="N174" s="79">
        <v>3.124067034E9</v>
      </c>
      <c r="O174" s="372" t="s">
        <v>1764</v>
      </c>
      <c r="P174" s="367"/>
      <c r="Q174" s="306" t="s">
        <v>550</v>
      </c>
      <c r="R174" s="367"/>
      <c r="S174" s="367"/>
      <c r="T174" s="367"/>
      <c r="U174" s="367"/>
      <c r="V174" s="367"/>
      <c r="W174" s="367"/>
      <c r="X174" s="367"/>
      <c r="Y174" s="367"/>
      <c r="Z174" s="367"/>
    </row>
    <row r="175" ht="22.5" customHeight="1">
      <c r="A175" s="367"/>
      <c r="B175" s="369">
        <v>2024.0</v>
      </c>
      <c r="C175" s="296" t="s">
        <v>480</v>
      </c>
      <c r="D175" s="300" t="s">
        <v>82</v>
      </c>
      <c r="E175" s="141" t="s">
        <v>1989</v>
      </c>
      <c r="F175" s="296" t="s">
        <v>132</v>
      </c>
      <c r="G175" s="296" t="s">
        <v>1756</v>
      </c>
      <c r="H175" s="141" t="s">
        <v>545</v>
      </c>
      <c r="I175" s="296" t="s">
        <v>58</v>
      </c>
      <c r="J175" s="296" t="s">
        <v>1757</v>
      </c>
      <c r="K175" s="367"/>
      <c r="L175" s="371" t="s">
        <v>2065</v>
      </c>
      <c r="M175" s="79">
        <v>4.1543866E7</v>
      </c>
      <c r="N175" s="79">
        <v>3.133006887E9</v>
      </c>
      <c r="O175" s="372" t="s">
        <v>1764</v>
      </c>
      <c r="P175" s="367"/>
      <c r="Q175" s="306" t="s">
        <v>550</v>
      </c>
      <c r="R175" s="367"/>
      <c r="S175" s="367"/>
      <c r="T175" s="367"/>
      <c r="U175" s="367"/>
      <c r="V175" s="367"/>
      <c r="W175" s="367"/>
      <c r="X175" s="367"/>
      <c r="Y175" s="367"/>
      <c r="Z175" s="367"/>
    </row>
    <row r="176" ht="22.5" customHeight="1">
      <c r="A176" s="367"/>
      <c r="B176" s="369">
        <v>2024.0</v>
      </c>
      <c r="C176" s="296" t="s">
        <v>528</v>
      </c>
      <c r="D176" s="300" t="s">
        <v>82</v>
      </c>
      <c r="E176" s="141" t="s">
        <v>2066</v>
      </c>
      <c r="F176" s="296" t="s">
        <v>132</v>
      </c>
      <c r="G176" s="296" t="s">
        <v>1756</v>
      </c>
      <c r="H176" s="141" t="s">
        <v>2067</v>
      </c>
      <c r="I176" s="296" t="s">
        <v>58</v>
      </c>
      <c r="J176" s="296" t="s">
        <v>1757</v>
      </c>
      <c r="K176" s="367"/>
      <c r="L176" s="371" t="s">
        <v>2068</v>
      </c>
      <c r="M176" s="79">
        <v>1.9479127E7</v>
      </c>
      <c r="N176" s="79">
        <v>3.144024686E9</v>
      </c>
      <c r="O176" s="372" t="s">
        <v>1764</v>
      </c>
      <c r="P176" s="367"/>
      <c r="Q176" s="30" t="s">
        <v>576</v>
      </c>
      <c r="R176" s="367"/>
      <c r="S176" s="367"/>
      <c r="T176" s="367"/>
      <c r="U176" s="367"/>
      <c r="V176" s="367"/>
      <c r="W176" s="367"/>
      <c r="X176" s="367"/>
      <c r="Y176" s="367"/>
      <c r="Z176" s="367"/>
    </row>
    <row r="177" ht="22.5" customHeight="1">
      <c r="A177" s="367"/>
      <c r="B177" s="369">
        <v>2024.0</v>
      </c>
      <c r="C177" s="296" t="s">
        <v>528</v>
      </c>
      <c r="D177" s="300" t="s">
        <v>82</v>
      </c>
      <c r="E177" s="141" t="s">
        <v>2069</v>
      </c>
      <c r="F177" s="296" t="s">
        <v>132</v>
      </c>
      <c r="G177" s="296" t="s">
        <v>1756</v>
      </c>
      <c r="H177" s="141" t="s">
        <v>2067</v>
      </c>
      <c r="I177" s="296" t="s">
        <v>58</v>
      </c>
      <c r="J177" s="296" t="s">
        <v>1757</v>
      </c>
      <c r="K177" s="367"/>
      <c r="L177" s="371" t="s">
        <v>2070</v>
      </c>
      <c r="M177" s="79">
        <v>6.558619E7</v>
      </c>
      <c r="N177" s="79">
        <v>3.212349082E9</v>
      </c>
      <c r="O177" s="372" t="s">
        <v>1018</v>
      </c>
      <c r="P177" s="367"/>
      <c r="Q177" s="30" t="s">
        <v>576</v>
      </c>
      <c r="R177" s="367"/>
      <c r="S177" s="367"/>
      <c r="T177" s="367"/>
      <c r="U177" s="367"/>
      <c r="V177" s="367"/>
      <c r="W177" s="367"/>
      <c r="X177" s="367"/>
      <c r="Y177" s="367"/>
      <c r="Z177" s="367"/>
    </row>
    <row r="178" ht="22.5" customHeight="1">
      <c r="A178" s="367"/>
      <c r="B178" s="369">
        <v>2024.0</v>
      </c>
      <c r="C178" s="296" t="s">
        <v>528</v>
      </c>
      <c r="D178" s="300" t="s">
        <v>82</v>
      </c>
      <c r="E178" s="141" t="s">
        <v>2071</v>
      </c>
      <c r="F178" s="296" t="s">
        <v>132</v>
      </c>
      <c r="G178" s="296" t="s">
        <v>1756</v>
      </c>
      <c r="H178" s="141" t="s">
        <v>2067</v>
      </c>
      <c r="I178" s="296" t="s">
        <v>58</v>
      </c>
      <c r="J178" s="296" t="s">
        <v>1757</v>
      </c>
      <c r="K178" s="367"/>
      <c r="L178" s="371" t="s">
        <v>2072</v>
      </c>
      <c r="M178" s="79">
        <v>1.022399196E9</v>
      </c>
      <c r="N178" s="79">
        <v>3.123416041E9</v>
      </c>
      <c r="O178" s="372" t="s">
        <v>1018</v>
      </c>
      <c r="P178" s="367"/>
      <c r="Q178" s="30" t="s">
        <v>576</v>
      </c>
      <c r="R178" s="367"/>
      <c r="S178" s="367"/>
      <c r="T178" s="367"/>
      <c r="U178" s="367"/>
      <c r="V178" s="367"/>
      <c r="W178" s="367"/>
      <c r="X178" s="367"/>
      <c r="Y178" s="367"/>
      <c r="Z178" s="367"/>
    </row>
    <row r="179" ht="22.5" customHeight="1">
      <c r="A179" s="367"/>
      <c r="B179" s="369">
        <v>2024.0</v>
      </c>
      <c r="C179" s="296" t="s">
        <v>528</v>
      </c>
      <c r="D179" s="300" t="s">
        <v>82</v>
      </c>
      <c r="E179" s="141" t="s">
        <v>2073</v>
      </c>
      <c r="F179" s="296" t="s">
        <v>132</v>
      </c>
      <c r="G179" s="296" t="s">
        <v>1756</v>
      </c>
      <c r="H179" s="141" t="s">
        <v>2067</v>
      </c>
      <c r="I179" s="296" t="s">
        <v>58</v>
      </c>
      <c r="J179" s="296" t="s">
        <v>1757</v>
      </c>
      <c r="K179" s="367"/>
      <c r="L179" s="371" t="s">
        <v>2074</v>
      </c>
      <c r="M179" s="79">
        <v>1.000725859E9</v>
      </c>
      <c r="N179" s="79">
        <v>3.053455993E9</v>
      </c>
      <c r="O179" s="372" t="s">
        <v>1764</v>
      </c>
      <c r="P179" s="367"/>
      <c r="Q179" s="30" t="s">
        <v>576</v>
      </c>
      <c r="R179" s="367"/>
      <c r="S179" s="367"/>
      <c r="T179" s="367"/>
      <c r="U179" s="367"/>
      <c r="V179" s="367"/>
      <c r="W179" s="367"/>
      <c r="X179" s="367"/>
      <c r="Y179" s="367"/>
      <c r="Z179" s="367"/>
    </row>
    <row r="180" ht="22.5" customHeight="1">
      <c r="A180" s="367"/>
      <c r="B180" s="369">
        <v>2024.0</v>
      </c>
      <c r="C180" s="296" t="s">
        <v>528</v>
      </c>
      <c r="D180" s="300" t="s">
        <v>82</v>
      </c>
      <c r="E180" s="141" t="s">
        <v>2075</v>
      </c>
      <c r="F180" s="296" t="s">
        <v>132</v>
      </c>
      <c r="G180" s="296" t="s">
        <v>1756</v>
      </c>
      <c r="H180" s="141" t="s">
        <v>2067</v>
      </c>
      <c r="I180" s="296" t="s">
        <v>58</v>
      </c>
      <c r="J180" s="296" t="s">
        <v>1757</v>
      </c>
      <c r="K180" s="367"/>
      <c r="L180" s="371" t="s">
        <v>2076</v>
      </c>
      <c r="M180" s="79">
        <v>5.2525945E7</v>
      </c>
      <c r="N180" s="79">
        <v>3.135927351E9</v>
      </c>
      <c r="O180" s="372" t="s">
        <v>1018</v>
      </c>
      <c r="P180" s="367"/>
      <c r="Q180" s="30" t="s">
        <v>576</v>
      </c>
      <c r="R180" s="367"/>
      <c r="S180" s="367"/>
      <c r="T180" s="367"/>
      <c r="U180" s="367"/>
      <c r="V180" s="367"/>
      <c r="W180" s="367"/>
      <c r="X180" s="367"/>
      <c r="Y180" s="367"/>
      <c r="Z180" s="367"/>
    </row>
    <row r="181" ht="22.5" customHeight="1">
      <c r="A181" s="367"/>
      <c r="B181" s="369">
        <v>2024.0</v>
      </c>
      <c r="C181" s="296" t="s">
        <v>528</v>
      </c>
      <c r="D181" s="300" t="s">
        <v>82</v>
      </c>
      <c r="E181" s="141" t="s">
        <v>2077</v>
      </c>
      <c r="F181" s="296" t="s">
        <v>132</v>
      </c>
      <c r="G181" s="296" t="s">
        <v>1756</v>
      </c>
      <c r="H181" s="141" t="s">
        <v>2067</v>
      </c>
      <c r="I181" s="296" t="s">
        <v>58</v>
      </c>
      <c r="J181" s="296" t="s">
        <v>1757</v>
      </c>
      <c r="K181" s="367"/>
      <c r="L181" s="371" t="s">
        <v>2078</v>
      </c>
      <c r="M181" s="79">
        <v>5.2220331E7</v>
      </c>
      <c r="N181" s="79">
        <v>3.204715667E9</v>
      </c>
      <c r="O181" s="372" t="s">
        <v>1018</v>
      </c>
      <c r="P181" s="367"/>
      <c r="Q181" s="30" t="s">
        <v>576</v>
      </c>
      <c r="R181" s="367"/>
      <c r="S181" s="367"/>
      <c r="T181" s="367"/>
      <c r="U181" s="367"/>
      <c r="V181" s="367"/>
      <c r="W181" s="367"/>
      <c r="X181" s="367"/>
      <c r="Y181" s="367"/>
      <c r="Z181" s="367"/>
    </row>
    <row r="182" ht="22.5" customHeight="1">
      <c r="A182" s="367"/>
      <c r="B182" s="369">
        <v>2024.0</v>
      </c>
      <c r="C182" s="296" t="s">
        <v>528</v>
      </c>
      <c r="D182" s="300" t="s">
        <v>82</v>
      </c>
      <c r="E182" s="141" t="s">
        <v>2079</v>
      </c>
      <c r="F182" s="296" t="s">
        <v>132</v>
      </c>
      <c r="G182" s="296" t="s">
        <v>1756</v>
      </c>
      <c r="H182" s="141" t="s">
        <v>2067</v>
      </c>
      <c r="I182" s="296" t="s">
        <v>58</v>
      </c>
      <c r="J182" s="296" t="s">
        <v>1757</v>
      </c>
      <c r="K182" s="367"/>
      <c r="L182" s="371" t="s">
        <v>2080</v>
      </c>
      <c r="M182" s="79">
        <v>5.1910659E7</v>
      </c>
      <c r="N182" s="79">
        <v>3.144728277E9</v>
      </c>
      <c r="O182" s="372" t="s">
        <v>1018</v>
      </c>
      <c r="P182" s="367"/>
      <c r="Q182" s="30" t="s">
        <v>576</v>
      </c>
      <c r="R182" s="367"/>
      <c r="S182" s="367"/>
      <c r="T182" s="367"/>
      <c r="U182" s="367"/>
      <c r="V182" s="367"/>
      <c r="W182" s="367"/>
      <c r="X182" s="367"/>
      <c r="Y182" s="367"/>
      <c r="Z182" s="367"/>
    </row>
    <row r="183" ht="22.5" customHeight="1">
      <c r="A183" s="367"/>
      <c r="B183" s="369">
        <v>2024.0</v>
      </c>
      <c r="C183" s="296" t="s">
        <v>528</v>
      </c>
      <c r="D183" s="300" t="s">
        <v>82</v>
      </c>
      <c r="E183" s="141" t="s">
        <v>2081</v>
      </c>
      <c r="F183" s="296" t="s">
        <v>132</v>
      </c>
      <c r="G183" s="296" t="s">
        <v>1756</v>
      </c>
      <c r="H183" s="141" t="s">
        <v>2067</v>
      </c>
      <c r="I183" s="296" t="s">
        <v>58</v>
      </c>
      <c r="J183" s="296" t="s">
        <v>1757</v>
      </c>
      <c r="K183" s="367"/>
      <c r="L183" s="371" t="s">
        <v>2082</v>
      </c>
      <c r="M183" s="79">
        <v>6.6681263E7</v>
      </c>
      <c r="N183" s="79">
        <v>3.16108404E9</v>
      </c>
      <c r="O183" s="372" t="s">
        <v>1018</v>
      </c>
      <c r="P183" s="367"/>
      <c r="Q183" s="30" t="s">
        <v>576</v>
      </c>
      <c r="R183" s="367"/>
      <c r="S183" s="367"/>
      <c r="T183" s="367"/>
      <c r="U183" s="367"/>
      <c r="V183" s="367"/>
      <c r="W183" s="367"/>
      <c r="X183" s="367"/>
      <c r="Y183" s="367"/>
      <c r="Z183" s="367"/>
    </row>
    <row r="184" ht="22.5" customHeight="1">
      <c r="A184" s="367"/>
      <c r="B184" s="369">
        <v>2024.0</v>
      </c>
      <c r="C184" s="296" t="s">
        <v>528</v>
      </c>
      <c r="D184" s="300" t="s">
        <v>82</v>
      </c>
      <c r="E184" s="141" t="s">
        <v>2083</v>
      </c>
      <c r="F184" s="296" t="s">
        <v>132</v>
      </c>
      <c r="G184" s="296" t="s">
        <v>1756</v>
      </c>
      <c r="H184" s="141" t="s">
        <v>2067</v>
      </c>
      <c r="I184" s="296" t="s">
        <v>58</v>
      </c>
      <c r="J184" s="296" t="s">
        <v>1757</v>
      </c>
      <c r="K184" s="367"/>
      <c r="L184" s="371" t="s">
        <v>2084</v>
      </c>
      <c r="M184" s="79">
        <v>1.018415749E9</v>
      </c>
      <c r="N184" s="79">
        <v>3.125867033E9</v>
      </c>
      <c r="O184" s="372" t="s">
        <v>1018</v>
      </c>
      <c r="P184" s="367"/>
      <c r="Q184" s="30" t="s">
        <v>576</v>
      </c>
      <c r="R184" s="367"/>
      <c r="S184" s="367"/>
      <c r="T184" s="367"/>
      <c r="U184" s="367"/>
      <c r="V184" s="367"/>
      <c r="W184" s="367"/>
      <c r="X184" s="367"/>
      <c r="Y184" s="367"/>
      <c r="Z184" s="367"/>
    </row>
    <row r="185" ht="22.5" customHeight="1">
      <c r="A185" s="367"/>
      <c r="B185" s="369">
        <v>2024.0</v>
      </c>
      <c r="C185" s="296" t="s">
        <v>528</v>
      </c>
      <c r="D185" s="300" t="s">
        <v>82</v>
      </c>
      <c r="E185" s="141" t="s">
        <v>2085</v>
      </c>
      <c r="F185" s="296" t="s">
        <v>132</v>
      </c>
      <c r="G185" s="296" t="s">
        <v>1756</v>
      </c>
      <c r="H185" s="141" t="s">
        <v>2067</v>
      </c>
      <c r="I185" s="296" t="s">
        <v>58</v>
      </c>
      <c r="J185" s="296" t="s">
        <v>1757</v>
      </c>
      <c r="K185" s="367"/>
      <c r="L185" s="371" t="s">
        <v>2086</v>
      </c>
      <c r="M185" s="79">
        <v>5.2888092E7</v>
      </c>
      <c r="N185" s="79">
        <v>3.10565896E9</v>
      </c>
      <c r="O185" s="372" t="s">
        <v>1018</v>
      </c>
      <c r="P185" s="367"/>
      <c r="Q185" s="30" t="s">
        <v>576</v>
      </c>
      <c r="R185" s="367"/>
      <c r="S185" s="367"/>
      <c r="T185" s="367"/>
      <c r="U185" s="367"/>
      <c r="V185" s="367"/>
      <c r="W185" s="367"/>
      <c r="X185" s="367"/>
      <c r="Y185" s="367"/>
      <c r="Z185" s="367"/>
    </row>
    <row r="186" ht="22.5" customHeight="1">
      <c r="A186" s="367"/>
      <c r="B186" s="369">
        <v>2024.0</v>
      </c>
      <c r="C186" s="296" t="s">
        <v>528</v>
      </c>
      <c r="D186" s="300" t="s">
        <v>82</v>
      </c>
      <c r="E186" s="141" t="s">
        <v>2087</v>
      </c>
      <c r="F186" s="296" t="s">
        <v>132</v>
      </c>
      <c r="G186" s="296" t="s">
        <v>1756</v>
      </c>
      <c r="H186" s="141" t="s">
        <v>2067</v>
      </c>
      <c r="I186" s="296" t="s">
        <v>58</v>
      </c>
      <c r="J186" s="296" t="s">
        <v>1757</v>
      </c>
      <c r="K186" s="367"/>
      <c r="L186" s="371" t="s">
        <v>2088</v>
      </c>
      <c r="M186" s="79">
        <v>4.1572676E7</v>
      </c>
      <c r="N186" s="79" t="s">
        <v>2089</v>
      </c>
      <c r="O186" s="372" t="s">
        <v>1018</v>
      </c>
      <c r="P186" s="367"/>
      <c r="Q186" s="30" t="s">
        <v>576</v>
      </c>
      <c r="R186" s="367"/>
      <c r="S186" s="367"/>
      <c r="T186" s="367"/>
      <c r="U186" s="367"/>
      <c r="V186" s="367"/>
      <c r="W186" s="367"/>
      <c r="X186" s="367"/>
      <c r="Y186" s="367"/>
      <c r="Z186" s="367"/>
    </row>
    <row r="187" ht="22.5" customHeight="1">
      <c r="A187" s="367"/>
      <c r="B187" s="369">
        <v>2024.0</v>
      </c>
      <c r="C187" s="296" t="s">
        <v>528</v>
      </c>
      <c r="D187" s="300" t="s">
        <v>82</v>
      </c>
      <c r="E187" s="141" t="s">
        <v>2090</v>
      </c>
      <c r="F187" s="296" t="s">
        <v>132</v>
      </c>
      <c r="G187" s="296" t="s">
        <v>1756</v>
      </c>
      <c r="H187" s="141" t="s">
        <v>2067</v>
      </c>
      <c r="I187" s="296" t="s">
        <v>58</v>
      </c>
      <c r="J187" s="296" t="s">
        <v>1757</v>
      </c>
      <c r="K187" s="367"/>
      <c r="L187" s="371" t="s">
        <v>2091</v>
      </c>
      <c r="M187" s="79">
        <v>1.9151333E7</v>
      </c>
      <c r="N187" s="79" t="s">
        <v>2092</v>
      </c>
      <c r="O187" s="372" t="s">
        <v>1764</v>
      </c>
      <c r="P187" s="367"/>
      <c r="Q187" s="30" t="s">
        <v>576</v>
      </c>
      <c r="R187" s="367"/>
      <c r="S187" s="367"/>
      <c r="T187" s="367"/>
      <c r="U187" s="367"/>
      <c r="V187" s="367"/>
      <c r="W187" s="367"/>
      <c r="X187" s="367"/>
      <c r="Y187" s="367"/>
      <c r="Z187" s="367"/>
    </row>
    <row r="188" ht="22.5" customHeight="1">
      <c r="A188" s="367"/>
      <c r="B188" s="369">
        <v>2024.0</v>
      </c>
      <c r="C188" s="296" t="s">
        <v>528</v>
      </c>
      <c r="D188" s="300" t="s">
        <v>82</v>
      </c>
      <c r="E188" s="141" t="s">
        <v>2093</v>
      </c>
      <c r="F188" s="296" t="s">
        <v>132</v>
      </c>
      <c r="G188" s="296" t="s">
        <v>1756</v>
      </c>
      <c r="H188" s="141" t="s">
        <v>2067</v>
      </c>
      <c r="I188" s="296" t="s">
        <v>58</v>
      </c>
      <c r="J188" s="296" t="s">
        <v>1757</v>
      </c>
      <c r="K188" s="367"/>
      <c r="L188" s="371" t="s">
        <v>2094</v>
      </c>
      <c r="M188" s="79">
        <v>2.0318779E7</v>
      </c>
      <c r="N188" s="79">
        <v>3.208410663E9</v>
      </c>
      <c r="O188" s="372" t="s">
        <v>1018</v>
      </c>
      <c r="P188" s="367"/>
      <c r="Q188" s="30" t="s">
        <v>576</v>
      </c>
      <c r="R188" s="367"/>
      <c r="S188" s="367"/>
      <c r="T188" s="367"/>
      <c r="U188" s="367"/>
      <c r="V188" s="367"/>
      <c r="W188" s="367"/>
      <c r="X188" s="367"/>
      <c r="Y188" s="367"/>
      <c r="Z188" s="367"/>
    </row>
    <row r="189" ht="22.5" customHeight="1">
      <c r="A189" s="367"/>
      <c r="B189" s="369">
        <v>2024.0</v>
      </c>
      <c r="C189" s="296" t="s">
        <v>528</v>
      </c>
      <c r="D189" s="300" t="s">
        <v>82</v>
      </c>
      <c r="E189" s="141" t="s">
        <v>2095</v>
      </c>
      <c r="F189" s="296" t="s">
        <v>132</v>
      </c>
      <c r="G189" s="296" t="s">
        <v>1756</v>
      </c>
      <c r="H189" s="141" t="s">
        <v>2067</v>
      </c>
      <c r="I189" s="296" t="s">
        <v>58</v>
      </c>
      <c r="J189" s="296" t="s">
        <v>1757</v>
      </c>
      <c r="K189" s="367"/>
      <c r="L189" s="371" t="s">
        <v>2096</v>
      </c>
      <c r="M189" s="378">
        <v>5.1740005E7</v>
      </c>
      <c r="N189" s="79">
        <v>3.20841064E9</v>
      </c>
      <c r="O189" s="372" t="s">
        <v>1018</v>
      </c>
      <c r="P189" s="367"/>
      <c r="Q189" s="30" t="s">
        <v>576</v>
      </c>
      <c r="R189" s="367"/>
      <c r="S189" s="367"/>
      <c r="T189" s="367"/>
      <c r="U189" s="367"/>
      <c r="V189" s="367"/>
      <c r="W189" s="367"/>
      <c r="X189" s="367"/>
      <c r="Y189" s="367"/>
      <c r="Z189" s="367"/>
    </row>
    <row r="190" ht="25.5" customHeight="1">
      <c r="A190" s="367"/>
      <c r="B190" s="369">
        <v>2024.0</v>
      </c>
      <c r="C190" s="296" t="s">
        <v>480</v>
      </c>
      <c r="D190" s="300" t="s">
        <v>82</v>
      </c>
      <c r="E190" s="141" t="s">
        <v>2097</v>
      </c>
      <c r="F190" s="296" t="s">
        <v>132</v>
      </c>
      <c r="G190" s="296" t="s">
        <v>1756</v>
      </c>
      <c r="H190" s="92" t="s">
        <v>2098</v>
      </c>
      <c r="I190" s="296" t="s">
        <v>58</v>
      </c>
      <c r="J190" s="296" t="s">
        <v>1757</v>
      </c>
      <c r="K190" s="367"/>
      <c r="L190" s="379" t="s">
        <v>2099</v>
      </c>
      <c r="M190" s="143">
        <v>3.8216112E7</v>
      </c>
      <c r="N190" s="143">
        <v>3.209956816E9</v>
      </c>
      <c r="O190" s="372" t="s">
        <v>1018</v>
      </c>
      <c r="P190" s="367"/>
      <c r="Q190" s="380" t="s">
        <v>507</v>
      </c>
      <c r="R190" s="367"/>
      <c r="S190" s="367"/>
      <c r="T190" s="367"/>
      <c r="U190" s="367"/>
      <c r="V190" s="367"/>
      <c r="W190" s="367"/>
      <c r="X190" s="367"/>
      <c r="Y190" s="367"/>
      <c r="Z190" s="367"/>
    </row>
    <row r="191" ht="26.25" customHeight="1">
      <c r="A191" s="367"/>
      <c r="B191" s="369">
        <v>2024.0</v>
      </c>
      <c r="C191" s="296" t="s">
        <v>480</v>
      </c>
      <c r="D191" s="300" t="s">
        <v>82</v>
      </c>
      <c r="E191" s="141" t="s">
        <v>2100</v>
      </c>
      <c r="F191" s="296" t="s">
        <v>132</v>
      </c>
      <c r="G191" s="296" t="s">
        <v>1756</v>
      </c>
      <c r="H191" s="92" t="s">
        <v>2098</v>
      </c>
      <c r="I191" s="296" t="s">
        <v>58</v>
      </c>
      <c r="J191" s="296" t="s">
        <v>1757</v>
      </c>
      <c r="K191" s="367"/>
      <c r="L191" s="379" t="s">
        <v>2101</v>
      </c>
      <c r="M191" s="143">
        <v>7.9714168E7</v>
      </c>
      <c r="N191" s="143">
        <v>3.192208818E9</v>
      </c>
      <c r="O191" s="372" t="s">
        <v>1764</v>
      </c>
      <c r="P191" s="367"/>
      <c r="Q191" s="380" t="s">
        <v>507</v>
      </c>
      <c r="R191" s="367"/>
      <c r="S191" s="367"/>
      <c r="T191" s="367"/>
      <c r="U191" s="367"/>
      <c r="V191" s="367"/>
      <c r="W191" s="367"/>
      <c r="X191" s="367"/>
      <c r="Y191" s="367"/>
      <c r="Z191" s="367"/>
    </row>
    <row r="192" ht="25.5" customHeight="1">
      <c r="A192" s="367"/>
      <c r="B192" s="369">
        <v>2024.0</v>
      </c>
      <c r="C192" s="296" t="s">
        <v>480</v>
      </c>
      <c r="D192" s="300" t="s">
        <v>82</v>
      </c>
      <c r="E192" s="141" t="s">
        <v>2102</v>
      </c>
      <c r="F192" s="296" t="s">
        <v>132</v>
      </c>
      <c r="G192" s="296" t="s">
        <v>1756</v>
      </c>
      <c r="H192" s="92" t="s">
        <v>2098</v>
      </c>
      <c r="I192" s="296" t="s">
        <v>58</v>
      </c>
      <c r="J192" s="296" t="s">
        <v>1757</v>
      </c>
      <c r="K192" s="367"/>
      <c r="L192" s="379" t="s">
        <v>2103</v>
      </c>
      <c r="M192" s="143">
        <v>5571488.0</v>
      </c>
      <c r="N192" s="143">
        <v>3.144817923E9</v>
      </c>
      <c r="O192" s="372" t="s">
        <v>1764</v>
      </c>
      <c r="P192" s="367"/>
      <c r="Q192" s="380" t="s">
        <v>507</v>
      </c>
      <c r="R192" s="367"/>
      <c r="S192" s="367"/>
      <c r="T192" s="367"/>
      <c r="U192" s="367"/>
      <c r="V192" s="367"/>
      <c r="W192" s="367"/>
      <c r="X192" s="367"/>
      <c r="Y192" s="367"/>
      <c r="Z192" s="367"/>
    </row>
    <row r="193" ht="27.75" customHeight="1">
      <c r="A193" s="367"/>
      <c r="B193" s="369">
        <v>2024.0</v>
      </c>
      <c r="C193" s="296" t="s">
        <v>480</v>
      </c>
      <c r="D193" s="300" t="s">
        <v>82</v>
      </c>
      <c r="E193" s="141" t="s">
        <v>2104</v>
      </c>
      <c r="F193" s="296" t="s">
        <v>132</v>
      </c>
      <c r="G193" s="296" t="s">
        <v>1756</v>
      </c>
      <c r="H193" s="92" t="s">
        <v>2098</v>
      </c>
      <c r="I193" s="296" t="s">
        <v>58</v>
      </c>
      <c r="J193" s="296" t="s">
        <v>1757</v>
      </c>
      <c r="K193" s="367"/>
      <c r="L193" s="379" t="s">
        <v>2105</v>
      </c>
      <c r="M193" s="143">
        <v>2.1087762E7</v>
      </c>
      <c r="N193" s="143">
        <v>3.118243199E9</v>
      </c>
      <c r="O193" s="372" t="s">
        <v>1018</v>
      </c>
      <c r="P193" s="367"/>
      <c r="Q193" s="380" t="s">
        <v>507</v>
      </c>
      <c r="R193" s="367"/>
      <c r="S193" s="367"/>
      <c r="T193" s="367"/>
      <c r="U193" s="367"/>
      <c r="V193" s="367"/>
      <c r="W193" s="367"/>
      <c r="X193" s="367"/>
      <c r="Y193" s="367"/>
      <c r="Z193" s="367"/>
    </row>
    <row r="194" ht="30.0" customHeight="1">
      <c r="A194" s="367"/>
      <c r="B194" s="369">
        <v>2024.0</v>
      </c>
      <c r="C194" s="296" t="s">
        <v>480</v>
      </c>
      <c r="D194" s="300" t="s">
        <v>82</v>
      </c>
      <c r="E194" s="141" t="s">
        <v>2106</v>
      </c>
      <c r="F194" s="296" t="s">
        <v>132</v>
      </c>
      <c r="G194" s="296" t="s">
        <v>1756</v>
      </c>
      <c r="H194" s="92" t="s">
        <v>2098</v>
      </c>
      <c r="I194" s="296" t="s">
        <v>58</v>
      </c>
      <c r="J194" s="296" t="s">
        <v>1757</v>
      </c>
      <c r="K194" s="367"/>
      <c r="L194" s="379" t="s">
        <v>100</v>
      </c>
      <c r="M194" s="143">
        <v>6742994.0</v>
      </c>
      <c r="N194" s="143">
        <v>3.208170706E9</v>
      </c>
      <c r="O194" s="372" t="s">
        <v>1764</v>
      </c>
      <c r="P194" s="367"/>
      <c r="Q194" s="380" t="s">
        <v>507</v>
      </c>
      <c r="R194" s="367"/>
      <c r="S194" s="367"/>
      <c r="T194" s="367"/>
      <c r="U194" s="367"/>
      <c r="V194" s="367"/>
      <c r="W194" s="367"/>
      <c r="X194" s="367"/>
      <c r="Y194" s="367"/>
      <c r="Z194" s="367"/>
    </row>
    <row r="195" ht="26.25" customHeight="1">
      <c r="A195" s="367"/>
      <c r="B195" s="369">
        <v>2024.0</v>
      </c>
      <c r="C195" s="296" t="s">
        <v>480</v>
      </c>
      <c r="D195" s="300" t="s">
        <v>82</v>
      </c>
      <c r="E195" s="141" t="s">
        <v>2107</v>
      </c>
      <c r="F195" s="296" t="s">
        <v>132</v>
      </c>
      <c r="G195" s="296" t="s">
        <v>1756</v>
      </c>
      <c r="H195" s="92" t="s">
        <v>2098</v>
      </c>
      <c r="I195" s="296" t="s">
        <v>58</v>
      </c>
      <c r="J195" s="296" t="s">
        <v>1757</v>
      </c>
      <c r="K195" s="367"/>
      <c r="L195" s="379" t="s">
        <v>2108</v>
      </c>
      <c r="M195" s="143">
        <v>4.1793378E7</v>
      </c>
      <c r="N195" s="143">
        <v>3.143838721E9</v>
      </c>
      <c r="O195" s="372" t="s">
        <v>1018</v>
      </c>
      <c r="P195" s="367"/>
      <c r="Q195" s="380" t="s">
        <v>507</v>
      </c>
      <c r="R195" s="367"/>
      <c r="S195" s="367"/>
      <c r="T195" s="367"/>
      <c r="U195" s="367"/>
      <c r="V195" s="367"/>
      <c r="W195" s="367"/>
      <c r="X195" s="367"/>
      <c r="Y195" s="367"/>
      <c r="Z195" s="367"/>
    </row>
    <row r="196" ht="30.0" customHeight="1">
      <c r="A196" s="367"/>
      <c r="B196" s="369">
        <v>2024.0</v>
      </c>
      <c r="C196" s="296" t="s">
        <v>480</v>
      </c>
      <c r="D196" s="300" t="s">
        <v>82</v>
      </c>
      <c r="E196" s="141" t="s">
        <v>2109</v>
      </c>
      <c r="F196" s="296" t="s">
        <v>132</v>
      </c>
      <c r="G196" s="296" t="s">
        <v>1756</v>
      </c>
      <c r="H196" s="92" t="s">
        <v>2098</v>
      </c>
      <c r="I196" s="296" t="s">
        <v>58</v>
      </c>
      <c r="J196" s="296" t="s">
        <v>1757</v>
      </c>
      <c r="K196" s="367"/>
      <c r="L196" s="379" t="s">
        <v>2110</v>
      </c>
      <c r="M196" s="143">
        <v>457995.0</v>
      </c>
      <c r="N196" s="143">
        <v>3.143861497E9</v>
      </c>
      <c r="O196" s="372" t="s">
        <v>1764</v>
      </c>
      <c r="P196" s="367"/>
      <c r="Q196" s="380" t="s">
        <v>507</v>
      </c>
      <c r="R196" s="367"/>
      <c r="S196" s="367"/>
      <c r="T196" s="367"/>
      <c r="U196" s="367"/>
      <c r="V196" s="367"/>
      <c r="W196" s="367"/>
      <c r="X196" s="367"/>
      <c r="Y196" s="367"/>
      <c r="Z196" s="367"/>
    </row>
    <row r="197" ht="27.0" customHeight="1">
      <c r="A197" s="367"/>
      <c r="B197" s="369">
        <v>2024.0</v>
      </c>
      <c r="C197" s="296" t="s">
        <v>480</v>
      </c>
      <c r="D197" s="300" t="s">
        <v>82</v>
      </c>
      <c r="E197" s="141" t="s">
        <v>2111</v>
      </c>
      <c r="F197" s="296" t="s">
        <v>132</v>
      </c>
      <c r="G197" s="296" t="s">
        <v>1756</v>
      </c>
      <c r="H197" s="92" t="s">
        <v>2098</v>
      </c>
      <c r="I197" s="296" t="s">
        <v>58</v>
      </c>
      <c r="J197" s="296" t="s">
        <v>1757</v>
      </c>
      <c r="K197" s="367"/>
      <c r="L197" s="379" t="s">
        <v>2112</v>
      </c>
      <c r="M197" s="143">
        <v>5.2890309E7</v>
      </c>
      <c r="N197" s="367"/>
      <c r="O197" s="372" t="s">
        <v>1018</v>
      </c>
      <c r="P197" s="367"/>
      <c r="Q197" s="380" t="s">
        <v>507</v>
      </c>
      <c r="R197" s="367"/>
      <c r="S197" s="367"/>
      <c r="T197" s="367"/>
      <c r="U197" s="367"/>
      <c r="V197" s="367"/>
      <c r="W197" s="367"/>
      <c r="X197" s="367"/>
      <c r="Y197" s="367"/>
      <c r="Z197" s="367"/>
    </row>
    <row r="198" ht="24.75" customHeight="1">
      <c r="A198" s="367"/>
      <c r="B198" s="369">
        <v>2024.0</v>
      </c>
      <c r="C198" s="296" t="s">
        <v>480</v>
      </c>
      <c r="D198" s="300" t="s">
        <v>82</v>
      </c>
      <c r="E198" s="141" t="s">
        <v>2113</v>
      </c>
      <c r="F198" s="296" t="s">
        <v>132</v>
      </c>
      <c r="G198" s="296" t="s">
        <v>1756</v>
      </c>
      <c r="H198" s="92" t="s">
        <v>2098</v>
      </c>
      <c r="I198" s="296" t="s">
        <v>58</v>
      </c>
      <c r="J198" s="296" t="s">
        <v>1757</v>
      </c>
      <c r="K198" s="367"/>
      <c r="L198" s="379" t="s">
        <v>2114</v>
      </c>
      <c r="M198" s="143">
        <v>1.1880162E7</v>
      </c>
      <c r="N198" s="143">
        <v>3.125492617E9</v>
      </c>
      <c r="O198" s="372" t="s">
        <v>1764</v>
      </c>
      <c r="P198" s="367"/>
      <c r="Q198" s="380" t="s">
        <v>507</v>
      </c>
      <c r="R198" s="367"/>
      <c r="S198" s="367"/>
      <c r="T198" s="367"/>
      <c r="U198" s="367"/>
      <c r="V198" s="367"/>
      <c r="W198" s="367"/>
      <c r="X198" s="367"/>
      <c r="Y198" s="367"/>
      <c r="Z198" s="367"/>
    </row>
    <row r="199" ht="24.0" customHeight="1">
      <c r="A199" s="367"/>
      <c r="B199" s="369">
        <v>2024.0</v>
      </c>
      <c r="C199" s="296" t="s">
        <v>480</v>
      </c>
      <c r="D199" s="300" t="s">
        <v>82</v>
      </c>
      <c r="E199" s="141" t="s">
        <v>2115</v>
      </c>
      <c r="F199" s="296" t="s">
        <v>132</v>
      </c>
      <c r="G199" s="296" t="s">
        <v>1756</v>
      </c>
      <c r="H199" s="92" t="s">
        <v>2098</v>
      </c>
      <c r="I199" s="296" t="s">
        <v>58</v>
      </c>
      <c r="J199" s="296" t="s">
        <v>1757</v>
      </c>
      <c r="K199" s="367"/>
      <c r="L199" s="379" t="s">
        <v>2116</v>
      </c>
      <c r="M199" s="143">
        <v>4.3459304E7</v>
      </c>
      <c r="N199" s="143">
        <v>3.025488566E9</v>
      </c>
      <c r="O199" s="372" t="s">
        <v>1018</v>
      </c>
      <c r="P199" s="367"/>
      <c r="Q199" s="380" t="s">
        <v>507</v>
      </c>
      <c r="R199" s="367"/>
      <c r="S199" s="367"/>
      <c r="T199" s="367"/>
      <c r="U199" s="367"/>
      <c r="V199" s="367"/>
      <c r="W199" s="367"/>
      <c r="X199" s="367"/>
      <c r="Y199" s="367"/>
      <c r="Z199" s="367"/>
    </row>
    <row r="200" ht="25.5" customHeight="1">
      <c r="A200" s="367"/>
      <c r="B200" s="369">
        <v>2024.0</v>
      </c>
      <c r="C200" s="296" t="s">
        <v>480</v>
      </c>
      <c r="D200" s="300" t="s">
        <v>82</v>
      </c>
      <c r="E200" s="141" t="s">
        <v>2117</v>
      </c>
      <c r="F200" s="296" t="s">
        <v>132</v>
      </c>
      <c r="G200" s="296" t="s">
        <v>1756</v>
      </c>
      <c r="H200" s="92" t="s">
        <v>2098</v>
      </c>
      <c r="I200" s="296" t="s">
        <v>58</v>
      </c>
      <c r="J200" s="296" t="s">
        <v>1757</v>
      </c>
      <c r="K200" s="367"/>
      <c r="L200" s="379" t="s">
        <v>2118</v>
      </c>
      <c r="M200" s="143">
        <v>1.030583536E9</v>
      </c>
      <c r="N200" s="143">
        <v>3.228804496E9</v>
      </c>
      <c r="O200" s="372" t="s">
        <v>1018</v>
      </c>
      <c r="P200" s="367"/>
      <c r="Q200" s="380" t="s">
        <v>507</v>
      </c>
      <c r="R200" s="367"/>
      <c r="S200" s="367"/>
      <c r="T200" s="367"/>
      <c r="U200" s="367"/>
      <c r="V200" s="367"/>
      <c r="W200" s="367"/>
      <c r="X200" s="367"/>
      <c r="Y200" s="367"/>
      <c r="Z200" s="367"/>
    </row>
    <row r="201" ht="27.75" customHeight="1">
      <c r="A201" s="367"/>
      <c r="B201" s="369">
        <v>2024.0</v>
      </c>
      <c r="C201" s="296" t="s">
        <v>480</v>
      </c>
      <c r="D201" s="300" t="s">
        <v>82</v>
      </c>
      <c r="E201" s="141" t="s">
        <v>2119</v>
      </c>
      <c r="F201" s="296" t="s">
        <v>132</v>
      </c>
      <c r="G201" s="296" t="s">
        <v>1756</v>
      </c>
      <c r="H201" s="92" t="s">
        <v>2098</v>
      </c>
      <c r="I201" s="296" t="s">
        <v>58</v>
      </c>
      <c r="J201" s="296" t="s">
        <v>1757</v>
      </c>
      <c r="K201" s="367"/>
      <c r="L201" s="379" t="s">
        <v>2120</v>
      </c>
      <c r="M201" s="143">
        <v>8.0434104E7</v>
      </c>
      <c r="N201" s="143">
        <v>3.12448567E8</v>
      </c>
      <c r="O201" s="372" t="s">
        <v>1764</v>
      </c>
      <c r="P201" s="367"/>
      <c r="Q201" s="380" t="s">
        <v>507</v>
      </c>
      <c r="R201" s="367"/>
      <c r="S201" s="367"/>
      <c r="T201" s="367"/>
      <c r="U201" s="367"/>
      <c r="V201" s="367"/>
      <c r="W201" s="367"/>
      <c r="X201" s="367"/>
      <c r="Y201" s="367"/>
      <c r="Z201" s="367"/>
    </row>
    <row r="202" ht="26.25" customHeight="1">
      <c r="A202" s="367"/>
      <c r="B202" s="369">
        <v>2024.0</v>
      </c>
      <c r="C202" s="296" t="s">
        <v>480</v>
      </c>
      <c r="D202" s="300" t="s">
        <v>82</v>
      </c>
      <c r="E202" s="141" t="s">
        <v>2121</v>
      </c>
      <c r="F202" s="296" t="s">
        <v>132</v>
      </c>
      <c r="G202" s="296" t="s">
        <v>1756</v>
      </c>
      <c r="H202" s="92" t="s">
        <v>2098</v>
      </c>
      <c r="I202" s="296" t="s">
        <v>58</v>
      </c>
      <c r="J202" s="296" t="s">
        <v>1757</v>
      </c>
      <c r="K202" s="367"/>
      <c r="L202" s="379" t="s">
        <v>2122</v>
      </c>
      <c r="M202" s="143">
        <v>2798704.0</v>
      </c>
      <c r="N202" s="143">
        <v>3.222777742E9</v>
      </c>
      <c r="O202" s="372" t="s">
        <v>1018</v>
      </c>
      <c r="P202" s="367"/>
      <c r="Q202" s="380" t="s">
        <v>507</v>
      </c>
      <c r="R202" s="367"/>
      <c r="S202" s="367"/>
      <c r="T202" s="367"/>
      <c r="U202" s="367"/>
      <c r="V202" s="367"/>
      <c r="W202" s="367"/>
      <c r="X202" s="367"/>
      <c r="Y202" s="367"/>
      <c r="Z202" s="367"/>
    </row>
    <row r="203" ht="25.5" customHeight="1">
      <c r="A203" s="367"/>
      <c r="B203" s="369">
        <v>2024.0</v>
      </c>
      <c r="C203" s="296" t="s">
        <v>480</v>
      </c>
      <c r="D203" s="300" t="s">
        <v>82</v>
      </c>
      <c r="E203" s="141" t="s">
        <v>2123</v>
      </c>
      <c r="F203" s="296" t="s">
        <v>132</v>
      </c>
      <c r="G203" s="296" t="s">
        <v>1756</v>
      </c>
      <c r="H203" s="92" t="s">
        <v>2098</v>
      </c>
      <c r="I203" s="296" t="s">
        <v>58</v>
      </c>
      <c r="J203" s="296" t="s">
        <v>1757</v>
      </c>
      <c r="K203" s="367"/>
      <c r="L203" s="379" t="s">
        <v>2124</v>
      </c>
      <c r="M203" s="143">
        <v>5.2974788E7</v>
      </c>
      <c r="N203" s="143">
        <v>3.219459934E9</v>
      </c>
      <c r="O203" s="372" t="s">
        <v>1018</v>
      </c>
      <c r="P203" s="367"/>
      <c r="Q203" s="380" t="s">
        <v>507</v>
      </c>
      <c r="R203" s="367"/>
      <c r="S203" s="367"/>
      <c r="T203" s="367"/>
      <c r="U203" s="367"/>
      <c r="V203" s="367"/>
      <c r="W203" s="367"/>
      <c r="X203" s="367"/>
      <c r="Y203" s="367"/>
      <c r="Z203" s="367"/>
    </row>
    <row r="204" ht="27.75" customHeight="1">
      <c r="A204" s="367"/>
      <c r="B204" s="369">
        <v>2024.0</v>
      </c>
      <c r="C204" s="296" t="s">
        <v>480</v>
      </c>
      <c r="D204" s="300" t="s">
        <v>82</v>
      </c>
      <c r="E204" s="141" t="s">
        <v>2125</v>
      </c>
      <c r="F204" s="296" t="s">
        <v>132</v>
      </c>
      <c r="G204" s="296" t="s">
        <v>1756</v>
      </c>
      <c r="H204" s="92" t="s">
        <v>2098</v>
      </c>
      <c r="I204" s="296" t="s">
        <v>58</v>
      </c>
      <c r="J204" s="296" t="s">
        <v>1757</v>
      </c>
      <c r="K204" s="367"/>
      <c r="L204" s="379" t="s">
        <v>2126</v>
      </c>
      <c r="M204" s="143">
        <v>4.5621119E7</v>
      </c>
      <c r="N204" s="143">
        <v>3.20999745E9</v>
      </c>
      <c r="O204" s="372" t="s">
        <v>1018</v>
      </c>
      <c r="P204" s="367"/>
      <c r="Q204" s="380" t="s">
        <v>507</v>
      </c>
      <c r="R204" s="367"/>
      <c r="S204" s="367"/>
      <c r="T204" s="367"/>
      <c r="U204" s="367"/>
      <c r="V204" s="367"/>
      <c r="W204" s="367"/>
      <c r="X204" s="367"/>
      <c r="Y204" s="367"/>
      <c r="Z204" s="367"/>
    </row>
    <row r="205" ht="24.0" customHeight="1">
      <c r="A205" s="367"/>
      <c r="B205" s="369">
        <v>2024.0</v>
      </c>
      <c r="C205" s="296" t="s">
        <v>480</v>
      </c>
      <c r="D205" s="300" t="s">
        <v>82</v>
      </c>
      <c r="E205" s="141" t="s">
        <v>2127</v>
      </c>
      <c r="F205" s="296" t="s">
        <v>132</v>
      </c>
      <c r="G205" s="296" t="s">
        <v>1756</v>
      </c>
      <c r="H205" s="92" t="s">
        <v>2098</v>
      </c>
      <c r="I205" s="296" t="s">
        <v>58</v>
      </c>
      <c r="J205" s="296" t="s">
        <v>1757</v>
      </c>
      <c r="K205" s="367"/>
      <c r="L205" s="379" t="s">
        <v>2128</v>
      </c>
      <c r="M205" s="143">
        <v>7.9655812E7</v>
      </c>
      <c r="N205" s="143">
        <v>3.126988858E9</v>
      </c>
      <c r="O205" s="372" t="s">
        <v>1764</v>
      </c>
      <c r="P205" s="367"/>
      <c r="Q205" s="380" t="s">
        <v>507</v>
      </c>
      <c r="R205" s="367"/>
      <c r="S205" s="367"/>
      <c r="T205" s="367"/>
      <c r="U205" s="367"/>
      <c r="V205" s="367"/>
      <c r="W205" s="367"/>
      <c r="X205" s="367"/>
      <c r="Y205" s="367"/>
      <c r="Z205" s="367"/>
    </row>
    <row r="206" ht="27.75" customHeight="1">
      <c r="A206" s="367"/>
      <c r="B206" s="369">
        <v>2024.0</v>
      </c>
      <c r="C206" s="296" t="s">
        <v>480</v>
      </c>
      <c r="D206" s="300" t="s">
        <v>82</v>
      </c>
      <c r="E206" s="141" t="s">
        <v>2129</v>
      </c>
      <c r="F206" s="296" t="s">
        <v>132</v>
      </c>
      <c r="G206" s="296" t="s">
        <v>1756</v>
      </c>
      <c r="H206" s="92" t="s">
        <v>2098</v>
      </c>
      <c r="I206" s="296" t="s">
        <v>58</v>
      </c>
      <c r="J206" s="296" t="s">
        <v>1757</v>
      </c>
      <c r="K206" s="367"/>
      <c r="L206" s="379" t="s">
        <v>2130</v>
      </c>
      <c r="M206" s="143">
        <v>2.4644349E7</v>
      </c>
      <c r="N206" s="143">
        <v>3.102894597E9</v>
      </c>
      <c r="O206" s="372" t="s">
        <v>1018</v>
      </c>
      <c r="P206" s="367"/>
      <c r="Q206" s="380" t="s">
        <v>507</v>
      </c>
      <c r="R206" s="367"/>
      <c r="S206" s="367"/>
      <c r="T206" s="367"/>
      <c r="U206" s="367"/>
      <c r="V206" s="367"/>
      <c r="W206" s="367"/>
      <c r="X206" s="367"/>
      <c r="Y206" s="367"/>
      <c r="Z206" s="367"/>
    </row>
    <row r="207" ht="28.5" customHeight="1">
      <c r="A207" s="367"/>
      <c r="B207" s="369">
        <v>2024.0</v>
      </c>
      <c r="C207" s="296" t="s">
        <v>480</v>
      </c>
      <c r="D207" s="300" t="s">
        <v>82</v>
      </c>
      <c r="E207" s="141" t="s">
        <v>2131</v>
      </c>
      <c r="F207" s="296" t="s">
        <v>132</v>
      </c>
      <c r="G207" s="296" t="s">
        <v>1756</v>
      </c>
      <c r="H207" s="92" t="s">
        <v>2098</v>
      </c>
      <c r="I207" s="296" t="s">
        <v>58</v>
      </c>
      <c r="J207" s="296" t="s">
        <v>1757</v>
      </c>
      <c r="K207" s="367"/>
      <c r="L207" s="379" t="s">
        <v>2132</v>
      </c>
      <c r="M207" s="143">
        <v>2.1132477E7</v>
      </c>
      <c r="N207" s="143">
        <v>3.112626111E9</v>
      </c>
      <c r="O207" s="372" t="s">
        <v>1018</v>
      </c>
      <c r="P207" s="367"/>
      <c r="Q207" s="380" t="s">
        <v>507</v>
      </c>
      <c r="R207" s="367"/>
      <c r="S207" s="367"/>
      <c r="T207" s="367"/>
      <c r="U207" s="367"/>
      <c r="V207" s="367"/>
      <c r="W207" s="367"/>
      <c r="X207" s="367"/>
      <c r="Y207" s="367"/>
      <c r="Z207" s="367"/>
    </row>
    <row r="208" ht="25.5" customHeight="1">
      <c r="A208" s="367"/>
      <c r="B208" s="369">
        <v>2024.0</v>
      </c>
      <c r="C208" s="296" t="s">
        <v>480</v>
      </c>
      <c r="D208" s="300" t="s">
        <v>82</v>
      </c>
      <c r="E208" s="141" t="s">
        <v>2133</v>
      </c>
      <c r="F208" s="296" t="s">
        <v>132</v>
      </c>
      <c r="G208" s="296" t="s">
        <v>1756</v>
      </c>
      <c r="H208" s="92" t="s">
        <v>2098</v>
      </c>
      <c r="I208" s="296" t="s">
        <v>58</v>
      </c>
      <c r="J208" s="296" t="s">
        <v>1757</v>
      </c>
      <c r="K208" s="367"/>
      <c r="L208" s="379" t="s">
        <v>2134</v>
      </c>
      <c r="M208" s="143">
        <v>2.7062538E7</v>
      </c>
      <c r="N208" s="143">
        <v>3113773.0</v>
      </c>
      <c r="O208" s="372" t="s">
        <v>1018</v>
      </c>
      <c r="P208" s="367"/>
      <c r="Q208" s="380" t="s">
        <v>507</v>
      </c>
      <c r="R208" s="367"/>
      <c r="S208" s="367"/>
      <c r="T208" s="367"/>
      <c r="U208" s="367"/>
      <c r="V208" s="367"/>
      <c r="W208" s="367"/>
      <c r="X208" s="367"/>
      <c r="Y208" s="367"/>
      <c r="Z208" s="367"/>
    </row>
    <row r="209" ht="26.25" customHeight="1">
      <c r="A209" s="367"/>
      <c r="B209" s="369">
        <v>2024.0</v>
      </c>
      <c r="C209" s="296" t="s">
        <v>480</v>
      </c>
      <c r="D209" s="300" t="s">
        <v>82</v>
      </c>
      <c r="E209" s="141" t="s">
        <v>2135</v>
      </c>
      <c r="F209" s="296" t="s">
        <v>132</v>
      </c>
      <c r="G209" s="296" t="s">
        <v>1756</v>
      </c>
      <c r="H209" s="92" t="s">
        <v>2098</v>
      </c>
      <c r="I209" s="296" t="s">
        <v>58</v>
      </c>
      <c r="J209" s="296" t="s">
        <v>1757</v>
      </c>
      <c r="K209" s="367"/>
      <c r="L209" s="379" t="s">
        <v>2136</v>
      </c>
      <c r="M209" s="143">
        <v>1.233512085E9</v>
      </c>
      <c r="N209" s="143">
        <v>3.242233147E9</v>
      </c>
      <c r="O209" s="372" t="s">
        <v>1018</v>
      </c>
      <c r="P209" s="367"/>
      <c r="Q209" s="380" t="s">
        <v>507</v>
      </c>
      <c r="R209" s="367"/>
      <c r="S209" s="367"/>
      <c r="T209" s="367"/>
      <c r="U209" s="367"/>
      <c r="V209" s="367"/>
      <c r="W209" s="367"/>
      <c r="X209" s="367"/>
      <c r="Y209" s="367"/>
      <c r="Z209" s="367"/>
    </row>
    <row r="210" ht="25.5" customHeight="1">
      <c r="A210" s="367"/>
      <c r="B210" s="369">
        <v>2024.0</v>
      </c>
      <c r="C210" s="296" t="s">
        <v>480</v>
      </c>
      <c r="D210" s="300" t="s">
        <v>82</v>
      </c>
      <c r="E210" s="141" t="s">
        <v>2137</v>
      </c>
      <c r="F210" s="296" t="s">
        <v>132</v>
      </c>
      <c r="G210" s="296" t="s">
        <v>1756</v>
      </c>
      <c r="H210" s="92" t="s">
        <v>2098</v>
      </c>
      <c r="I210" s="296" t="s">
        <v>58</v>
      </c>
      <c r="J210" s="296" t="s">
        <v>1757</v>
      </c>
      <c r="K210" s="367"/>
      <c r="L210" s="379" t="s">
        <v>2138</v>
      </c>
      <c r="M210" s="143">
        <v>2.8334438E7</v>
      </c>
      <c r="N210" s="143">
        <v>3.225866544E9</v>
      </c>
      <c r="O210" s="372" t="s">
        <v>1018</v>
      </c>
      <c r="P210" s="367"/>
      <c r="Q210" s="380" t="s">
        <v>507</v>
      </c>
      <c r="R210" s="367"/>
      <c r="S210" s="367"/>
      <c r="T210" s="367"/>
      <c r="U210" s="367"/>
      <c r="V210" s="367"/>
      <c r="W210" s="367"/>
      <c r="X210" s="367"/>
      <c r="Y210" s="367"/>
      <c r="Z210" s="367"/>
    </row>
    <row r="211" ht="28.5" customHeight="1">
      <c r="A211" s="367"/>
      <c r="B211" s="369">
        <v>2024.0</v>
      </c>
      <c r="C211" s="296" t="s">
        <v>480</v>
      </c>
      <c r="D211" s="300" t="s">
        <v>82</v>
      </c>
      <c r="E211" s="141" t="s">
        <v>2139</v>
      </c>
      <c r="F211" s="296" t="s">
        <v>132</v>
      </c>
      <c r="G211" s="296" t="s">
        <v>1756</v>
      </c>
      <c r="H211" s="92" t="s">
        <v>2098</v>
      </c>
      <c r="I211" s="296" t="s">
        <v>58</v>
      </c>
      <c r="J211" s="296" t="s">
        <v>1757</v>
      </c>
      <c r="K211" s="367"/>
      <c r="L211" s="379" t="s">
        <v>2140</v>
      </c>
      <c r="M211" s="143">
        <v>5849873.0</v>
      </c>
      <c r="N211" s="143">
        <v>3.209956816E9</v>
      </c>
      <c r="O211" s="372" t="s">
        <v>1764</v>
      </c>
      <c r="P211" s="367"/>
      <c r="Q211" s="380" t="s">
        <v>507</v>
      </c>
      <c r="R211" s="367"/>
      <c r="S211" s="367"/>
      <c r="T211" s="367"/>
      <c r="U211" s="367"/>
      <c r="V211" s="367"/>
      <c r="W211" s="367"/>
      <c r="X211" s="367"/>
      <c r="Y211" s="367"/>
      <c r="Z211" s="367"/>
    </row>
    <row r="212" ht="23.25" customHeight="1">
      <c r="A212" s="367"/>
      <c r="B212" s="369">
        <v>2024.0</v>
      </c>
      <c r="C212" s="296" t="s">
        <v>480</v>
      </c>
      <c r="D212" s="300" t="s">
        <v>82</v>
      </c>
      <c r="E212" s="141" t="s">
        <v>2141</v>
      </c>
      <c r="F212" s="296" t="s">
        <v>132</v>
      </c>
      <c r="G212" s="296" t="s">
        <v>1756</v>
      </c>
      <c r="H212" s="92" t="s">
        <v>2098</v>
      </c>
      <c r="I212" s="296" t="s">
        <v>58</v>
      </c>
      <c r="J212" s="296" t="s">
        <v>1757</v>
      </c>
      <c r="K212" s="367"/>
      <c r="L212" s="379" t="s">
        <v>2142</v>
      </c>
      <c r="M212" s="143">
        <v>4.1560704E7</v>
      </c>
      <c r="N212" s="143">
        <v>3.024745267E9</v>
      </c>
      <c r="O212" s="372" t="s">
        <v>1018</v>
      </c>
      <c r="P212" s="367"/>
      <c r="Q212" s="380" t="s">
        <v>507</v>
      </c>
      <c r="R212" s="367"/>
      <c r="S212" s="367"/>
      <c r="T212" s="367"/>
      <c r="U212" s="367"/>
      <c r="V212" s="367"/>
      <c r="W212" s="367"/>
      <c r="X212" s="367"/>
      <c r="Y212" s="367"/>
      <c r="Z212" s="367"/>
    </row>
    <row r="213" ht="26.25" customHeight="1">
      <c r="A213" s="367"/>
      <c r="B213" s="369">
        <v>2024.0</v>
      </c>
      <c r="C213" s="296" t="s">
        <v>480</v>
      </c>
      <c r="D213" s="300" t="s">
        <v>82</v>
      </c>
      <c r="E213" s="141" t="s">
        <v>2143</v>
      </c>
      <c r="F213" s="296" t="s">
        <v>132</v>
      </c>
      <c r="G213" s="296" t="s">
        <v>1756</v>
      </c>
      <c r="H213" s="92" t="s">
        <v>2098</v>
      </c>
      <c r="I213" s="296" t="s">
        <v>58</v>
      </c>
      <c r="J213" s="296" t="s">
        <v>1757</v>
      </c>
      <c r="K213" s="367"/>
      <c r="L213" s="379" t="s">
        <v>2144</v>
      </c>
      <c r="M213" s="143">
        <v>4.2658502E7</v>
      </c>
      <c r="N213" s="143">
        <v>3.125792475E9</v>
      </c>
      <c r="O213" s="372" t="s">
        <v>1018</v>
      </c>
      <c r="P213" s="367"/>
      <c r="Q213" s="380" t="s">
        <v>507</v>
      </c>
      <c r="R213" s="367"/>
      <c r="S213" s="367"/>
      <c r="T213" s="367"/>
      <c r="U213" s="367"/>
      <c r="V213" s="367"/>
      <c r="W213" s="367"/>
      <c r="X213" s="367"/>
      <c r="Y213" s="367"/>
      <c r="Z213" s="367"/>
    </row>
    <row r="214" ht="27.75" customHeight="1">
      <c r="A214" s="367"/>
      <c r="B214" s="369">
        <v>2024.0</v>
      </c>
      <c r="C214" s="296" t="s">
        <v>480</v>
      </c>
      <c r="D214" s="300" t="s">
        <v>82</v>
      </c>
      <c r="E214" s="141" t="s">
        <v>2145</v>
      </c>
      <c r="F214" s="296" t="s">
        <v>132</v>
      </c>
      <c r="G214" s="296" t="s">
        <v>1756</v>
      </c>
      <c r="H214" s="92" t="s">
        <v>2098</v>
      </c>
      <c r="I214" s="296" t="s">
        <v>58</v>
      </c>
      <c r="J214" s="296" t="s">
        <v>1757</v>
      </c>
      <c r="K214" s="367"/>
      <c r="L214" s="379" t="s">
        <v>2146</v>
      </c>
      <c r="M214" s="143">
        <v>9.3354846E7</v>
      </c>
      <c r="N214" s="143">
        <v>3.042015275E9</v>
      </c>
      <c r="O214" s="372" t="s">
        <v>1764</v>
      </c>
      <c r="P214" s="367"/>
      <c r="Q214" s="380" t="s">
        <v>507</v>
      </c>
      <c r="R214" s="367"/>
      <c r="S214" s="367"/>
      <c r="T214" s="367"/>
      <c r="U214" s="367"/>
      <c r="V214" s="367"/>
      <c r="W214" s="367"/>
      <c r="X214" s="367"/>
      <c r="Y214" s="367"/>
      <c r="Z214" s="367"/>
    </row>
    <row r="215" ht="28.5" customHeight="1">
      <c r="A215" s="367"/>
      <c r="B215" s="369">
        <v>2024.0</v>
      </c>
      <c r="C215" s="296" t="s">
        <v>480</v>
      </c>
      <c r="D215" s="300" t="s">
        <v>82</v>
      </c>
      <c r="E215" s="141" t="s">
        <v>2147</v>
      </c>
      <c r="F215" s="296" t="s">
        <v>132</v>
      </c>
      <c r="G215" s="296" t="s">
        <v>1756</v>
      </c>
      <c r="H215" s="92" t="s">
        <v>2098</v>
      </c>
      <c r="I215" s="296" t="s">
        <v>58</v>
      </c>
      <c r="J215" s="296" t="s">
        <v>1757</v>
      </c>
      <c r="K215" s="367"/>
      <c r="L215" s="379" t="s">
        <v>2148</v>
      </c>
      <c r="M215" s="143">
        <v>2.1118566E7</v>
      </c>
      <c r="N215" s="143">
        <v>3.002711792E9</v>
      </c>
      <c r="O215" s="372" t="s">
        <v>1018</v>
      </c>
      <c r="P215" s="367"/>
      <c r="Q215" s="380" t="s">
        <v>507</v>
      </c>
      <c r="R215" s="367"/>
      <c r="S215" s="367"/>
      <c r="T215" s="367"/>
      <c r="U215" s="367"/>
      <c r="V215" s="367"/>
      <c r="W215" s="367"/>
      <c r="X215" s="367"/>
      <c r="Y215" s="367"/>
      <c r="Z215" s="367"/>
    </row>
    <row r="216" ht="26.25" customHeight="1">
      <c r="A216" s="367"/>
      <c r="B216" s="369">
        <v>2024.0</v>
      </c>
      <c r="C216" s="296" t="s">
        <v>480</v>
      </c>
      <c r="D216" s="300" t="s">
        <v>82</v>
      </c>
      <c r="E216" s="141" t="s">
        <v>2149</v>
      </c>
      <c r="F216" s="296" t="s">
        <v>132</v>
      </c>
      <c r="G216" s="296" t="s">
        <v>1756</v>
      </c>
      <c r="H216" s="92" t="s">
        <v>2098</v>
      </c>
      <c r="I216" s="296" t="s">
        <v>58</v>
      </c>
      <c r="J216" s="296" t="s">
        <v>1757</v>
      </c>
      <c r="K216" s="367"/>
      <c r="L216" s="379" t="s">
        <v>2150</v>
      </c>
      <c r="M216" s="143">
        <v>7.9632164E7</v>
      </c>
      <c r="N216" s="143">
        <v>3.14433711E9</v>
      </c>
      <c r="O216" s="372" t="s">
        <v>1764</v>
      </c>
      <c r="P216" s="367"/>
      <c r="Q216" s="380" t="s">
        <v>507</v>
      </c>
      <c r="R216" s="367"/>
      <c r="S216" s="367"/>
      <c r="T216" s="367"/>
      <c r="U216" s="367"/>
      <c r="V216" s="367"/>
      <c r="W216" s="367"/>
      <c r="X216" s="367"/>
      <c r="Y216" s="367"/>
      <c r="Z216" s="367"/>
    </row>
    <row r="217" ht="27.75" customHeight="1">
      <c r="A217" s="367"/>
      <c r="B217" s="369">
        <v>2024.0</v>
      </c>
      <c r="C217" s="296" t="s">
        <v>480</v>
      </c>
      <c r="D217" s="300" t="s">
        <v>82</v>
      </c>
      <c r="E217" s="141" t="s">
        <v>2151</v>
      </c>
      <c r="F217" s="296" t="s">
        <v>132</v>
      </c>
      <c r="G217" s="296" t="s">
        <v>1756</v>
      </c>
      <c r="H217" s="92" t="s">
        <v>2098</v>
      </c>
      <c r="I217" s="296" t="s">
        <v>58</v>
      </c>
      <c r="J217" s="296" t="s">
        <v>1757</v>
      </c>
      <c r="K217" s="367"/>
      <c r="L217" s="379" t="s">
        <v>2152</v>
      </c>
      <c r="M217" s="143">
        <v>7.6529695E7</v>
      </c>
      <c r="N217" s="143">
        <v>3.118689838E9</v>
      </c>
      <c r="O217" s="372" t="s">
        <v>1764</v>
      </c>
      <c r="P217" s="367"/>
      <c r="Q217" s="380" t="s">
        <v>507</v>
      </c>
      <c r="R217" s="367"/>
      <c r="S217" s="367"/>
      <c r="T217" s="367"/>
      <c r="U217" s="367"/>
      <c r="V217" s="367"/>
      <c r="W217" s="367"/>
      <c r="X217" s="367"/>
      <c r="Y217" s="367"/>
      <c r="Z217" s="367"/>
    </row>
    <row r="218" ht="23.25" customHeight="1">
      <c r="A218" s="367"/>
      <c r="B218" s="369">
        <v>2024.0</v>
      </c>
      <c r="C218" s="296" t="s">
        <v>480</v>
      </c>
      <c r="D218" s="300" t="s">
        <v>82</v>
      </c>
      <c r="E218" s="141" t="s">
        <v>2153</v>
      </c>
      <c r="F218" s="296" t="s">
        <v>132</v>
      </c>
      <c r="G218" s="296" t="s">
        <v>1756</v>
      </c>
      <c r="H218" s="92" t="s">
        <v>2098</v>
      </c>
      <c r="I218" s="296" t="s">
        <v>58</v>
      </c>
      <c r="J218" s="296" t="s">
        <v>1757</v>
      </c>
      <c r="K218" s="367"/>
      <c r="L218" s="379" t="s">
        <v>2154</v>
      </c>
      <c r="M218" s="143">
        <v>1.032499962E9</v>
      </c>
      <c r="N218" s="143">
        <v>3.204261941E9</v>
      </c>
      <c r="O218" s="372" t="s">
        <v>1764</v>
      </c>
      <c r="P218" s="367"/>
      <c r="Q218" s="380" t="s">
        <v>507</v>
      </c>
      <c r="R218" s="367"/>
      <c r="S218" s="367"/>
      <c r="T218" s="367"/>
      <c r="U218" s="367"/>
      <c r="V218" s="367"/>
      <c r="W218" s="367"/>
      <c r="X218" s="367"/>
      <c r="Y218" s="367"/>
      <c r="Z218" s="367"/>
    </row>
    <row r="219" ht="26.25" customHeight="1">
      <c r="A219" s="367"/>
      <c r="B219" s="369">
        <v>2024.0</v>
      </c>
      <c r="C219" s="296" t="s">
        <v>480</v>
      </c>
      <c r="D219" s="300" t="s">
        <v>82</v>
      </c>
      <c r="E219" s="141" t="s">
        <v>2155</v>
      </c>
      <c r="F219" s="296" t="s">
        <v>132</v>
      </c>
      <c r="G219" s="296" t="s">
        <v>1756</v>
      </c>
      <c r="H219" s="92" t="s">
        <v>2098</v>
      </c>
      <c r="I219" s="296" t="s">
        <v>58</v>
      </c>
      <c r="J219" s="296" t="s">
        <v>1757</v>
      </c>
      <c r="K219" s="367"/>
      <c r="L219" s="379" t="s">
        <v>2156</v>
      </c>
      <c r="M219" s="143">
        <v>2.4187875E7</v>
      </c>
      <c r="N219" s="143">
        <v>3.50207028E9</v>
      </c>
      <c r="O219" s="372" t="s">
        <v>1764</v>
      </c>
      <c r="P219" s="367"/>
      <c r="Q219" s="380" t="s">
        <v>507</v>
      </c>
      <c r="R219" s="367"/>
      <c r="S219" s="367"/>
      <c r="T219" s="367"/>
      <c r="U219" s="367"/>
      <c r="V219" s="367"/>
      <c r="W219" s="367"/>
      <c r="X219" s="367"/>
      <c r="Y219" s="367"/>
      <c r="Z219" s="367"/>
    </row>
    <row r="220" ht="25.5" customHeight="1">
      <c r="A220" s="367"/>
      <c r="B220" s="369">
        <v>2024.0</v>
      </c>
      <c r="C220" s="296" t="s">
        <v>480</v>
      </c>
      <c r="D220" s="300" t="s">
        <v>82</v>
      </c>
      <c r="E220" s="141" t="s">
        <v>2157</v>
      </c>
      <c r="F220" s="296" t="s">
        <v>132</v>
      </c>
      <c r="G220" s="296" t="s">
        <v>1756</v>
      </c>
      <c r="H220" s="92" t="s">
        <v>2098</v>
      </c>
      <c r="I220" s="296" t="s">
        <v>58</v>
      </c>
      <c r="J220" s="296" t="s">
        <v>1757</v>
      </c>
      <c r="K220" s="367"/>
      <c r="L220" s="379" t="s">
        <v>2158</v>
      </c>
      <c r="M220" s="143">
        <v>2.4187875E7</v>
      </c>
      <c r="N220" s="367"/>
      <c r="O220" s="372" t="s">
        <v>1018</v>
      </c>
      <c r="P220" s="367"/>
      <c r="Q220" s="380" t="s">
        <v>507</v>
      </c>
      <c r="R220" s="367"/>
      <c r="S220" s="367"/>
      <c r="T220" s="367"/>
      <c r="U220" s="367"/>
      <c r="V220" s="367"/>
      <c r="W220" s="367"/>
      <c r="X220" s="367"/>
      <c r="Y220" s="367"/>
      <c r="Z220" s="367"/>
    </row>
    <row r="221" ht="25.5" customHeight="1">
      <c r="A221" s="367"/>
      <c r="B221" s="369">
        <v>2024.0</v>
      </c>
      <c r="C221" s="296" t="s">
        <v>528</v>
      </c>
      <c r="D221" s="300" t="s">
        <v>82</v>
      </c>
      <c r="E221" s="141" t="s">
        <v>2159</v>
      </c>
      <c r="F221" s="296" t="s">
        <v>10</v>
      </c>
      <c r="G221" s="296" t="s">
        <v>1756</v>
      </c>
      <c r="H221" s="92" t="s">
        <v>673</v>
      </c>
      <c r="I221" s="296" t="s">
        <v>58</v>
      </c>
      <c r="J221" s="296" t="s">
        <v>1757</v>
      </c>
      <c r="K221" s="367"/>
      <c r="L221" s="379" t="s">
        <v>2160</v>
      </c>
      <c r="M221" s="143">
        <v>4.1631141E7</v>
      </c>
      <c r="N221" s="143">
        <v>3.14422736E8</v>
      </c>
      <c r="O221" s="372" t="s">
        <v>1018</v>
      </c>
      <c r="P221" s="367"/>
      <c r="Q221" s="54" t="s">
        <v>2161</v>
      </c>
      <c r="R221" s="367"/>
      <c r="S221" s="367"/>
      <c r="T221" s="367"/>
      <c r="U221" s="367"/>
      <c r="V221" s="367"/>
      <c r="W221" s="367"/>
      <c r="X221" s="367"/>
      <c r="Y221" s="367"/>
      <c r="Z221" s="367"/>
    </row>
    <row r="222" ht="24.75" customHeight="1">
      <c r="A222" s="367"/>
      <c r="B222" s="369">
        <v>2024.0</v>
      </c>
      <c r="C222" s="296" t="s">
        <v>528</v>
      </c>
      <c r="D222" s="300" t="s">
        <v>82</v>
      </c>
      <c r="E222" s="141" t="s">
        <v>2159</v>
      </c>
      <c r="F222" s="296" t="s">
        <v>10</v>
      </c>
      <c r="G222" s="296" t="s">
        <v>1756</v>
      </c>
      <c r="H222" s="92" t="s">
        <v>673</v>
      </c>
      <c r="I222" s="296" t="s">
        <v>58</v>
      </c>
      <c r="J222" s="296" t="s">
        <v>1757</v>
      </c>
      <c r="K222" s="367"/>
      <c r="L222" s="379" t="s">
        <v>2162</v>
      </c>
      <c r="M222" s="143">
        <v>8.079414E7</v>
      </c>
      <c r="N222" s="143">
        <v>3.224118599E9</v>
      </c>
      <c r="O222" s="372" t="s">
        <v>1764</v>
      </c>
      <c r="P222" s="367"/>
      <c r="Q222" s="54" t="s">
        <v>2163</v>
      </c>
      <c r="R222" s="367"/>
      <c r="S222" s="367"/>
      <c r="T222" s="367"/>
      <c r="U222" s="367"/>
      <c r="V222" s="367"/>
      <c r="W222" s="367"/>
      <c r="X222" s="367"/>
      <c r="Y222" s="367"/>
      <c r="Z222" s="367"/>
    </row>
    <row r="223" ht="24.0" customHeight="1">
      <c r="A223" s="367"/>
      <c r="B223" s="369">
        <v>2024.0</v>
      </c>
      <c r="C223" s="296" t="s">
        <v>528</v>
      </c>
      <c r="D223" s="300" t="s">
        <v>82</v>
      </c>
      <c r="E223" s="141" t="s">
        <v>2159</v>
      </c>
      <c r="F223" s="296" t="s">
        <v>10</v>
      </c>
      <c r="G223" s="296" t="s">
        <v>1756</v>
      </c>
      <c r="H223" s="92" t="s">
        <v>673</v>
      </c>
      <c r="I223" s="296" t="s">
        <v>58</v>
      </c>
      <c r="J223" s="296" t="s">
        <v>1757</v>
      </c>
      <c r="K223" s="367"/>
      <c r="L223" s="379" t="s">
        <v>2164</v>
      </c>
      <c r="M223" s="143">
        <v>5.2771187E7</v>
      </c>
      <c r="N223" s="143">
        <v>3.204874498E9</v>
      </c>
      <c r="O223" s="372" t="s">
        <v>1018</v>
      </c>
      <c r="P223" s="367"/>
      <c r="Q223" s="54" t="s">
        <v>606</v>
      </c>
      <c r="R223" s="367"/>
      <c r="S223" s="367"/>
      <c r="T223" s="367"/>
      <c r="U223" s="367"/>
      <c r="V223" s="367"/>
      <c r="W223" s="367"/>
      <c r="X223" s="367"/>
      <c r="Y223" s="367"/>
      <c r="Z223" s="367"/>
    </row>
    <row r="224" ht="27.75" customHeight="1">
      <c r="A224" s="367"/>
      <c r="B224" s="369">
        <v>2024.0</v>
      </c>
      <c r="C224" s="296" t="s">
        <v>528</v>
      </c>
      <c r="D224" s="300" t="s">
        <v>82</v>
      </c>
      <c r="E224" s="141" t="s">
        <v>2159</v>
      </c>
      <c r="F224" s="296" t="s">
        <v>10</v>
      </c>
      <c r="G224" s="296" t="s">
        <v>1756</v>
      </c>
      <c r="H224" s="92" t="s">
        <v>673</v>
      </c>
      <c r="I224" s="296" t="s">
        <v>58</v>
      </c>
      <c r="J224" s="296" t="s">
        <v>1757</v>
      </c>
      <c r="K224" s="367"/>
      <c r="L224" s="379" t="s">
        <v>2165</v>
      </c>
      <c r="M224" s="143">
        <v>4.1418529E7</v>
      </c>
      <c r="N224" s="143">
        <v>3.115824564E9</v>
      </c>
      <c r="O224" s="372" t="s">
        <v>1018</v>
      </c>
      <c r="P224" s="367"/>
      <c r="Q224" s="54" t="s">
        <v>606</v>
      </c>
      <c r="R224" s="367"/>
      <c r="S224" s="367"/>
      <c r="T224" s="367"/>
      <c r="U224" s="367"/>
      <c r="V224" s="367"/>
      <c r="W224" s="367"/>
      <c r="X224" s="367"/>
      <c r="Y224" s="367"/>
      <c r="Z224" s="367"/>
    </row>
    <row r="225" ht="28.5" customHeight="1">
      <c r="A225" s="367"/>
      <c r="B225" s="369">
        <v>2024.0</v>
      </c>
      <c r="C225" s="296" t="s">
        <v>528</v>
      </c>
      <c r="D225" s="300" t="s">
        <v>82</v>
      </c>
      <c r="E225" s="141" t="s">
        <v>2159</v>
      </c>
      <c r="F225" s="296" t="s">
        <v>10</v>
      </c>
      <c r="G225" s="296" t="s">
        <v>1756</v>
      </c>
      <c r="H225" s="92" t="s">
        <v>673</v>
      </c>
      <c r="I225" s="296" t="s">
        <v>58</v>
      </c>
      <c r="J225" s="296" t="s">
        <v>1757</v>
      </c>
      <c r="K225" s="367"/>
      <c r="L225" s="379" t="s">
        <v>2166</v>
      </c>
      <c r="M225" s="143">
        <v>1.030631896E9</v>
      </c>
      <c r="N225" s="143">
        <v>3.104576005E9</v>
      </c>
      <c r="O225" s="372" t="s">
        <v>1018</v>
      </c>
      <c r="P225" s="367"/>
      <c r="Q225" s="54" t="s">
        <v>606</v>
      </c>
      <c r="R225" s="367"/>
      <c r="S225" s="367"/>
      <c r="T225" s="367"/>
      <c r="U225" s="367"/>
      <c r="V225" s="367"/>
      <c r="W225" s="367"/>
      <c r="X225" s="367"/>
      <c r="Y225" s="367"/>
      <c r="Z225" s="367"/>
    </row>
    <row r="226" ht="28.5" customHeight="1">
      <c r="A226" s="367"/>
      <c r="B226" s="369">
        <v>2024.0</v>
      </c>
      <c r="C226" s="296" t="s">
        <v>528</v>
      </c>
      <c r="D226" s="300" t="s">
        <v>82</v>
      </c>
      <c r="E226" s="141" t="s">
        <v>2159</v>
      </c>
      <c r="F226" s="296" t="s">
        <v>10</v>
      </c>
      <c r="G226" s="296" t="s">
        <v>1756</v>
      </c>
      <c r="H226" s="92" t="s">
        <v>673</v>
      </c>
      <c r="I226" s="296" t="s">
        <v>58</v>
      </c>
      <c r="J226" s="296" t="s">
        <v>1757</v>
      </c>
      <c r="K226" s="367"/>
      <c r="L226" s="379" t="s">
        <v>2167</v>
      </c>
      <c r="M226" s="143">
        <v>1.7075416E7</v>
      </c>
      <c r="N226" s="143">
        <v>6.012994364E9</v>
      </c>
      <c r="O226" s="372" t="s">
        <v>1764</v>
      </c>
      <c r="P226" s="367"/>
      <c r="Q226" s="54" t="s">
        <v>606</v>
      </c>
      <c r="R226" s="367"/>
      <c r="S226" s="367"/>
      <c r="T226" s="367"/>
      <c r="U226" s="367"/>
      <c r="V226" s="367"/>
      <c r="W226" s="367"/>
      <c r="X226" s="367"/>
      <c r="Y226" s="367"/>
      <c r="Z226" s="367"/>
    </row>
    <row r="227" ht="26.25" customHeight="1">
      <c r="A227" s="367"/>
      <c r="B227" s="369">
        <v>2024.0</v>
      </c>
      <c r="C227" s="296" t="s">
        <v>528</v>
      </c>
      <c r="D227" s="300" t="s">
        <v>82</v>
      </c>
      <c r="E227" s="141" t="s">
        <v>2159</v>
      </c>
      <c r="F227" s="296" t="s">
        <v>10</v>
      </c>
      <c r="G227" s="296" t="s">
        <v>1756</v>
      </c>
      <c r="H227" s="92" t="s">
        <v>673</v>
      </c>
      <c r="I227" s="296" t="s">
        <v>58</v>
      </c>
      <c r="J227" s="296" t="s">
        <v>1757</v>
      </c>
      <c r="K227" s="367"/>
      <c r="L227" s="379" t="s">
        <v>2168</v>
      </c>
      <c r="M227" s="143">
        <v>1.9217141E7</v>
      </c>
      <c r="N227" s="143">
        <v>3.125124635E9</v>
      </c>
      <c r="O227" s="372" t="s">
        <v>1764</v>
      </c>
      <c r="P227" s="367"/>
      <c r="Q227" s="54" t="s">
        <v>606</v>
      </c>
      <c r="R227" s="367"/>
      <c r="S227" s="367"/>
      <c r="T227" s="367"/>
      <c r="U227" s="367"/>
      <c r="V227" s="367"/>
      <c r="W227" s="367"/>
      <c r="X227" s="367"/>
      <c r="Y227" s="367"/>
      <c r="Z227" s="367"/>
    </row>
    <row r="228" ht="16.5" customHeight="1">
      <c r="A228" s="367"/>
      <c r="B228" s="369">
        <v>2024.0</v>
      </c>
      <c r="C228" s="296" t="s">
        <v>528</v>
      </c>
      <c r="D228" s="300" t="s">
        <v>82</v>
      </c>
      <c r="E228" s="141" t="s">
        <v>2159</v>
      </c>
      <c r="F228" s="296" t="s">
        <v>10</v>
      </c>
      <c r="G228" s="296" t="s">
        <v>1756</v>
      </c>
      <c r="H228" s="92" t="s">
        <v>673</v>
      </c>
      <c r="I228" s="296" t="s">
        <v>58</v>
      </c>
      <c r="J228" s="296" t="s">
        <v>1757</v>
      </c>
      <c r="K228" s="367"/>
      <c r="L228" s="379" t="s">
        <v>2169</v>
      </c>
      <c r="M228" s="143">
        <v>4326703.0</v>
      </c>
      <c r="N228" s="143">
        <v>3.112174374E9</v>
      </c>
      <c r="O228" s="372" t="s">
        <v>1764</v>
      </c>
      <c r="P228" s="367"/>
      <c r="Q228" s="54" t="s">
        <v>606</v>
      </c>
      <c r="R228" s="367"/>
      <c r="S228" s="367"/>
      <c r="T228" s="367"/>
      <c r="U228" s="367"/>
      <c r="V228" s="367"/>
      <c r="W228" s="367"/>
      <c r="X228" s="367"/>
      <c r="Y228" s="367"/>
      <c r="Z228" s="367"/>
    </row>
    <row r="229" ht="23.25" customHeight="1">
      <c r="A229" s="367"/>
      <c r="B229" s="369">
        <v>2024.0</v>
      </c>
      <c r="C229" s="296" t="s">
        <v>528</v>
      </c>
      <c r="D229" s="300" t="s">
        <v>82</v>
      </c>
      <c r="E229" s="141" t="s">
        <v>2159</v>
      </c>
      <c r="F229" s="296" t="s">
        <v>10</v>
      </c>
      <c r="G229" s="296" t="s">
        <v>1756</v>
      </c>
      <c r="H229" s="92" t="s">
        <v>673</v>
      </c>
      <c r="I229" s="296" t="s">
        <v>58</v>
      </c>
      <c r="J229" s="296" t="s">
        <v>1757</v>
      </c>
      <c r="K229" s="367"/>
      <c r="L229" s="379" t="s">
        <v>2170</v>
      </c>
      <c r="M229" s="143">
        <v>1.02233287E9</v>
      </c>
      <c r="N229" s="143">
        <v>3.202271571E9</v>
      </c>
      <c r="O229" s="372" t="s">
        <v>1018</v>
      </c>
      <c r="P229" s="367"/>
      <c r="Q229" s="54" t="s">
        <v>606</v>
      </c>
      <c r="R229" s="367"/>
      <c r="S229" s="367"/>
      <c r="T229" s="367"/>
      <c r="U229" s="367"/>
      <c r="V229" s="367"/>
      <c r="W229" s="367"/>
      <c r="X229" s="367"/>
      <c r="Y229" s="367"/>
      <c r="Z229" s="367"/>
    </row>
    <row r="230" ht="25.5" customHeight="1">
      <c r="A230" s="367"/>
      <c r="B230" s="369">
        <v>2024.0</v>
      </c>
      <c r="C230" s="296" t="s">
        <v>528</v>
      </c>
      <c r="D230" s="300" t="s">
        <v>82</v>
      </c>
      <c r="E230" s="141" t="s">
        <v>2159</v>
      </c>
      <c r="F230" s="296" t="s">
        <v>10</v>
      </c>
      <c r="G230" s="296" t="s">
        <v>1756</v>
      </c>
      <c r="H230" s="92" t="s">
        <v>673</v>
      </c>
      <c r="I230" s="296" t="s">
        <v>58</v>
      </c>
      <c r="J230" s="296" t="s">
        <v>1757</v>
      </c>
      <c r="K230" s="367"/>
      <c r="L230" s="379" t="s">
        <v>2171</v>
      </c>
      <c r="M230" s="143">
        <v>1.9095108E7</v>
      </c>
      <c r="N230" s="143">
        <v>3.115451829E9</v>
      </c>
      <c r="O230" s="372" t="s">
        <v>1764</v>
      </c>
      <c r="P230" s="367"/>
      <c r="Q230" s="54" t="s">
        <v>606</v>
      </c>
      <c r="R230" s="367"/>
      <c r="S230" s="367"/>
      <c r="T230" s="367"/>
      <c r="U230" s="367"/>
      <c r="V230" s="367"/>
      <c r="W230" s="367"/>
      <c r="X230" s="367"/>
      <c r="Y230" s="367"/>
      <c r="Z230" s="367"/>
    </row>
    <row r="231" ht="27.75" customHeight="1">
      <c r="A231" s="367"/>
      <c r="B231" s="369">
        <v>2024.0</v>
      </c>
      <c r="C231" s="296" t="s">
        <v>528</v>
      </c>
      <c r="D231" s="300" t="s">
        <v>82</v>
      </c>
      <c r="E231" s="141" t="s">
        <v>2159</v>
      </c>
      <c r="F231" s="296" t="s">
        <v>10</v>
      </c>
      <c r="G231" s="296" t="s">
        <v>1756</v>
      </c>
      <c r="H231" s="92" t="s">
        <v>673</v>
      </c>
      <c r="I231" s="296" t="s">
        <v>58</v>
      </c>
      <c r="J231" s="296" t="s">
        <v>1757</v>
      </c>
      <c r="K231" s="367"/>
      <c r="L231" s="379" t="s">
        <v>2172</v>
      </c>
      <c r="M231" s="143">
        <v>7.9473124E7</v>
      </c>
      <c r="N231" s="143">
        <v>3.144349668E9</v>
      </c>
      <c r="O231" s="372" t="s">
        <v>1764</v>
      </c>
      <c r="P231" s="367"/>
      <c r="Q231" s="54" t="s">
        <v>606</v>
      </c>
      <c r="R231" s="367"/>
      <c r="S231" s="367"/>
      <c r="T231" s="367"/>
      <c r="U231" s="367"/>
      <c r="V231" s="367"/>
      <c r="W231" s="367"/>
      <c r="X231" s="367"/>
      <c r="Y231" s="367"/>
      <c r="Z231" s="367"/>
    </row>
    <row r="232" ht="27.0" customHeight="1">
      <c r="A232" s="367"/>
      <c r="B232" s="369">
        <v>2024.0</v>
      </c>
      <c r="C232" s="296" t="s">
        <v>528</v>
      </c>
      <c r="D232" s="300" t="s">
        <v>82</v>
      </c>
      <c r="E232" s="141" t="s">
        <v>2159</v>
      </c>
      <c r="F232" s="296" t="s">
        <v>10</v>
      </c>
      <c r="G232" s="296" t="s">
        <v>1756</v>
      </c>
      <c r="H232" s="92" t="s">
        <v>673</v>
      </c>
      <c r="I232" s="296" t="s">
        <v>58</v>
      </c>
      <c r="J232" s="296" t="s">
        <v>1757</v>
      </c>
      <c r="K232" s="367"/>
      <c r="L232" s="379" t="s">
        <v>2173</v>
      </c>
      <c r="M232" s="143">
        <v>5.2193648E7</v>
      </c>
      <c r="N232" s="143">
        <v>3.133366114E9</v>
      </c>
      <c r="O232" s="372" t="s">
        <v>1018</v>
      </c>
      <c r="P232" s="367"/>
      <c r="Q232" s="54" t="s">
        <v>606</v>
      </c>
      <c r="R232" s="367"/>
      <c r="S232" s="367"/>
      <c r="T232" s="367"/>
      <c r="U232" s="367"/>
      <c r="V232" s="367"/>
      <c r="W232" s="367"/>
      <c r="X232" s="367"/>
      <c r="Y232" s="367"/>
      <c r="Z232" s="367"/>
    </row>
    <row r="233" ht="27.0" customHeight="1">
      <c r="A233" s="367"/>
      <c r="B233" s="369">
        <v>2024.0</v>
      </c>
      <c r="C233" s="296" t="s">
        <v>528</v>
      </c>
      <c r="D233" s="300" t="s">
        <v>82</v>
      </c>
      <c r="E233" s="141" t="s">
        <v>2159</v>
      </c>
      <c r="F233" s="296" t="s">
        <v>10</v>
      </c>
      <c r="G233" s="296" t="s">
        <v>1756</v>
      </c>
      <c r="H233" s="92" t="s">
        <v>673</v>
      </c>
      <c r="I233" s="296" t="s">
        <v>58</v>
      </c>
      <c r="J233" s="296" t="s">
        <v>1757</v>
      </c>
      <c r="K233" s="367"/>
      <c r="L233" s="379" t="s">
        <v>2174</v>
      </c>
      <c r="M233" s="143">
        <v>4.1475542E7</v>
      </c>
      <c r="N233" s="143">
        <v>7531480.0</v>
      </c>
      <c r="O233" s="372" t="s">
        <v>1018</v>
      </c>
      <c r="P233" s="367"/>
      <c r="Q233" s="54" t="s">
        <v>606</v>
      </c>
      <c r="R233" s="367"/>
      <c r="S233" s="367"/>
      <c r="T233" s="367"/>
      <c r="U233" s="367"/>
      <c r="V233" s="367"/>
      <c r="W233" s="367"/>
      <c r="X233" s="367"/>
      <c r="Y233" s="367"/>
      <c r="Z233" s="367"/>
    </row>
    <row r="234" ht="27.0" customHeight="1">
      <c r="A234" s="367"/>
      <c r="B234" s="369">
        <v>2024.0</v>
      </c>
      <c r="C234" s="296" t="s">
        <v>528</v>
      </c>
      <c r="D234" s="300" t="s">
        <v>82</v>
      </c>
      <c r="E234" s="141" t="s">
        <v>2159</v>
      </c>
      <c r="F234" s="296" t="s">
        <v>10</v>
      </c>
      <c r="G234" s="296" t="s">
        <v>1756</v>
      </c>
      <c r="H234" s="92" t="s">
        <v>673</v>
      </c>
      <c r="I234" s="296" t="s">
        <v>58</v>
      </c>
      <c r="J234" s="296" t="s">
        <v>1757</v>
      </c>
      <c r="K234" s="367"/>
      <c r="L234" s="379" t="s">
        <v>2175</v>
      </c>
      <c r="M234" s="143">
        <v>7213717.0</v>
      </c>
      <c r="N234" s="143">
        <v>3.153368008E9</v>
      </c>
      <c r="O234" s="372" t="s">
        <v>1764</v>
      </c>
      <c r="P234" s="367"/>
      <c r="Q234" s="54" t="s">
        <v>606</v>
      </c>
      <c r="R234" s="367"/>
      <c r="S234" s="367"/>
      <c r="T234" s="367"/>
      <c r="U234" s="367"/>
      <c r="V234" s="367"/>
      <c r="W234" s="367"/>
      <c r="X234" s="367"/>
      <c r="Y234" s="367"/>
      <c r="Z234" s="367"/>
    </row>
    <row r="235" ht="27.0" customHeight="1">
      <c r="A235" s="367"/>
      <c r="B235" s="369">
        <v>2024.0</v>
      </c>
      <c r="C235" s="296" t="s">
        <v>528</v>
      </c>
      <c r="D235" s="300" t="s">
        <v>82</v>
      </c>
      <c r="E235" s="141" t="s">
        <v>2159</v>
      </c>
      <c r="F235" s="296" t="s">
        <v>10</v>
      </c>
      <c r="G235" s="296" t="s">
        <v>1756</v>
      </c>
      <c r="H235" s="92" t="s">
        <v>673</v>
      </c>
      <c r="I235" s="296" t="s">
        <v>58</v>
      </c>
      <c r="J235" s="296" t="s">
        <v>1757</v>
      </c>
      <c r="K235" s="367"/>
      <c r="L235" s="379" t="s">
        <v>2176</v>
      </c>
      <c r="M235" s="143">
        <v>7.9722915E7</v>
      </c>
      <c r="N235" s="143">
        <v>3.01417714E9</v>
      </c>
      <c r="O235" s="372" t="s">
        <v>1764</v>
      </c>
      <c r="P235" s="367"/>
      <c r="Q235" s="54" t="s">
        <v>606</v>
      </c>
      <c r="R235" s="367"/>
      <c r="S235" s="367"/>
      <c r="T235" s="367"/>
      <c r="U235" s="367"/>
      <c r="V235" s="367"/>
      <c r="W235" s="367"/>
      <c r="X235" s="367"/>
      <c r="Y235" s="367"/>
      <c r="Z235" s="367"/>
    </row>
    <row r="236" ht="26.25" customHeight="1">
      <c r="A236" s="367"/>
      <c r="B236" s="369">
        <v>2024.0</v>
      </c>
      <c r="C236" s="296" t="s">
        <v>528</v>
      </c>
      <c r="D236" s="300" t="s">
        <v>82</v>
      </c>
      <c r="E236" s="141" t="s">
        <v>2159</v>
      </c>
      <c r="F236" s="296" t="s">
        <v>10</v>
      </c>
      <c r="G236" s="296" t="s">
        <v>1756</v>
      </c>
      <c r="H236" s="92" t="s">
        <v>673</v>
      </c>
      <c r="I236" s="296" t="s">
        <v>58</v>
      </c>
      <c r="J236" s="296" t="s">
        <v>1757</v>
      </c>
      <c r="K236" s="367"/>
      <c r="L236" s="379" t="s">
        <v>2177</v>
      </c>
      <c r="M236" s="143">
        <v>5.2550417E7</v>
      </c>
      <c r="N236" s="143">
        <v>3.014177104E9</v>
      </c>
      <c r="O236" s="372" t="s">
        <v>1018</v>
      </c>
      <c r="P236" s="367"/>
      <c r="Q236" s="54" t="s">
        <v>606</v>
      </c>
      <c r="R236" s="367"/>
      <c r="S236" s="367"/>
      <c r="T236" s="367"/>
      <c r="U236" s="367"/>
      <c r="V236" s="367"/>
      <c r="W236" s="367"/>
      <c r="X236" s="367"/>
      <c r="Y236" s="367"/>
      <c r="Z236" s="367"/>
    </row>
    <row r="237" ht="28.5" customHeight="1">
      <c r="A237" s="367"/>
      <c r="B237" s="369">
        <v>2024.0</v>
      </c>
      <c r="C237" s="296" t="s">
        <v>528</v>
      </c>
      <c r="D237" s="300" t="s">
        <v>82</v>
      </c>
      <c r="E237" s="141" t="s">
        <v>2159</v>
      </c>
      <c r="F237" s="296" t="s">
        <v>10</v>
      </c>
      <c r="G237" s="296" t="s">
        <v>1756</v>
      </c>
      <c r="H237" s="92" t="s">
        <v>673</v>
      </c>
      <c r="I237" s="296" t="s">
        <v>58</v>
      </c>
      <c r="J237" s="296" t="s">
        <v>1757</v>
      </c>
      <c r="K237" s="367"/>
      <c r="L237" s="379" t="s">
        <v>2178</v>
      </c>
      <c r="M237" s="143">
        <v>4.1777326E7</v>
      </c>
      <c r="N237" s="143">
        <v>3.202338277E9</v>
      </c>
      <c r="O237" s="372" t="s">
        <v>1018</v>
      </c>
      <c r="P237" s="367"/>
      <c r="Q237" s="54" t="s">
        <v>606</v>
      </c>
      <c r="R237" s="367"/>
      <c r="S237" s="367"/>
      <c r="T237" s="367"/>
      <c r="U237" s="367"/>
      <c r="V237" s="367"/>
      <c r="W237" s="367"/>
      <c r="X237" s="367"/>
      <c r="Y237" s="367"/>
      <c r="Z237" s="367"/>
    </row>
    <row r="238" ht="25.5" customHeight="1">
      <c r="A238" s="367"/>
      <c r="B238" s="369">
        <v>2024.0</v>
      </c>
      <c r="C238" s="296" t="s">
        <v>528</v>
      </c>
      <c r="D238" s="300" t="s">
        <v>82</v>
      </c>
      <c r="E238" s="141" t="s">
        <v>2159</v>
      </c>
      <c r="F238" s="296" t="s">
        <v>10</v>
      </c>
      <c r="G238" s="296" t="s">
        <v>1756</v>
      </c>
      <c r="H238" s="92" t="s">
        <v>673</v>
      </c>
      <c r="I238" s="296" t="s">
        <v>58</v>
      </c>
      <c r="J238" s="296" t="s">
        <v>1757</v>
      </c>
      <c r="K238" s="367"/>
      <c r="L238" s="379" t="s">
        <v>2179</v>
      </c>
      <c r="M238" s="143">
        <v>7.9343165E7</v>
      </c>
      <c r="N238" s="143">
        <v>3.014890462E9</v>
      </c>
      <c r="O238" s="372" t="s">
        <v>1764</v>
      </c>
      <c r="P238" s="367"/>
      <c r="Q238" s="54" t="s">
        <v>606</v>
      </c>
      <c r="R238" s="367"/>
      <c r="S238" s="367"/>
      <c r="T238" s="367"/>
      <c r="U238" s="367"/>
      <c r="V238" s="367"/>
      <c r="W238" s="367"/>
      <c r="X238" s="367"/>
      <c r="Y238" s="367"/>
      <c r="Z238" s="367"/>
    </row>
    <row r="239" ht="26.25" customHeight="1">
      <c r="A239" s="367"/>
      <c r="B239" s="369">
        <v>2024.0</v>
      </c>
      <c r="C239" s="296" t="s">
        <v>625</v>
      </c>
      <c r="D239" s="300" t="s">
        <v>133</v>
      </c>
      <c r="E239" s="141" t="s">
        <v>2180</v>
      </c>
      <c r="F239" s="296" t="s">
        <v>132</v>
      </c>
      <c r="G239" s="296" t="s">
        <v>1756</v>
      </c>
      <c r="H239" s="125" t="s">
        <v>2181</v>
      </c>
      <c r="I239" s="296" t="s">
        <v>58</v>
      </c>
      <c r="J239" s="296" t="s">
        <v>1757</v>
      </c>
      <c r="K239" s="367"/>
      <c r="L239" s="379" t="s">
        <v>2182</v>
      </c>
      <c r="M239" s="143">
        <v>1.030557747E9</v>
      </c>
      <c r="N239" s="143">
        <v>3.165815484E9</v>
      </c>
      <c r="O239" s="369" t="s">
        <v>1018</v>
      </c>
      <c r="P239" s="367"/>
      <c r="Q239" s="322" t="s">
        <v>142</v>
      </c>
      <c r="R239" s="367"/>
      <c r="S239" s="367"/>
      <c r="T239" s="367"/>
      <c r="U239" s="367"/>
      <c r="V239" s="367"/>
      <c r="W239" s="367"/>
      <c r="X239" s="367"/>
      <c r="Y239" s="367"/>
      <c r="Z239" s="367"/>
    </row>
    <row r="240" ht="28.5" customHeight="1">
      <c r="A240" s="367"/>
      <c r="B240" s="369">
        <v>2024.0</v>
      </c>
      <c r="C240" s="296" t="s">
        <v>625</v>
      </c>
      <c r="D240" s="300" t="s">
        <v>133</v>
      </c>
      <c r="E240" s="141" t="s">
        <v>2180</v>
      </c>
      <c r="F240" s="296" t="s">
        <v>132</v>
      </c>
      <c r="G240" s="296" t="s">
        <v>1756</v>
      </c>
      <c r="H240" s="125" t="s">
        <v>2181</v>
      </c>
      <c r="I240" s="296" t="s">
        <v>58</v>
      </c>
      <c r="J240" s="296" t="s">
        <v>1757</v>
      </c>
      <c r="K240" s="367"/>
      <c r="L240" s="379" t="s">
        <v>2183</v>
      </c>
      <c r="M240" s="143">
        <v>5.1604558E7</v>
      </c>
      <c r="N240" s="143">
        <v>3.163449478E9</v>
      </c>
      <c r="O240" s="372" t="s">
        <v>1018</v>
      </c>
      <c r="P240" s="367"/>
      <c r="Q240" s="322" t="s">
        <v>142</v>
      </c>
      <c r="R240" s="367"/>
      <c r="S240" s="367"/>
      <c r="T240" s="367"/>
      <c r="U240" s="367"/>
      <c r="V240" s="367"/>
      <c r="W240" s="367"/>
      <c r="X240" s="367"/>
      <c r="Y240" s="367"/>
      <c r="Z240" s="367"/>
    </row>
    <row r="241" ht="26.25" customHeight="1">
      <c r="A241" s="367"/>
      <c r="B241" s="369">
        <v>2024.0</v>
      </c>
      <c r="C241" s="296" t="s">
        <v>625</v>
      </c>
      <c r="D241" s="300" t="s">
        <v>133</v>
      </c>
      <c r="E241" s="141" t="s">
        <v>2180</v>
      </c>
      <c r="F241" s="296" t="s">
        <v>132</v>
      </c>
      <c r="G241" s="296" t="s">
        <v>1756</v>
      </c>
      <c r="H241" s="125" t="s">
        <v>2181</v>
      </c>
      <c r="I241" s="296" t="s">
        <v>58</v>
      </c>
      <c r="J241" s="296" t="s">
        <v>1757</v>
      </c>
      <c r="K241" s="367"/>
      <c r="L241" s="379" t="s">
        <v>2184</v>
      </c>
      <c r="M241" s="143">
        <v>8.8032433E7</v>
      </c>
      <c r="N241" s="143">
        <v>3.118975886E9</v>
      </c>
      <c r="O241" s="372" t="s">
        <v>1764</v>
      </c>
      <c r="P241" s="367"/>
      <c r="Q241" s="322" t="s">
        <v>142</v>
      </c>
      <c r="R241" s="367"/>
      <c r="S241" s="367"/>
      <c r="T241" s="367"/>
      <c r="U241" s="367"/>
      <c r="V241" s="367"/>
      <c r="W241" s="367"/>
      <c r="X241" s="367"/>
      <c r="Y241" s="367"/>
      <c r="Z241" s="367"/>
    </row>
    <row r="242" ht="27.0" customHeight="1">
      <c r="A242" s="367"/>
      <c r="B242" s="369">
        <v>2024.0</v>
      </c>
      <c r="C242" s="296" t="s">
        <v>625</v>
      </c>
      <c r="D242" s="300" t="s">
        <v>133</v>
      </c>
      <c r="E242" s="141" t="s">
        <v>2180</v>
      </c>
      <c r="F242" s="296" t="s">
        <v>132</v>
      </c>
      <c r="G242" s="296" t="s">
        <v>1756</v>
      </c>
      <c r="H242" s="125" t="s">
        <v>2181</v>
      </c>
      <c r="I242" s="296" t="s">
        <v>58</v>
      </c>
      <c r="J242" s="296" t="s">
        <v>1757</v>
      </c>
      <c r="K242" s="367"/>
      <c r="L242" s="379" t="s">
        <v>2185</v>
      </c>
      <c r="M242" s="143">
        <v>7.9394958E7</v>
      </c>
      <c r="N242" s="143">
        <v>3.222276633E9</v>
      </c>
      <c r="O242" s="372" t="s">
        <v>1764</v>
      </c>
      <c r="P242" s="367"/>
      <c r="Q242" s="322" t="s">
        <v>142</v>
      </c>
      <c r="R242" s="367"/>
      <c r="S242" s="367"/>
      <c r="T242" s="367"/>
      <c r="U242" s="367"/>
      <c r="V242" s="367"/>
      <c r="W242" s="367"/>
      <c r="X242" s="367"/>
      <c r="Y242" s="367"/>
      <c r="Z242" s="367"/>
    </row>
    <row r="243" ht="23.25" customHeight="1">
      <c r="A243" s="367"/>
      <c r="B243" s="369">
        <v>2024.0</v>
      </c>
      <c r="C243" s="296" t="s">
        <v>625</v>
      </c>
      <c r="D243" s="300" t="s">
        <v>133</v>
      </c>
      <c r="E243" s="141" t="s">
        <v>2180</v>
      </c>
      <c r="F243" s="296" t="s">
        <v>132</v>
      </c>
      <c r="G243" s="296" t="s">
        <v>1756</v>
      </c>
      <c r="H243" s="125" t="s">
        <v>2181</v>
      </c>
      <c r="I243" s="296" t="s">
        <v>58</v>
      </c>
      <c r="J243" s="296" t="s">
        <v>1757</v>
      </c>
      <c r="K243" s="367"/>
      <c r="L243" s="379" t="s">
        <v>1870</v>
      </c>
      <c r="M243" s="143">
        <v>7.9201729E7</v>
      </c>
      <c r="N243" s="143">
        <v>3.102052185E9</v>
      </c>
      <c r="O243" s="372" t="s">
        <v>1764</v>
      </c>
      <c r="P243" s="367"/>
      <c r="Q243" s="322" t="s">
        <v>142</v>
      </c>
      <c r="R243" s="367"/>
      <c r="S243" s="367"/>
      <c r="T243" s="367"/>
      <c r="U243" s="367"/>
      <c r="V243" s="367"/>
      <c r="W243" s="367"/>
      <c r="X243" s="367"/>
      <c r="Y243" s="367"/>
      <c r="Z243" s="367"/>
    </row>
    <row r="244" ht="28.5" customHeight="1">
      <c r="A244" s="367"/>
      <c r="B244" s="369">
        <v>2024.0</v>
      </c>
      <c r="C244" s="296" t="s">
        <v>625</v>
      </c>
      <c r="D244" s="300" t="s">
        <v>133</v>
      </c>
      <c r="E244" s="141" t="s">
        <v>2180</v>
      </c>
      <c r="F244" s="296" t="s">
        <v>132</v>
      </c>
      <c r="G244" s="296" t="s">
        <v>1756</v>
      </c>
      <c r="H244" s="125" t="s">
        <v>2181</v>
      </c>
      <c r="I244" s="296" t="s">
        <v>58</v>
      </c>
      <c r="J244" s="296" t="s">
        <v>1757</v>
      </c>
      <c r="K244" s="367"/>
      <c r="L244" s="379" t="s">
        <v>2186</v>
      </c>
      <c r="M244" s="143">
        <v>7.9445436E7</v>
      </c>
      <c r="N244" s="143">
        <v>3.118892395E9</v>
      </c>
      <c r="O244" s="372" t="s">
        <v>1764</v>
      </c>
      <c r="P244" s="367"/>
      <c r="Q244" s="322" t="s">
        <v>142</v>
      </c>
      <c r="R244" s="367"/>
      <c r="S244" s="367"/>
      <c r="T244" s="367"/>
      <c r="U244" s="367"/>
      <c r="V244" s="367"/>
      <c r="W244" s="367"/>
      <c r="X244" s="367"/>
      <c r="Y244" s="367"/>
      <c r="Z244" s="367"/>
    </row>
    <row r="245" ht="26.25" customHeight="1">
      <c r="A245" s="367"/>
      <c r="B245" s="369">
        <v>2024.0</v>
      </c>
      <c r="C245" s="296" t="s">
        <v>625</v>
      </c>
      <c r="D245" s="300" t="s">
        <v>133</v>
      </c>
      <c r="E245" s="141" t="s">
        <v>2180</v>
      </c>
      <c r="F245" s="296" t="s">
        <v>132</v>
      </c>
      <c r="G245" s="296" t="s">
        <v>1756</v>
      </c>
      <c r="H245" s="125" t="s">
        <v>2181</v>
      </c>
      <c r="I245" s="296" t="s">
        <v>58</v>
      </c>
      <c r="J245" s="296" t="s">
        <v>1757</v>
      </c>
      <c r="K245" s="367"/>
      <c r="L245" s="379" t="s">
        <v>2187</v>
      </c>
      <c r="M245" s="143">
        <v>8.6047004E7</v>
      </c>
      <c r="N245" s="143">
        <v>3.223497611E9</v>
      </c>
      <c r="O245" s="372" t="s">
        <v>1764</v>
      </c>
      <c r="P245" s="367"/>
      <c r="Q245" s="322" t="s">
        <v>142</v>
      </c>
      <c r="R245" s="367"/>
      <c r="S245" s="367"/>
      <c r="T245" s="367"/>
      <c r="U245" s="367"/>
      <c r="V245" s="367"/>
      <c r="W245" s="367"/>
      <c r="X245" s="367"/>
      <c r="Y245" s="367"/>
      <c r="Z245" s="367"/>
    </row>
    <row r="246" ht="27.75" customHeight="1">
      <c r="A246" s="367"/>
      <c r="B246" s="369">
        <v>2024.0</v>
      </c>
      <c r="C246" s="296" t="s">
        <v>625</v>
      </c>
      <c r="D246" s="300" t="s">
        <v>133</v>
      </c>
      <c r="E246" s="141" t="s">
        <v>2180</v>
      </c>
      <c r="F246" s="296" t="s">
        <v>132</v>
      </c>
      <c r="G246" s="296" t="s">
        <v>1756</v>
      </c>
      <c r="H246" s="125" t="s">
        <v>2181</v>
      </c>
      <c r="I246" s="296" t="s">
        <v>58</v>
      </c>
      <c r="J246" s="296" t="s">
        <v>1757</v>
      </c>
      <c r="K246" s="367"/>
      <c r="L246" s="379" t="s">
        <v>2188</v>
      </c>
      <c r="M246" s="143">
        <v>4.1693646E7</v>
      </c>
      <c r="N246" s="143">
        <v>3.115813339E9</v>
      </c>
      <c r="O246" s="372" t="s">
        <v>1018</v>
      </c>
      <c r="P246" s="367"/>
      <c r="Q246" s="322" t="s">
        <v>142</v>
      </c>
      <c r="R246" s="367"/>
      <c r="S246" s="367"/>
      <c r="T246" s="367"/>
      <c r="U246" s="367"/>
      <c r="V246" s="367"/>
      <c r="W246" s="367"/>
      <c r="X246" s="367"/>
      <c r="Y246" s="367"/>
      <c r="Z246" s="367"/>
    </row>
    <row r="247" ht="26.25" customHeight="1">
      <c r="A247" s="367"/>
      <c r="B247" s="369">
        <v>2024.0</v>
      </c>
      <c r="C247" s="296" t="s">
        <v>625</v>
      </c>
      <c r="D247" s="300" t="s">
        <v>133</v>
      </c>
      <c r="E247" s="141" t="s">
        <v>2180</v>
      </c>
      <c r="F247" s="296" t="s">
        <v>132</v>
      </c>
      <c r="G247" s="296" t="s">
        <v>1756</v>
      </c>
      <c r="H247" s="125" t="s">
        <v>2181</v>
      </c>
      <c r="I247" s="296" t="s">
        <v>58</v>
      </c>
      <c r="J247" s="296" t="s">
        <v>1757</v>
      </c>
      <c r="K247" s="367"/>
      <c r="L247" s="379" t="s">
        <v>2189</v>
      </c>
      <c r="M247" s="143">
        <v>8.0156319E7</v>
      </c>
      <c r="N247" s="143">
        <v>3.124788616E9</v>
      </c>
      <c r="O247" s="372" t="s">
        <v>1764</v>
      </c>
      <c r="P247" s="367"/>
      <c r="Q247" s="322" t="s">
        <v>142</v>
      </c>
      <c r="R247" s="367"/>
      <c r="S247" s="367"/>
      <c r="T247" s="367"/>
      <c r="U247" s="367"/>
      <c r="V247" s="367"/>
      <c r="W247" s="367"/>
      <c r="X247" s="367"/>
      <c r="Y247" s="367"/>
      <c r="Z247" s="367"/>
    </row>
    <row r="248" ht="28.5" customHeight="1">
      <c r="A248" s="367"/>
      <c r="B248" s="369">
        <v>2024.0</v>
      </c>
      <c r="C248" s="296" t="s">
        <v>625</v>
      </c>
      <c r="D248" s="300" t="s">
        <v>133</v>
      </c>
      <c r="E248" s="141" t="s">
        <v>2180</v>
      </c>
      <c r="F248" s="296" t="s">
        <v>132</v>
      </c>
      <c r="G248" s="296" t="s">
        <v>1756</v>
      </c>
      <c r="H248" s="125" t="s">
        <v>2181</v>
      </c>
      <c r="I248" s="296" t="s">
        <v>58</v>
      </c>
      <c r="J248" s="296" t="s">
        <v>1757</v>
      </c>
      <c r="K248" s="367"/>
      <c r="L248" s="379" t="s">
        <v>2190</v>
      </c>
      <c r="M248" s="143">
        <v>7946671.0</v>
      </c>
      <c r="N248" s="143">
        <v>3.123295701E9</v>
      </c>
      <c r="O248" s="372" t="s">
        <v>1764</v>
      </c>
      <c r="P248" s="367"/>
      <c r="Q248" s="322" t="s">
        <v>142</v>
      </c>
      <c r="R248" s="367"/>
      <c r="S248" s="367"/>
      <c r="T248" s="367"/>
      <c r="U248" s="367"/>
      <c r="V248" s="367"/>
      <c r="W248" s="367"/>
      <c r="X248" s="367"/>
      <c r="Y248" s="367"/>
      <c r="Z248" s="367"/>
    </row>
    <row r="249" ht="28.5" customHeight="1">
      <c r="A249" s="367"/>
      <c r="B249" s="369">
        <v>2024.0</v>
      </c>
      <c r="C249" s="296" t="s">
        <v>625</v>
      </c>
      <c r="D249" s="300" t="s">
        <v>133</v>
      </c>
      <c r="E249" s="141" t="s">
        <v>2180</v>
      </c>
      <c r="F249" s="296" t="s">
        <v>132</v>
      </c>
      <c r="G249" s="296" t="s">
        <v>1756</v>
      </c>
      <c r="H249" s="125" t="s">
        <v>2181</v>
      </c>
      <c r="I249" s="296" t="s">
        <v>58</v>
      </c>
      <c r="J249" s="296" t="s">
        <v>1757</v>
      </c>
      <c r="K249" s="367"/>
      <c r="L249" s="379" t="s">
        <v>2191</v>
      </c>
      <c r="M249" s="143">
        <v>7.488691E7</v>
      </c>
      <c r="N249" s="143">
        <v>3.004041354E9</v>
      </c>
      <c r="O249" s="372" t="s">
        <v>1764</v>
      </c>
      <c r="P249" s="367"/>
      <c r="Q249" s="322" t="s">
        <v>142</v>
      </c>
      <c r="R249" s="367"/>
      <c r="S249" s="367"/>
      <c r="T249" s="367"/>
      <c r="U249" s="367"/>
      <c r="V249" s="367"/>
      <c r="W249" s="367"/>
      <c r="X249" s="367"/>
      <c r="Y249" s="367"/>
      <c r="Z249" s="367"/>
    </row>
    <row r="250" ht="26.25" customHeight="1">
      <c r="A250" s="367"/>
      <c r="B250" s="369">
        <v>2024.0</v>
      </c>
      <c r="C250" s="296" t="s">
        <v>625</v>
      </c>
      <c r="D250" s="300" t="s">
        <v>133</v>
      </c>
      <c r="E250" s="141" t="s">
        <v>2180</v>
      </c>
      <c r="F250" s="296" t="s">
        <v>132</v>
      </c>
      <c r="G250" s="296" t="s">
        <v>1756</v>
      </c>
      <c r="H250" s="125" t="s">
        <v>2181</v>
      </c>
      <c r="I250" s="296" t="s">
        <v>58</v>
      </c>
      <c r="J250" s="296" t="s">
        <v>1757</v>
      </c>
      <c r="K250" s="367"/>
      <c r="L250" s="379" t="s">
        <v>2192</v>
      </c>
      <c r="M250" s="143">
        <v>1.030589803E9</v>
      </c>
      <c r="N250" s="143">
        <v>3.009932679E9</v>
      </c>
      <c r="O250" s="372" t="s">
        <v>1764</v>
      </c>
      <c r="P250" s="367"/>
      <c r="Q250" s="322" t="s">
        <v>142</v>
      </c>
      <c r="R250" s="367"/>
      <c r="S250" s="367"/>
      <c r="T250" s="367"/>
      <c r="U250" s="367"/>
      <c r="V250" s="367"/>
      <c r="W250" s="367"/>
      <c r="X250" s="367"/>
      <c r="Y250" s="367"/>
      <c r="Z250" s="367"/>
    </row>
    <row r="251" ht="25.5" customHeight="1">
      <c r="A251" s="367"/>
      <c r="B251" s="369">
        <v>2025.0</v>
      </c>
      <c r="C251" s="296" t="s">
        <v>54</v>
      </c>
      <c r="D251" s="300" t="s">
        <v>82</v>
      </c>
      <c r="E251" s="141" t="s">
        <v>2193</v>
      </c>
      <c r="F251" s="296" t="s">
        <v>105</v>
      </c>
      <c r="G251" s="296" t="s">
        <v>1756</v>
      </c>
      <c r="H251" s="125" t="s">
        <v>2181</v>
      </c>
      <c r="I251" s="296" t="s">
        <v>58</v>
      </c>
      <c r="J251" s="296" t="s">
        <v>1757</v>
      </c>
      <c r="K251" s="367"/>
      <c r="L251" s="379" t="s">
        <v>2194</v>
      </c>
      <c r="M251" s="143">
        <v>1.0300556828E10</v>
      </c>
      <c r="N251" s="143">
        <v>3.195107975E9</v>
      </c>
      <c r="O251" s="372" t="s">
        <v>1764</v>
      </c>
      <c r="P251" s="367"/>
      <c r="Q251" s="322" t="s">
        <v>142</v>
      </c>
      <c r="R251" s="367"/>
      <c r="S251" s="367"/>
      <c r="T251" s="367"/>
      <c r="U251" s="367"/>
      <c r="V251" s="367"/>
      <c r="W251" s="367"/>
      <c r="X251" s="367"/>
      <c r="Y251" s="367"/>
      <c r="Z251" s="367"/>
    </row>
    <row r="252" ht="21.75" customHeight="1">
      <c r="A252" s="143" t="s">
        <v>2195</v>
      </c>
      <c r="B252" s="369">
        <v>2025.0</v>
      </c>
      <c r="C252" s="296" t="s">
        <v>54</v>
      </c>
      <c r="D252" s="300" t="s">
        <v>82</v>
      </c>
      <c r="E252" s="141" t="s">
        <v>2193</v>
      </c>
      <c r="F252" s="296" t="s">
        <v>105</v>
      </c>
      <c r="G252" s="296" t="s">
        <v>1756</v>
      </c>
      <c r="H252" s="125" t="s">
        <v>2181</v>
      </c>
      <c r="I252" s="296" t="s">
        <v>58</v>
      </c>
      <c r="J252" s="296" t="s">
        <v>1757</v>
      </c>
      <c r="K252" s="367"/>
      <c r="L252" s="379" t="s">
        <v>2196</v>
      </c>
      <c r="M252" s="143">
        <v>5.1819626E7</v>
      </c>
      <c r="N252" s="143">
        <v>3.22341652E8</v>
      </c>
      <c r="O252" s="372" t="s">
        <v>1018</v>
      </c>
      <c r="P252" s="367"/>
      <c r="Q252" s="322" t="s">
        <v>142</v>
      </c>
      <c r="R252" s="367"/>
      <c r="S252" s="367"/>
      <c r="T252" s="367"/>
      <c r="U252" s="367"/>
      <c r="V252" s="367"/>
      <c r="W252" s="367"/>
      <c r="X252" s="367"/>
      <c r="Y252" s="367"/>
      <c r="Z252" s="367"/>
    </row>
    <row r="253" ht="27.75" customHeight="1">
      <c r="A253" s="367"/>
      <c r="B253" s="369">
        <v>2025.0</v>
      </c>
      <c r="C253" s="296" t="s">
        <v>54</v>
      </c>
      <c r="D253" s="300" t="s">
        <v>82</v>
      </c>
      <c r="E253" s="141" t="s">
        <v>2193</v>
      </c>
      <c r="F253" s="296" t="s">
        <v>105</v>
      </c>
      <c r="G253" s="296" t="s">
        <v>1756</v>
      </c>
      <c r="H253" s="125" t="s">
        <v>2181</v>
      </c>
      <c r="I253" s="296" t="s">
        <v>58</v>
      </c>
      <c r="J253" s="296" t="s">
        <v>1757</v>
      </c>
      <c r="K253" s="367"/>
      <c r="L253" s="379" t="s">
        <v>2197</v>
      </c>
      <c r="M253" s="143">
        <v>1.022412735E9</v>
      </c>
      <c r="N253" s="143">
        <v>3.142844607E9</v>
      </c>
      <c r="O253" s="372" t="s">
        <v>1018</v>
      </c>
      <c r="P253" s="367"/>
      <c r="Q253" s="322" t="s">
        <v>142</v>
      </c>
      <c r="R253" s="367"/>
      <c r="S253" s="367"/>
      <c r="T253" s="367"/>
      <c r="U253" s="367"/>
      <c r="V253" s="367"/>
      <c r="W253" s="367"/>
      <c r="X253" s="367"/>
      <c r="Y253" s="367"/>
      <c r="Z253" s="367"/>
    </row>
    <row r="254" ht="19.5" customHeight="1">
      <c r="A254" s="367"/>
      <c r="B254" s="369">
        <v>2025.0</v>
      </c>
      <c r="C254" s="296" t="s">
        <v>54</v>
      </c>
      <c r="D254" s="300" t="s">
        <v>82</v>
      </c>
      <c r="E254" s="141" t="s">
        <v>2193</v>
      </c>
      <c r="F254" s="296" t="s">
        <v>105</v>
      </c>
      <c r="G254" s="296" t="s">
        <v>1756</v>
      </c>
      <c r="H254" s="125" t="s">
        <v>2181</v>
      </c>
      <c r="I254" s="296" t="s">
        <v>58</v>
      </c>
      <c r="J254" s="296" t="s">
        <v>1757</v>
      </c>
      <c r="K254" s="367"/>
      <c r="L254" s="379" t="s">
        <v>2198</v>
      </c>
      <c r="M254" s="143">
        <v>1.030521428E9</v>
      </c>
      <c r="N254" s="143">
        <v>3.007161333E9</v>
      </c>
      <c r="O254" s="372" t="s">
        <v>1764</v>
      </c>
      <c r="P254" s="367"/>
      <c r="Q254" s="322" t="s">
        <v>142</v>
      </c>
      <c r="R254" s="367"/>
      <c r="S254" s="367"/>
      <c r="T254" s="367"/>
      <c r="U254" s="367"/>
      <c r="V254" s="367"/>
      <c r="W254" s="367"/>
      <c r="X254" s="367"/>
      <c r="Y254" s="367"/>
      <c r="Z254" s="367"/>
    </row>
    <row r="255" ht="18.0" customHeight="1">
      <c r="A255" s="367"/>
      <c r="B255" s="369">
        <v>2025.0</v>
      </c>
      <c r="C255" s="296" t="s">
        <v>54</v>
      </c>
      <c r="D255" s="300" t="s">
        <v>82</v>
      </c>
      <c r="E255" s="141" t="s">
        <v>2193</v>
      </c>
      <c r="F255" s="296" t="s">
        <v>105</v>
      </c>
      <c r="G255" s="296" t="s">
        <v>1756</v>
      </c>
      <c r="H255" s="125" t="s">
        <v>2181</v>
      </c>
      <c r="I255" s="296" t="s">
        <v>58</v>
      </c>
      <c r="J255" s="296" t="s">
        <v>1757</v>
      </c>
      <c r="K255" s="367"/>
      <c r="L255" s="379" t="s">
        <v>2199</v>
      </c>
      <c r="M255" s="143">
        <v>1.193612976E9</v>
      </c>
      <c r="N255" s="143">
        <v>3.138499469E9</v>
      </c>
      <c r="O255" s="372" t="s">
        <v>1764</v>
      </c>
      <c r="P255" s="367"/>
      <c r="Q255" s="322" t="s">
        <v>142</v>
      </c>
      <c r="R255" s="367"/>
      <c r="S255" s="367"/>
      <c r="T255" s="367"/>
      <c r="U255" s="367"/>
      <c r="V255" s="367"/>
      <c r="W255" s="367"/>
      <c r="X255" s="367"/>
      <c r="Y255" s="367"/>
      <c r="Z255" s="367"/>
    </row>
    <row r="256" ht="21.0" customHeight="1">
      <c r="A256" s="367"/>
      <c r="B256" s="369">
        <v>2025.0</v>
      </c>
      <c r="C256" s="296" t="s">
        <v>54</v>
      </c>
      <c r="D256" s="300" t="s">
        <v>82</v>
      </c>
      <c r="E256" s="141" t="s">
        <v>2193</v>
      </c>
      <c r="F256" s="296" t="s">
        <v>105</v>
      </c>
      <c r="G256" s="296" t="s">
        <v>1756</v>
      </c>
      <c r="H256" s="125" t="s">
        <v>2181</v>
      </c>
      <c r="I256" s="296" t="s">
        <v>58</v>
      </c>
      <c r="J256" s="296" t="s">
        <v>1757</v>
      </c>
      <c r="K256" s="367"/>
      <c r="L256" s="379" t="s">
        <v>2200</v>
      </c>
      <c r="M256" s="143">
        <v>1.022441994E9</v>
      </c>
      <c r="N256" s="143">
        <v>3.204609085E9</v>
      </c>
      <c r="O256" s="372" t="s">
        <v>1018</v>
      </c>
      <c r="P256" s="367"/>
      <c r="Q256" s="322" t="s">
        <v>142</v>
      </c>
      <c r="R256" s="367"/>
      <c r="S256" s="367"/>
      <c r="T256" s="367"/>
      <c r="U256" s="367"/>
      <c r="V256" s="367"/>
      <c r="W256" s="367"/>
      <c r="X256" s="367"/>
      <c r="Y256" s="367"/>
      <c r="Z256" s="367"/>
    </row>
    <row r="257" ht="27.0" customHeight="1">
      <c r="A257" s="367"/>
      <c r="B257" s="369">
        <v>2025.0</v>
      </c>
      <c r="C257" s="296" t="s">
        <v>54</v>
      </c>
      <c r="D257" s="300" t="s">
        <v>82</v>
      </c>
      <c r="E257" s="141" t="s">
        <v>2193</v>
      </c>
      <c r="F257" s="296" t="s">
        <v>105</v>
      </c>
      <c r="G257" s="296" t="s">
        <v>1756</v>
      </c>
      <c r="H257" s="125" t="s">
        <v>2181</v>
      </c>
      <c r="I257" s="296" t="s">
        <v>58</v>
      </c>
      <c r="J257" s="296" t="s">
        <v>1757</v>
      </c>
      <c r="K257" s="367"/>
      <c r="L257" s="379" t="s">
        <v>2201</v>
      </c>
      <c r="M257" s="143">
        <v>1.030553376E9</v>
      </c>
      <c r="N257" s="143">
        <v>3.213195782E9</v>
      </c>
      <c r="O257" s="372" t="s">
        <v>1018</v>
      </c>
      <c r="P257" s="367"/>
      <c r="Q257" s="322" t="s">
        <v>142</v>
      </c>
      <c r="R257" s="367"/>
      <c r="S257" s="367"/>
      <c r="T257" s="367"/>
      <c r="U257" s="367"/>
      <c r="V257" s="367"/>
      <c r="W257" s="367"/>
      <c r="X257" s="367"/>
      <c r="Y257" s="367"/>
      <c r="Z257" s="367"/>
    </row>
    <row r="258" ht="22.5" customHeight="1">
      <c r="A258" s="367"/>
      <c r="B258" s="369">
        <v>2025.0</v>
      </c>
      <c r="C258" s="296" t="s">
        <v>54</v>
      </c>
      <c r="D258" s="300" t="s">
        <v>82</v>
      </c>
      <c r="E258" s="141" t="s">
        <v>2193</v>
      </c>
      <c r="F258" s="296" t="s">
        <v>105</v>
      </c>
      <c r="G258" s="296" t="s">
        <v>1756</v>
      </c>
      <c r="H258" s="125" t="s">
        <v>2181</v>
      </c>
      <c r="I258" s="296" t="s">
        <v>58</v>
      </c>
      <c r="J258" s="296" t="s">
        <v>1757</v>
      </c>
      <c r="K258" s="367"/>
      <c r="L258" s="379" t="s">
        <v>2202</v>
      </c>
      <c r="M258" s="143">
        <v>1.019137803E9</v>
      </c>
      <c r="N258" s="143">
        <v>3.026003037E9</v>
      </c>
      <c r="O258" s="372" t="s">
        <v>1764</v>
      </c>
      <c r="P258" s="367"/>
      <c r="Q258" s="322" t="s">
        <v>142</v>
      </c>
      <c r="R258" s="367"/>
      <c r="S258" s="367"/>
      <c r="T258" s="367"/>
      <c r="U258" s="367"/>
      <c r="V258" s="367"/>
      <c r="W258" s="367"/>
      <c r="X258" s="367"/>
      <c r="Y258" s="367"/>
      <c r="Z258" s="367"/>
    </row>
    <row r="259" ht="22.5" customHeight="1">
      <c r="A259" s="367"/>
      <c r="B259" s="369">
        <v>2025.0</v>
      </c>
      <c r="C259" s="296" t="s">
        <v>54</v>
      </c>
      <c r="D259" s="300" t="s">
        <v>82</v>
      </c>
      <c r="E259" s="141" t="s">
        <v>2193</v>
      </c>
      <c r="F259" s="296" t="s">
        <v>105</v>
      </c>
      <c r="G259" s="296" t="s">
        <v>1756</v>
      </c>
      <c r="H259" s="125" t="s">
        <v>2181</v>
      </c>
      <c r="I259" s="296" t="s">
        <v>58</v>
      </c>
      <c r="J259" s="296" t="s">
        <v>1757</v>
      </c>
      <c r="K259" s="367"/>
      <c r="L259" s="379" t="s">
        <v>2203</v>
      </c>
      <c r="M259" s="143">
        <v>1.022431708E9</v>
      </c>
      <c r="N259" s="143">
        <v>3.102502975E9</v>
      </c>
      <c r="O259" s="372" t="s">
        <v>1018</v>
      </c>
      <c r="P259" s="367"/>
      <c r="Q259" s="322" t="s">
        <v>142</v>
      </c>
      <c r="R259" s="367"/>
      <c r="S259" s="367"/>
      <c r="T259" s="367"/>
      <c r="U259" s="367"/>
      <c r="V259" s="367"/>
      <c r="W259" s="367"/>
      <c r="X259" s="367"/>
      <c r="Y259" s="367"/>
      <c r="Z259" s="367"/>
    </row>
    <row r="260" ht="24.75" customHeight="1">
      <c r="A260" s="367"/>
      <c r="B260" s="369">
        <v>2025.0</v>
      </c>
      <c r="C260" s="296" t="s">
        <v>54</v>
      </c>
      <c r="D260" s="300" t="s">
        <v>82</v>
      </c>
      <c r="E260" s="141" t="s">
        <v>2193</v>
      </c>
      <c r="F260" s="296" t="s">
        <v>105</v>
      </c>
      <c r="G260" s="296" t="s">
        <v>1756</v>
      </c>
      <c r="H260" s="125" t="s">
        <v>2181</v>
      </c>
      <c r="I260" s="296" t="s">
        <v>58</v>
      </c>
      <c r="J260" s="296" t="s">
        <v>1757</v>
      </c>
      <c r="K260" s="367"/>
      <c r="L260" s="379" t="s">
        <v>1846</v>
      </c>
      <c r="M260" s="143">
        <v>7.9445436E7</v>
      </c>
      <c r="N260" s="143">
        <v>3.118892395E9</v>
      </c>
      <c r="O260" s="372" t="s">
        <v>1764</v>
      </c>
      <c r="P260" s="367"/>
      <c r="Q260" s="322" t="s">
        <v>142</v>
      </c>
      <c r="R260" s="367"/>
      <c r="S260" s="367"/>
      <c r="T260" s="367"/>
      <c r="U260" s="367"/>
      <c r="V260" s="367"/>
      <c r="W260" s="367"/>
      <c r="X260" s="367"/>
      <c r="Y260" s="367"/>
      <c r="Z260" s="367"/>
    </row>
    <row r="261" ht="22.5" customHeight="1">
      <c r="A261" s="367"/>
      <c r="B261" s="369">
        <v>2025.0</v>
      </c>
      <c r="C261" s="296" t="s">
        <v>54</v>
      </c>
      <c r="D261" s="300" t="s">
        <v>82</v>
      </c>
      <c r="E261" s="141" t="s">
        <v>2193</v>
      </c>
      <c r="F261" s="296" t="s">
        <v>105</v>
      </c>
      <c r="G261" s="296" t="s">
        <v>1756</v>
      </c>
      <c r="H261" s="125" t="s">
        <v>2181</v>
      </c>
      <c r="I261" s="296" t="s">
        <v>58</v>
      </c>
      <c r="J261" s="296" t="s">
        <v>1757</v>
      </c>
      <c r="K261" s="367"/>
      <c r="L261" s="379" t="s">
        <v>1861</v>
      </c>
      <c r="M261" s="143">
        <v>5277383.0</v>
      </c>
      <c r="N261" s="143">
        <v>3.133686414E9</v>
      </c>
      <c r="O261" s="372" t="s">
        <v>1018</v>
      </c>
      <c r="P261" s="367"/>
      <c r="Q261" s="322" t="s">
        <v>142</v>
      </c>
      <c r="R261" s="367"/>
      <c r="S261" s="367"/>
      <c r="T261" s="367"/>
      <c r="U261" s="367"/>
      <c r="V261" s="367"/>
      <c r="W261" s="367"/>
      <c r="X261" s="367"/>
      <c r="Y261" s="367"/>
      <c r="Z261" s="367"/>
    </row>
    <row r="262" ht="25.5" customHeight="1">
      <c r="A262" s="367"/>
      <c r="B262" s="369">
        <v>2025.0</v>
      </c>
      <c r="C262" s="296" t="s">
        <v>54</v>
      </c>
      <c r="D262" s="300" t="s">
        <v>82</v>
      </c>
      <c r="E262" s="141" t="s">
        <v>2193</v>
      </c>
      <c r="F262" s="296" t="s">
        <v>105</v>
      </c>
      <c r="G262" s="296" t="s">
        <v>1756</v>
      </c>
      <c r="H262" s="125" t="s">
        <v>2181</v>
      </c>
      <c r="I262" s="296" t="s">
        <v>58</v>
      </c>
      <c r="J262" s="296" t="s">
        <v>1757</v>
      </c>
      <c r="K262" s="367"/>
      <c r="L262" s="379" t="s">
        <v>2204</v>
      </c>
      <c r="M262" s="143">
        <v>1.094240712E9</v>
      </c>
      <c r="N262" s="143">
        <v>3.133686414E9</v>
      </c>
      <c r="O262" s="372" t="s">
        <v>1018</v>
      </c>
      <c r="P262" s="367"/>
      <c r="Q262" s="322" t="s">
        <v>142</v>
      </c>
      <c r="R262" s="367"/>
      <c r="S262" s="367"/>
      <c r="T262" s="367"/>
      <c r="U262" s="367"/>
      <c r="V262" s="367"/>
      <c r="W262" s="367"/>
      <c r="X262" s="367"/>
      <c r="Y262" s="367"/>
      <c r="Z262" s="367"/>
    </row>
    <row r="263" ht="25.5" customHeight="1">
      <c r="A263" s="367"/>
      <c r="B263" s="369">
        <v>2025.0</v>
      </c>
      <c r="C263" s="296" t="s">
        <v>54</v>
      </c>
      <c r="D263" s="300" t="s">
        <v>82</v>
      </c>
      <c r="E263" s="141" t="s">
        <v>2193</v>
      </c>
      <c r="F263" s="296" t="s">
        <v>105</v>
      </c>
      <c r="G263" s="296" t="s">
        <v>1756</v>
      </c>
      <c r="H263" s="125" t="s">
        <v>2181</v>
      </c>
      <c r="I263" s="296" t="s">
        <v>58</v>
      </c>
      <c r="J263" s="296" t="s">
        <v>1757</v>
      </c>
      <c r="K263" s="367"/>
      <c r="L263" s="379" t="s">
        <v>2205</v>
      </c>
      <c r="M263" s="143">
        <v>1.030700912E9</v>
      </c>
      <c r="N263" s="143">
        <v>3.161126605E9</v>
      </c>
      <c r="O263" s="372" t="s">
        <v>1018</v>
      </c>
      <c r="P263" s="367"/>
      <c r="Q263" s="322" t="s">
        <v>142</v>
      </c>
      <c r="R263" s="367"/>
      <c r="S263" s="367"/>
      <c r="T263" s="367"/>
      <c r="U263" s="367"/>
      <c r="V263" s="367"/>
      <c r="W263" s="367"/>
      <c r="X263" s="367"/>
      <c r="Y263" s="367"/>
      <c r="Z263" s="367"/>
    </row>
    <row r="264" ht="17.25" customHeight="1">
      <c r="A264" s="367"/>
      <c r="B264" s="369">
        <v>2025.0</v>
      </c>
      <c r="C264" s="296" t="s">
        <v>54</v>
      </c>
      <c r="D264" s="300" t="s">
        <v>82</v>
      </c>
      <c r="E264" s="141" t="s">
        <v>2193</v>
      </c>
      <c r="F264" s="296" t="s">
        <v>105</v>
      </c>
      <c r="G264" s="296" t="s">
        <v>1756</v>
      </c>
      <c r="H264" s="125" t="s">
        <v>2181</v>
      </c>
      <c r="I264" s="296" t="s">
        <v>58</v>
      </c>
      <c r="J264" s="296" t="s">
        <v>1757</v>
      </c>
      <c r="K264" s="367"/>
      <c r="L264" s="379" t="s">
        <v>2206</v>
      </c>
      <c r="M264" s="143">
        <v>1.000134818E9</v>
      </c>
      <c r="N264" s="143">
        <v>3.20982172E9</v>
      </c>
      <c r="O264" s="372" t="s">
        <v>1764</v>
      </c>
      <c r="P264" s="367"/>
      <c r="Q264" s="322" t="s">
        <v>142</v>
      </c>
      <c r="R264" s="367"/>
      <c r="S264" s="367"/>
      <c r="T264" s="367"/>
      <c r="U264" s="367"/>
      <c r="V264" s="367"/>
      <c r="W264" s="367"/>
      <c r="X264" s="367"/>
      <c r="Y264" s="367"/>
      <c r="Z264" s="367"/>
    </row>
    <row r="265" ht="18.75" customHeight="1">
      <c r="A265" s="367"/>
      <c r="B265" s="369">
        <v>2025.0</v>
      </c>
      <c r="C265" s="296" t="s">
        <v>54</v>
      </c>
      <c r="D265" s="300" t="s">
        <v>82</v>
      </c>
      <c r="E265" s="141" t="s">
        <v>2193</v>
      </c>
      <c r="F265" s="296" t="s">
        <v>105</v>
      </c>
      <c r="G265" s="296" t="s">
        <v>1756</v>
      </c>
      <c r="H265" s="125" t="s">
        <v>2181</v>
      </c>
      <c r="I265" s="296" t="s">
        <v>58</v>
      </c>
      <c r="J265" s="296" t="s">
        <v>1757</v>
      </c>
      <c r="K265" s="367"/>
      <c r="L265" s="379" t="s">
        <v>2184</v>
      </c>
      <c r="M265" s="143">
        <v>8.8032433E7</v>
      </c>
      <c r="N265" s="143">
        <v>3.118975886E9</v>
      </c>
      <c r="O265" s="372" t="s">
        <v>1764</v>
      </c>
      <c r="P265" s="367"/>
      <c r="Q265" s="322" t="s">
        <v>142</v>
      </c>
      <c r="R265" s="367"/>
      <c r="S265" s="367"/>
      <c r="T265" s="367"/>
      <c r="U265" s="367"/>
      <c r="V265" s="367"/>
      <c r="W265" s="367"/>
      <c r="X265" s="367"/>
      <c r="Y265" s="367"/>
      <c r="Z265" s="367"/>
    </row>
    <row r="266">
      <c r="A266" s="367"/>
      <c r="B266" s="369">
        <v>2025.0</v>
      </c>
      <c r="C266" s="296" t="s">
        <v>54</v>
      </c>
      <c r="D266" s="300" t="s">
        <v>82</v>
      </c>
      <c r="E266" s="379" t="s">
        <v>2207</v>
      </c>
      <c r="F266" s="296" t="s">
        <v>132</v>
      </c>
      <c r="G266" s="296" t="s">
        <v>1756</v>
      </c>
      <c r="H266" s="379" t="s">
        <v>2208</v>
      </c>
      <c r="I266" s="296" t="s">
        <v>58</v>
      </c>
      <c r="J266" s="296" t="s">
        <v>1757</v>
      </c>
      <c r="K266" s="367"/>
      <c r="L266" s="379" t="s">
        <v>2209</v>
      </c>
      <c r="M266" s="143">
        <v>4.1790147E7</v>
      </c>
      <c r="N266" s="143">
        <v>3.11508662E9</v>
      </c>
      <c r="O266" s="372" t="s">
        <v>1018</v>
      </c>
      <c r="P266" s="367"/>
      <c r="Q266" s="367"/>
      <c r="R266" s="367"/>
      <c r="S266" s="367"/>
      <c r="T266" s="367"/>
      <c r="U266" s="367"/>
      <c r="V266" s="367"/>
      <c r="W266" s="367"/>
      <c r="X266" s="367"/>
      <c r="Y266" s="367"/>
      <c r="Z266" s="367"/>
    </row>
    <row r="267">
      <c r="A267" s="367"/>
      <c r="B267" s="369">
        <v>2025.0</v>
      </c>
      <c r="C267" s="296" t="s">
        <v>54</v>
      </c>
      <c r="D267" s="300" t="s">
        <v>82</v>
      </c>
      <c r="E267" s="379" t="s">
        <v>2207</v>
      </c>
      <c r="F267" s="296" t="s">
        <v>132</v>
      </c>
      <c r="G267" s="296" t="s">
        <v>1756</v>
      </c>
      <c r="H267" s="379" t="s">
        <v>2208</v>
      </c>
      <c r="I267" s="296" t="s">
        <v>58</v>
      </c>
      <c r="J267" s="296" t="s">
        <v>1757</v>
      </c>
      <c r="K267" s="367"/>
      <c r="L267" s="379" t="s">
        <v>2210</v>
      </c>
      <c r="M267" s="143">
        <v>5.1721307E7</v>
      </c>
      <c r="N267" s="143">
        <v>3.054622516E9</v>
      </c>
      <c r="O267" s="372" t="s">
        <v>1018</v>
      </c>
      <c r="P267" s="367"/>
      <c r="Q267" s="367"/>
      <c r="R267" s="367"/>
      <c r="S267" s="367"/>
      <c r="T267" s="367"/>
      <c r="U267" s="367"/>
      <c r="V267" s="367"/>
      <c r="W267" s="367"/>
      <c r="X267" s="367"/>
      <c r="Y267" s="367"/>
      <c r="Z267" s="367"/>
    </row>
    <row r="268">
      <c r="A268" s="367"/>
      <c r="B268" s="369">
        <v>2025.0</v>
      </c>
      <c r="C268" s="296" t="s">
        <v>54</v>
      </c>
      <c r="D268" s="300" t="s">
        <v>82</v>
      </c>
      <c r="E268" s="379" t="s">
        <v>2207</v>
      </c>
      <c r="F268" s="296" t="s">
        <v>132</v>
      </c>
      <c r="G268" s="296" t="s">
        <v>1756</v>
      </c>
      <c r="H268" s="379" t="s">
        <v>2208</v>
      </c>
      <c r="I268" s="296" t="s">
        <v>58</v>
      </c>
      <c r="J268" s="296" t="s">
        <v>1757</v>
      </c>
      <c r="K268" s="367"/>
      <c r="L268" s="379" t="s">
        <v>2211</v>
      </c>
      <c r="M268" s="143">
        <v>1.1378969E7</v>
      </c>
      <c r="N268" s="143">
        <v>3.13425214E9</v>
      </c>
      <c r="O268" s="372" t="s">
        <v>1764</v>
      </c>
      <c r="P268" s="367"/>
      <c r="Q268" s="367"/>
      <c r="R268" s="367"/>
      <c r="S268" s="367"/>
      <c r="T268" s="367"/>
      <c r="U268" s="367"/>
      <c r="V268" s="367"/>
      <c r="W268" s="367"/>
      <c r="X268" s="367"/>
      <c r="Y268" s="367"/>
      <c r="Z268" s="367"/>
    </row>
    <row r="269">
      <c r="A269" s="367"/>
      <c r="B269" s="369">
        <v>2025.0</v>
      </c>
      <c r="C269" s="296" t="s">
        <v>54</v>
      </c>
      <c r="D269" s="300" t="s">
        <v>82</v>
      </c>
      <c r="E269" s="379" t="s">
        <v>2207</v>
      </c>
      <c r="F269" s="296" t="s">
        <v>132</v>
      </c>
      <c r="G269" s="296" t="s">
        <v>1756</v>
      </c>
      <c r="H269" s="379" t="s">
        <v>2208</v>
      </c>
      <c r="I269" s="296" t="s">
        <v>58</v>
      </c>
      <c r="J269" s="296" t="s">
        <v>1757</v>
      </c>
      <c r="K269" s="367"/>
      <c r="L269" s="379" t="s">
        <v>2212</v>
      </c>
      <c r="M269" s="143">
        <v>3.9718558E7</v>
      </c>
      <c r="N269" s="143">
        <v>3.134253343E9</v>
      </c>
      <c r="O269" s="372" t="s">
        <v>1018</v>
      </c>
      <c r="P269" s="367"/>
      <c r="Q269" s="367"/>
      <c r="R269" s="367"/>
      <c r="S269" s="367"/>
      <c r="T269" s="367"/>
      <c r="U269" s="367"/>
      <c r="V269" s="367"/>
      <c r="W269" s="367"/>
      <c r="X269" s="367"/>
      <c r="Y269" s="367"/>
      <c r="Z269" s="367"/>
    </row>
    <row r="270">
      <c r="A270" s="367"/>
      <c r="B270" s="369">
        <v>2025.0</v>
      </c>
      <c r="C270" s="296" t="s">
        <v>54</v>
      </c>
      <c r="D270" s="300" t="s">
        <v>82</v>
      </c>
      <c r="E270" s="379" t="s">
        <v>2207</v>
      </c>
      <c r="F270" s="296" t="s">
        <v>132</v>
      </c>
      <c r="G270" s="296" t="s">
        <v>1756</v>
      </c>
      <c r="H270" s="379" t="s">
        <v>2208</v>
      </c>
      <c r="I270" s="296" t="s">
        <v>58</v>
      </c>
      <c r="J270" s="296" t="s">
        <v>1757</v>
      </c>
      <c r="K270" s="367"/>
      <c r="L270" s="379" t="s">
        <v>2213</v>
      </c>
      <c r="M270" s="143">
        <v>5.2016876E7</v>
      </c>
      <c r="N270" s="143">
        <v>3.155505036E9</v>
      </c>
      <c r="O270" s="372" t="s">
        <v>1018</v>
      </c>
      <c r="P270" s="367"/>
      <c r="Q270" s="367"/>
      <c r="R270" s="367"/>
      <c r="S270" s="367"/>
      <c r="T270" s="367"/>
      <c r="U270" s="367"/>
      <c r="V270" s="367"/>
      <c r="W270" s="367"/>
      <c r="X270" s="367"/>
      <c r="Y270" s="367"/>
      <c r="Z270" s="367"/>
    </row>
    <row r="271">
      <c r="A271" s="367"/>
      <c r="B271" s="369">
        <v>2025.0</v>
      </c>
      <c r="C271" s="296" t="s">
        <v>54</v>
      </c>
      <c r="D271" s="300" t="s">
        <v>82</v>
      </c>
      <c r="E271" s="379" t="s">
        <v>2207</v>
      </c>
      <c r="F271" s="296" t="s">
        <v>132</v>
      </c>
      <c r="G271" s="296" t="s">
        <v>1756</v>
      </c>
      <c r="H271" s="379" t="s">
        <v>2208</v>
      </c>
      <c r="I271" s="296" t="s">
        <v>58</v>
      </c>
      <c r="J271" s="296" t="s">
        <v>1757</v>
      </c>
      <c r="K271" s="367"/>
      <c r="L271" s="379" t="s">
        <v>2214</v>
      </c>
      <c r="M271" s="143">
        <v>3.969518E7</v>
      </c>
      <c r="N271" s="143">
        <v>3.102936436E9</v>
      </c>
      <c r="O271" s="372" t="s">
        <v>1018</v>
      </c>
      <c r="P271" s="367"/>
      <c r="Q271" s="367"/>
      <c r="R271" s="367"/>
      <c r="S271" s="367"/>
      <c r="T271" s="367"/>
      <c r="U271" s="367"/>
      <c r="V271" s="367"/>
      <c r="W271" s="367"/>
      <c r="X271" s="367"/>
      <c r="Y271" s="367"/>
      <c r="Z271" s="367"/>
    </row>
    <row r="272">
      <c r="A272" s="367"/>
      <c r="B272" s="369">
        <v>2025.0</v>
      </c>
      <c r="C272" s="296" t="s">
        <v>54</v>
      </c>
      <c r="D272" s="300" t="s">
        <v>82</v>
      </c>
      <c r="E272" s="379" t="s">
        <v>2207</v>
      </c>
      <c r="F272" s="296" t="s">
        <v>132</v>
      </c>
      <c r="G272" s="296" t="s">
        <v>1756</v>
      </c>
      <c r="H272" s="379" t="s">
        <v>2208</v>
      </c>
      <c r="I272" s="296" t="s">
        <v>58</v>
      </c>
      <c r="J272" s="296" t="s">
        <v>1757</v>
      </c>
      <c r="K272" s="367"/>
      <c r="L272" s="379" t="s">
        <v>2215</v>
      </c>
      <c r="M272" s="143">
        <v>4.1680256E7</v>
      </c>
      <c r="N272" s="381">
        <v>3.05308467E8</v>
      </c>
      <c r="O272" s="372" t="s">
        <v>1018</v>
      </c>
      <c r="P272" s="367"/>
      <c r="Q272" s="367"/>
      <c r="R272" s="367"/>
      <c r="S272" s="367"/>
      <c r="T272" s="367"/>
      <c r="U272" s="367"/>
      <c r="V272" s="367"/>
      <c r="W272" s="367"/>
      <c r="X272" s="367"/>
      <c r="Y272" s="367"/>
      <c r="Z272" s="367"/>
    </row>
    <row r="273">
      <c r="A273" s="367"/>
      <c r="B273" s="369">
        <v>2025.0</v>
      </c>
      <c r="C273" s="296" t="s">
        <v>54</v>
      </c>
      <c r="D273" s="300" t="s">
        <v>82</v>
      </c>
      <c r="E273" s="379" t="s">
        <v>2207</v>
      </c>
      <c r="F273" s="296" t="s">
        <v>132</v>
      </c>
      <c r="G273" s="296" t="s">
        <v>1756</v>
      </c>
      <c r="H273" s="379" t="s">
        <v>2208</v>
      </c>
      <c r="I273" s="296" t="s">
        <v>58</v>
      </c>
      <c r="J273" s="296" t="s">
        <v>1757</v>
      </c>
      <c r="K273" s="367"/>
      <c r="L273" s="379" t="s">
        <v>2216</v>
      </c>
      <c r="M273" s="143">
        <v>1.9130042E7</v>
      </c>
      <c r="N273" s="143">
        <v>3.053084972E9</v>
      </c>
      <c r="O273" s="372" t="s">
        <v>1764</v>
      </c>
      <c r="P273" s="367"/>
      <c r="Q273" s="367"/>
      <c r="R273" s="367"/>
      <c r="S273" s="367"/>
      <c r="T273" s="367"/>
      <c r="U273" s="367"/>
      <c r="V273" s="367"/>
      <c r="W273" s="367"/>
      <c r="X273" s="367"/>
      <c r="Y273" s="367"/>
      <c r="Z273" s="367"/>
    </row>
    <row r="274">
      <c r="A274" s="367"/>
      <c r="B274" s="369">
        <v>2025.0</v>
      </c>
      <c r="C274" s="296" t="s">
        <v>54</v>
      </c>
      <c r="D274" s="300" t="s">
        <v>82</v>
      </c>
      <c r="E274" s="379" t="s">
        <v>2207</v>
      </c>
      <c r="F274" s="296" t="s">
        <v>132</v>
      </c>
      <c r="G274" s="296" t="s">
        <v>1756</v>
      </c>
      <c r="H274" s="379" t="s">
        <v>2208</v>
      </c>
      <c r="I274" s="296" t="s">
        <v>58</v>
      </c>
      <c r="J274" s="296" t="s">
        <v>1757</v>
      </c>
      <c r="K274" s="367"/>
      <c r="L274" s="379" t="s">
        <v>2217</v>
      </c>
      <c r="M274" s="143">
        <v>3.96951E7</v>
      </c>
      <c r="N274" s="143">
        <v>3.237994724E9</v>
      </c>
      <c r="O274" s="372" t="s">
        <v>1018</v>
      </c>
      <c r="P274" s="367"/>
      <c r="Q274" s="367"/>
      <c r="R274" s="367"/>
      <c r="S274" s="367"/>
      <c r="T274" s="367"/>
      <c r="U274" s="367"/>
      <c r="V274" s="367"/>
      <c r="W274" s="367"/>
      <c r="X274" s="367"/>
      <c r="Y274" s="367"/>
      <c r="Z274" s="367"/>
    </row>
    <row r="275">
      <c r="A275" s="367"/>
      <c r="B275" s="369">
        <v>2025.0</v>
      </c>
      <c r="C275" s="296" t="s">
        <v>54</v>
      </c>
      <c r="D275" s="300" t="s">
        <v>82</v>
      </c>
      <c r="E275" s="379" t="s">
        <v>2207</v>
      </c>
      <c r="F275" s="296" t="s">
        <v>132</v>
      </c>
      <c r="G275" s="296" t="s">
        <v>1756</v>
      </c>
      <c r="H275" s="379" t="s">
        <v>2208</v>
      </c>
      <c r="I275" s="296" t="s">
        <v>58</v>
      </c>
      <c r="J275" s="296" t="s">
        <v>1757</v>
      </c>
      <c r="K275" s="367"/>
      <c r="L275" s="379" t="s">
        <v>2218</v>
      </c>
      <c r="M275" s="143">
        <v>1.9215193E7</v>
      </c>
      <c r="N275" s="143">
        <v>3.118622125E9</v>
      </c>
      <c r="O275" s="372" t="s">
        <v>1764</v>
      </c>
      <c r="P275" s="367"/>
      <c r="Q275" s="367"/>
      <c r="R275" s="367"/>
      <c r="S275" s="367"/>
      <c r="T275" s="367"/>
      <c r="U275" s="367"/>
      <c r="V275" s="367"/>
      <c r="W275" s="367"/>
      <c r="X275" s="367"/>
      <c r="Y275" s="367"/>
      <c r="Z275" s="367"/>
    </row>
    <row r="276">
      <c r="A276" s="367"/>
      <c r="B276" s="369">
        <v>2025.0</v>
      </c>
      <c r="C276" s="296" t="s">
        <v>54</v>
      </c>
      <c r="D276" s="300" t="s">
        <v>82</v>
      </c>
      <c r="E276" s="379" t="s">
        <v>2207</v>
      </c>
      <c r="F276" s="296" t="s">
        <v>132</v>
      </c>
      <c r="G276" s="296" t="s">
        <v>1756</v>
      </c>
      <c r="H276" s="379" t="s">
        <v>2208</v>
      </c>
      <c r="I276" s="296" t="s">
        <v>58</v>
      </c>
      <c r="J276" s="296" t="s">
        <v>1757</v>
      </c>
      <c r="K276" s="367"/>
      <c r="L276" s="379" t="s">
        <v>2219</v>
      </c>
      <c r="M276" s="143">
        <v>5.2473803E7</v>
      </c>
      <c r="N276" s="143">
        <v>3.103355179E9</v>
      </c>
      <c r="O276" s="372" t="s">
        <v>1018</v>
      </c>
      <c r="P276" s="367"/>
      <c r="Q276" s="367"/>
      <c r="R276" s="367"/>
      <c r="S276" s="367"/>
      <c r="T276" s="367"/>
      <c r="U276" s="367"/>
      <c r="V276" s="367"/>
      <c r="W276" s="367"/>
      <c r="X276" s="367"/>
      <c r="Y276" s="367"/>
      <c r="Z276" s="367"/>
    </row>
    <row r="277">
      <c r="A277" s="367"/>
      <c r="B277" s="369">
        <v>2025.0</v>
      </c>
      <c r="C277" s="296" t="s">
        <v>54</v>
      </c>
      <c r="D277" s="300" t="s">
        <v>82</v>
      </c>
      <c r="E277" s="379" t="s">
        <v>2207</v>
      </c>
      <c r="F277" s="296" t="s">
        <v>132</v>
      </c>
      <c r="G277" s="296" t="s">
        <v>1756</v>
      </c>
      <c r="H277" s="379" t="s">
        <v>2208</v>
      </c>
      <c r="I277" s="296" t="s">
        <v>58</v>
      </c>
      <c r="J277" s="296" t="s">
        <v>1757</v>
      </c>
      <c r="K277" s="367"/>
      <c r="L277" s="379" t="s">
        <v>2220</v>
      </c>
      <c r="M277" s="381">
        <v>5.1733664E7</v>
      </c>
      <c r="N277" s="143">
        <v>3.132339564E9</v>
      </c>
      <c r="O277" s="372" t="s">
        <v>1018</v>
      </c>
      <c r="P277" s="367"/>
      <c r="Q277" s="367"/>
      <c r="R277" s="367"/>
      <c r="S277" s="367"/>
      <c r="T277" s="367"/>
      <c r="U277" s="367"/>
      <c r="V277" s="367"/>
      <c r="W277" s="367"/>
      <c r="X277" s="367"/>
      <c r="Y277" s="367"/>
      <c r="Z277" s="367"/>
    </row>
    <row r="278">
      <c r="A278" s="367"/>
      <c r="B278" s="369">
        <v>2025.0</v>
      </c>
      <c r="C278" s="296" t="s">
        <v>54</v>
      </c>
      <c r="D278" s="300" t="s">
        <v>82</v>
      </c>
      <c r="E278" s="379" t="s">
        <v>2207</v>
      </c>
      <c r="F278" s="296" t="s">
        <v>132</v>
      </c>
      <c r="G278" s="296" t="s">
        <v>1756</v>
      </c>
      <c r="H278" s="379" t="s">
        <v>2208</v>
      </c>
      <c r="I278" s="296" t="s">
        <v>58</v>
      </c>
      <c r="J278" s="296" t="s">
        <v>1757</v>
      </c>
      <c r="K278" s="367"/>
      <c r="L278" s="379" t="s">
        <v>2221</v>
      </c>
      <c r="M278" s="143">
        <v>5.2071506E7</v>
      </c>
      <c r="N278" s="143">
        <v>3.186638143E9</v>
      </c>
      <c r="O278" s="372" t="s">
        <v>1018</v>
      </c>
      <c r="P278" s="367"/>
      <c r="Q278" s="367"/>
      <c r="R278" s="367"/>
      <c r="S278" s="367"/>
      <c r="T278" s="367"/>
      <c r="U278" s="367"/>
      <c r="V278" s="367"/>
      <c r="W278" s="367"/>
      <c r="X278" s="367"/>
      <c r="Y278" s="367"/>
      <c r="Z278" s="367"/>
    </row>
    <row r="279">
      <c r="A279" s="367"/>
      <c r="B279" s="369">
        <v>2025.0</v>
      </c>
      <c r="C279" s="296" t="s">
        <v>54</v>
      </c>
      <c r="D279" s="300" t="s">
        <v>82</v>
      </c>
      <c r="E279" s="379" t="s">
        <v>2207</v>
      </c>
      <c r="F279" s="296" t="s">
        <v>132</v>
      </c>
      <c r="G279" s="296" t="s">
        <v>1756</v>
      </c>
      <c r="H279" s="379" t="s">
        <v>2208</v>
      </c>
      <c r="I279" s="296" t="s">
        <v>58</v>
      </c>
      <c r="J279" s="296" t="s">
        <v>1757</v>
      </c>
      <c r="K279" s="367"/>
      <c r="L279" s="379" t="s">
        <v>2222</v>
      </c>
      <c r="M279" s="143">
        <v>3.3815877E7</v>
      </c>
      <c r="N279" s="143">
        <v>3.11251891E9</v>
      </c>
      <c r="O279" s="372" t="s">
        <v>1018</v>
      </c>
      <c r="P279" s="367"/>
      <c r="Q279" s="367"/>
      <c r="R279" s="367"/>
      <c r="S279" s="367"/>
      <c r="T279" s="367"/>
      <c r="U279" s="367"/>
      <c r="V279" s="367"/>
      <c r="W279" s="367"/>
      <c r="X279" s="367"/>
      <c r="Y279" s="367"/>
      <c r="Z279" s="367"/>
    </row>
    <row r="280">
      <c r="A280" s="367"/>
      <c r="B280" s="369">
        <v>2025.0</v>
      </c>
      <c r="C280" s="296" t="s">
        <v>54</v>
      </c>
      <c r="D280" s="300" t="s">
        <v>82</v>
      </c>
      <c r="E280" s="379" t="s">
        <v>2207</v>
      </c>
      <c r="F280" s="296" t="s">
        <v>132</v>
      </c>
      <c r="G280" s="296" t="s">
        <v>1756</v>
      </c>
      <c r="H280" s="379" t="s">
        <v>2208</v>
      </c>
      <c r="I280" s="296" t="s">
        <v>58</v>
      </c>
      <c r="J280" s="296" t="s">
        <v>1757</v>
      </c>
      <c r="K280" s="367"/>
      <c r="L280" s="379" t="s">
        <v>2223</v>
      </c>
      <c r="M280" s="143">
        <v>5.1712135E7</v>
      </c>
      <c r="N280" s="143">
        <v>3.114421323E9</v>
      </c>
      <c r="O280" s="372" t="s">
        <v>1018</v>
      </c>
      <c r="P280" s="367"/>
      <c r="Q280" s="367"/>
      <c r="R280" s="367"/>
      <c r="S280" s="367"/>
      <c r="T280" s="367"/>
      <c r="U280" s="367"/>
      <c r="V280" s="367"/>
      <c r="W280" s="367"/>
      <c r="X280" s="367"/>
      <c r="Y280" s="367"/>
      <c r="Z280" s="367"/>
    </row>
    <row r="281" ht="24.75" customHeight="1">
      <c r="A281" s="367"/>
      <c r="B281" s="369">
        <v>2025.0</v>
      </c>
      <c r="C281" s="296" t="s">
        <v>143</v>
      </c>
      <c r="D281" s="300" t="s">
        <v>82</v>
      </c>
      <c r="E281" s="141" t="s">
        <v>2224</v>
      </c>
      <c r="F281" s="296" t="s">
        <v>105</v>
      </c>
      <c r="G281" s="296" t="s">
        <v>1756</v>
      </c>
      <c r="H281" s="143" t="s">
        <v>90</v>
      </c>
      <c r="I281" s="296" t="s">
        <v>58</v>
      </c>
      <c r="J281" s="296" t="s">
        <v>1757</v>
      </c>
      <c r="K281" s="367"/>
      <c r="L281" s="379" t="s">
        <v>2225</v>
      </c>
      <c r="M281" s="143">
        <v>5.2073206E7</v>
      </c>
      <c r="N281" s="143">
        <v>3.144619441E9</v>
      </c>
      <c r="O281" s="372" t="s">
        <v>1018</v>
      </c>
      <c r="P281" s="367"/>
      <c r="Q281" s="141" t="s">
        <v>2226</v>
      </c>
      <c r="R281" s="367"/>
      <c r="S281" s="367"/>
      <c r="T281" s="367"/>
      <c r="U281" s="367"/>
      <c r="V281" s="367"/>
      <c r="W281" s="367"/>
      <c r="X281" s="367"/>
      <c r="Y281" s="367"/>
      <c r="Z281" s="367"/>
    </row>
    <row r="282" ht="15.75" customHeight="1">
      <c r="A282" s="367"/>
      <c r="B282" s="369">
        <v>2025.0</v>
      </c>
      <c r="C282" s="296" t="s">
        <v>143</v>
      </c>
      <c r="D282" s="300" t="s">
        <v>82</v>
      </c>
      <c r="E282" s="141" t="s">
        <v>2224</v>
      </c>
      <c r="F282" s="296" t="s">
        <v>105</v>
      </c>
      <c r="G282" s="296" t="s">
        <v>1756</v>
      </c>
      <c r="H282" s="143" t="s">
        <v>90</v>
      </c>
      <c r="I282" s="296" t="s">
        <v>58</v>
      </c>
      <c r="J282" s="296" t="s">
        <v>1757</v>
      </c>
      <c r="K282" s="367"/>
      <c r="L282" s="379" t="s">
        <v>278</v>
      </c>
      <c r="M282" s="143">
        <v>5.3101949E7</v>
      </c>
      <c r="N282" s="143">
        <v>3.112448321E9</v>
      </c>
      <c r="O282" s="372" t="s">
        <v>1018</v>
      </c>
      <c r="P282" s="367"/>
      <c r="Q282" s="141" t="s">
        <v>2226</v>
      </c>
      <c r="R282" s="367"/>
      <c r="S282" s="367"/>
      <c r="T282" s="367"/>
      <c r="U282" s="367"/>
      <c r="V282" s="367"/>
      <c r="W282" s="367"/>
      <c r="X282" s="367"/>
      <c r="Y282" s="367"/>
      <c r="Z282" s="367"/>
    </row>
    <row r="283" ht="16.5" customHeight="1">
      <c r="A283" s="367"/>
      <c r="B283" s="369">
        <v>2025.0</v>
      </c>
      <c r="C283" s="296" t="s">
        <v>143</v>
      </c>
      <c r="D283" s="300" t="s">
        <v>82</v>
      </c>
      <c r="E283" s="141" t="s">
        <v>2224</v>
      </c>
      <c r="F283" s="296" t="s">
        <v>105</v>
      </c>
      <c r="G283" s="296" t="s">
        <v>1756</v>
      </c>
      <c r="H283" s="143" t="s">
        <v>90</v>
      </c>
      <c r="I283" s="296" t="s">
        <v>58</v>
      </c>
      <c r="J283" s="296" t="s">
        <v>1757</v>
      </c>
      <c r="K283" s="367"/>
      <c r="L283" s="379" t="s">
        <v>2227</v>
      </c>
      <c r="M283" s="143">
        <v>7.9292744E7</v>
      </c>
      <c r="N283" s="143">
        <v>3.204205633E9</v>
      </c>
      <c r="O283" s="372" t="s">
        <v>1764</v>
      </c>
      <c r="P283" s="367"/>
      <c r="Q283" s="141" t="s">
        <v>2226</v>
      </c>
      <c r="R283" s="367"/>
      <c r="S283" s="367"/>
      <c r="T283" s="367"/>
      <c r="U283" s="367"/>
      <c r="V283" s="367"/>
      <c r="W283" s="367"/>
      <c r="X283" s="367"/>
      <c r="Y283" s="367"/>
      <c r="Z283" s="367"/>
    </row>
    <row r="284" ht="18.75" customHeight="1">
      <c r="A284" s="367"/>
      <c r="B284" s="369">
        <v>2025.0</v>
      </c>
      <c r="C284" s="296" t="s">
        <v>143</v>
      </c>
      <c r="D284" s="300" t="s">
        <v>82</v>
      </c>
      <c r="E284" s="141" t="s">
        <v>2224</v>
      </c>
      <c r="F284" s="296" t="s">
        <v>105</v>
      </c>
      <c r="G284" s="296" t="s">
        <v>1756</v>
      </c>
      <c r="H284" s="143" t="s">
        <v>90</v>
      </c>
      <c r="I284" s="296" t="s">
        <v>58</v>
      </c>
      <c r="J284" s="296" t="s">
        <v>1757</v>
      </c>
      <c r="K284" s="367"/>
      <c r="L284" s="379" t="s">
        <v>2228</v>
      </c>
      <c r="M284" s="143">
        <v>5.2194586E7</v>
      </c>
      <c r="N284" s="143">
        <v>3.133435916E9</v>
      </c>
      <c r="O284" s="372" t="s">
        <v>1018</v>
      </c>
      <c r="P284" s="367"/>
      <c r="Q284" s="141" t="s">
        <v>2226</v>
      </c>
      <c r="R284" s="367"/>
      <c r="S284" s="367"/>
      <c r="T284" s="367"/>
      <c r="U284" s="367"/>
      <c r="V284" s="367"/>
      <c r="W284" s="367"/>
      <c r="X284" s="367"/>
      <c r="Y284" s="367"/>
      <c r="Z284" s="367"/>
    </row>
    <row r="285" ht="16.5" customHeight="1">
      <c r="A285" s="367"/>
      <c r="B285" s="369">
        <v>2025.0</v>
      </c>
      <c r="C285" s="296" t="s">
        <v>143</v>
      </c>
      <c r="D285" s="300" t="s">
        <v>82</v>
      </c>
      <c r="E285" s="141" t="s">
        <v>2224</v>
      </c>
      <c r="F285" s="296" t="s">
        <v>105</v>
      </c>
      <c r="G285" s="296" t="s">
        <v>1756</v>
      </c>
      <c r="H285" s="143" t="s">
        <v>90</v>
      </c>
      <c r="I285" s="296" t="s">
        <v>58</v>
      </c>
      <c r="J285" s="296" t="s">
        <v>1757</v>
      </c>
      <c r="K285" s="367"/>
      <c r="L285" s="379" t="s">
        <v>2229</v>
      </c>
      <c r="M285" s="143">
        <v>1.045496045E9</v>
      </c>
      <c r="N285" s="143">
        <v>3.146909088E9</v>
      </c>
      <c r="O285" s="372" t="s">
        <v>1764</v>
      </c>
      <c r="P285" s="367"/>
      <c r="Q285" s="141" t="s">
        <v>2226</v>
      </c>
      <c r="R285" s="367"/>
      <c r="S285" s="367"/>
      <c r="T285" s="367"/>
      <c r="U285" s="367"/>
      <c r="V285" s="367"/>
      <c r="W285" s="367"/>
      <c r="X285" s="367"/>
      <c r="Y285" s="367"/>
      <c r="Z285" s="367"/>
    </row>
    <row r="286" ht="16.5" customHeight="1">
      <c r="A286" s="367"/>
      <c r="B286" s="369">
        <v>2025.0</v>
      </c>
      <c r="C286" s="296" t="s">
        <v>143</v>
      </c>
      <c r="D286" s="300" t="s">
        <v>82</v>
      </c>
      <c r="E286" s="141" t="s">
        <v>2224</v>
      </c>
      <c r="F286" s="296" t="s">
        <v>105</v>
      </c>
      <c r="G286" s="296" t="s">
        <v>1756</v>
      </c>
      <c r="H286" s="143" t="s">
        <v>90</v>
      </c>
      <c r="I286" s="296" t="s">
        <v>58</v>
      </c>
      <c r="J286" s="296" t="s">
        <v>1757</v>
      </c>
      <c r="K286" s="367"/>
      <c r="L286" s="379" t="s">
        <v>2230</v>
      </c>
      <c r="M286" s="143">
        <v>8.0240043E7</v>
      </c>
      <c r="N286" s="143">
        <v>3.112008957E9</v>
      </c>
      <c r="O286" s="372" t="s">
        <v>1764</v>
      </c>
      <c r="P286" s="367"/>
      <c r="Q286" s="141" t="s">
        <v>2226</v>
      </c>
      <c r="R286" s="367"/>
      <c r="S286" s="367"/>
      <c r="T286" s="367"/>
      <c r="U286" s="367"/>
      <c r="V286" s="367"/>
      <c r="W286" s="367"/>
      <c r="X286" s="367"/>
      <c r="Y286" s="367"/>
      <c r="Z286" s="367"/>
    </row>
    <row r="287" ht="15.75" customHeight="1">
      <c r="A287" s="367"/>
      <c r="B287" s="369">
        <v>2025.0</v>
      </c>
      <c r="C287" s="296" t="s">
        <v>143</v>
      </c>
      <c r="D287" s="300" t="s">
        <v>82</v>
      </c>
      <c r="E287" s="141" t="s">
        <v>2224</v>
      </c>
      <c r="F287" s="296" t="s">
        <v>105</v>
      </c>
      <c r="G287" s="296" t="s">
        <v>1756</v>
      </c>
      <c r="H287" s="143" t="s">
        <v>90</v>
      </c>
      <c r="I287" s="296" t="s">
        <v>58</v>
      </c>
      <c r="J287" s="296" t="s">
        <v>1757</v>
      </c>
      <c r="K287" s="367"/>
      <c r="L287" s="379" t="s">
        <v>2231</v>
      </c>
      <c r="M287" s="143">
        <v>1.141323279E9</v>
      </c>
      <c r="N287" s="143">
        <v>3.132143164E9</v>
      </c>
      <c r="O287" s="372" t="s">
        <v>1764</v>
      </c>
      <c r="P287" s="367"/>
      <c r="Q287" s="141" t="s">
        <v>2226</v>
      </c>
      <c r="R287" s="367"/>
      <c r="S287" s="367"/>
      <c r="T287" s="367"/>
      <c r="U287" s="367"/>
      <c r="V287" s="367"/>
      <c r="W287" s="367"/>
      <c r="X287" s="367"/>
      <c r="Y287" s="367"/>
      <c r="Z287" s="367"/>
    </row>
    <row r="288" ht="19.5" customHeight="1">
      <c r="A288" s="367"/>
      <c r="B288" s="369">
        <v>2025.0</v>
      </c>
      <c r="C288" s="296" t="s">
        <v>143</v>
      </c>
      <c r="D288" s="300" t="s">
        <v>82</v>
      </c>
      <c r="E288" s="141" t="s">
        <v>2224</v>
      </c>
      <c r="F288" s="296" t="s">
        <v>105</v>
      </c>
      <c r="G288" s="296" t="s">
        <v>1756</v>
      </c>
      <c r="H288" s="143" t="s">
        <v>90</v>
      </c>
      <c r="I288" s="296" t="s">
        <v>58</v>
      </c>
      <c r="J288" s="296" t="s">
        <v>1757</v>
      </c>
      <c r="K288" s="367"/>
      <c r="L288" s="379" t="s">
        <v>2232</v>
      </c>
      <c r="M288" s="143">
        <v>3.9651443E7</v>
      </c>
      <c r="N288" s="143">
        <v>3.202959488E9</v>
      </c>
      <c r="O288" s="372" t="s">
        <v>1018</v>
      </c>
      <c r="P288" s="367"/>
      <c r="Q288" s="141" t="s">
        <v>2226</v>
      </c>
      <c r="R288" s="367"/>
      <c r="S288" s="367"/>
      <c r="T288" s="367"/>
      <c r="U288" s="367"/>
      <c r="V288" s="367"/>
      <c r="W288" s="367"/>
      <c r="X288" s="367"/>
      <c r="Y288" s="367"/>
      <c r="Z288" s="367"/>
    </row>
    <row r="289" ht="14.25" customHeight="1">
      <c r="A289" s="367"/>
      <c r="B289" s="369">
        <v>2025.0</v>
      </c>
      <c r="C289" s="296" t="s">
        <v>143</v>
      </c>
      <c r="D289" s="300" t="s">
        <v>82</v>
      </c>
      <c r="E289" s="141" t="s">
        <v>2224</v>
      </c>
      <c r="F289" s="296" t="s">
        <v>105</v>
      </c>
      <c r="G289" s="296" t="s">
        <v>1756</v>
      </c>
      <c r="H289" s="143" t="s">
        <v>90</v>
      </c>
      <c r="I289" s="296" t="s">
        <v>58</v>
      </c>
      <c r="J289" s="296" t="s">
        <v>1757</v>
      </c>
      <c r="K289" s="367"/>
      <c r="L289" s="379" t="s">
        <v>2233</v>
      </c>
      <c r="M289" s="143">
        <v>5.297218E7</v>
      </c>
      <c r="N289" s="143">
        <v>3.227700758E9</v>
      </c>
      <c r="O289" s="372" t="s">
        <v>1018</v>
      </c>
      <c r="P289" s="367"/>
      <c r="Q289" s="141" t="s">
        <v>2226</v>
      </c>
      <c r="R289" s="367"/>
      <c r="S289" s="367"/>
      <c r="T289" s="367"/>
      <c r="U289" s="367"/>
      <c r="V289" s="367"/>
      <c r="W289" s="367"/>
      <c r="X289" s="367"/>
      <c r="Y289" s="367"/>
      <c r="Z289" s="367"/>
    </row>
    <row r="290" ht="15.75" customHeight="1">
      <c r="A290" s="367"/>
      <c r="B290" s="369">
        <v>2025.0</v>
      </c>
      <c r="C290" s="296" t="s">
        <v>143</v>
      </c>
      <c r="D290" s="300" t="s">
        <v>82</v>
      </c>
      <c r="E290" s="141" t="s">
        <v>2224</v>
      </c>
      <c r="F290" s="296" t="s">
        <v>105</v>
      </c>
      <c r="G290" s="296" t="s">
        <v>1756</v>
      </c>
      <c r="H290" s="143" t="s">
        <v>90</v>
      </c>
      <c r="I290" s="296" t="s">
        <v>58</v>
      </c>
      <c r="J290" s="296" t="s">
        <v>1757</v>
      </c>
      <c r="K290" s="367"/>
      <c r="L290" s="379" t="s">
        <v>2234</v>
      </c>
      <c r="M290" s="143">
        <v>7.9473121E7</v>
      </c>
      <c r="N290" s="143">
        <v>3.138499647E9</v>
      </c>
      <c r="O290" s="372" t="s">
        <v>1764</v>
      </c>
      <c r="P290" s="367"/>
      <c r="Q290" s="141" t="s">
        <v>2226</v>
      </c>
      <c r="R290" s="367"/>
      <c r="S290" s="367"/>
      <c r="T290" s="367"/>
      <c r="U290" s="367"/>
      <c r="V290" s="367"/>
      <c r="W290" s="367"/>
      <c r="X290" s="367"/>
      <c r="Y290" s="367"/>
      <c r="Z290" s="367"/>
    </row>
    <row r="291" ht="16.5" customHeight="1">
      <c r="A291" s="367"/>
      <c r="B291" s="369">
        <v>2025.0</v>
      </c>
      <c r="C291" s="296" t="s">
        <v>143</v>
      </c>
      <c r="D291" s="300" t="s">
        <v>82</v>
      </c>
      <c r="E291" s="141" t="s">
        <v>2224</v>
      </c>
      <c r="F291" s="296" t="s">
        <v>105</v>
      </c>
      <c r="G291" s="296" t="s">
        <v>1756</v>
      </c>
      <c r="H291" s="143" t="s">
        <v>90</v>
      </c>
      <c r="I291" s="296" t="s">
        <v>58</v>
      </c>
      <c r="J291" s="296" t="s">
        <v>1757</v>
      </c>
      <c r="K291" s="367"/>
      <c r="L291" s="379" t="s">
        <v>2235</v>
      </c>
      <c r="M291" s="143">
        <v>1.076667533E9</v>
      </c>
      <c r="N291" s="143">
        <v>3.125097562E9</v>
      </c>
      <c r="O291" s="372" t="s">
        <v>1018</v>
      </c>
      <c r="P291" s="367"/>
      <c r="Q291" s="141" t="s">
        <v>2226</v>
      </c>
      <c r="R291" s="367"/>
      <c r="S291" s="367"/>
      <c r="T291" s="367"/>
      <c r="U291" s="367"/>
      <c r="V291" s="367"/>
      <c r="W291" s="367"/>
      <c r="X291" s="367"/>
      <c r="Y291" s="367"/>
      <c r="Z291" s="367"/>
    </row>
    <row r="292" ht="18.75" customHeight="1">
      <c r="A292" s="367"/>
      <c r="B292" s="369">
        <v>2025.0</v>
      </c>
      <c r="C292" s="296" t="s">
        <v>143</v>
      </c>
      <c r="D292" s="300" t="s">
        <v>82</v>
      </c>
      <c r="E292" s="141" t="s">
        <v>2224</v>
      </c>
      <c r="F292" s="296" t="s">
        <v>105</v>
      </c>
      <c r="G292" s="296" t="s">
        <v>1756</v>
      </c>
      <c r="H292" s="143" t="s">
        <v>90</v>
      </c>
      <c r="I292" s="296" t="s">
        <v>58</v>
      </c>
      <c r="J292" s="296" t="s">
        <v>1757</v>
      </c>
      <c r="K292" s="367"/>
      <c r="L292" s="379" t="s">
        <v>2236</v>
      </c>
      <c r="M292" s="143">
        <v>1.01430689E8</v>
      </c>
      <c r="N292" s="143">
        <v>3.204140313E9</v>
      </c>
      <c r="O292" s="372" t="s">
        <v>1764</v>
      </c>
      <c r="P292" s="367"/>
      <c r="Q292" s="141" t="s">
        <v>2226</v>
      </c>
      <c r="R292" s="367"/>
      <c r="S292" s="367"/>
      <c r="T292" s="367"/>
      <c r="U292" s="367"/>
      <c r="V292" s="367"/>
      <c r="W292" s="367"/>
      <c r="X292" s="367"/>
      <c r="Y292" s="367"/>
      <c r="Z292" s="367"/>
    </row>
    <row r="293" ht="16.5" customHeight="1">
      <c r="A293" s="367"/>
      <c r="B293" s="369">
        <v>2025.0</v>
      </c>
      <c r="C293" s="296" t="s">
        <v>143</v>
      </c>
      <c r="D293" s="300" t="s">
        <v>82</v>
      </c>
      <c r="E293" s="141" t="s">
        <v>2224</v>
      </c>
      <c r="F293" s="296" t="s">
        <v>105</v>
      </c>
      <c r="G293" s="296" t="s">
        <v>1756</v>
      </c>
      <c r="H293" s="143" t="s">
        <v>90</v>
      </c>
      <c r="I293" s="296" t="s">
        <v>58</v>
      </c>
      <c r="J293" s="296" t="s">
        <v>1757</v>
      </c>
      <c r="K293" s="367"/>
      <c r="L293" s="379" t="s">
        <v>2237</v>
      </c>
      <c r="M293" s="143">
        <v>5.2756943E7</v>
      </c>
      <c r="N293" s="143">
        <v>3.112382298E9</v>
      </c>
      <c r="O293" s="372" t="s">
        <v>1018</v>
      </c>
      <c r="P293" s="367"/>
      <c r="Q293" s="141" t="s">
        <v>2226</v>
      </c>
      <c r="R293" s="367"/>
      <c r="S293" s="367"/>
      <c r="T293" s="367"/>
      <c r="U293" s="367"/>
      <c r="V293" s="367"/>
      <c r="W293" s="367"/>
      <c r="X293" s="367"/>
      <c r="Y293" s="367"/>
      <c r="Z293" s="367"/>
    </row>
    <row r="294" ht="17.25" customHeight="1">
      <c r="A294" s="367"/>
      <c r="B294" s="369">
        <v>2025.0</v>
      </c>
      <c r="C294" s="296" t="s">
        <v>143</v>
      </c>
      <c r="D294" s="300" t="s">
        <v>82</v>
      </c>
      <c r="E294" s="141" t="s">
        <v>2224</v>
      </c>
      <c r="F294" s="296" t="s">
        <v>105</v>
      </c>
      <c r="G294" s="296" t="s">
        <v>1756</v>
      </c>
      <c r="H294" s="143" t="s">
        <v>90</v>
      </c>
      <c r="I294" s="296" t="s">
        <v>58</v>
      </c>
      <c r="J294" s="296" t="s">
        <v>1757</v>
      </c>
      <c r="K294" s="367"/>
      <c r="L294" s="379" t="s">
        <v>2238</v>
      </c>
      <c r="M294" s="143">
        <v>1.012446474E9</v>
      </c>
      <c r="N294" s="143">
        <v>3.208853571E9</v>
      </c>
      <c r="O294" s="372" t="s">
        <v>1018</v>
      </c>
      <c r="P294" s="367"/>
      <c r="Q294" s="141" t="s">
        <v>2226</v>
      </c>
      <c r="R294" s="367"/>
      <c r="S294" s="367"/>
      <c r="T294" s="367"/>
      <c r="U294" s="367"/>
      <c r="V294" s="367"/>
      <c r="W294" s="367"/>
      <c r="X294" s="367"/>
      <c r="Y294" s="367"/>
      <c r="Z294" s="367"/>
    </row>
    <row r="295" ht="18.75" customHeight="1">
      <c r="A295" s="367"/>
      <c r="B295" s="369">
        <v>2025.0</v>
      </c>
      <c r="C295" s="296" t="s">
        <v>143</v>
      </c>
      <c r="D295" s="300" t="s">
        <v>82</v>
      </c>
      <c r="E295" s="141" t="s">
        <v>2224</v>
      </c>
      <c r="F295" s="296" t="s">
        <v>105</v>
      </c>
      <c r="G295" s="296" t="s">
        <v>1756</v>
      </c>
      <c r="H295" s="143" t="s">
        <v>90</v>
      </c>
      <c r="I295" s="296" t="s">
        <v>58</v>
      </c>
      <c r="J295" s="296" t="s">
        <v>1757</v>
      </c>
      <c r="K295" s="367"/>
      <c r="L295" s="379" t="s">
        <v>2239</v>
      </c>
      <c r="M295" s="143">
        <v>2.1639414E7</v>
      </c>
      <c r="N295" s="143">
        <v>3.142487001E9</v>
      </c>
      <c r="O295" s="372" t="s">
        <v>1764</v>
      </c>
      <c r="P295" s="367"/>
      <c r="Q295" s="141" t="s">
        <v>2226</v>
      </c>
      <c r="R295" s="367"/>
      <c r="S295" s="367"/>
      <c r="T295" s="367"/>
      <c r="U295" s="367"/>
      <c r="V295" s="367"/>
      <c r="W295" s="367"/>
      <c r="X295" s="367"/>
      <c r="Y295" s="367"/>
      <c r="Z295" s="367"/>
    </row>
    <row r="296" ht="16.5" customHeight="1">
      <c r="A296" s="367"/>
      <c r="B296" s="369">
        <v>2025.0</v>
      </c>
      <c r="C296" s="296" t="s">
        <v>143</v>
      </c>
      <c r="D296" s="300" t="s">
        <v>82</v>
      </c>
      <c r="E296" s="141" t="s">
        <v>2224</v>
      </c>
      <c r="F296" s="296" t="s">
        <v>105</v>
      </c>
      <c r="G296" s="296" t="s">
        <v>1756</v>
      </c>
      <c r="H296" s="143" t="s">
        <v>90</v>
      </c>
      <c r="I296" s="296" t="s">
        <v>58</v>
      </c>
      <c r="J296" s="296" t="s">
        <v>1757</v>
      </c>
      <c r="K296" s="367"/>
      <c r="L296" s="379" t="s">
        <v>2240</v>
      </c>
      <c r="M296" s="143">
        <v>8.0722215E7</v>
      </c>
      <c r="N296" s="143">
        <v>3.153478224E9</v>
      </c>
      <c r="O296" s="372" t="s">
        <v>1764</v>
      </c>
      <c r="P296" s="367"/>
      <c r="Q296" s="141" t="s">
        <v>2226</v>
      </c>
      <c r="R296" s="367"/>
      <c r="S296" s="367"/>
      <c r="T296" s="367"/>
      <c r="U296" s="367"/>
      <c r="V296" s="367"/>
      <c r="W296" s="367"/>
      <c r="X296" s="367"/>
      <c r="Y296" s="367"/>
      <c r="Z296" s="367"/>
    </row>
    <row r="297" ht="17.25" customHeight="1">
      <c r="A297" s="367"/>
      <c r="B297" s="369">
        <v>2025.0</v>
      </c>
      <c r="C297" s="296" t="s">
        <v>143</v>
      </c>
      <c r="D297" s="300" t="s">
        <v>82</v>
      </c>
      <c r="E297" s="141" t="s">
        <v>2224</v>
      </c>
      <c r="F297" s="296" t="s">
        <v>105</v>
      </c>
      <c r="G297" s="296" t="s">
        <v>1756</v>
      </c>
      <c r="H297" s="143" t="s">
        <v>90</v>
      </c>
      <c r="I297" s="296" t="s">
        <v>58</v>
      </c>
      <c r="J297" s="296" t="s">
        <v>1757</v>
      </c>
      <c r="K297" s="367"/>
      <c r="L297" s="379" t="s">
        <v>2241</v>
      </c>
      <c r="M297" s="143">
        <v>8.0274513E7</v>
      </c>
      <c r="N297" s="143">
        <v>3.216384083E9</v>
      </c>
      <c r="O297" s="372" t="s">
        <v>1764</v>
      </c>
      <c r="P297" s="367"/>
      <c r="Q297" s="141" t="s">
        <v>2226</v>
      </c>
      <c r="R297" s="367"/>
      <c r="S297" s="367"/>
      <c r="T297" s="367"/>
      <c r="U297" s="367"/>
      <c r="V297" s="367"/>
      <c r="W297" s="367"/>
      <c r="X297" s="367"/>
      <c r="Y297" s="367"/>
      <c r="Z297" s="367"/>
    </row>
    <row r="298" ht="16.5" customHeight="1">
      <c r="A298" s="382"/>
      <c r="B298" s="383">
        <v>2025.0</v>
      </c>
      <c r="C298" s="384" t="s">
        <v>143</v>
      </c>
      <c r="D298" s="385" t="s">
        <v>82</v>
      </c>
      <c r="E298" s="386" t="s">
        <v>2224</v>
      </c>
      <c r="F298" s="384" t="s">
        <v>105</v>
      </c>
      <c r="G298" s="384" t="s">
        <v>1756</v>
      </c>
      <c r="H298" s="387" t="s">
        <v>90</v>
      </c>
      <c r="I298" s="384" t="s">
        <v>58</v>
      </c>
      <c r="J298" s="384" t="s">
        <v>1757</v>
      </c>
      <c r="K298" s="382"/>
      <c r="L298" s="388" t="s">
        <v>2242</v>
      </c>
      <c r="M298" s="387">
        <v>7.9444363E7</v>
      </c>
      <c r="N298" s="387">
        <v>3.108649725E9</v>
      </c>
      <c r="O298" s="389" t="s">
        <v>1764</v>
      </c>
      <c r="P298" s="382"/>
      <c r="Q298" s="386" t="s">
        <v>2226</v>
      </c>
      <c r="R298" s="382"/>
      <c r="S298" s="382"/>
      <c r="T298" s="382"/>
      <c r="U298" s="382"/>
      <c r="V298" s="382"/>
      <c r="W298" s="382"/>
      <c r="X298" s="382"/>
      <c r="Y298" s="382"/>
      <c r="Z298" s="382"/>
    </row>
    <row r="299">
      <c r="A299" s="390"/>
      <c r="B299" s="391">
        <v>2025.0</v>
      </c>
      <c r="C299" s="392" t="s">
        <v>2243</v>
      </c>
      <c r="D299" s="393" t="s">
        <v>82</v>
      </c>
      <c r="E299" s="394"/>
      <c r="F299" s="392" t="s">
        <v>105</v>
      </c>
      <c r="G299" s="392" t="s">
        <v>1756</v>
      </c>
      <c r="H299" s="395"/>
      <c r="I299" s="392" t="s">
        <v>58</v>
      </c>
      <c r="J299" s="392" t="s">
        <v>1757</v>
      </c>
      <c r="K299" s="390"/>
      <c r="L299" s="396" t="s">
        <v>2244</v>
      </c>
      <c r="M299" s="395">
        <v>1.022382384E9</v>
      </c>
      <c r="N299" s="395">
        <v>3.028501678E9</v>
      </c>
      <c r="O299" s="397" t="s">
        <v>1764</v>
      </c>
      <c r="P299" s="390"/>
      <c r="Q299" s="394"/>
      <c r="R299" s="390"/>
      <c r="S299" s="390"/>
      <c r="T299" s="390"/>
      <c r="U299" s="390"/>
      <c r="V299" s="390"/>
      <c r="W299" s="390"/>
      <c r="X299" s="390"/>
      <c r="Y299" s="390"/>
      <c r="Z299" s="390"/>
    </row>
    <row r="300">
      <c r="A300" s="367"/>
      <c r="B300" s="369">
        <v>2025.0</v>
      </c>
      <c r="C300" s="296" t="s">
        <v>2245</v>
      </c>
      <c r="D300" s="300" t="s">
        <v>82</v>
      </c>
      <c r="E300" s="141"/>
      <c r="F300" s="296" t="s">
        <v>105</v>
      </c>
      <c r="G300" s="296" t="s">
        <v>1756</v>
      </c>
      <c r="H300" s="143"/>
      <c r="I300" s="296" t="s">
        <v>58</v>
      </c>
      <c r="J300" s="296" t="s">
        <v>1757</v>
      </c>
      <c r="K300" s="367"/>
      <c r="L300" s="379" t="s">
        <v>2246</v>
      </c>
      <c r="M300" s="143">
        <v>5.1620188E7</v>
      </c>
      <c r="N300" s="143">
        <v>3.115772595E9</v>
      </c>
      <c r="O300" s="372" t="s">
        <v>1764</v>
      </c>
      <c r="P300" s="367"/>
      <c r="Q300" s="141"/>
      <c r="R300" s="367"/>
      <c r="S300" s="367"/>
      <c r="T300" s="367"/>
      <c r="U300" s="367"/>
      <c r="V300" s="367"/>
      <c r="W300" s="367"/>
      <c r="X300" s="367"/>
      <c r="Y300" s="367"/>
      <c r="Z300" s="367"/>
    </row>
    <row r="301">
      <c r="A301" s="367"/>
      <c r="B301" s="367"/>
      <c r="C301" s="367"/>
      <c r="D301" s="367"/>
      <c r="E301" s="375"/>
      <c r="F301" s="367"/>
      <c r="G301" s="367"/>
      <c r="H301" s="367"/>
      <c r="I301" s="367"/>
      <c r="J301" s="367"/>
      <c r="K301" s="367"/>
      <c r="L301" s="379" t="s">
        <v>2247</v>
      </c>
      <c r="M301" s="143">
        <v>2.0130062E7</v>
      </c>
      <c r="N301" s="143">
        <v>3.227202141E9</v>
      </c>
      <c r="O301" s="367"/>
      <c r="P301" s="367"/>
      <c r="Q301" s="367"/>
      <c r="R301" s="367"/>
      <c r="S301" s="367"/>
      <c r="T301" s="367"/>
      <c r="U301" s="367"/>
      <c r="V301" s="367"/>
      <c r="W301" s="367"/>
      <c r="X301" s="367"/>
      <c r="Y301" s="367"/>
      <c r="Z301" s="367"/>
    </row>
    <row r="302">
      <c r="A302" s="367"/>
      <c r="B302" s="367"/>
      <c r="C302" s="367"/>
      <c r="D302" s="367"/>
      <c r="E302" s="375"/>
      <c r="F302" s="367"/>
      <c r="G302" s="367"/>
      <c r="H302" s="367"/>
      <c r="I302" s="367"/>
      <c r="J302" s="367"/>
      <c r="K302" s="367"/>
      <c r="L302" s="379" t="s">
        <v>2248</v>
      </c>
      <c r="M302" s="143">
        <v>1.130585873E9</v>
      </c>
      <c r="N302" s="143">
        <v>3.154310229E9</v>
      </c>
      <c r="O302" s="367"/>
      <c r="P302" s="367"/>
      <c r="Q302" s="367"/>
      <c r="R302" s="367"/>
      <c r="S302" s="367"/>
      <c r="T302" s="367"/>
      <c r="U302" s="367"/>
      <c r="V302" s="367"/>
      <c r="W302" s="367"/>
      <c r="X302" s="367"/>
      <c r="Y302" s="367"/>
      <c r="Z302" s="367"/>
    </row>
    <row r="303">
      <c r="A303" s="367"/>
      <c r="B303" s="367"/>
      <c r="C303" s="367"/>
      <c r="D303" s="367"/>
      <c r="E303" s="375"/>
      <c r="F303" s="367"/>
      <c r="G303" s="367"/>
      <c r="H303" s="367"/>
      <c r="I303" s="367"/>
      <c r="J303" s="367"/>
      <c r="K303" s="367"/>
      <c r="L303" s="379" t="s">
        <v>2249</v>
      </c>
      <c r="M303" s="143">
        <v>1.000601393E9</v>
      </c>
      <c r="N303" s="143">
        <v>3.194756918E9</v>
      </c>
      <c r="O303" s="367"/>
      <c r="P303" s="367"/>
      <c r="Q303" s="367"/>
      <c r="R303" s="367"/>
      <c r="S303" s="367"/>
      <c r="T303" s="367"/>
      <c r="U303" s="367"/>
      <c r="V303" s="367"/>
      <c r="W303" s="367"/>
      <c r="X303" s="367"/>
      <c r="Y303" s="367"/>
      <c r="Z303" s="367"/>
    </row>
    <row r="304">
      <c r="A304" s="367"/>
      <c r="B304" s="367"/>
      <c r="C304" s="367"/>
      <c r="D304" s="367"/>
      <c r="E304" s="375"/>
      <c r="F304" s="367"/>
      <c r="G304" s="367"/>
      <c r="H304" s="367"/>
      <c r="I304" s="367"/>
      <c r="J304" s="367"/>
      <c r="K304" s="367"/>
      <c r="L304" s="379" t="s">
        <v>2250</v>
      </c>
      <c r="M304" s="143">
        <v>1.027151031E9</v>
      </c>
      <c r="N304" s="143">
        <v>3.108533845E9</v>
      </c>
      <c r="O304" s="367"/>
      <c r="P304" s="367"/>
      <c r="Q304" s="367"/>
      <c r="R304" s="367"/>
      <c r="S304" s="367"/>
      <c r="T304" s="367"/>
      <c r="U304" s="367"/>
      <c r="V304" s="367"/>
      <c r="W304" s="367"/>
      <c r="X304" s="367"/>
      <c r="Y304" s="367"/>
      <c r="Z304" s="367"/>
    </row>
    <row r="305">
      <c r="A305" s="367"/>
      <c r="B305" s="367"/>
      <c r="C305" s="367"/>
      <c r="D305" s="367"/>
      <c r="E305" s="375"/>
      <c r="F305" s="367"/>
      <c r="G305" s="367"/>
      <c r="H305" s="367"/>
      <c r="I305" s="367"/>
      <c r="J305" s="367"/>
      <c r="K305" s="367"/>
      <c r="L305" s="379" t="s">
        <v>2251</v>
      </c>
      <c r="M305" s="143">
        <v>2.7961066E7</v>
      </c>
      <c r="N305" s="143">
        <v>3.115538336E9</v>
      </c>
      <c r="O305" s="367"/>
      <c r="P305" s="367"/>
      <c r="Q305" s="367"/>
      <c r="R305" s="367"/>
      <c r="S305" s="367"/>
      <c r="T305" s="367"/>
      <c r="U305" s="367"/>
      <c r="V305" s="367"/>
      <c r="W305" s="367"/>
      <c r="X305" s="367"/>
      <c r="Y305" s="367"/>
      <c r="Z305" s="367"/>
    </row>
    <row r="306">
      <c r="A306" s="367"/>
      <c r="B306" s="367"/>
      <c r="C306" s="367"/>
      <c r="D306" s="367"/>
      <c r="E306" s="375"/>
      <c r="F306" s="367"/>
      <c r="G306" s="367"/>
      <c r="H306" s="367"/>
      <c r="I306" s="367"/>
      <c r="J306" s="367"/>
      <c r="K306" s="367"/>
      <c r="L306" s="379" t="s">
        <v>2252</v>
      </c>
      <c r="M306" s="143">
        <v>1.3438119E7</v>
      </c>
      <c r="N306" s="143">
        <v>3.157860173E9</v>
      </c>
      <c r="O306" s="367"/>
      <c r="P306" s="367"/>
      <c r="Q306" s="367"/>
      <c r="R306" s="367"/>
      <c r="S306" s="367"/>
      <c r="T306" s="367"/>
      <c r="U306" s="367"/>
      <c r="V306" s="367"/>
      <c r="W306" s="367"/>
      <c r="X306" s="367"/>
      <c r="Y306" s="367"/>
      <c r="Z306" s="367"/>
    </row>
    <row r="307">
      <c r="A307" s="367"/>
      <c r="B307" s="367"/>
      <c r="C307" s="367"/>
      <c r="D307" s="367"/>
      <c r="E307" s="375"/>
      <c r="F307" s="367"/>
      <c r="G307" s="367"/>
      <c r="H307" s="367"/>
      <c r="I307" s="367"/>
      <c r="J307" s="367"/>
      <c r="K307" s="367"/>
      <c r="L307" s="379" t="s">
        <v>2253</v>
      </c>
      <c r="M307" s="143">
        <v>1.032440892E9</v>
      </c>
      <c r="N307" s="143">
        <v>3.123812639E9</v>
      </c>
      <c r="O307" s="367"/>
      <c r="P307" s="367"/>
      <c r="Q307" s="367"/>
      <c r="R307" s="367"/>
      <c r="S307" s="367"/>
      <c r="T307" s="367"/>
      <c r="U307" s="367"/>
      <c r="V307" s="367"/>
      <c r="W307" s="367"/>
      <c r="X307" s="367"/>
      <c r="Y307" s="367"/>
      <c r="Z307" s="367"/>
    </row>
    <row r="308">
      <c r="A308" s="367"/>
      <c r="B308" s="367"/>
      <c r="C308" s="367"/>
      <c r="D308" s="367"/>
      <c r="E308" s="375"/>
      <c r="F308" s="367"/>
      <c r="G308" s="367"/>
      <c r="H308" s="367"/>
      <c r="I308" s="367"/>
      <c r="J308" s="367"/>
      <c r="K308" s="367"/>
      <c r="L308" s="379" t="s">
        <v>2254</v>
      </c>
      <c r="M308" s="143">
        <v>1.000158171E9</v>
      </c>
      <c r="N308" s="143">
        <v>3.022242482E9</v>
      </c>
      <c r="O308" s="367"/>
      <c r="P308" s="367"/>
      <c r="Q308" s="367"/>
      <c r="R308" s="367"/>
      <c r="S308" s="367"/>
      <c r="T308" s="367"/>
      <c r="U308" s="367"/>
      <c r="V308" s="367"/>
      <c r="W308" s="367"/>
      <c r="X308" s="367"/>
      <c r="Y308" s="367"/>
      <c r="Z308" s="367"/>
    </row>
    <row r="309">
      <c r="A309" s="367"/>
      <c r="B309" s="367"/>
      <c r="C309" s="367"/>
      <c r="D309" s="367"/>
      <c r="E309" s="375"/>
      <c r="F309" s="367"/>
      <c r="G309" s="367"/>
      <c r="H309" s="367"/>
      <c r="I309" s="367"/>
      <c r="J309" s="367"/>
      <c r="K309" s="367"/>
      <c r="L309" s="379" t="s">
        <v>2255</v>
      </c>
      <c r="M309" s="143">
        <v>7.4243693E7</v>
      </c>
      <c r="N309" s="143">
        <v>3.138042252E9</v>
      </c>
      <c r="O309" s="367"/>
      <c r="P309" s="367"/>
      <c r="Q309" s="367"/>
      <c r="R309" s="367"/>
      <c r="S309" s="367"/>
      <c r="T309" s="367"/>
      <c r="U309" s="367"/>
      <c r="V309" s="367"/>
      <c r="W309" s="367"/>
      <c r="X309" s="367"/>
      <c r="Y309" s="367"/>
      <c r="Z309" s="367"/>
    </row>
    <row r="310">
      <c r="A310" s="367"/>
      <c r="B310" s="367"/>
      <c r="C310" s="367"/>
      <c r="D310" s="367"/>
      <c r="E310" s="375"/>
      <c r="F310" s="367"/>
      <c r="G310" s="367"/>
      <c r="H310" s="367"/>
      <c r="I310" s="367"/>
      <c r="J310" s="367"/>
      <c r="K310" s="367"/>
      <c r="L310" s="379" t="s">
        <v>2256</v>
      </c>
      <c r="M310" s="143">
        <v>7.9573656E7</v>
      </c>
      <c r="N310" s="143">
        <v>3.118110279E9</v>
      </c>
      <c r="O310" s="367"/>
      <c r="P310" s="367"/>
      <c r="Q310" s="367"/>
      <c r="R310" s="367"/>
      <c r="S310" s="367"/>
      <c r="T310" s="367"/>
      <c r="U310" s="367"/>
      <c r="V310" s="367"/>
      <c r="W310" s="367"/>
      <c r="X310" s="367"/>
      <c r="Y310" s="367"/>
      <c r="Z310" s="367"/>
    </row>
    <row r="311">
      <c r="A311" s="367"/>
      <c r="B311" s="367"/>
      <c r="C311" s="367"/>
      <c r="D311" s="367"/>
      <c r="E311" s="375"/>
      <c r="F311" s="367"/>
      <c r="G311" s="367"/>
      <c r="H311" s="367"/>
      <c r="I311" s="367"/>
      <c r="J311" s="367"/>
      <c r="K311" s="367"/>
      <c r="L311" s="379" t="s">
        <v>2257</v>
      </c>
      <c r="M311" s="143">
        <v>1.9397651E7</v>
      </c>
      <c r="N311" s="143">
        <v>3.15246605E9</v>
      </c>
      <c r="O311" s="367"/>
      <c r="P311" s="367"/>
      <c r="Q311" s="367"/>
      <c r="R311" s="367"/>
      <c r="S311" s="367"/>
      <c r="T311" s="367"/>
      <c r="U311" s="367"/>
      <c r="V311" s="367"/>
      <c r="W311" s="367"/>
      <c r="X311" s="367"/>
      <c r="Y311" s="367"/>
      <c r="Z311" s="367"/>
    </row>
    <row r="312">
      <c r="A312" s="367"/>
      <c r="B312" s="367"/>
      <c r="C312" s="367"/>
      <c r="D312" s="367"/>
      <c r="E312" s="375"/>
      <c r="F312" s="367"/>
      <c r="G312" s="367"/>
      <c r="H312" s="367"/>
      <c r="I312" s="367"/>
      <c r="J312" s="367"/>
      <c r="K312" s="367"/>
      <c r="L312" s="379" t="s">
        <v>2258</v>
      </c>
      <c r="M312" s="143">
        <v>1.032437066E9</v>
      </c>
      <c r="N312" s="143">
        <v>3.168129979E9</v>
      </c>
      <c r="O312" s="367"/>
      <c r="P312" s="367"/>
      <c r="Q312" s="367"/>
      <c r="R312" s="367"/>
      <c r="S312" s="367"/>
      <c r="T312" s="367"/>
      <c r="U312" s="367"/>
      <c r="V312" s="367"/>
      <c r="W312" s="367"/>
      <c r="X312" s="367"/>
      <c r="Y312" s="367"/>
      <c r="Z312" s="367"/>
    </row>
    <row r="313">
      <c r="A313" s="367"/>
      <c r="B313" s="367"/>
      <c r="C313" s="367"/>
      <c r="D313" s="367"/>
      <c r="E313" s="375"/>
      <c r="F313" s="367"/>
      <c r="G313" s="367"/>
      <c r="H313" s="367"/>
      <c r="I313" s="367"/>
      <c r="J313" s="367"/>
      <c r="K313" s="367"/>
      <c r="L313" s="379" t="s">
        <v>2259</v>
      </c>
      <c r="M313" s="143">
        <v>4.0428506E7</v>
      </c>
      <c r="N313" s="143">
        <v>3.11382994E9</v>
      </c>
      <c r="O313" s="367"/>
      <c r="P313" s="367"/>
      <c r="Q313" s="367"/>
      <c r="R313" s="367"/>
      <c r="S313" s="367"/>
      <c r="T313" s="367"/>
      <c r="U313" s="367"/>
      <c r="V313" s="367"/>
      <c r="W313" s="367"/>
      <c r="X313" s="367"/>
      <c r="Y313" s="367"/>
      <c r="Z313" s="367"/>
    </row>
    <row r="314">
      <c r="A314" s="367"/>
      <c r="B314" s="367"/>
      <c r="C314" s="367"/>
      <c r="D314" s="367"/>
      <c r="E314" s="375"/>
      <c r="F314" s="367"/>
      <c r="G314" s="367"/>
      <c r="H314" s="367"/>
      <c r="I314" s="367"/>
      <c r="J314" s="367"/>
      <c r="K314" s="367"/>
      <c r="L314" s="379" t="s">
        <v>2260</v>
      </c>
      <c r="M314" s="143">
        <v>9394975.0</v>
      </c>
      <c r="N314" s="143">
        <v>3.15632356E9</v>
      </c>
      <c r="O314" s="367"/>
      <c r="P314" s="367"/>
      <c r="Q314" s="367"/>
      <c r="R314" s="367"/>
      <c r="S314" s="367"/>
      <c r="T314" s="367"/>
      <c r="U314" s="367"/>
      <c r="V314" s="367"/>
      <c r="W314" s="367"/>
      <c r="X314" s="367"/>
      <c r="Y314" s="367"/>
      <c r="Z314" s="367"/>
    </row>
    <row r="315">
      <c r="A315" s="367"/>
      <c r="B315" s="367"/>
      <c r="C315" s="367"/>
      <c r="D315" s="367"/>
      <c r="E315" s="375"/>
      <c r="F315" s="367"/>
      <c r="G315" s="367"/>
      <c r="H315" s="367"/>
      <c r="I315" s="367"/>
      <c r="J315" s="367"/>
      <c r="K315" s="367"/>
      <c r="L315" s="379" t="s">
        <v>2261</v>
      </c>
      <c r="M315" s="143">
        <v>1.030699983E9</v>
      </c>
      <c r="N315" s="143">
        <v>3.227122322E9</v>
      </c>
      <c r="O315" s="367"/>
      <c r="P315" s="367"/>
      <c r="Q315" s="367"/>
      <c r="R315" s="367"/>
      <c r="S315" s="367"/>
      <c r="T315" s="367"/>
      <c r="U315" s="367"/>
      <c r="V315" s="367"/>
      <c r="W315" s="367"/>
      <c r="X315" s="367"/>
      <c r="Y315" s="367"/>
      <c r="Z315" s="367"/>
    </row>
    <row r="316">
      <c r="A316" s="367"/>
      <c r="B316" s="367"/>
      <c r="C316" s="367"/>
      <c r="D316" s="367"/>
      <c r="E316" s="375"/>
      <c r="F316" s="367"/>
      <c r="G316" s="367"/>
      <c r="H316" s="367"/>
      <c r="I316" s="367"/>
      <c r="J316" s="367"/>
      <c r="K316" s="367"/>
      <c r="L316" s="379" t="s">
        <v>2262</v>
      </c>
      <c r="M316" s="143">
        <v>1.9352621E7</v>
      </c>
      <c r="N316" s="143">
        <v>3.162370006E9</v>
      </c>
      <c r="O316" s="367"/>
      <c r="P316" s="367"/>
      <c r="Q316" s="367"/>
      <c r="R316" s="367"/>
      <c r="S316" s="367"/>
      <c r="T316" s="367"/>
      <c r="U316" s="367"/>
      <c r="V316" s="367"/>
      <c r="W316" s="367"/>
      <c r="X316" s="367"/>
      <c r="Y316" s="367"/>
      <c r="Z316" s="367"/>
    </row>
    <row r="317">
      <c r="A317" s="367"/>
      <c r="B317" s="367"/>
      <c r="C317" s="367"/>
      <c r="D317" s="367"/>
      <c r="E317" s="375"/>
      <c r="F317" s="367"/>
      <c r="G317" s="367"/>
      <c r="H317" s="367"/>
      <c r="I317" s="367"/>
      <c r="J317" s="367"/>
      <c r="K317" s="367"/>
      <c r="L317" s="379" t="s">
        <v>2263</v>
      </c>
      <c r="M317" s="143">
        <v>8.0005258E7</v>
      </c>
      <c r="N317" s="143">
        <v>3.136434353E9</v>
      </c>
      <c r="O317" s="367"/>
      <c r="P317" s="367"/>
      <c r="Q317" s="367"/>
      <c r="R317" s="367"/>
      <c r="S317" s="367"/>
      <c r="T317" s="367"/>
      <c r="U317" s="367"/>
      <c r="V317" s="367"/>
      <c r="W317" s="367"/>
      <c r="X317" s="367"/>
      <c r="Y317" s="367"/>
      <c r="Z317" s="367"/>
    </row>
    <row r="318">
      <c r="A318" s="367"/>
      <c r="B318" s="367"/>
      <c r="C318" s="367"/>
      <c r="D318" s="367"/>
      <c r="E318" s="375"/>
      <c r="F318" s="367"/>
      <c r="G318" s="367"/>
      <c r="H318" s="367"/>
      <c r="I318" s="367"/>
      <c r="J318" s="367"/>
      <c r="K318" s="367"/>
      <c r="L318" s="379" t="s">
        <v>2264</v>
      </c>
      <c r="M318" s="143">
        <v>3222087.0</v>
      </c>
      <c r="N318" s="143">
        <v>3.104786071E9</v>
      </c>
      <c r="O318" s="367"/>
      <c r="P318" s="367"/>
      <c r="Q318" s="367"/>
      <c r="R318" s="367"/>
      <c r="S318" s="367"/>
      <c r="T318" s="367"/>
      <c r="U318" s="367"/>
      <c r="V318" s="367"/>
      <c r="W318" s="367"/>
      <c r="X318" s="367"/>
      <c r="Y318" s="367"/>
      <c r="Z318" s="367"/>
    </row>
    <row r="319">
      <c r="A319" s="367"/>
      <c r="B319" s="367"/>
      <c r="C319" s="367"/>
      <c r="D319" s="367"/>
      <c r="E319" s="375"/>
      <c r="F319" s="367"/>
      <c r="G319" s="367"/>
      <c r="H319" s="367"/>
      <c r="I319" s="367"/>
      <c r="J319" s="367"/>
      <c r="K319" s="367"/>
      <c r="L319" s="379" t="s">
        <v>2265</v>
      </c>
      <c r="M319" s="143">
        <v>5.1733652E7</v>
      </c>
      <c r="N319" s="143">
        <v>3.208215636E9</v>
      </c>
      <c r="O319" s="367"/>
      <c r="P319" s="367"/>
      <c r="Q319" s="367"/>
      <c r="R319" s="367"/>
      <c r="S319" s="367"/>
      <c r="T319" s="367"/>
      <c r="U319" s="367"/>
      <c r="V319" s="367"/>
      <c r="W319" s="367"/>
      <c r="X319" s="367"/>
      <c r="Y319" s="367"/>
      <c r="Z319" s="367"/>
    </row>
    <row r="320">
      <c r="A320" s="367"/>
      <c r="B320" s="367"/>
      <c r="C320" s="367"/>
      <c r="D320" s="367"/>
      <c r="E320" s="375"/>
      <c r="F320" s="367"/>
      <c r="G320" s="367"/>
      <c r="H320" s="367"/>
      <c r="I320" s="367"/>
      <c r="J320" s="367"/>
      <c r="K320" s="367"/>
      <c r="L320" s="379" t="s">
        <v>2266</v>
      </c>
      <c r="M320" s="143">
        <v>5.212343E7</v>
      </c>
      <c r="N320" s="143">
        <v>3.102160717E9</v>
      </c>
      <c r="O320" s="367"/>
      <c r="P320" s="367"/>
      <c r="Q320" s="367"/>
      <c r="R320" s="367"/>
      <c r="S320" s="367"/>
      <c r="T320" s="367"/>
      <c r="U320" s="367"/>
      <c r="V320" s="367"/>
      <c r="W320" s="367"/>
      <c r="X320" s="367"/>
      <c r="Y320" s="367"/>
      <c r="Z320" s="367"/>
    </row>
    <row r="321">
      <c r="A321" s="367"/>
      <c r="B321" s="367"/>
      <c r="C321" s="367"/>
      <c r="D321" s="367"/>
      <c r="E321" s="375"/>
      <c r="F321" s="367"/>
      <c r="G321" s="367"/>
      <c r="H321" s="367"/>
      <c r="I321" s="367"/>
      <c r="J321" s="367"/>
      <c r="K321" s="367"/>
      <c r="L321" s="379" t="s">
        <v>2267</v>
      </c>
      <c r="M321" s="143">
        <v>1.030598167E9</v>
      </c>
      <c r="N321" s="143">
        <v>3.118605554E9</v>
      </c>
      <c r="O321" s="367"/>
      <c r="P321" s="367"/>
      <c r="Q321" s="367"/>
      <c r="R321" s="367"/>
      <c r="S321" s="367"/>
      <c r="T321" s="367"/>
      <c r="U321" s="367"/>
      <c r="V321" s="367"/>
      <c r="W321" s="367"/>
      <c r="X321" s="367"/>
      <c r="Y321" s="367"/>
      <c r="Z321" s="367"/>
    </row>
    <row r="322">
      <c r="A322" s="367"/>
      <c r="B322" s="367"/>
      <c r="C322" s="367"/>
      <c r="D322" s="367"/>
      <c r="E322" s="375"/>
      <c r="F322" s="367"/>
      <c r="G322" s="367"/>
      <c r="H322" s="367"/>
      <c r="I322" s="367"/>
      <c r="J322" s="367"/>
      <c r="K322" s="367"/>
      <c r="L322" s="379" t="s">
        <v>2268</v>
      </c>
      <c r="M322" s="143">
        <v>5.2173914E7</v>
      </c>
      <c r="N322" s="143">
        <v>3.209737796E9</v>
      </c>
      <c r="O322" s="367"/>
      <c r="P322" s="367"/>
      <c r="Q322" s="367"/>
      <c r="R322" s="367"/>
      <c r="S322" s="367"/>
      <c r="T322" s="367"/>
      <c r="U322" s="367"/>
      <c r="V322" s="367"/>
      <c r="W322" s="367"/>
      <c r="X322" s="367"/>
      <c r="Y322" s="367"/>
      <c r="Z322" s="367"/>
    </row>
    <row r="323">
      <c r="A323" s="367"/>
      <c r="B323" s="367"/>
      <c r="C323" s="367"/>
      <c r="D323" s="367"/>
      <c r="E323" s="375"/>
      <c r="F323" s="367"/>
      <c r="G323" s="367"/>
      <c r="H323" s="367"/>
      <c r="I323" s="367"/>
      <c r="J323" s="367"/>
      <c r="K323" s="367"/>
      <c r="L323" s="379" t="s">
        <v>2269</v>
      </c>
      <c r="M323" s="143">
        <v>1.925794E7</v>
      </c>
      <c r="N323" s="143">
        <v>3.152018514E9</v>
      </c>
      <c r="O323" s="367"/>
      <c r="P323" s="367"/>
      <c r="Q323" s="367"/>
      <c r="R323" s="367"/>
      <c r="S323" s="367"/>
      <c r="T323" s="367"/>
      <c r="U323" s="367"/>
      <c r="V323" s="367"/>
      <c r="W323" s="367"/>
      <c r="X323" s="367"/>
      <c r="Y323" s="367"/>
      <c r="Z323" s="367"/>
    </row>
    <row r="324">
      <c r="A324" s="398"/>
      <c r="B324" s="398"/>
      <c r="C324" s="398"/>
      <c r="D324" s="398"/>
      <c r="E324" s="399"/>
      <c r="F324" s="398"/>
      <c r="G324" s="398"/>
      <c r="H324" s="398"/>
      <c r="I324" s="398"/>
      <c r="J324" s="398"/>
      <c r="K324" s="398"/>
      <c r="L324" s="400"/>
      <c r="M324" s="398"/>
      <c r="N324" s="398"/>
      <c r="O324" s="398"/>
      <c r="P324" s="398"/>
      <c r="Q324" s="398"/>
      <c r="R324" s="398"/>
      <c r="S324" s="398"/>
      <c r="T324" s="398"/>
      <c r="U324" s="367"/>
      <c r="V324" s="367"/>
      <c r="W324" s="367"/>
      <c r="X324" s="367"/>
      <c r="Y324" s="367"/>
      <c r="Z324" s="367"/>
    </row>
    <row r="325">
      <c r="A325" s="141" t="s">
        <v>1378</v>
      </c>
      <c r="B325" s="367"/>
      <c r="C325" s="367"/>
      <c r="D325" s="367"/>
      <c r="E325" s="375"/>
      <c r="F325" s="367"/>
      <c r="G325" s="367"/>
      <c r="H325" s="367"/>
      <c r="I325" s="367"/>
      <c r="J325" s="367"/>
      <c r="K325" s="367"/>
      <c r="L325" s="379" t="s">
        <v>2270</v>
      </c>
      <c r="M325" s="143">
        <v>2.0915563E7</v>
      </c>
      <c r="N325" s="143">
        <v>3.124052306E9</v>
      </c>
      <c r="O325" s="367"/>
      <c r="P325" s="367"/>
      <c r="Q325" s="367"/>
      <c r="R325" s="367"/>
      <c r="S325" s="367"/>
      <c r="T325" s="367"/>
      <c r="U325" s="367"/>
      <c r="V325" s="367"/>
      <c r="W325" s="367"/>
      <c r="X325" s="367"/>
      <c r="Y325" s="367"/>
      <c r="Z325" s="367"/>
    </row>
    <row r="326">
      <c r="A326" s="141" t="s">
        <v>1378</v>
      </c>
      <c r="B326" s="367"/>
      <c r="C326" s="367"/>
      <c r="D326" s="367"/>
      <c r="E326" s="375"/>
      <c r="F326" s="367"/>
      <c r="G326" s="367"/>
      <c r="H326" s="367"/>
      <c r="I326" s="367"/>
      <c r="J326" s="367"/>
      <c r="K326" s="367"/>
      <c r="L326" s="379" t="s">
        <v>2271</v>
      </c>
      <c r="M326" s="143">
        <v>1.9416136E7</v>
      </c>
      <c r="N326" s="143">
        <v>3.125235482E9</v>
      </c>
      <c r="O326" s="367"/>
      <c r="P326" s="367"/>
      <c r="Q326" s="367"/>
      <c r="R326" s="367"/>
      <c r="S326" s="367"/>
      <c r="T326" s="367"/>
      <c r="U326" s="367"/>
      <c r="V326" s="367"/>
      <c r="W326" s="367"/>
      <c r="X326" s="367"/>
      <c r="Y326" s="367"/>
      <c r="Z326" s="367"/>
    </row>
    <row r="327">
      <c r="A327" s="141" t="s">
        <v>1378</v>
      </c>
      <c r="B327" s="367"/>
      <c r="C327" s="367"/>
      <c r="D327" s="367"/>
      <c r="E327" s="375"/>
      <c r="F327" s="367"/>
      <c r="G327" s="367"/>
      <c r="H327" s="367"/>
      <c r="I327" s="367"/>
      <c r="J327" s="367"/>
      <c r="K327" s="367"/>
      <c r="L327" s="379" t="s">
        <v>2272</v>
      </c>
      <c r="M327" s="143">
        <v>9511842.0</v>
      </c>
      <c r="N327" s="143">
        <v>3.125953174E9</v>
      </c>
      <c r="O327" s="367"/>
      <c r="P327" s="367"/>
      <c r="Q327" s="367"/>
      <c r="R327" s="367"/>
      <c r="S327" s="367"/>
      <c r="T327" s="367"/>
      <c r="U327" s="367"/>
      <c r="V327" s="367"/>
      <c r="W327" s="367"/>
      <c r="X327" s="367"/>
      <c r="Y327" s="367"/>
      <c r="Z327" s="367"/>
    </row>
    <row r="328">
      <c r="A328" s="141" t="s">
        <v>1378</v>
      </c>
      <c r="B328" s="367"/>
      <c r="C328" s="367"/>
      <c r="D328" s="367"/>
      <c r="E328" s="375"/>
      <c r="F328" s="367"/>
      <c r="G328" s="367"/>
      <c r="H328" s="367"/>
      <c r="I328" s="367"/>
      <c r="J328" s="367"/>
      <c r="K328" s="367"/>
      <c r="L328" s="379" t="s">
        <v>2273</v>
      </c>
      <c r="M328" s="143">
        <v>4.1723208E7</v>
      </c>
      <c r="N328" s="143">
        <v>3.124630107E9</v>
      </c>
      <c r="O328" s="367"/>
      <c r="P328" s="367"/>
      <c r="Q328" s="367"/>
      <c r="R328" s="367"/>
      <c r="S328" s="367"/>
      <c r="T328" s="367"/>
      <c r="U328" s="367"/>
      <c r="V328" s="367"/>
      <c r="W328" s="367"/>
      <c r="X328" s="367"/>
      <c r="Y328" s="367"/>
      <c r="Z328" s="367"/>
    </row>
    <row r="329">
      <c r="A329" s="141" t="s">
        <v>1378</v>
      </c>
      <c r="B329" s="367"/>
      <c r="C329" s="367"/>
      <c r="D329" s="367"/>
      <c r="E329" s="375"/>
      <c r="F329" s="367"/>
      <c r="G329" s="367"/>
      <c r="H329" s="367"/>
      <c r="I329" s="367"/>
      <c r="J329" s="367"/>
      <c r="K329" s="367"/>
      <c r="L329" s="379" t="s">
        <v>2274</v>
      </c>
      <c r="M329" s="143">
        <v>4.1648746E7</v>
      </c>
      <c r="N329" s="143">
        <v>3.232839214E9</v>
      </c>
      <c r="O329" s="367"/>
      <c r="P329" s="367"/>
      <c r="Q329" s="367"/>
      <c r="R329" s="367"/>
      <c r="S329" s="367"/>
      <c r="T329" s="367"/>
      <c r="U329" s="367"/>
      <c r="V329" s="367"/>
      <c r="W329" s="367"/>
      <c r="X329" s="367"/>
      <c r="Y329" s="367"/>
      <c r="Z329" s="367"/>
    </row>
    <row r="330">
      <c r="A330" s="386" t="s">
        <v>1378</v>
      </c>
      <c r="B330" s="382"/>
      <c r="C330" s="382"/>
      <c r="D330" s="382"/>
      <c r="E330" s="401"/>
      <c r="F330" s="382"/>
      <c r="G330" s="382"/>
      <c r="H330" s="382"/>
      <c r="I330" s="382"/>
      <c r="J330" s="382"/>
      <c r="K330" s="382"/>
      <c r="L330" s="388" t="s">
        <v>2275</v>
      </c>
      <c r="M330" s="387">
        <v>1.9160497E7</v>
      </c>
      <c r="N330" s="387">
        <v>3.115656696E9</v>
      </c>
      <c r="O330" s="382"/>
      <c r="P330" s="382"/>
      <c r="Q330" s="382"/>
      <c r="R330" s="382"/>
      <c r="S330" s="382"/>
      <c r="T330" s="382"/>
      <c r="U330" s="382"/>
      <c r="V330" s="382"/>
      <c r="W330" s="382"/>
      <c r="X330" s="382"/>
      <c r="Y330" s="382"/>
      <c r="Z330" s="382"/>
    </row>
    <row r="331">
      <c r="A331" s="394"/>
      <c r="B331" s="390"/>
      <c r="C331" s="390"/>
      <c r="D331" s="390"/>
      <c r="E331" s="402"/>
      <c r="F331" s="390"/>
      <c r="G331" s="390"/>
      <c r="H331" s="390"/>
      <c r="I331" s="390"/>
      <c r="J331" s="390"/>
      <c r="K331" s="390"/>
      <c r="L331" s="396" t="s">
        <v>2276</v>
      </c>
      <c r="M331" s="395">
        <v>4239012.0</v>
      </c>
      <c r="N331" s="395">
        <v>3.005704933E9</v>
      </c>
      <c r="O331" s="390"/>
      <c r="P331" s="390"/>
      <c r="Q331" s="390"/>
      <c r="R331" s="390"/>
      <c r="S331" s="390"/>
      <c r="T331" s="390"/>
      <c r="U331" s="390"/>
      <c r="V331" s="390"/>
      <c r="W331" s="390"/>
      <c r="X331" s="390"/>
      <c r="Y331" s="390"/>
      <c r="Z331" s="390"/>
    </row>
    <row r="332">
      <c r="A332" s="367"/>
      <c r="B332" s="367"/>
      <c r="C332" s="367"/>
      <c r="D332" s="367"/>
      <c r="E332" s="375"/>
      <c r="F332" s="367"/>
      <c r="G332" s="367"/>
      <c r="H332" s="367"/>
      <c r="I332" s="367"/>
      <c r="J332" s="367"/>
      <c r="K332" s="367"/>
      <c r="L332" s="379" t="s">
        <v>2277</v>
      </c>
      <c r="M332" s="143">
        <v>2.352158E7</v>
      </c>
      <c r="N332" s="143">
        <v>3.005588226E9</v>
      </c>
      <c r="O332" s="367"/>
      <c r="P332" s="367"/>
      <c r="Q332" s="367"/>
      <c r="R332" s="367"/>
      <c r="S332" s="367"/>
      <c r="T332" s="367"/>
      <c r="U332" s="367"/>
      <c r="V332" s="367"/>
      <c r="W332" s="367"/>
      <c r="X332" s="367"/>
      <c r="Y332" s="367"/>
      <c r="Z332" s="367"/>
    </row>
    <row r="333">
      <c r="A333" s="367"/>
      <c r="B333" s="367"/>
      <c r="C333" s="367"/>
      <c r="D333" s="367"/>
      <c r="E333" s="375"/>
      <c r="F333" s="367"/>
      <c r="G333" s="367"/>
      <c r="H333" s="367"/>
      <c r="I333" s="367"/>
      <c r="J333" s="367"/>
      <c r="K333" s="367"/>
      <c r="L333" s="379" t="s">
        <v>2278</v>
      </c>
      <c r="M333" s="143">
        <v>1.022355276E9</v>
      </c>
      <c r="N333" s="143">
        <v>3.005707507E9</v>
      </c>
      <c r="O333" s="367"/>
      <c r="P333" s="367"/>
      <c r="Q333" s="367"/>
      <c r="R333" s="367"/>
      <c r="S333" s="367"/>
      <c r="T333" s="367"/>
      <c r="U333" s="367"/>
      <c r="V333" s="367"/>
      <c r="W333" s="367"/>
      <c r="X333" s="367"/>
      <c r="Y333" s="367"/>
      <c r="Z333" s="367"/>
    </row>
    <row r="334">
      <c r="A334" s="367"/>
      <c r="B334" s="367"/>
      <c r="C334" s="367"/>
      <c r="D334" s="367"/>
      <c r="E334" s="375"/>
      <c r="F334" s="367"/>
      <c r="G334" s="367"/>
      <c r="H334" s="367"/>
      <c r="I334" s="367"/>
      <c r="J334" s="367"/>
      <c r="K334" s="367"/>
      <c r="L334" s="379" t="s">
        <v>2279</v>
      </c>
      <c r="M334" s="143">
        <v>5.2505382E7</v>
      </c>
      <c r="N334" s="143">
        <v>3.241561561E9</v>
      </c>
      <c r="O334" s="367"/>
      <c r="P334" s="367"/>
      <c r="Q334" s="367"/>
      <c r="R334" s="367"/>
      <c r="S334" s="367"/>
      <c r="T334" s="367"/>
      <c r="U334" s="367"/>
      <c r="V334" s="367"/>
      <c r="W334" s="367"/>
      <c r="X334" s="367"/>
      <c r="Y334" s="367"/>
      <c r="Z334" s="367"/>
    </row>
    <row r="335">
      <c r="A335" s="367"/>
      <c r="B335" s="367"/>
      <c r="C335" s="367"/>
      <c r="D335" s="367"/>
      <c r="E335" s="375"/>
      <c r="F335" s="367"/>
      <c r="G335" s="367"/>
      <c r="H335" s="367"/>
      <c r="I335" s="367"/>
      <c r="J335" s="367"/>
      <c r="K335" s="367"/>
      <c r="L335" s="379" t="s">
        <v>2280</v>
      </c>
      <c r="M335" s="143">
        <v>5.2018009E7</v>
      </c>
      <c r="N335" s="143">
        <v>3.222664492E9</v>
      </c>
      <c r="O335" s="367"/>
      <c r="P335" s="367"/>
      <c r="Q335" s="367"/>
      <c r="R335" s="367"/>
      <c r="S335" s="367"/>
      <c r="T335" s="367"/>
      <c r="U335" s="367"/>
      <c r="V335" s="367"/>
      <c r="W335" s="367"/>
      <c r="X335" s="367"/>
      <c r="Y335" s="367"/>
      <c r="Z335" s="367"/>
    </row>
    <row r="336">
      <c r="A336" s="367"/>
      <c r="B336" s="367"/>
      <c r="C336" s="367"/>
      <c r="D336" s="367"/>
      <c r="E336" s="375"/>
      <c r="F336" s="367"/>
      <c r="G336" s="367"/>
      <c r="H336" s="367"/>
      <c r="I336" s="367"/>
      <c r="J336" s="367"/>
      <c r="K336" s="367"/>
      <c r="L336" s="379" t="s">
        <v>2281</v>
      </c>
      <c r="M336" s="143">
        <v>7.5032499E7</v>
      </c>
      <c r="N336" s="143">
        <v>3.234392628E9</v>
      </c>
      <c r="O336" s="367"/>
      <c r="P336" s="367"/>
      <c r="Q336" s="367"/>
      <c r="R336" s="367"/>
      <c r="S336" s="367"/>
      <c r="T336" s="367"/>
      <c r="U336" s="367"/>
      <c r="V336" s="367"/>
      <c r="W336" s="367"/>
      <c r="X336" s="367"/>
      <c r="Y336" s="367"/>
      <c r="Z336" s="367"/>
    </row>
    <row r="337">
      <c r="A337" s="367"/>
      <c r="B337" s="367"/>
      <c r="C337" s="367"/>
      <c r="D337" s="367"/>
      <c r="E337" s="375"/>
      <c r="F337" s="367"/>
      <c r="G337" s="367"/>
      <c r="H337" s="367"/>
      <c r="I337" s="367"/>
      <c r="J337" s="367"/>
      <c r="K337" s="367"/>
      <c r="L337" s="379" t="s">
        <v>2282</v>
      </c>
      <c r="M337" s="143">
        <v>7.5032177E7</v>
      </c>
      <c r="N337" s="143">
        <v>3.218232782E9</v>
      </c>
      <c r="O337" s="367"/>
      <c r="P337" s="367"/>
      <c r="Q337" s="367"/>
      <c r="R337" s="367"/>
      <c r="S337" s="367"/>
      <c r="T337" s="367"/>
      <c r="U337" s="367"/>
      <c r="V337" s="367"/>
      <c r="W337" s="367"/>
      <c r="X337" s="367"/>
      <c r="Y337" s="367"/>
      <c r="Z337" s="367"/>
    </row>
    <row r="338">
      <c r="A338" s="367"/>
      <c r="B338" s="367"/>
      <c r="C338" s="367"/>
      <c r="D338" s="367"/>
      <c r="E338" s="375"/>
      <c r="F338" s="367"/>
      <c r="G338" s="367"/>
      <c r="H338" s="367"/>
      <c r="I338" s="367"/>
      <c r="J338" s="367"/>
      <c r="K338" s="367"/>
      <c r="L338" s="379" t="s">
        <v>2283</v>
      </c>
      <c r="M338" s="143">
        <v>2.3351187E7</v>
      </c>
      <c r="N338" s="143">
        <v>3.142810529E9</v>
      </c>
      <c r="O338" s="367"/>
      <c r="P338" s="367"/>
      <c r="Q338" s="367"/>
      <c r="R338" s="367"/>
      <c r="S338" s="367"/>
      <c r="T338" s="367"/>
      <c r="U338" s="367"/>
      <c r="V338" s="367"/>
      <c r="W338" s="367"/>
      <c r="X338" s="367"/>
      <c r="Y338" s="367"/>
      <c r="Z338" s="367"/>
    </row>
    <row r="339">
      <c r="A339" s="367"/>
      <c r="B339" s="367"/>
      <c r="C339" s="367"/>
      <c r="D339" s="367"/>
      <c r="E339" s="375"/>
      <c r="F339" s="367"/>
      <c r="G339" s="367"/>
      <c r="H339" s="367"/>
      <c r="I339" s="367"/>
      <c r="J339" s="367"/>
      <c r="K339" s="367"/>
      <c r="L339" s="379" t="s">
        <v>2284</v>
      </c>
      <c r="M339" s="143">
        <v>1.07059522E9</v>
      </c>
      <c r="N339" s="143">
        <v>3.206714604E9</v>
      </c>
      <c r="O339" s="367"/>
      <c r="P339" s="367"/>
      <c r="Q339" s="367"/>
      <c r="R339" s="367"/>
      <c r="S339" s="367"/>
      <c r="T339" s="367"/>
      <c r="U339" s="367"/>
      <c r="V339" s="367"/>
      <c r="W339" s="367"/>
      <c r="X339" s="367"/>
      <c r="Y339" s="367"/>
      <c r="Z339" s="367"/>
    </row>
    <row r="340">
      <c r="A340" s="367"/>
      <c r="B340" s="367"/>
      <c r="C340" s="367"/>
      <c r="D340" s="367"/>
      <c r="E340" s="375"/>
      <c r="F340" s="367"/>
      <c r="G340" s="367"/>
      <c r="H340" s="367"/>
      <c r="I340" s="367"/>
      <c r="J340" s="367"/>
      <c r="K340" s="367"/>
      <c r="L340" s="379" t="s">
        <v>2285</v>
      </c>
      <c r="M340" s="143">
        <v>5.2091585E7</v>
      </c>
      <c r="N340" s="143">
        <v>3.103341645E9</v>
      </c>
      <c r="O340" s="367"/>
      <c r="P340" s="367"/>
      <c r="Q340" s="367"/>
      <c r="R340" s="367"/>
      <c r="S340" s="367"/>
      <c r="T340" s="367"/>
      <c r="U340" s="367"/>
      <c r="V340" s="367"/>
      <c r="W340" s="367"/>
      <c r="X340" s="367"/>
      <c r="Y340" s="367"/>
      <c r="Z340" s="367"/>
    </row>
    <row r="341">
      <c r="A341" s="367"/>
      <c r="B341" s="367"/>
      <c r="C341" s="367"/>
      <c r="D341" s="367"/>
      <c r="E341" s="375"/>
      <c r="F341" s="367"/>
      <c r="G341" s="367"/>
      <c r="H341" s="367"/>
      <c r="I341" s="367"/>
      <c r="J341" s="367"/>
      <c r="K341" s="367"/>
      <c r="L341" s="379" t="s">
        <v>2286</v>
      </c>
      <c r="M341" s="143">
        <v>2999144.0</v>
      </c>
      <c r="N341" s="143">
        <v>3.123869896E9</v>
      </c>
      <c r="O341" s="367"/>
      <c r="P341" s="367"/>
      <c r="Q341" s="367"/>
      <c r="R341" s="367"/>
      <c r="S341" s="367"/>
      <c r="T341" s="367"/>
      <c r="U341" s="367"/>
      <c r="V341" s="367"/>
      <c r="W341" s="367"/>
      <c r="X341" s="367"/>
      <c r="Y341" s="367"/>
      <c r="Z341" s="367"/>
    </row>
    <row r="342">
      <c r="A342" s="367"/>
      <c r="B342" s="367"/>
      <c r="C342" s="367"/>
      <c r="D342" s="367"/>
      <c r="E342" s="375"/>
      <c r="F342" s="367"/>
      <c r="G342" s="367"/>
      <c r="H342" s="367"/>
      <c r="I342" s="367"/>
      <c r="J342" s="367"/>
      <c r="K342" s="367"/>
      <c r="L342" s="379" t="s">
        <v>2287</v>
      </c>
      <c r="M342" s="143">
        <v>2.0524525E7</v>
      </c>
      <c r="N342" s="143">
        <v>3.112425999E9</v>
      </c>
      <c r="O342" s="367"/>
      <c r="P342" s="367"/>
      <c r="Q342" s="367"/>
      <c r="R342" s="367"/>
      <c r="S342" s="367"/>
      <c r="T342" s="367"/>
      <c r="U342" s="367"/>
      <c r="V342" s="367"/>
      <c r="W342" s="367"/>
      <c r="X342" s="367"/>
      <c r="Y342" s="367"/>
      <c r="Z342" s="367"/>
    </row>
    <row r="343">
      <c r="A343" s="367"/>
      <c r="B343" s="367"/>
      <c r="C343" s="367"/>
      <c r="D343" s="367"/>
      <c r="E343" s="375"/>
      <c r="F343" s="367"/>
      <c r="G343" s="367"/>
      <c r="H343" s="367"/>
      <c r="I343" s="367"/>
      <c r="J343" s="367"/>
      <c r="K343" s="367"/>
      <c r="L343" s="379" t="s">
        <v>2288</v>
      </c>
      <c r="M343" s="143">
        <v>5.1915548E7</v>
      </c>
      <c r="N343" s="143">
        <v>3.153303384E9</v>
      </c>
      <c r="O343" s="367"/>
      <c r="P343" s="367"/>
      <c r="Q343" s="367"/>
      <c r="R343" s="367"/>
      <c r="S343" s="367"/>
      <c r="T343" s="367"/>
      <c r="U343" s="367"/>
      <c r="V343" s="367"/>
      <c r="W343" s="367"/>
      <c r="X343" s="367"/>
      <c r="Y343" s="367"/>
      <c r="Z343" s="367"/>
    </row>
    <row r="344">
      <c r="A344" s="367"/>
      <c r="B344" s="367"/>
      <c r="C344" s="367"/>
      <c r="D344" s="367"/>
      <c r="E344" s="375"/>
      <c r="F344" s="367"/>
      <c r="G344" s="367"/>
      <c r="H344" s="367"/>
      <c r="I344" s="367"/>
      <c r="J344" s="367"/>
      <c r="K344" s="367"/>
      <c r="L344" s="379" t="s">
        <v>2289</v>
      </c>
      <c r="M344" s="143">
        <v>1.9345547E7</v>
      </c>
      <c r="N344" s="143">
        <v>3.103214169E9</v>
      </c>
      <c r="O344" s="367"/>
      <c r="P344" s="367"/>
      <c r="Q344" s="367"/>
      <c r="R344" s="367"/>
      <c r="S344" s="367"/>
      <c r="T344" s="367"/>
      <c r="U344" s="367"/>
      <c r="V344" s="367"/>
      <c r="W344" s="367"/>
      <c r="X344" s="367"/>
      <c r="Y344" s="367"/>
      <c r="Z344" s="367"/>
    </row>
    <row r="345">
      <c r="A345" s="367"/>
      <c r="B345" s="367"/>
      <c r="C345" s="367"/>
      <c r="D345" s="367"/>
      <c r="E345" s="375"/>
      <c r="F345" s="367"/>
      <c r="G345" s="367"/>
      <c r="H345" s="367"/>
      <c r="I345" s="367"/>
      <c r="J345" s="367"/>
      <c r="K345" s="367"/>
      <c r="L345" s="379" t="s">
        <v>2290</v>
      </c>
      <c r="M345" s="143">
        <v>5.1669551E7</v>
      </c>
      <c r="N345" s="143">
        <v>3.10379342E9</v>
      </c>
      <c r="O345" s="367"/>
      <c r="P345" s="367"/>
      <c r="Q345" s="367"/>
      <c r="R345" s="367"/>
      <c r="S345" s="367"/>
      <c r="T345" s="367"/>
      <c r="U345" s="367"/>
      <c r="V345" s="367"/>
      <c r="W345" s="367"/>
      <c r="X345" s="367"/>
      <c r="Y345" s="367"/>
      <c r="Z345" s="367"/>
    </row>
    <row r="346">
      <c r="A346" s="367"/>
      <c r="B346" s="367"/>
      <c r="C346" s="367"/>
      <c r="D346" s="367"/>
      <c r="E346" s="375"/>
      <c r="F346" s="367"/>
      <c r="G346" s="367"/>
      <c r="H346" s="367"/>
      <c r="I346" s="367"/>
      <c r="J346" s="367"/>
      <c r="K346" s="367"/>
      <c r="L346" s="379" t="s">
        <v>2291</v>
      </c>
      <c r="M346" s="143">
        <v>5.2748569E7</v>
      </c>
      <c r="N346" s="143">
        <v>3.13450681E9</v>
      </c>
      <c r="O346" s="367"/>
      <c r="P346" s="367"/>
      <c r="Q346" s="367"/>
      <c r="R346" s="367"/>
      <c r="S346" s="367"/>
      <c r="T346" s="367"/>
      <c r="U346" s="367"/>
      <c r="V346" s="367"/>
      <c r="W346" s="367"/>
      <c r="X346" s="367"/>
      <c r="Y346" s="367"/>
      <c r="Z346" s="367"/>
    </row>
    <row r="347">
      <c r="A347" s="367"/>
      <c r="B347" s="367"/>
      <c r="C347" s="367"/>
      <c r="D347" s="367"/>
      <c r="E347" s="375"/>
      <c r="F347" s="367"/>
      <c r="G347" s="367"/>
      <c r="H347" s="367"/>
      <c r="I347" s="367"/>
      <c r="J347" s="367"/>
      <c r="K347" s="367"/>
      <c r="L347" s="379" t="s">
        <v>2292</v>
      </c>
      <c r="M347" s="143">
        <v>1.2205228E7</v>
      </c>
      <c r="N347" s="143">
        <v>3.125370531E9</v>
      </c>
      <c r="O347" s="367"/>
      <c r="P347" s="367"/>
      <c r="Q347" s="367"/>
      <c r="R347" s="367"/>
      <c r="S347" s="367"/>
      <c r="T347" s="367"/>
      <c r="U347" s="367"/>
      <c r="V347" s="367"/>
      <c r="W347" s="367"/>
      <c r="X347" s="367"/>
      <c r="Y347" s="367"/>
      <c r="Z347" s="367"/>
    </row>
    <row r="348">
      <c r="A348" s="367"/>
      <c r="B348" s="367"/>
      <c r="C348" s="367"/>
      <c r="D348" s="367"/>
      <c r="E348" s="375"/>
      <c r="F348" s="367"/>
      <c r="G348" s="367"/>
      <c r="H348" s="367"/>
      <c r="I348" s="367"/>
      <c r="J348" s="367"/>
      <c r="K348" s="367"/>
      <c r="L348" s="379" t="s">
        <v>2293</v>
      </c>
      <c r="M348" s="143">
        <v>5.1817219E7</v>
      </c>
      <c r="N348" s="143">
        <v>3.124076422E9</v>
      </c>
      <c r="O348" s="367"/>
      <c r="P348" s="367"/>
      <c r="Q348" s="367"/>
      <c r="R348" s="367"/>
      <c r="S348" s="367"/>
      <c r="T348" s="367"/>
      <c r="U348" s="367"/>
      <c r="V348" s="367"/>
      <c r="W348" s="367"/>
      <c r="X348" s="367"/>
      <c r="Y348" s="367"/>
      <c r="Z348" s="367"/>
    </row>
    <row r="349">
      <c r="A349" s="367"/>
      <c r="B349" s="367"/>
      <c r="C349" s="367"/>
      <c r="D349" s="367"/>
      <c r="E349" s="375"/>
      <c r="F349" s="367"/>
      <c r="G349" s="367"/>
      <c r="H349" s="367"/>
      <c r="I349" s="367"/>
      <c r="J349" s="367"/>
      <c r="K349" s="367"/>
      <c r="L349" s="379" t="s">
        <v>2294</v>
      </c>
      <c r="M349" s="143">
        <v>2.0336615E7</v>
      </c>
      <c r="N349" s="143">
        <v>6958986.0</v>
      </c>
      <c r="O349" s="367"/>
      <c r="P349" s="367"/>
      <c r="Q349" s="367"/>
      <c r="R349" s="367"/>
      <c r="S349" s="367"/>
      <c r="T349" s="367"/>
      <c r="U349" s="367"/>
      <c r="V349" s="367"/>
      <c r="W349" s="367"/>
      <c r="X349" s="367"/>
      <c r="Y349" s="367"/>
      <c r="Z349" s="367"/>
    </row>
    <row r="350">
      <c r="A350" s="367"/>
      <c r="B350" s="367"/>
      <c r="C350" s="367"/>
      <c r="D350" s="367"/>
      <c r="E350" s="375"/>
      <c r="F350" s="367"/>
      <c r="G350" s="367"/>
      <c r="H350" s="367"/>
      <c r="I350" s="367"/>
      <c r="J350" s="367"/>
      <c r="K350" s="367"/>
      <c r="L350" s="379" t="s">
        <v>2295</v>
      </c>
      <c r="M350" s="143">
        <v>2.1082475E7</v>
      </c>
      <c r="N350" s="143">
        <v>3.224247577E9</v>
      </c>
      <c r="O350" s="367"/>
      <c r="P350" s="367"/>
      <c r="Q350" s="367"/>
      <c r="R350" s="367"/>
      <c r="S350" s="367"/>
      <c r="T350" s="367"/>
      <c r="U350" s="367"/>
      <c r="V350" s="367"/>
      <c r="W350" s="367"/>
      <c r="X350" s="367"/>
      <c r="Y350" s="367"/>
      <c r="Z350" s="367"/>
    </row>
    <row r="351">
      <c r="A351" s="367"/>
      <c r="B351" s="367"/>
      <c r="C351" s="367"/>
      <c r="D351" s="367"/>
      <c r="E351" s="375"/>
      <c r="F351" s="367"/>
      <c r="G351" s="367"/>
      <c r="H351" s="367"/>
      <c r="I351" s="367"/>
      <c r="J351" s="367"/>
      <c r="K351" s="367"/>
      <c r="L351" s="379" t="s">
        <v>2296</v>
      </c>
      <c r="M351" s="143">
        <v>1.014863733E9</v>
      </c>
      <c r="N351" s="143">
        <v>3.187899834E9</v>
      </c>
      <c r="O351" s="367"/>
      <c r="P351" s="367"/>
      <c r="Q351" s="367"/>
      <c r="R351" s="367"/>
      <c r="S351" s="367"/>
      <c r="T351" s="367"/>
      <c r="U351" s="367"/>
      <c r="V351" s="367"/>
      <c r="W351" s="367"/>
      <c r="X351" s="367"/>
      <c r="Y351" s="367"/>
      <c r="Z351" s="367"/>
    </row>
    <row r="352">
      <c r="A352" s="367"/>
      <c r="B352" s="367"/>
      <c r="C352" s="367"/>
      <c r="D352" s="367"/>
      <c r="E352" s="375"/>
      <c r="F352" s="367"/>
      <c r="G352" s="367"/>
      <c r="H352" s="367"/>
      <c r="I352" s="367"/>
      <c r="J352" s="367"/>
      <c r="K352" s="367"/>
      <c r="L352" s="379" t="s">
        <v>2297</v>
      </c>
      <c r="M352" s="143">
        <v>4.1385581E7</v>
      </c>
      <c r="N352" s="143">
        <v>3.166987554E9</v>
      </c>
      <c r="O352" s="367"/>
      <c r="P352" s="367"/>
      <c r="Q352" s="367"/>
      <c r="R352" s="367"/>
      <c r="S352" s="367"/>
      <c r="T352" s="367"/>
      <c r="U352" s="367"/>
      <c r="V352" s="367"/>
      <c r="W352" s="367"/>
      <c r="X352" s="367"/>
      <c r="Y352" s="367"/>
      <c r="Z352" s="367"/>
    </row>
    <row r="353">
      <c r="A353" s="367"/>
      <c r="B353" s="367"/>
      <c r="C353" s="367"/>
      <c r="D353" s="367"/>
      <c r="E353" s="375"/>
      <c r="F353" s="367"/>
      <c r="G353" s="367"/>
      <c r="H353" s="367"/>
      <c r="I353" s="367"/>
      <c r="J353" s="367"/>
      <c r="K353" s="367"/>
      <c r="L353" s="379" t="s">
        <v>2298</v>
      </c>
      <c r="M353" s="143">
        <v>4.1624302E7</v>
      </c>
      <c r="N353" s="143">
        <v>3.212088468E9</v>
      </c>
      <c r="O353" s="367"/>
      <c r="P353" s="367"/>
      <c r="Q353" s="367"/>
      <c r="R353" s="367"/>
      <c r="S353" s="367"/>
      <c r="T353" s="367"/>
      <c r="U353" s="367"/>
      <c r="V353" s="367"/>
      <c r="W353" s="367"/>
      <c r="X353" s="367"/>
      <c r="Y353" s="367"/>
      <c r="Z353" s="367"/>
    </row>
    <row r="354">
      <c r="A354" s="367"/>
      <c r="B354" s="367"/>
      <c r="C354" s="367"/>
      <c r="D354" s="367"/>
      <c r="E354" s="375"/>
      <c r="F354" s="367"/>
      <c r="G354" s="367"/>
      <c r="H354" s="367"/>
      <c r="I354" s="367"/>
      <c r="J354" s="367"/>
      <c r="K354" s="367"/>
      <c r="L354" s="379" t="s">
        <v>2299</v>
      </c>
      <c r="M354" s="143">
        <v>2.85344246E8</v>
      </c>
      <c r="N354" s="143">
        <v>3.102384246E9</v>
      </c>
      <c r="O354" s="367"/>
      <c r="P354" s="367"/>
      <c r="Q354" s="367"/>
      <c r="R354" s="367"/>
      <c r="S354" s="367"/>
      <c r="T354" s="367"/>
      <c r="U354" s="367"/>
      <c r="V354" s="367"/>
      <c r="W354" s="367"/>
      <c r="X354" s="367"/>
      <c r="Y354" s="367"/>
      <c r="Z354" s="367"/>
    </row>
    <row r="355">
      <c r="A355" s="367"/>
      <c r="B355" s="367"/>
      <c r="C355" s="367"/>
      <c r="D355" s="367"/>
      <c r="E355" s="375"/>
      <c r="F355" s="367"/>
      <c r="G355" s="367"/>
      <c r="H355" s="367"/>
      <c r="I355" s="367"/>
      <c r="J355" s="367"/>
      <c r="K355" s="367"/>
      <c r="L355" s="379" t="s">
        <v>2300</v>
      </c>
      <c r="M355" s="143">
        <v>2.0976083E7</v>
      </c>
      <c r="N355" s="143">
        <v>3.123529717E9</v>
      </c>
      <c r="O355" s="367"/>
      <c r="P355" s="367"/>
      <c r="Q355" s="367"/>
      <c r="R355" s="367"/>
      <c r="S355" s="367"/>
      <c r="T355" s="367"/>
      <c r="U355" s="367"/>
      <c r="V355" s="367"/>
      <c r="W355" s="367"/>
      <c r="X355" s="367"/>
      <c r="Y355" s="367"/>
      <c r="Z355" s="367"/>
    </row>
    <row r="356">
      <c r="A356" s="367"/>
      <c r="B356" s="367"/>
      <c r="C356" s="367"/>
      <c r="D356" s="367"/>
      <c r="E356" s="375"/>
      <c r="F356" s="367"/>
      <c r="G356" s="367"/>
      <c r="H356" s="367"/>
      <c r="I356" s="367"/>
      <c r="J356" s="367"/>
      <c r="K356" s="367"/>
      <c r="L356" s="379" t="s">
        <v>2301</v>
      </c>
      <c r="M356" s="143">
        <v>4.1379952E7</v>
      </c>
      <c r="N356" s="143">
        <v>3.167901887E9</v>
      </c>
      <c r="O356" s="367"/>
      <c r="P356" s="367"/>
      <c r="Q356" s="367"/>
      <c r="R356" s="367"/>
      <c r="S356" s="367"/>
      <c r="T356" s="367"/>
      <c r="U356" s="367"/>
      <c r="V356" s="367"/>
      <c r="W356" s="367"/>
      <c r="X356" s="367"/>
      <c r="Y356" s="367"/>
      <c r="Z356" s="367"/>
    </row>
    <row r="357">
      <c r="A357" s="367"/>
      <c r="B357" s="367"/>
      <c r="C357" s="367"/>
      <c r="D357" s="367"/>
      <c r="E357" s="375"/>
      <c r="F357" s="367"/>
      <c r="G357" s="367"/>
      <c r="H357" s="367"/>
      <c r="I357" s="367"/>
      <c r="J357" s="367"/>
      <c r="K357" s="367"/>
      <c r="L357" s="379" t="s">
        <v>2302</v>
      </c>
      <c r="M357" s="143">
        <v>2.0366776E7</v>
      </c>
      <c r="N357" s="143">
        <v>3.143058747E9</v>
      </c>
      <c r="O357" s="367"/>
      <c r="P357" s="367"/>
      <c r="Q357" s="367"/>
      <c r="R357" s="367"/>
      <c r="S357" s="367"/>
      <c r="T357" s="367"/>
      <c r="U357" s="367"/>
      <c r="V357" s="367"/>
      <c r="W357" s="367"/>
      <c r="X357" s="367"/>
      <c r="Y357" s="367"/>
      <c r="Z357" s="367"/>
    </row>
    <row r="358">
      <c r="A358" s="367"/>
      <c r="B358" s="367"/>
      <c r="C358" s="367"/>
      <c r="D358" s="367"/>
      <c r="E358" s="375"/>
      <c r="F358" s="367"/>
      <c r="G358" s="367"/>
      <c r="H358" s="367"/>
      <c r="I358" s="367"/>
      <c r="J358" s="367"/>
      <c r="K358" s="367"/>
      <c r="L358" s="379" t="s">
        <v>2303</v>
      </c>
      <c r="M358" s="143">
        <v>1.022314273E9</v>
      </c>
      <c r="N358" s="143">
        <v>3.506807371E9</v>
      </c>
      <c r="O358" s="367"/>
      <c r="P358" s="367"/>
      <c r="Q358" s="367"/>
      <c r="R358" s="367"/>
      <c r="S358" s="367"/>
      <c r="T358" s="367"/>
      <c r="U358" s="367"/>
      <c r="V358" s="367"/>
      <c r="W358" s="367"/>
      <c r="X358" s="367"/>
      <c r="Y358" s="367"/>
      <c r="Z358" s="367"/>
    </row>
    <row r="359">
      <c r="A359" s="367"/>
      <c r="B359" s="367"/>
      <c r="C359" s="367"/>
      <c r="D359" s="367"/>
      <c r="E359" s="375"/>
      <c r="F359" s="367"/>
      <c r="G359" s="367"/>
      <c r="H359" s="367"/>
      <c r="I359" s="367"/>
      <c r="J359" s="367"/>
      <c r="K359" s="367"/>
      <c r="L359" s="379" t="s">
        <v>1396</v>
      </c>
      <c r="M359" s="143">
        <v>4.1797588E7</v>
      </c>
      <c r="N359" s="143">
        <v>3.214853867E9</v>
      </c>
      <c r="O359" s="367"/>
      <c r="P359" s="367"/>
      <c r="Q359" s="367"/>
      <c r="R359" s="367"/>
      <c r="S359" s="367"/>
      <c r="T359" s="367"/>
      <c r="U359" s="367"/>
      <c r="V359" s="367"/>
      <c r="W359" s="367"/>
      <c r="X359" s="367"/>
      <c r="Y359" s="367"/>
      <c r="Z359" s="367"/>
    </row>
    <row r="360">
      <c r="A360" s="367"/>
      <c r="B360" s="367"/>
      <c r="C360" s="367"/>
      <c r="D360" s="367"/>
      <c r="E360" s="375"/>
      <c r="F360" s="367"/>
      <c r="G360" s="367"/>
      <c r="H360" s="367"/>
      <c r="I360" s="367"/>
      <c r="J360" s="367"/>
      <c r="K360" s="367"/>
      <c r="L360" s="379" t="s">
        <v>2304</v>
      </c>
      <c r="M360" s="143">
        <v>2.4112753E7</v>
      </c>
      <c r="N360" s="143">
        <v>3.173525792E9</v>
      </c>
      <c r="O360" s="367"/>
      <c r="P360" s="367"/>
      <c r="Q360" s="367"/>
      <c r="R360" s="367"/>
      <c r="S360" s="367"/>
      <c r="T360" s="367"/>
      <c r="U360" s="367"/>
      <c r="V360" s="367"/>
      <c r="W360" s="367"/>
      <c r="X360" s="367"/>
      <c r="Y360" s="367"/>
      <c r="Z360" s="367"/>
    </row>
    <row r="361">
      <c r="A361" s="403"/>
      <c r="B361" s="403"/>
      <c r="C361" s="403"/>
      <c r="D361" s="403"/>
      <c r="E361" s="404"/>
      <c r="F361" s="403"/>
      <c r="G361" s="403"/>
      <c r="H361" s="403"/>
      <c r="I361" s="403"/>
      <c r="J361" s="403"/>
      <c r="K361" s="403"/>
      <c r="L361" s="388" t="s">
        <v>2305</v>
      </c>
      <c r="M361" s="387">
        <v>5.17186E7</v>
      </c>
      <c r="N361" s="387">
        <v>3.142528864E9</v>
      </c>
      <c r="O361" s="403"/>
      <c r="P361" s="403"/>
      <c r="Q361" s="403"/>
      <c r="R361" s="403"/>
      <c r="S361" s="403"/>
      <c r="T361" s="403"/>
      <c r="U361" s="403"/>
      <c r="V361" s="403"/>
      <c r="W361" s="403"/>
      <c r="X361" s="403"/>
      <c r="Y361" s="403"/>
      <c r="Z361" s="403"/>
    </row>
    <row r="362">
      <c r="A362" s="405" t="s">
        <v>1602</v>
      </c>
      <c r="B362" s="405">
        <v>2025.0</v>
      </c>
      <c r="C362" s="406"/>
      <c r="D362" s="406"/>
      <c r="E362" s="407"/>
      <c r="F362" s="406"/>
      <c r="G362" s="406"/>
      <c r="H362" s="406"/>
      <c r="I362" s="406"/>
      <c r="J362" s="406"/>
      <c r="K362" s="405" t="s">
        <v>2306</v>
      </c>
      <c r="L362" s="408" t="s">
        <v>2307</v>
      </c>
      <c r="M362" s="408">
        <v>3.9178946E7</v>
      </c>
      <c r="N362" s="408">
        <v>3.192447042E9</v>
      </c>
      <c r="O362" s="406"/>
      <c r="P362" s="406"/>
      <c r="Q362" s="406"/>
      <c r="R362" s="406"/>
      <c r="S362" s="406"/>
      <c r="T362" s="406"/>
      <c r="U362" s="406"/>
      <c r="V362" s="406"/>
      <c r="W362" s="406"/>
      <c r="X362" s="406"/>
      <c r="Y362" s="406"/>
      <c r="Z362" s="406"/>
    </row>
    <row r="363">
      <c r="A363" s="143" t="s">
        <v>1602</v>
      </c>
      <c r="B363" s="369">
        <v>2025.0</v>
      </c>
      <c r="C363" s="296" t="s">
        <v>143</v>
      </c>
      <c r="D363" s="300" t="s">
        <v>82</v>
      </c>
      <c r="E363" s="141"/>
      <c r="F363" s="296" t="s">
        <v>10</v>
      </c>
      <c r="G363" s="296" t="s">
        <v>1756</v>
      </c>
      <c r="H363" s="143" t="s">
        <v>1603</v>
      </c>
      <c r="I363" s="296" t="s">
        <v>58</v>
      </c>
      <c r="J363" s="296" t="s">
        <v>1757</v>
      </c>
      <c r="K363" s="143" t="s">
        <v>2306</v>
      </c>
      <c r="L363" s="119" t="s">
        <v>2308</v>
      </c>
      <c r="M363" s="119">
        <v>8.0091558E7</v>
      </c>
      <c r="N363" s="119">
        <v>3.006715254E9</v>
      </c>
      <c r="O363" s="367"/>
      <c r="P363" s="367"/>
      <c r="Q363" s="367"/>
      <c r="R363" s="367"/>
      <c r="S363" s="367"/>
      <c r="T363" s="367"/>
      <c r="U363" s="367"/>
      <c r="V363" s="367"/>
      <c r="W363" s="367"/>
      <c r="X363" s="367"/>
      <c r="Y363" s="367"/>
      <c r="Z363" s="367"/>
    </row>
    <row r="364">
      <c r="A364" s="143" t="s">
        <v>1602</v>
      </c>
      <c r="B364" s="369">
        <v>2025.0</v>
      </c>
      <c r="C364" s="296" t="s">
        <v>143</v>
      </c>
      <c r="D364" s="300" t="s">
        <v>82</v>
      </c>
      <c r="E364" s="141"/>
      <c r="F364" s="296" t="s">
        <v>10</v>
      </c>
      <c r="G364" s="296" t="s">
        <v>1756</v>
      </c>
      <c r="H364" s="143" t="s">
        <v>1603</v>
      </c>
      <c r="I364" s="296" t="s">
        <v>58</v>
      </c>
      <c r="J364" s="296" t="s">
        <v>1757</v>
      </c>
      <c r="K364" s="143" t="s">
        <v>2306</v>
      </c>
      <c r="L364" s="119" t="s">
        <v>2309</v>
      </c>
      <c r="M364" s="119">
        <v>5.2984159E7</v>
      </c>
      <c r="N364" s="119">
        <v>3.103335075E9</v>
      </c>
      <c r="O364" s="367"/>
      <c r="P364" s="367"/>
      <c r="Q364" s="367"/>
      <c r="R364" s="367"/>
      <c r="S364" s="367"/>
      <c r="T364" s="367"/>
      <c r="U364" s="367"/>
      <c r="V364" s="367"/>
      <c r="W364" s="367"/>
      <c r="X364" s="367"/>
      <c r="Y364" s="367"/>
      <c r="Z364" s="367"/>
    </row>
    <row r="365">
      <c r="A365" s="143" t="s">
        <v>1602</v>
      </c>
      <c r="B365" s="369">
        <v>2025.0</v>
      </c>
      <c r="C365" s="296" t="s">
        <v>143</v>
      </c>
      <c r="D365" s="300" t="s">
        <v>82</v>
      </c>
      <c r="E365" s="141"/>
      <c r="F365" s="296" t="s">
        <v>10</v>
      </c>
      <c r="G365" s="296" t="s">
        <v>1756</v>
      </c>
      <c r="H365" s="143" t="s">
        <v>1603</v>
      </c>
      <c r="I365" s="296" t="s">
        <v>58</v>
      </c>
      <c r="J365" s="296" t="s">
        <v>1757</v>
      </c>
      <c r="K365" s="143" t="s">
        <v>2306</v>
      </c>
      <c r="L365" s="119" t="s">
        <v>2310</v>
      </c>
      <c r="M365" s="119">
        <v>1.032367555E9</v>
      </c>
      <c r="N365" s="119">
        <v>3.147000967E9</v>
      </c>
      <c r="O365" s="367"/>
      <c r="P365" s="367"/>
      <c r="Q365" s="367"/>
      <c r="R365" s="367"/>
      <c r="S365" s="367"/>
      <c r="T365" s="367"/>
      <c r="U365" s="367"/>
      <c r="V365" s="367"/>
      <c r="W365" s="367"/>
      <c r="X365" s="367"/>
      <c r="Y365" s="367"/>
      <c r="Z365" s="367"/>
    </row>
    <row r="366">
      <c r="A366" s="143" t="s">
        <v>1602</v>
      </c>
      <c r="B366" s="369">
        <v>2025.0</v>
      </c>
      <c r="C366" s="296" t="s">
        <v>143</v>
      </c>
      <c r="D366" s="300" t="s">
        <v>82</v>
      </c>
      <c r="E366" s="141"/>
      <c r="F366" s="296" t="s">
        <v>10</v>
      </c>
      <c r="G366" s="296" t="s">
        <v>1756</v>
      </c>
      <c r="H366" s="143" t="s">
        <v>1603</v>
      </c>
      <c r="I366" s="296" t="s">
        <v>58</v>
      </c>
      <c r="J366" s="296" t="s">
        <v>1757</v>
      </c>
      <c r="K366" s="143" t="s">
        <v>2306</v>
      </c>
      <c r="L366" s="119" t="s">
        <v>2311</v>
      </c>
      <c r="M366" s="119">
        <v>5.2323775E7</v>
      </c>
      <c r="N366" s="119">
        <v>3.05318095E9</v>
      </c>
      <c r="O366" s="367"/>
      <c r="P366" s="367"/>
      <c r="Q366" s="367"/>
      <c r="R366" s="367"/>
      <c r="S366" s="367"/>
      <c r="T366" s="367"/>
      <c r="U366" s="367"/>
      <c r="V366" s="367"/>
      <c r="W366" s="367"/>
      <c r="X366" s="367"/>
      <c r="Y366" s="367"/>
      <c r="Z366" s="367"/>
    </row>
    <row r="367">
      <c r="A367" s="143" t="s">
        <v>1602</v>
      </c>
      <c r="B367" s="369">
        <v>2025.0</v>
      </c>
      <c r="C367" s="296" t="s">
        <v>143</v>
      </c>
      <c r="D367" s="300" t="s">
        <v>82</v>
      </c>
      <c r="E367" s="141"/>
      <c r="F367" s="296" t="s">
        <v>10</v>
      </c>
      <c r="G367" s="296" t="s">
        <v>1756</v>
      </c>
      <c r="H367" s="143" t="s">
        <v>1603</v>
      </c>
      <c r="I367" s="296" t="s">
        <v>58</v>
      </c>
      <c r="J367" s="296" t="s">
        <v>1757</v>
      </c>
      <c r="K367" s="143" t="s">
        <v>2306</v>
      </c>
      <c r="L367" s="119" t="s">
        <v>2312</v>
      </c>
      <c r="M367" s="119">
        <v>2.5141307E7</v>
      </c>
      <c r="N367" s="119">
        <v>3.134677481E9</v>
      </c>
      <c r="O367" s="367"/>
      <c r="P367" s="367"/>
      <c r="Q367" s="367"/>
      <c r="R367" s="367"/>
      <c r="S367" s="367"/>
      <c r="T367" s="367"/>
      <c r="U367" s="367"/>
      <c r="V367" s="367"/>
      <c r="W367" s="367"/>
      <c r="X367" s="367"/>
      <c r="Y367" s="367"/>
      <c r="Z367" s="367"/>
    </row>
    <row r="368">
      <c r="A368" s="143" t="s">
        <v>1602</v>
      </c>
      <c r="B368" s="369">
        <v>2025.0</v>
      </c>
      <c r="C368" s="296" t="s">
        <v>143</v>
      </c>
      <c r="D368" s="300" t="s">
        <v>82</v>
      </c>
      <c r="E368" s="141"/>
      <c r="F368" s="296" t="s">
        <v>10</v>
      </c>
      <c r="G368" s="296" t="s">
        <v>1756</v>
      </c>
      <c r="H368" s="143" t="s">
        <v>1603</v>
      </c>
      <c r="I368" s="296" t="s">
        <v>58</v>
      </c>
      <c r="J368" s="296" t="s">
        <v>1757</v>
      </c>
      <c r="K368" s="143" t="s">
        <v>2306</v>
      </c>
      <c r="L368" s="119" t="s">
        <v>2313</v>
      </c>
      <c r="M368" s="119">
        <v>5.7439399E7</v>
      </c>
      <c r="N368" s="119">
        <v>3.176853647E9</v>
      </c>
      <c r="O368" s="367"/>
      <c r="P368" s="367"/>
      <c r="Q368" s="367"/>
      <c r="R368" s="367"/>
      <c r="S368" s="367"/>
      <c r="T368" s="367"/>
      <c r="U368" s="367"/>
      <c r="V368" s="367"/>
      <c r="W368" s="367"/>
      <c r="X368" s="367"/>
      <c r="Y368" s="367"/>
      <c r="Z368" s="367"/>
    </row>
    <row r="369">
      <c r="A369" s="143" t="s">
        <v>1602</v>
      </c>
      <c r="B369" s="369">
        <v>2025.0</v>
      </c>
      <c r="C369" s="296" t="s">
        <v>143</v>
      </c>
      <c r="D369" s="300" t="s">
        <v>82</v>
      </c>
      <c r="E369" s="141"/>
      <c r="F369" s="296" t="s">
        <v>10</v>
      </c>
      <c r="G369" s="296" t="s">
        <v>1756</v>
      </c>
      <c r="H369" s="143" t="s">
        <v>1603</v>
      </c>
      <c r="I369" s="296" t="s">
        <v>58</v>
      </c>
      <c r="J369" s="296" t="s">
        <v>1757</v>
      </c>
      <c r="K369" s="143" t="s">
        <v>2306</v>
      </c>
      <c r="L369" s="119" t="s">
        <v>2314</v>
      </c>
      <c r="M369" s="119">
        <v>3.5374754E7</v>
      </c>
      <c r="N369" s="119">
        <v>3.105784784E9</v>
      </c>
      <c r="O369" s="367"/>
      <c r="P369" s="367"/>
      <c r="Q369" s="367"/>
      <c r="R369" s="367"/>
      <c r="S369" s="367"/>
      <c r="T369" s="367"/>
      <c r="U369" s="367"/>
      <c r="V369" s="367"/>
      <c r="W369" s="367"/>
      <c r="X369" s="367"/>
      <c r="Y369" s="367"/>
      <c r="Z369" s="367"/>
    </row>
    <row r="370">
      <c r="A370" s="143" t="s">
        <v>1602</v>
      </c>
      <c r="B370" s="369">
        <v>2025.0</v>
      </c>
      <c r="C370" s="296" t="s">
        <v>143</v>
      </c>
      <c r="D370" s="300" t="s">
        <v>82</v>
      </c>
      <c r="E370" s="141"/>
      <c r="F370" s="296" t="s">
        <v>10</v>
      </c>
      <c r="G370" s="296" t="s">
        <v>1756</v>
      </c>
      <c r="H370" s="143" t="s">
        <v>1603</v>
      </c>
      <c r="I370" s="296" t="s">
        <v>58</v>
      </c>
      <c r="J370" s="296" t="s">
        <v>1757</v>
      </c>
      <c r="K370" s="143" t="s">
        <v>2306</v>
      </c>
      <c r="L370" s="119" t="s">
        <v>2315</v>
      </c>
      <c r="M370" s="119">
        <v>5.2834183E7</v>
      </c>
      <c r="N370" s="119">
        <v>3.212639868E9</v>
      </c>
      <c r="O370" s="367"/>
      <c r="P370" s="367"/>
      <c r="Q370" s="367"/>
      <c r="R370" s="367"/>
      <c r="S370" s="367"/>
      <c r="T370" s="367"/>
      <c r="U370" s="367"/>
      <c r="V370" s="367"/>
      <c r="W370" s="367"/>
      <c r="X370" s="367"/>
      <c r="Y370" s="367"/>
      <c r="Z370" s="367"/>
    </row>
    <row r="371">
      <c r="A371" s="143" t="s">
        <v>1602</v>
      </c>
      <c r="B371" s="369">
        <v>2025.0</v>
      </c>
      <c r="C371" s="296" t="s">
        <v>143</v>
      </c>
      <c r="D371" s="300" t="s">
        <v>82</v>
      </c>
      <c r="E371" s="141"/>
      <c r="F371" s="296" t="s">
        <v>10</v>
      </c>
      <c r="G371" s="296" t="s">
        <v>1756</v>
      </c>
      <c r="H371" s="143" t="s">
        <v>1603</v>
      </c>
      <c r="I371" s="296" t="s">
        <v>58</v>
      </c>
      <c r="J371" s="296" t="s">
        <v>1757</v>
      </c>
      <c r="K371" s="143" t="s">
        <v>2306</v>
      </c>
      <c r="L371" s="119" t="s">
        <v>2316</v>
      </c>
      <c r="M371" s="119">
        <v>7.985011E7</v>
      </c>
      <c r="N371" s="119">
        <v>3.004560085E9</v>
      </c>
      <c r="O371" s="367"/>
      <c r="P371" s="367"/>
      <c r="Q371" s="367"/>
      <c r="R371" s="367"/>
      <c r="S371" s="367"/>
      <c r="T371" s="367"/>
      <c r="U371" s="367"/>
      <c r="V371" s="367"/>
      <c r="W371" s="367"/>
      <c r="X371" s="367"/>
      <c r="Y371" s="367"/>
      <c r="Z371" s="367"/>
    </row>
    <row r="372">
      <c r="A372" s="143" t="s">
        <v>1602</v>
      </c>
      <c r="B372" s="369">
        <v>2025.0</v>
      </c>
      <c r="C372" s="296" t="s">
        <v>143</v>
      </c>
      <c r="D372" s="300" t="s">
        <v>82</v>
      </c>
      <c r="E372" s="141"/>
      <c r="F372" s="296" t="s">
        <v>10</v>
      </c>
      <c r="G372" s="296" t="s">
        <v>1756</v>
      </c>
      <c r="H372" s="143" t="s">
        <v>1603</v>
      </c>
      <c r="I372" s="296" t="s">
        <v>58</v>
      </c>
      <c r="J372" s="296" t="s">
        <v>1757</v>
      </c>
      <c r="K372" s="143" t="s">
        <v>2306</v>
      </c>
      <c r="L372" s="119" t="s">
        <v>2317</v>
      </c>
      <c r="M372" s="119">
        <v>1.013103988E9</v>
      </c>
      <c r="N372" s="119">
        <v>3.224347324E9</v>
      </c>
      <c r="O372" s="367"/>
      <c r="P372" s="367"/>
      <c r="Q372" s="367"/>
      <c r="R372" s="367"/>
      <c r="S372" s="367"/>
      <c r="T372" s="367"/>
      <c r="U372" s="367"/>
      <c r="V372" s="367"/>
      <c r="W372" s="367"/>
      <c r="X372" s="367"/>
      <c r="Y372" s="367"/>
      <c r="Z372" s="367"/>
    </row>
    <row r="373">
      <c r="A373" s="143" t="s">
        <v>1602</v>
      </c>
      <c r="B373" s="369">
        <v>2025.0</v>
      </c>
      <c r="C373" s="296" t="s">
        <v>143</v>
      </c>
      <c r="D373" s="300" t="s">
        <v>82</v>
      </c>
      <c r="E373" s="141"/>
      <c r="F373" s="296" t="s">
        <v>10</v>
      </c>
      <c r="G373" s="296" t="s">
        <v>1756</v>
      </c>
      <c r="H373" s="143" t="s">
        <v>1603</v>
      </c>
      <c r="I373" s="296" t="s">
        <v>58</v>
      </c>
      <c r="J373" s="296" t="s">
        <v>1757</v>
      </c>
      <c r="K373" s="143" t="s">
        <v>2306</v>
      </c>
      <c r="L373" s="119" t="s">
        <v>2318</v>
      </c>
      <c r="M373" s="119">
        <v>7.4281638E7</v>
      </c>
      <c r="N373" s="119">
        <v>3.165259301E9</v>
      </c>
      <c r="O373" s="367"/>
      <c r="P373" s="367"/>
      <c r="Q373" s="367"/>
      <c r="R373" s="367"/>
      <c r="S373" s="367"/>
      <c r="T373" s="367"/>
      <c r="U373" s="367"/>
      <c r="V373" s="367"/>
      <c r="W373" s="367"/>
      <c r="X373" s="367"/>
      <c r="Y373" s="367"/>
      <c r="Z373" s="367"/>
    </row>
    <row r="374">
      <c r="A374" s="143" t="s">
        <v>1602</v>
      </c>
      <c r="B374" s="369">
        <v>2025.0</v>
      </c>
      <c r="C374" s="296" t="s">
        <v>143</v>
      </c>
      <c r="D374" s="300" t="s">
        <v>82</v>
      </c>
      <c r="E374" s="141"/>
      <c r="F374" s="296" t="s">
        <v>10</v>
      </c>
      <c r="G374" s="296" t="s">
        <v>1756</v>
      </c>
      <c r="H374" s="143" t="s">
        <v>1603</v>
      </c>
      <c r="I374" s="296" t="s">
        <v>58</v>
      </c>
      <c r="J374" s="296" t="s">
        <v>1757</v>
      </c>
      <c r="K374" s="143" t="s">
        <v>2306</v>
      </c>
      <c r="L374" s="119" t="s">
        <v>2319</v>
      </c>
      <c r="M374" s="119">
        <v>6.6761034E7</v>
      </c>
      <c r="N374" s="119">
        <v>3.012153121E9</v>
      </c>
      <c r="O374" s="367"/>
      <c r="P374" s="367"/>
      <c r="Q374" s="367"/>
      <c r="R374" s="367"/>
      <c r="S374" s="367"/>
      <c r="T374" s="367"/>
      <c r="U374" s="367"/>
      <c r="V374" s="367"/>
      <c r="W374" s="367"/>
      <c r="X374" s="367"/>
      <c r="Y374" s="367"/>
      <c r="Z374" s="367"/>
    </row>
    <row r="375">
      <c r="A375" s="143" t="s">
        <v>1602</v>
      </c>
      <c r="B375" s="369">
        <v>2025.0</v>
      </c>
      <c r="C375" s="296" t="s">
        <v>143</v>
      </c>
      <c r="D375" s="300" t="s">
        <v>82</v>
      </c>
      <c r="E375" s="141"/>
      <c r="F375" s="296" t="s">
        <v>10</v>
      </c>
      <c r="G375" s="296" t="s">
        <v>1756</v>
      </c>
      <c r="H375" s="143" t="s">
        <v>1603</v>
      </c>
      <c r="I375" s="296" t="s">
        <v>58</v>
      </c>
      <c r="J375" s="296" t="s">
        <v>1757</v>
      </c>
      <c r="K375" s="143" t="s">
        <v>2306</v>
      </c>
      <c r="L375" s="119" t="s">
        <v>2320</v>
      </c>
      <c r="M375" s="119">
        <v>5.3093211E7</v>
      </c>
      <c r="N375" s="119">
        <v>3.125652548E9</v>
      </c>
      <c r="O375" s="367"/>
      <c r="P375" s="367"/>
      <c r="Q375" s="367"/>
      <c r="R375" s="367"/>
      <c r="S375" s="367"/>
      <c r="T375" s="367"/>
      <c r="U375" s="367"/>
      <c r="V375" s="367"/>
      <c r="W375" s="367"/>
      <c r="X375" s="367"/>
      <c r="Y375" s="367"/>
      <c r="Z375" s="367"/>
    </row>
    <row r="376">
      <c r="A376" s="143" t="s">
        <v>1602</v>
      </c>
      <c r="B376" s="369">
        <v>2025.0</v>
      </c>
      <c r="C376" s="296" t="s">
        <v>143</v>
      </c>
      <c r="D376" s="300" t="s">
        <v>82</v>
      </c>
      <c r="E376" s="141"/>
      <c r="F376" s="296" t="s">
        <v>10</v>
      </c>
      <c r="G376" s="296" t="s">
        <v>1756</v>
      </c>
      <c r="H376" s="143" t="s">
        <v>1603</v>
      </c>
      <c r="I376" s="296" t="s">
        <v>58</v>
      </c>
      <c r="J376" s="296" t="s">
        <v>1757</v>
      </c>
      <c r="K376" s="143" t="s">
        <v>2306</v>
      </c>
      <c r="L376" s="119" t="s">
        <v>2321</v>
      </c>
      <c r="M376" s="119">
        <v>1.018417365E9</v>
      </c>
      <c r="N376" s="119">
        <v>3.022687873E9</v>
      </c>
      <c r="O376" s="367"/>
      <c r="P376" s="367"/>
      <c r="Q376" s="367"/>
      <c r="R376" s="367"/>
      <c r="S376" s="367"/>
      <c r="T376" s="367"/>
      <c r="U376" s="367"/>
      <c r="V376" s="367"/>
      <c r="W376" s="367"/>
      <c r="X376" s="367"/>
      <c r="Y376" s="367"/>
      <c r="Z376" s="367"/>
    </row>
    <row r="377">
      <c r="A377" s="143" t="s">
        <v>1602</v>
      </c>
      <c r="B377" s="369">
        <v>2025.0</v>
      </c>
      <c r="C377" s="296" t="s">
        <v>143</v>
      </c>
      <c r="D377" s="300" t="s">
        <v>82</v>
      </c>
      <c r="E377" s="141"/>
      <c r="F377" s="296" t="s">
        <v>10</v>
      </c>
      <c r="G377" s="296" t="s">
        <v>1756</v>
      </c>
      <c r="H377" s="143" t="s">
        <v>1603</v>
      </c>
      <c r="I377" s="296" t="s">
        <v>58</v>
      </c>
      <c r="J377" s="296" t="s">
        <v>1757</v>
      </c>
      <c r="K377" s="143" t="s">
        <v>2306</v>
      </c>
      <c r="L377" s="119" t="s">
        <v>2322</v>
      </c>
      <c r="M377" s="119">
        <v>1.000514143E9</v>
      </c>
      <c r="N377" s="119">
        <v>3.145715997E9</v>
      </c>
      <c r="O377" s="367"/>
      <c r="P377" s="367"/>
      <c r="Q377" s="367"/>
      <c r="R377" s="367"/>
      <c r="S377" s="367"/>
      <c r="T377" s="367"/>
      <c r="U377" s="367"/>
      <c r="V377" s="367"/>
      <c r="W377" s="367"/>
      <c r="X377" s="367"/>
      <c r="Y377" s="367"/>
      <c r="Z377" s="367"/>
    </row>
    <row r="378">
      <c r="A378" s="143" t="s">
        <v>1602</v>
      </c>
      <c r="B378" s="369">
        <v>2025.0</v>
      </c>
      <c r="C378" s="296" t="s">
        <v>143</v>
      </c>
      <c r="D378" s="300" t="s">
        <v>82</v>
      </c>
      <c r="E378" s="141"/>
      <c r="F378" s="296" t="s">
        <v>10</v>
      </c>
      <c r="G378" s="296" t="s">
        <v>1756</v>
      </c>
      <c r="H378" s="143" t="s">
        <v>1603</v>
      </c>
      <c r="I378" s="296" t="s">
        <v>58</v>
      </c>
      <c r="J378" s="296" t="s">
        <v>1757</v>
      </c>
      <c r="K378" s="143" t="s">
        <v>2306</v>
      </c>
      <c r="L378" s="119" t="s">
        <v>2323</v>
      </c>
      <c r="M378" s="119">
        <v>1.030676815E9</v>
      </c>
      <c r="N378" s="119">
        <v>3.219196818E9</v>
      </c>
      <c r="O378" s="367"/>
      <c r="P378" s="367"/>
      <c r="Q378" s="367"/>
      <c r="R378" s="367"/>
      <c r="S378" s="367"/>
      <c r="T378" s="367"/>
      <c r="U378" s="367"/>
      <c r="V378" s="367"/>
      <c r="W378" s="367"/>
      <c r="X378" s="367"/>
      <c r="Y378" s="367"/>
      <c r="Z378" s="367"/>
    </row>
    <row r="379">
      <c r="A379" s="143" t="s">
        <v>1602</v>
      </c>
      <c r="B379" s="369">
        <v>2025.0</v>
      </c>
      <c r="C379" s="296" t="s">
        <v>143</v>
      </c>
      <c r="D379" s="300" t="s">
        <v>82</v>
      </c>
      <c r="E379" s="141"/>
      <c r="F379" s="296" t="s">
        <v>10</v>
      </c>
      <c r="G379" s="296" t="s">
        <v>1756</v>
      </c>
      <c r="H379" s="143" t="s">
        <v>1603</v>
      </c>
      <c r="I379" s="296" t="s">
        <v>58</v>
      </c>
      <c r="J379" s="296" t="s">
        <v>1757</v>
      </c>
      <c r="K379" s="143" t="s">
        <v>2306</v>
      </c>
      <c r="L379" s="119" t="s">
        <v>2324</v>
      </c>
      <c r="M379" s="119">
        <v>1.030676814E9</v>
      </c>
      <c r="N379" s="119">
        <v>3.16498221E9</v>
      </c>
      <c r="O379" s="367"/>
      <c r="P379" s="367"/>
      <c r="Q379" s="367"/>
      <c r="R379" s="367"/>
      <c r="S379" s="367"/>
      <c r="T379" s="367"/>
      <c r="U379" s="367"/>
      <c r="V379" s="367"/>
      <c r="W379" s="367"/>
      <c r="X379" s="367"/>
      <c r="Y379" s="367"/>
      <c r="Z379" s="367"/>
    </row>
    <row r="380">
      <c r="A380" s="143" t="s">
        <v>1602</v>
      </c>
      <c r="B380" s="369">
        <v>2025.0</v>
      </c>
      <c r="C380" s="296" t="s">
        <v>143</v>
      </c>
      <c r="D380" s="300" t="s">
        <v>82</v>
      </c>
      <c r="E380" s="141"/>
      <c r="F380" s="296" t="s">
        <v>10</v>
      </c>
      <c r="G380" s="296" t="s">
        <v>1756</v>
      </c>
      <c r="H380" s="143" t="s">
        <v>1603</v>
      </c>
      <c r="I380" s="296" t="s">
        <v>58</v>
      </c>
      <c r="J380" s="296" t="s">
        <v>1757</v>
      </c>
      <c r="K380" s="143" t="s">
        <v>2306</v>
      </c>
      <c r="L380" s="119" t="s">
        <v>2325</v>
      </c>
      <c r="M380" s="119">
        <v>1.1368884E9</v>
      </c>
      <c r="N380" s="119">
        <v>3.123672657E9</v>
      </c>
      <c r="O380" s="367"/>
      <c r="P380" s="367"/>
      <c r="Q380" s="367"/>
      <c r="R380" s="367"/>
      <c r="S380" s="367"/>
      <c r="T380" s="367"/>
      <c r="U380" s="367"/>
      <c r="V380" s="367"/>
      <c r="W380" s="367"/>
      <c r="X380" s="367"/>
      <c r="Y380" s="367"/>
      <c r="Z380" s="367"/>
    </row>
    <row r="381">
      <c r="A381" s="143" t="s">
        <v>1602</v>
      </c>
      <c r="B381" s="369">
        <v>2025.0</v>
      </c>
      <c r="C381" s="296" t="s">
        <v>143</v>
      </c>
      <c r="D381" s="300" t="s">
        <v>82</v>
      </c>
      <c r="E381" s="141"/>
      <c r="F381" s="296" t="s">
        <v>10</v>
      </c>
      <c r="G381" s="296" t="s">
        <v>1756</v>
      </c>
      <c r="H381" s="143" t="s">
        <v>1603</v>
      </c>
      <c r="I381" s="296" t="s">
        <v>58</v>
      </c>
      <c r="J381" s="296" t="s">
        <v>1757</v>
      </c>
      <c r="K381" s="143" t="s">
        <v>2306</v>
      </c>
      <c r="L381" s="379" t="s">
        <v>2326</v>
      </c>
      <c r="M381" s="409">
        <v>5.3063577E7</v>
      </c>
      <c r="N381" s="409">
        <v>3.102135314E9</v>
      </c>
      <c r="O381" s="367"/>
      <c r="P381" s="367"/>
      <c r="Q381" s="367"/>
      <c r="R381" s="367"/>
      <c r="S381" s="367"/>
      <c r="T381" s="367"/>
      <c r="U381" s="367"/>
      <c r="V381" s="367"/>
      <c r="W381" s="367"/>
      <c r="X381" s="367"/>
      <c r="Y381" s="367"/>
      <c r="Z381" s="367"/>
    </row>
    <row r="382">
      <c r="A382" s="143" t="s">
        <v>1602</v>
      </c>
      <c r="B382" s="369">
        <v>2025.0</v>
      </c>
      <c r="C382" s="296" t="s">
        <v>143</v>
      </c>
      <c r="D382" s="300" t="s">
        <v>82</v>
      </c>
      <c r="E382" s="141"/>
      <c r="F382" s="296" t="s">
        <v>10</v>
      </c>
      <c r="G382" s="296" t="s">
        <v>1756</v>
      </c>
      <c r="H382" s="143" t="s">
        <v>1603</v>
      </c>
      <c r="I382" s="296" t="s">
        <v>58</v>
      </c>
      <c r="J382" s="296" t="s">
        <v>1757</v>
      </c>
      <c r="K382" s="143" t="s">
        <v>2306</v>
      </c>
      <c r="L382" s="379" t="s">
        <v>2327</v>
      </c>
      <c r="M382" s="409">
        <v>1.030533208E9</v>
      </c>
      <c r="N382" s="409">
        <v>3.232062716E9</v>
      </c>
      <c r="O382" s="367"/>
      <c r="P382" s="367"/>
      <c r="Q382" s="367"/>
      <c r="R382" s="367"/>
      <c r="S382" s="367"/>
      <c r="T382" s="367"/>
      <c r="U382" s="367"/>
      <c r="V382" s="367"/>
      <c r="W382" s="367"/>
      <c r="X382" s="367"/>
      <c r="Y382" s="367"/>
      <c r="Z382" s="367"/>
    </row>
    <row r="383">
      <c r="A383" s="143" t="s">
        <v>1602</v>
      </c>
      <c r="B383" s="369">
        <v>2025.0</v>
      </c>
      <c r="C383" s="296" t="s">
        <v>143</v>
      </c>
      <c r="D383" s="300" t="s">
        <v>82</v>
      </c>
      <c r="E383" s="141"/>
      <c r="F383" s="296" t="s">
        <v>10</v>
      </c>
      <c r="G383" s="296" t="s">
        <v>1756</v>
      </c>
      <c r="H383" s="143" t="s">
        <v>1603</v>
      </c>
      <c r="I383" s="296" t="s">
        <v>58</v>
      </c>
      <c r="J383" s="296" t="s">
        <v>1757</v>
      </c>
      <c r="K383" s="143" t="s">
        <v>2306</v>
      </c>
      <c r="L383" s="379" t="s">
        <v>2328</v>
      </c>
      <c r="M383" s="409">
        <v>5.3069544E7</v>
      </c>
      <c r="N383" s="409">
        <v>3.227782244E9</v>
      </c>
      <c r="O383" s="367"/>
      <c r="P383" s="367"/>
      <c r="Q383" s="367"/>
      <c r="R383" s="367"/>
      <c r="S383" s="367"/>
      <c r="T383" s="367"/>
      <c r="U383" s="367"/>
      <c r="V383" s="367"/>
      <c r="W383" s="367"/>
      <c r="X383" s="367"/>
      <c r="Y383" s="367"/>
      <c r="Z383" s="367"/>
    </row>
    <row r="384">
      <c r="A384" s="143" t="s">
        <v>1602</v>
      </c>
      <c r="B384" s="369">
        <v>2025.0</v>
      </c>
      <c r="C384" s="296" t="s">
        <v>143</v>
      </c>
      <c r="D384" s="300" t="s">
        <v>82</v>
      </c>
      <c r="E384" s="141"/>
      <c r="F384" s="296" t="s">
        <v>10</v>
      </c>
      <c r="G384" s="296" t="s">
        <v>1756</v>
      </c>
      <c r="H384" s="143" t="s">
        <v>1603</v>
      </c>
      <c r="I384" s="296" t="s">
        <v>58</v>
      </c>
      <c r="J384" s="296" t="s">
        <v>1757</v>
      </c>
      <c r="K384" s="143" t="s">
        <v>2306</v>
      </c>
      <c r="L384" s="379" t="s">
        <v>2329</v>
      </c>
      <c r="M384" s="409">
        <v>5.293173E7</v>
      </c>
      <c r="N384" s="409">
        <v>3.143029957E9</v>
      </c>
      <c r="O384" s="367"/>
      <c r="P384" s="367"/>
      <c r="Q384" s="367"/>
      <c r="R384" s="367"/>
      <c r="S384" s="367"/>
      <c r="T384" s="367"/>
      <c r="U384" s="367"/>
      <c r="V384" s="367"/>
      <c r="W384" s="367"/>
      <c r="X384" s="367"/>
      <c r="Y384" s="367"/>
      <c r="Z384" s="367"/>
    </row>
    <row r="385">
      <c r="A385" s="143" t="s">
        <v>1602</v>
      </c>
      <c r="B385" s="369">
        <v>2025.0</v>
      </c>
      <c r="C385" s="296" t="s">
        <v>143</v>
      </c>
      <c r="D385" s="300" t="s">
        <v>82</v>
      </c>
      <c r="E385" s="141"/>
      <c r="F385" s="296" t="s">
        <v>10</v>
      </c>
      <c r="G385" s="296" t="s">
        <v>1756</v>
      </c>
      <c r="H385" s="143" t="s">
        <v>1603</v>
      </c>
      <c r="I385" s="296" t="s">
        <v>58</v>
      </c>
      <c r="J385" s="296" t="s">
        <v>1757</v>
      </c>
      <c r="K385" s="143" t="s">
        <v>2306</v>
      </c>
      <c r="L385" s="379" t="s">
        <v>2330</v>
      </c>
      <c r="M385" s="409">
        <v>4.165138E7</v>
      </c>
      <c r="N385" s="409">
        <v>3.114769817E9</v>
      </c>
      <c r="O385" s="367"/>
      <c r="P385" s="367"/>
      <c r="Q385" s="367"/>
      <c r="R385" s="367"/>
      <c r="S385" s="367"/>
      <c r="T385" s="367"/>
      <c r="U385" s="367"/>
      <c r="V385" s="367"/>
      <c r="W385" s="367"/>
      <c r="X385" s="367"/>
      <c r="Y385" s="367"/>
      <c r="Z385" s="367"/>
    </row>
    <row r="386">
      <c r="A386" s="143" t="s">
        <v>1602</v>
      </c>
      <c r="B386" s="369">
        <v>2025.0</v>
      </c>
      <c r="C386" s="296" t="s">
        <v>143</v>
      </c>
      <c r="D386" s="300" t="s">
        <v>82</v>
      </c>
      <c r="E386" s="141"/>
      <c r="F386" s="296" t="s">
        <v>10</v>
      </c>
      <c r="G386" s="296" t="s">
        <v>1756</v>
      </c>
      <c r="H386" s="143" t="s">
        <v>1603</v>
      </c>
      <c r="I386" s="296" t="s">
        <v>58</v>
      </c>
      <c r="J386" s="296" t="s">
        <v>1757</v>
      </c>
      <c r="K386" s="143" t="s">
        <v>2306</v>
      </c>
      <c r="L386" s="379" t="s">
        <v>2331</v>
      </c>
      <c r="M386" s="409">
        <v>7.2124328E7</v>
      </c>
      <c r="N386" s="409">
        <v>3.12475658E9</v>
      </c>
      <c r="O386" s="367"/>
      <c r="P386" s="367"/>
      <c r="Q386" s="367"/>
      <c r="R386" s="367"/>
      <c r="S386" s="367"/>
      <c r="T386" s="367"/>
      <c r="U386" s="367"/>
      <c r="V386" s="367"/>
      <c r="W386" s="367"/>
      <c r="X386" s="367"/>
      <c r="Y386" s="367"/>
      <c r="Z386" s="367"/>
    </row>
    <row r="387">
      <c r="A387" s="143" t="s">
        <v>1602</v>
      </c>
      <c r="B387" s="369">
        <v>2025.0</v>
      </c>
      <c r="C387" s="296" t="s">
        <v>143</v>
      </c>
      <c r="D387" s="300" t="s">
        <v>82</v>
      </c>
      <c r="E387" s="141"/>
      <c r="F387" s="296" t="s">
        <v>10</v>
      </c>
      <c r="G387" s="296" t="s">
        <v>1756</v>
      </c>
      <c r="H387" s="143" t="s">
        <v>1603</v>
      </c>
      <c r="I387" s="296" t="s">
        <v>58</v>
      </c>
      <c r="J387" s="296" t="s">
        <v>1757</v>
      </c>
      <c r="K387" s="143" t="s">
        <v>2306</v>
      </c>
      <c r="L387" s="379" t="s">
        <v>2332</v>
      </c>
      <c r="M387" s="409">
        <v>5.1825097E7</v>
      </c>
      <c r="N387" s="409">
        <v>3.132198627E9</v>
      </c>
      <c r="O387" s="367"/>
      <c r="P387" s="367"/>
      <c r="Q387" s="367"/>
      <c r="R387" s="367"/>
      <c r="S387" s="367"/>
      <c r="T387" s="367"/>
      <c r="U387" s="367"/>
      <c r="V387" s="367"/>
      <c r="W387" s="367"/>
      <c r="X387" s="367"/>
      <c r="Y387" s="367"/>
      <c r="Z387" s="367"/>
    </row>
    <row r="388">
      <c r="A388" s="143" t="s">
        <v>1602</v>
      </c>
      <c r="B388" s="369">
        <v>2025.0</v>
      </c>
      <c r="C388" s="296" t="s">
        <v>143</v>
      </c>
      <c r="D388" s="300" t="s">
        <v>82</v>
      </c>
      <c r="E388" s="141"/>
      <c r="F388" s="296" t="s">
        <v>10</v>
      </c>
      <c r="G388" s="296" t="s">
        <v>1756</v>
      </c>
      <c r="H388" s="143" t="s">
        <v>1603</v>
      </c>
      <c r="I388" s="296" t="s">
        <v>58</v>
      </c>
      <c r="J388" s="296" t="s">
        <v>1757</v>
      </c>
      <c r="K388" s="143" t="s">
        <v>2306</v>
      </c>
      <c r="L388" s="379" t="s">
        <v>2333</v>
      </c>
      <c r="M388" s="409">
        <v>8.0412176E7</v>
      </c>
      <c r="N388" s="409">
        <v>3.147898849E9</v>
      </c>
      <c r="O388" s="367"/>
      <c r="P388" s="367"/>
      <c r="Q388" s="367"/>
      <c r="R388" s="367"/>
      <c r="S388" s="367"/>
      <c r="T388" s="367"/>
      <c r="U388" s="367"/>
      <c r="V388" s="367"/>
      <c r="W388" s="367"/>
      <c r="X388" s="367"/>
      <c r="Y388" s="367"/>
      <c r="Z388" s="367"/>
    </row>
    <row r="389">
      <c r="A389" s="143" t="s">
        <v>1602</v>
      </c>
      <c r="B389" s="369">
        <v>2025.0</v>
      </c>
      <c r="C389" s="296" t="s">
        <v>143</v>
      </c>
      <c r="D389" s="300" t="s">
        <v>82</v>
      </c>
      <c r="E389" s="141"/>
      <c r="F389" s="296" t="s">
        <v>10</v>
      </c>
      <c r="G389" s="296" t="s">
        <v>1756</v>
      </c>
      <c r="H389" s="143" t="s">
        <v>1603</v>
      </c>
      <c r="I389" s="296" t="s">
        <v>58</v>
      </c>
      <c r="J389" s="296" t="s">
        <v>1757</v>
      </c>
      <c r="K389" s="143" t="s">
        <v>2306</v>
      </c>
      <c r="L389" s="379" t="s">
        <v>2334</v>
      </c>
      <c r="M389" s="409">
        <v>7.9667911E7</v>
      </c>
      <c r="N389" s="409">
        <v>3.103009212E9</v>
      </c>
      <c r="O389" s="367"/>
      <c r="P389" s="367"/>
      <c r="Q389" s="367"/>
      <c r="R389" s="367"/>
      <c r="S389" s="367"/>
      <c r="T389" s="367"/>
      <c r="U389" s="367"/>
      <c r="V389" s="367"/>
      <c r="W389" s="367"/>
      <c r="X389" s="367"/>
      <c r="Y389" s="367"/>
      <c r="Z389" s="367"/>
    </row>
    <row r="390">
      <c r="A390" s="143" t="s">
        <v>1602</v>
      </c>
      <c r="B390" s="369">
        <v>2025.0</v>
      </c>
      <c r="C390" s="296" t="s">
        <v>143</v>
      </c>
      <c r="D390" s="300" t="s">
        <v>82</v>
      </c>
      <c r="E390" s="141"/>
      <c r="F390" s="296" t="s">
        <v>10</v>
      </c>
      <c r="G390" s="296" t="s">
        <v>1756</v>
      </c>
      <c r="H390" s="143" t="s">
        <v>1603</v>
      </c>
      <c r="I390" s="296" t="s">
        <v>58</v>
      </c>
      <c r="J390" s="296" t="s">
        <v>1757</v>
      </c>
      <c r="K390" s="143" t="s">
        <v>2306</v>
      </c>
      <c r="L390" s="379" t="s">
        <v>2335</v>
      </c>
      <c r="M390" s="409">
        <v>1.073505335E9</v>
      </c>
      <c r="N390" s="409">
        <v>3.236369617E9</v>
      </c>
      <c r="O390" s="367"/>
      <c r="P390" s="367"/>
      <c r="Q390" s="367"/>
      <c r="R390" s="367"/>
      <c r="S390" s="367"/>
      <c r="T390" s="367"/>
      <c r="U390" s="367"/>
      <c r="V390" s="367"/>
      <c r="W390" s="367"/>
      <c r="X390" s="367"/>
      <c r="Y390" s="367"/>
      <c r="Z390" s="367"/>
    </row>
    <row r="391">
      <c r="A391" s="143" t="s">
        <v>1602</v>
      </c>
      <c r="B391" s="369">
        <v>2025.0</v>
      </c>
      <c r="C391" s="296" t="s">
        <v>143</v>
      </c>
      <c r="D391" s="300" t="s">
        <v>82</v>
      </c>
      <c r="E391" s="141"/>
      <c r="F391" s="296" t="s">
        <v>10</v>
      </c>
      <c r="G391" s="296" t="s">
        <v>1756</v>
      </c>
      <c r="H391" s="143" t="s">
        <v>1603</v>
      </c>
      <c r="I391" s="296" t="s">
        <v>58</v>
      </c>
      <c r="J391" s="296" t="s">
        <v>1757</v>
      </c>
      <c r="K391" s="143" t="s">
        <v>2306</v>
      </c>
      <c r="L391" s="379" t="s">
        <v>2336</v>
      </c>
      <c r="M391" s="409">
        <v>1.030592174E9</v>
      </c>
      <c r="N391" s="409">
        <v>3.209898532E9</v>
      </c>
      <c r="O391" s="367"/>
      <c r="P391" s="367"/>
      <c r="Q391" s="367"/>
      <c r="R391" s="367"/>
      <c r="S391" s="367"/>
      <c r="T391" s="367"/>
      <c r="U391" s="367"/>
      <c r="V391" s="367"/>
      <c r="W391" s="367"/>
      <c r="X391" s="367"/>
      <c r="Y391" s="367"/>
      <c r="Z391" s="367"/>
    </row>
    <row r="392">
      <c r="A392" s="143" t="s">
        <v>1602</v>
      </c>
      <c r="B392" s="369">
        <v>2025.0</v>
      </c>
      <c r="C392" s="296" t="s">
        <v>143</v>
      </c>
      <c r="D392" s="300" t="s">
        <v>82</v>
      </c>
      <c r="E392" s="141"/>
      <c r="F392" s="296" t="s">
        <v>10</v>
      </c>
      <c r="G392" s="296" t="s">
        <v>1756</v>
      </c>
      <c r="H392" s="143" t="s">
        <v>1603</v>
      </c>
      <c r="I392" s="296" t="s">
        <v>58</v>
      </c>
      <c r="J392" s="296" t="s">
        <v>1757</v>
      </c>
      <c r="K392" s="143" t="s">
        <v>2306</v>
      </c>
      <c r="L392" s="379" t="s">
        <v>2337</v>
      </c>
      <c r="M392" s="409">
        <v>1.068927009E9</v>
      </c>
      <c r="N392" s="409">
        <v>3.044712707E9</v>
      </c>
      <c r="O392" s="367"/>
      <c r="P392" s="367"/>
      <c r="Q392" s="367"/>
      <c r="R392" s="367"/>
      <c r="S392" s="367"/>
      <c r="T392" s="367"/>
      <c r="U392" s="367"/>
      <c r="V392" s="367"/>
      <c r="W392" s="367"/>
      <c r="X392" s="367"/>
      <c r="Y392" s="367"/>
      <c r="Z392" s="367"/>
    </row>
    <row r="393">
      <c r="A393" s="143" t="s">
        <v>1602</v>
      </c>
      <c r="B393" s="369">
        <v>2025.0</v>
      </c>
      <c r="C393" s="296" t="s">
        <v>143</v>
      </c>
      <c r="D393" s="300" t="s">
        <v>82</v>
      </c>
      <c r="E393" s="141"/>
      <c r="F393" s="296" t="s">
        <v>10</v>
      </c>
      <c r="G393" s="296" t="s">
        <v>1756</v>
      </c>
      <c r="H393" s="143" t="s">
        <v>1603</v>
      </c>
      <c r="I393" s="296" t="s">
        <v>58</v>
      </c>
      <c r="J393" s="296" t="s">
        <v>1757</v>
      </c>
      <c r="K393" s="143" t="s">
        <v>2306</v>
      </c>
      <c r="L393" s="379" t="s">
        <v>2338</v>
      </c>
      <c r="M393" s="409">
        <v>1.093216839E9</v>
      </c>
      <c r="N393" s="409">
        <v>3.023017144E9</v>
      </c>
      <c r="O393" s="367"/>
      <c r="P393" s="367"/>
      <c r="Q393" s="367"/>
      <c r="R393" s="367"/>
      <c r="S393" s="367"/>
      <c r="T393" s="367"/>
      <c r="U393" s="367"/>
      <c r="V393" s="367"/>
      <c r="W393" s="367"/>
      <c r="X393" s="367"/>
      <c r="Y393" s="367"/>
      <c r="Z393" s="367"/>
    </row>
    <row r="394">
      <c r="A394" s="143" t="s">
        <v>1602</v>
      </c>
      <c r="B394" s="369">
        <v>2025.0</v>
      </c>
      <c r="C394" s="296" t="s">
        <v>143</v>
      </c>
      <c r="D394" s="300" t="s">
        <v>82</v>
      </c>
      <c r="E394" s="141"/>
      <c r="F394" s="296" t="s">
        <v>10</v>
      </c>
      <c r="G394" s="296" t="s">
        <v>1756</v>
      </c>
      <c r="H394" s="143" t="s">
        <v>1603</v>
      </c>
      <c r="I394" s="296" t="s">
        <v>58</v>
      </c>
      <c r="J394" s="296" t="s">
        <v>1757</v>
      </c>
      <c r="K394" s="143" t="s">
        <v>2306</v>
      </c>
      <c r="L394" s="379" t="s">
        <v>2339</v>
      </c>
      <c r="M394" s="409">
        <v>1.019206208E9</v>
      </c>
      <c r="N394" s="409">
        <v>3.229911369E9</v>
      </c>
      <c r="O394" s="367"/>
      <c r="P394" s="367"/>
      <c r="Q394" s="367"/>
      <c r="R394" s="367"/>
      <c r="S394" s="367"/>
      <c r="T394" s="367"/>
      <c r="U394" s="367"/>
      <c r="V394" s="367"/>
      <c r="W394" s="367"/>
      <c r="X394" s="367"/>
      <c r="Y394" s="367"/>
      <c r="Z394" s="367"/>
    </row>
    <row r="395">
      <c r="A395" s="143" t="s">
        <v>1602</v>
      </c>
      <c r="B395" s="369">
        <v>2025.0</v>
      </c>
      <c r="C395" s="296" t="s">
        <v>143</v>
      </c>
      <c r="D395" s="300" t="s">
        <v>82</v>
      </c>
      <c r="E395" s="141"/>
      <c r="F395" s="296" t="s">
        <v>10</v>
      </c>
      <c r="G395" s="296" t="s">
        <v>1756</v>
      </c>
      <c r="H395" s="143" t="s">
        <v>1603</v>
      </c>
      <c r="I395" s="296" t="s">
        <v>58</v>
      </c>
      <c r="J395" s="296" t="s">
        <v>1757</v>
      </c>
      <c r="K395" s="143" t="s">
        <v>2306</v>
      </c>
      <c r="L395" s="379" t="s">
        <v>2340</v>
      </c>
      <c r="M395" s="409">
        <v>3.9566517E7</v>
      </c>
      <c r="N395" s="409">
        <v>3.104775477E9</v>
      </c>
      <c r="O395" s="367"/>
      <c r="P395" s="367"/>
      <c r="Q395" s="367"/>
      <c r="R395" s="367"/>
      <c r="S395" s="367"/>
      <c r="T395" s="367"/>
      <c r="U395" s="367"/>
      <c r="V395" s="367"/>
      <c r="W395" s="367"/>
      <c r="X395" s="367"/>
      <c r="Y395" s="367"/>
      <c r="Z395" s="367"/>
    </row>
    <row r="396">
      <c r="A396" s="143" t="s">
        <v>1602</v>
      </c>
      <c r="B396" s="369">
        <v>2025.0</v>
      </c>
      <c r="C396" s="296" t="s">
        <v>143</v>
      </c>
      <c r="D396" s="300" t="s">
        <v>82</v>
      </c>
      <c r="E396" s="141"/>
      <c r="F396" s="296" t="s">
        <v>10</v>
      </c>
      <c r="G396" s="296" t="s">
        <v>1756</v>
      </c>
      <c r="H396" s="143" t="s">
        <v>1603</v>
      </c>
      <c r="I396" s="296" t="s">
        <v>58</v>
      </c>
      <c r="J396" s="296" t="s">
        <v>1757</v>
      </c>
      <c r="K396" s="143" t="s">
        <v>2306</v>
      </c>
      <c r="L396" s="379" t="s">
        <v>2341</v>
      </c>
      <c r="M396" s="409">
        <v>1.032431404E9</v>
      </c>
      <c r="N396" s="409">
        <v>3.193537426E9</v>
      </c>
      <c r="O396" s="367"/>
      <c r="P396" s="367"/>
      <c r="Q396" s="367"/>
      <c r="R396" s="367"/>
      <c r="S396" s="367"/>
      <c r="T396" s="367"/>
      <c r="U396" s="367"/>
      <c r="V396" s="367"/>
      <c r="W396" s="367"/>
      <c r="X396" s="367"/>
      <c r="Y396" s="367"/>
      <c r="Z396" s="367"/>
    </row>
    <row r="397">
      <c r="A397" s="143" t="s">
        <v>1602</v>
      </c>
      <c r="B397" s="369">
        <v>2025.0</v>
      </c>
      <c r="C397" s="296" t="s">
        <v>143</v>
      </c>
      <c r="D397" s="300" t="s">
        <v>82</v>
      </c>
      <c r="E397" s="141"/>
      <c r="F397" s="296" t="s">
        <v>10</v>
      </c>
      <c r="G397" s="296" t="s">
        <v>1756</v>
      </c>
      <c r="H397" s="143" t="s">
        <v>1603</v>
      </c>
      <c r="I397" s="296" t="s">
        <v>58</v>
      </c>
      <c r="J397" s="296" t="s">
        <v>1757</v>
      </c>
      <c r="K397" s="143" t="s">
        <v>2306</v>
      </c>
      <c r="L397" s="379" t="s">
        <v>2342</v>
      </c>
      <c r="M397" s="409">
        <v>1.02446302E8</v>
      </c>
      <c r="N397" s="409">
        <v>3.134455184E9</v>
      </c>
      <c r="O397" s="367"/>
      <c r="P397" s="367"/>
      <c r="Q397" s="367"/>
      <c r="R397" s="367"/>
      <c r="S397" s="367"/>
      <c r="T397" s="367"/>
      <c r="U397" s="367"/>
      <c r="V397" s="367"/>
      <c r="W397" s="367"/>
      <c r="X397" s="367"/>
      <c r="Y397" s="367"/>
      <c r="Z397" s="367"/>
    </row>
    <row r="398">
      <c r="A398" s="143" t="s">
        <v>1602</v>
      </c>
      <c r="B398" s="369">
        <v>2025.0</v>
      </c>
      <c r="C398" s="296" t="s">
        <v>143</v>
      </c>
      <c r="D398" s="300" t="s">
        <v>82</v>
      </c>
      <c r="E398" s="141"/>
      <c r="F398" s="296" t="s">
        <v>10</v>
      </c>
      <c r="G398" s="296" t="s">
        <v>1756</v>
      </c>
      <c r="H398" s="143" t="s">
        <v>1603</v>
      </c>
      <c r="I398" s="296" t="s">
        <v>58</v>
      </c>
      <c r="J398" s="296" t="s">
        <v>1757</v>
      </c>
      <c r="K398" s="143" t="s">
        <v>2306</v>
      </c>
      <c r="L398" s="379" t="s">
        <v>2343</v>
      </c>
      <c r="M398" s="409">
        <v>3.8284392E7</v>
      </c>
      <c r="N398" s="409">
        <v>3.143209471E9</v>
      </c>
      <c r="O398" s="367"/>
      <c r="P398" s="367"/>
      <c r="Q398" s="367"/>
      <c r="R398" s="367"/>
      <c r="S398" s="367"/>
      <c r="T398" s="367"/>
      <c r="U398" s="367"/>
      <c r="V398" s="367"/>
      <c r="W398" s="367"/>
      <c r="X398" s="367"/>
      <c r="Y398" s="367"/>
      <c r="Z398" s="367"/>
    </row>
    <row r="399">
      <c r="A399" s="143" t="s">
        <v>1602</v>
      </c>
      <c r="B399" s="369">
        <v>2025.0</v>
      </c>
      <c r="C399" s="296" t="s">
        <v>143</v>
      </c>
      <c r="D399" s="300" t="s">
        <v>82</v>
      </c>
      <c r="E399" s="141"/>
      <c r="F399" s="296" t="s">
        <v>10</v>
      </c>
      <c r="G399" s="296" t="s">
        <v>1756</v>
      </c>
      <c r="H399" s="143" t="s">
        <v>1603</v>
      </c>
      <c r="I399" s="296" t="s">
        <v>58</v>
      </c>
      <c r="J399" s="296" t="s">
        <v>1757</v>
      </c>
      <c r="K399" s="143" t="s">
        <v>2306</v>
      </c>
      <c r="L399" s="379" t="s">
        <v>2344</v>
      </c>
      <c r="M399" s="409">
        <v>1.033778844E9</v>
      </c>
      <c r="N399" s="409">
        <v>3.134913643E9</v>
      </c>
      <c r="O399" s="367"/>
      <c r="P399" s="367"/>
      <c r="Q399" s="367"/>
      <c r="R399" s="367"/>
      <c r="S399" s="367"/>
      <c r="T399" s="367"/>
      <c r="U399" s="367"/>
      <c r="V399" s="367"/>
      <c r="W399" s="367"/>
      <c r="X399" s="367"/>
      <c r="Y399" s="367"/>
      <c r="Z399" s="367"/>
    </row>
    <row r="400">
      <c r="A400" s="143" t="s">
        <v>1602</v>
      </c>
      <c r="B400" s="369">
        <v>2025.0</v>
      </c>
      <c r="C400" s="296" t="s">
        <v>143</v>
      </c>
      <c r="D400" s="300" t="s">
        <v>82</v>
      </c>
      <c r="E400" s="141"/>
      <c r="F400" s="296" t="s">
        <v>10</v>
      </c>
      <c r="G400" s="296" t="s">
        <v>1756</v>
      </c>
      <c r="H400" s="143" t="s">
        <v>1603</v>
      </c>
      <c r="I400" s="296" t="s">
        <v>58</v>
      </c>
      <c r="J400" s="296" t="s">
        <v>1757</v>
      </c>
      <c r="K400" s="143" t="s">
        <v>2306</v>
      </c>
      <c r="L400" s="379" t="s">
        <v>2345</v>
      </c>
      <c r="M400" s="409">
        <v>1.233306196E9</v>
      </c>
      <c r="N400" s="409">
        <v>3.204452079E9</v>
      </c>
      <c r="O400" s="367"/>
      <c r="P400" s="367"/>
      <c r="Q400" s="367"/>
      <c r="R400" s="367"/>
      <c r="S400" s="367"/>
      <c r="T400" s="367"/>
      <c r="U400" s="367"/>
      <c r="V400" s="367"/>
      <c r="W400" s="367"/>
      <c r="X400" s="367"/>
      <c r="Y400" s="367"/>
      <c r="Z400" s="367"/>
    </row>
    <row r="401">
      <c r="A401" s="143" t="s">
        <v>1602</v>
      </c>
      <c r="B401" s="369">
        <v>2025.0</v>
      </c>
      <c r="C401" s="296" t="s">
        <v>143</v>
      </c>
      <c r="D401" s="300" t="s">
        <v>82</v>
      </c>
      <c r="E401" s="141"/>
      <c r="F401" s="296" t="s">
        <v>10</v>
      </c>
      <c r="G401" s="296" t="s">
        <v>1756</v>
      </c>
      <c r="H401" s="143" t="s">
        <v>1603</v>
      </c>
      <c r="I401" s="296" t="s">
        <v>58</v>
      </c>
      <c r="J401" s="296" t="s">
        <v>1757</v>
      </c>
      <c r="K401" s="143" t="s">
        <v>2306</v>
      </c>
      <c r="L401" s="379" t="s">
        <v>2346</v>
      </c>
      <c r="M401" s="409">
        <v>5.2179803E7</v>
      </c>
      <c r="N401" s="409">
        <v>3.134301238E9</v>
      </c>
      <c r="O401" s="367"/>
      <c r="P401" s="367"/>
      <c r="Q401" s="367"/>
      <c r="R401" s="367"/>
      <c r="S401" s="367"/>
      <c r="T401" s="367"/>
      <c r="U401" s="367"/>
      <c r="V401" s="367"/>
      <c r="W401" s="367"/>
      <c r="X401" s="367"/>
      <c r="Y401" s="367"/>
      <c r="Z401" s="367"/>
    </row>
    <row r="402">
      <c r="A402" s="143" t="s">
        <v>1602</v>
      </c>
      <c r="B402" s="369">
        <v>2025.0</v>
      </c>
      <c r="C402" s="296" t="s">
        <v>143</v>
      </c>
      <c r="D402" s="300" t="s">
        <v>82</v>
      </c>
      <c r="E402" s="141"/>
      <c r="F402" s="296" t="s">
        <v>10</v>
      </c>
      <c r="G402" s="296" t="s">
        <v>1756</v>
      </c>
      <c r="H402" s="143" t="s">
        <v>1603</v>
      </c>
      <c r="I402" s="296" t="s">
        <v>58</v>
      </c>
      <c r="J402" s="296" t="s">
        <v>1757</v>
      </c>
      <c r="K402" s="143" t="s">
        <v>2306</v>
      </c>
      <c r="L402" s="379" t="s">
        <v>2347</v>
      </c>
      <c r="M402" s="409">
        <v>1.023368422E9</v>
      </c>
      <c r="N402" s="409">
        <v>3.219177222E9</v>
      </c>
      <c r="O402" s="367"/>
      <c r="P402" s="367"/>
      <c r="Q402" s="367"/>
      <c r="R402" s="367"/>
      <c r="S402" s="367"/>
      <c r="T402" s="367"/>
      <c r="U402" s="367"/>
      <c r="V402" s="367"/>
      <c r="W402" s="367"/>
      <c r="X402" s="367"/>
      <c r="Y402" s="367"/>
      <c r="Z402" s="367"/>
    </row>
    <row r="403">
      <c r="A403" s="143" t="s">
        <v>1602</v>
      </c>
      <c r="B403" s="369">
        <v>2025.0</v>
      </c>
      <c r="C403" s="296" t="s">
        <v>143</v>
      </c>
      <c r="D403" s="300" t="s">
        <v>82</v>
      </c>
      <c r="E403" s="141"/>
      <c r="F403" s="296" t="s">
        <v>10</v>
      </c>
      <c r="G403" s="296" t="s">
        <v>1756</v>
      </c>
      <c r="H403" s="143" t="s">
        <v>1603</v>
      </c>
      <c r="I403" s="296" t="s">
        <v>58</v>
      </c>
      <c r="J403" s="296" t="s">
        <v>1757</v>
      </c>
      <c r="K403" s="143" t="s">
        <v>2306</v>
      </c>
      <c r="L403" s="379" t="s">
        <v>2348</v>
      </c>
      <c r="M403" s="409">
        <v>1.03066294E9</v>
      </c>
      <c r="N403" s="409">
        <v>3.193162652E9</v>
      </c>
      <c r="O403" s="367"/>
      <c r="P403" s="367"/>
      <c r="Q403" s="367"/>
      <c r="R403" s="367"/>
      <c r="S403" s="367"/>
      <c r="T403" s="367"/>
      <c r="U403" s="367"/>
      <c r="V403" s="367"/>
      <c r="W403" s="367"/>
      <c r="X403" s="367"/>
      <c r="Y403" s="367"/>
      <c r="Z403" s="367"/>
    </row>
    <row r="404">
      <c r="A404" s="143" t="s">
        <v>1602</v>
      </c>
      <c r="B404" s="369">
        <v>2025.0</v>
      </c>
      <c r="C404" s="296" t="s">
        <v>143</v>
      </c>
      <c r="D404" s="300" t="s">
        <v>82</v>
      </c>
      <c r="E404" s="141"/>
      <c r="F404" s="296" t="s">
        <v>10</v>
      </c>
      <c r="G404" s="296" t="s">
        <v>1756</v>
      </c>
      <c r="H404" s="143" t="s">
        <v>1603</v>
      </c>
      <c r="I404" s="296" t="s">
        <v>58</v>
      </c>
      <c r="J404" s="296" t="s">
        <v>1757</v>
      </c>
      <c r="K404" s="143" t="s">
        <v>2306</v>
      </c>
      <c r="L404" s="379" t="s">
        <v>2349</v>
      </c>
      <c r="M404" s="409">
        <v>1.030561032E9</v>
      </c>
      <c r="N404" s="409">
        <v>3.112446174E9</v>
      </c>
      <c r="O404" s="367"/>
      <c r="P404" s="367"/>
      <c r="Q404" s="367"/>
      <c r="R404" s="367"/>
      <c r="S404" s="367"/>
      <c r="T404" s="367"/>
      <c r="U404" s="367"/>
      <c r="V404" s="367"/>
      <c r="W404" s="367"/>
      <c r="X404" s="367"/>
      <c r="Y404" s="367"/>
      <c r="Z404" s="367"/>
    </row>
    <row r="405">
      <c r="A405" s="143" t="s">
        <v>1602</v>
      </c>
      <c r="B405" s="369">
        <v>2025.0</v>
      </c>
      <c r="C405" s="296" t="s">
        <v>143</v>
      </c>
      <c r="D405" s="300" t="s">
        <v>82</v>
      </c>
      <c r="E405" s="141"/>
      <c r="F405" s="296" t="s">
        <v>10</v>
      </c>
      <c r="G405" s="296" t="s">
        <v>1756</v>
      </c>
      <c r="H405" s="143" t="s">
        <v>1603</v>
      </c>
      <c r="I405" s="296" t="s">
        <v>58</v>
      </c>
      <c r="J405" s="296" t="s">
        <v>1757</v>
      </c>
      <c r="K405" s="143" t="s">
        <v>2306</v>
      </c>
      <c r="L405" s="379" t="s">
        <v>2350</v>
      </c>
      <c r="M405" s="409">
        <v>1.105056499E9</v>
      </c>
      <c r="N405" s="409">
        <v>3.143914702E9</v>
      </c>
      <c r="O405" s="367"/>
      <c r="P405" s="367"/>
      <c r="Q405" s="367"/>
      <c r="R405" s="367"/>
      <c r="S405" s="367"/>
      <c r="T405" s="367"/>
      <c r="U405" s="367"/>
      <c r="V405" s="367"/>
      <c r="W405" s="367"/>
      <c r="X405" s="367"/>
      <c r="Y405" s="367"/>
      <c r="Z405" s="367"/>
    </row>
    <row r="406">
      <c r="A406" s="143" t="s">
        <v>1602</v>
      </c>
      <c r="B406" s="369">
        <v>2025.0</v>
      </c>
      <c r="C406" s="296" t="s">
        <v>143</v>
      </c>
      <c r="D406" s="300" t="s">
        <v>82</v>
      </c>
      <c r="E406" s="141"/>
      <c r="F406" s="296" t="s">
        <v>10</v>
      </c>
      <c r="G406" s="296" t="s">
        <v>1756</v>
      </c>
      <c r="H406" s="143" t="s">
        <v>1603</v>
      </c>
      <c r="I406" s="296" t="s">
        <v>58</v>
      </c>
      <c r="J406" s="296" t="s">
        <v>1757</v>
      </c>
      <c r="K406" s="143" t="s">
        <v>2306</v>
      </c>
      <c r="L406" s="379" t="s">
        <v>2351</v>
      </c>
      <c r="M406" s="409">
        <v>5.2822867E7</v>
      </c>
      <c r="N406" s="409">
        <v>3.143151182E9</v>
      </c>
      <c r="O406" s="367"/>
      <c r="P406" s="367"/>
      <c r="Q406" s="367"/>
      <c r="R406" s="367"/>
      <c r="S406" s="367"/>
      <c r="T406" s="367"/>
      <c r="U406" s="367"/>
      <c r="V406" s="367"/>
      <c r="W406" s="367"/>
      <c r="X406" s="367"/>
      <c r="Y406" s="367"/>
      <c r="Z406" s="367"/>
    </row>
    <row r="407">
      <c r="A407" s="143" t="s">
        <v>1602</v>
      </c>
      <c r="B407" s="369">
        <v>2025.0</v>
      </c>
      <c r="C407" s="296" t="s">
        <v>143</v>
      </c>
      <c r="D407" s="300" t="s">
        <v>82</v>
      </c>
      <c r="E407" s="141"/>
      <c r="F407" s="296" t="s">
        <v>10</v>
      </c>
      <c r="G407" s="296" t="s">
        <v>1756</v>
      </c>
      <c r="H407" s="143" t="s">
        <v>1603</v>
      </c>
      <c r="I407" s="296" t="s">
        <v>58</v>
      </c>
      <c r="J407" s="296" t="s">
        <v>1757</v>
      </c>
      <c r="K407" s="143" t="s">
        <v>2306</v>
      </c>
      <c r="L407" s="379" t="s">
        <v>2352</v>
      </c>
      <c r="M407" s="409">
        <v>1.033712733E9</v>
      </c>
      <c r="N407" s="409">
        <v>3.125401496E9</v>
      </c>
      <c r="O407" s="367"/>
      <c r="P407" s="367"/>
      <c r="Q407" s="367"/>
      <c r="R407" s="367"/>
      <c r="S407" s="367"/>
      <c r="T407" s="367"/>
      <c r="U407" s="367"/>
      <c r="V407" s="367"/>
      <c r="W407" s="367"/>
      <c r="X407" s="367"/>
      <c r="Y407" s="367"/>
      <c r="Z407" s="367"/>
    </row>
    <row r="408">
      <c r="A408" s="143" t="s">
        <v>1602</v>
      </c>
      <c r="B408" s="369">
        <v>2025.0</v>
      </c>
      <c r="C408" s="296" t="s">
        <v>143</v>
      </c>
      <c r="D408" s="300" t="s">
        <v>82</v>
      </c>
      <c r="E408" s="141"/>
      <c r="F408" s="296" t="s">
        <v>10</v>
      </c>
      <c r="G408" s="296" t="s">
        <v>1756</v>
      </c>
      <c r="H408" s="143" t="s">
        <v>1603</v>
      </c>
      <c r="I408" s="296" t="s">
        <v>58</v>
      </c>
      <c r="J408" s="296" t="s">
        <v>1757</v>
      </c>
      <c r="K408" s="143" t="s">
        <v>2306</v>
      </c>
      <c r="L408" s="379" t="s">
        <v>2353</v>
      </c>
      <c r="M408" s="409">
        <v>3.4525866E7</v>
      </c>
      <c r="N408" s="409">
        <v>3.143685589E9</v>
      </c>
      <c r="O408" s="367"/>
      <c r="P408" s="367"/>
      <c r="Q408" s="367"/>
      <c r="R408" s="367"/>
      <c r="S408" s="367"/>
      <c r="T408" s="367"/>
      <c r="U408" s="367"/>
      <c r="V408" s="367"/>
      <c r="W408" s="367"/>
      <c r="X408" s="367"/>
      <c r="Y408" s="367"/>
      <c r="Z408" s="367"/>
    </row>
    <row r="409">
      <c r="A409" s="143" t="s">
        <v>1602</v>
      </c>
      <c r="B409" s="369">
        <v>2025.0</v>
      </c>
      <c r="C409" s="296" t="s">
        <v>143</v>
      </c>
      <c r="D409" s="300" t="s">
        <v>82</v>
      </c>
      <c r="E409" s="141"/>
      <c r="F409" s="296" t="s">
        <v>10</v>
      </c>
      <c r="G409" s="296" t="s">
        <v>1756</v>
      </c>
      <c r="H409" s="143" t="s">
        <v>1603</v>
      </c>
      <c r="I409" s="296" t="s">
        <v>58</v>
      </c>
      <c r="J409" s="296" t="s">
        <v>1757</v>
      </c>
      <c r="K409" s="143" t="s">
        <v>2306</v>
      </c>
      <c r="L409" s="379" t="s">
        <v>2354</v>
      </c>
      <c r="M409" s="409">
        <v>1.032465919E9</v>
      </c>
      <c r="N409" s="409">
        <v>3.148167747E9</v>
      </c>
      <c r="O409" s="367"/>
      <c r="P409" s="367"/>
      <c r="Q409" s="367"/>
      <c r="R409" s="367"/>
      <c r="S409" s="367"/>
      <c r="T409" s="367"/>
      <c r="U409" s="367"/>
      <c r="V409" s="367"/>
      <c r="W409" s="367"/>
      <c r="X409" s="367"/>
      <c r="Y409" s="367"/>
      <c r="Z409" s="367"/>
    </row>
    <row r="410">
      <c r="A410" s="143" t="s">
        <v>1602</v>
      </c>
      <c r="B410" s="369">
        <v>2025.0</v>
      </c>
      <c r="C410" s="296" t="s">
        <v>143</v>
      </c>
      <c r="D410" s="300" t="s">
        <v>82</v>
      </c>
      <c r="E410" s="141"/>
      <c r="F410" s="296" t="s">
        <v>10</v>
      </c>
      <c r="G410" s="296" t="s">
        <v>1756</v>
      </c>
      <c r="H410" s="143" t="s">
        <v>1603</v>
      </c>
      <c r="I410" s="296" t="s">
        <v>58</v>
      </c>
      <c r="J410" s="296" t="s">
        <v>1757</v>
      </c>
      <c r="K410" s="143" t="s">
        <v>2306</v>
      </c>
      <c r="L410" s="379" t="s">
        <v>2355</v>
      </c>
      <c r="M410" s="409">
        <v>2.8780563E7</v>
      </c>
      <c r="N410" s="409">
        <v>3.1329247E7</v>
      </c>
      <c r="O410" s="367"/>
      <c r="P410" s="367"/>
      <c r="Q410" s="367"/>
      <c r="R410" s="367"/>
      <c r="S410" s="367"/>
      <c r="T410" s="367"/>
      <c r="U410" s="367"/>
      <c r="V410" s="367"/>
      <c r="W410" s="367"/>
      <c r="X410" s="367"/>
      <c r="Y410" s="367"/>
      <c r="Z410" s="367"/>
    </row>
    <row r="411">
      <c r="A411" s="143" t="s">
        <v>1602</v>
      </c>
      <c r="B411" s="369">
        <v>2025.0</v>
      </c>
      <c r="C411" s="296" t="s">
        <v>143</v>
      </c>
      <c r="D411" s="300" t="s">
        <v>82</v>
      </c>
      <c r="E411" s="141"/>
      <c r="F411" s="296" t="s">
        <v>10</v>
      </c>
      <c r="G411" s="296" t="s">
        <v>1756</v>
      </c>
      <c r="H411" s="143" t="s">
        <v>1603</v>
      </c>
      <c r="I411" s="296" t="s">
        <v>58</v>
      </c>
      <c r="J411" s="296" t="s">
        <v>1757</v>
      </c>
      <c r="K411" s="143" t="s">
        <v>2306</v>
      </c>
      <c r="L411" s="379" t="s">
        <v>2356</v>
      </c>
      <c r="M411" s="409">
        <v>2.6871218E7</v>
      </c>
      <c r="N411" s="409">
        <v>3.176906086E9</v>
      </c>
      <c r="O411" s="367"/>
      <c r="P411" s="367"/>
      <c r="Q411" s="367"/>
      <c r="R411" s="367"/>
      <c r="S411" s="367"/>
      <c r="T411" s="367"/>
      <c r="U411" s="367"/>
      <c r="V411" s="367"/>
      <c r="W411" s="367"/>
      <c r="X411" s="367"/>
      <c r="Y411" s="367"/>
      <c r="Z411" s="367"/>
    </row>
    <row r="412">
      <c r="A412" s="143" t="s">
        <v>1602</v>
      </c>
      <c r="B412" s="369">
        <v>2025.0</v>
      </c>
      <c r="C412" s="296" t="s">
        <v>143</v>
      </c>
      <c r="D412" s="300" t="s">
        <v>82</v>
      </c>
      <c r="E412" s="141"/>
      <c r="F412" s="296" t="s">
        <v>10</v>
      </c>
      <c r="G412" s="296" t="s">
        <v>1756</v>
      </c>
      <c r="H412" s="143" t="s">
        <v>1603</v>
      </c>
      <c r="I412" s="296" t="s">
        <v>58</v>
      </c>
      <c r="J412" s="296" t="s">
        <v>1757</v>
      </c>
      <c r="K412" s="143" t="s">
        <v>2306</v>
      </c>
      <c r="L412" s="379" t="s">
        <v>2357</v>
      </c>
      <c r="M412" s="409">
        <v>1.097037535E9</v>
      </c>
      <c r="N412" s="409">
        <v>3.167525014E9</v>
      </c>
      <c r="O412" s="367"/>
      <c r="P412" s="367"/>
      <c r="Q412" s="367"/>
      <c r="R412" s="367"/>
      <c r="S412" s="367"/>
      <c r="T412" s="367"/>
      <c r="U412" s="367"/>
      <c r="V412" s="367"/>
      <c r="W412" s="367"/>
      <c r="X412" s="367"/>
      <c r="Y412" s="367"/>
      <c r="Z412" s="367"/>
    </row>
    <row r="413">
      <c r="A413" s="143" t="s">
        <v>1602</v>
      </c>
      <c r="B413" s="369">
        <v>2025.0</v>
      </c>
      <c r="C413" s="296" t="s">
        <v>143</v>
      </c>
      <c r="D413" s="300" t="s">
        <v>82</v>
      </c>
      <c r="E413" s="141"/>
      <c r="F413" s="296" t="s">
        <v>10</v>
      </c>
      <c r="G413" s="296" t="s">
        <v>1756</v>
      </c>
      <c r="H413" s="143" t="s">
        <v>1603</v>
      </c>
      <c r="I413" s="296" t="s">
        <v>58</v>
      </c>
      <c r="J413" s="296" t="s">
        <v>1757</v>
      </c>
      <c r="K413" s="143" t="s">
        <v>2306</v>
      </c>
      <c r="L413" s="379" t="s">
        <v>2358</v>
      </c>
      <c r="M413" s="409">
        <v>1.013691707E9</v>
      </c>
      <c r="N413" s="409">
        <v>3.026202551E9</v>
      </c>
      <c r="O413" s="367"/>
      <c r="P413" s="367"/>
      <c r="Q413" s="367"/>
      <c r="R413" s="367"/>
      <c r="S413" s="367"/>
      <c r="T413" s="367"/>
      <c r="U413" s="367"/>
      <c r="V413" s="367"/>
      <c r="W413" s="367"/>
      <c r="X413" s="367"/>
      <c r="Y413" s="367"/>
      <c r="Z413" s="367"/>
    </row>
    <row r="414">
      <c r="A414" s="143" t="s">
        <v>1602</v>
      </c>
      <c r="B414" s="369">
        <v>2025.0</v>
      </c>
      <c r="C414" s="296" t="s">
        <v>143</v>
      </c>
      <c r="D414" s="300" t="s">
        <v>82</v>
      </c>
      <c r="E414" s="141"/>
      <c r="F414" s="296" t="s">
        <v>10</v>
      </c>
      <c r="G414" s="296" t="s">
        <v>1756</v>
      </c>
      <c r="H414" s="143" t="s">
        <v>1603</v>
      </c>
      <c r="I414" s="296" t="s">
        <v>58</v>
      </c>
      <c r="J414" s="296" t="s">
        <v>1757</v>
      </c>
      <c r="K414" s="143" t="s">
        <v>2306</v>
      </c>
      <c r="L414" s="379" t="s">
        <v>2359</v>
      </c>
      <c r="M414" s="409">
        <v>1.03066342E9</v>
      </c>
      <c r="N414" s="409">
        <v>3.196337425E9</v>
      </c>
      <c r="O414" s="367"/>
      <c r="P414" s="367"/>
      <c r="Q414" s="367"/>
      <c r="R414" s="367"/>
      <c r="S414" s="367"/>
      <c r="T414" s="367"/>
      <c r="U414" s="367"/>
      <c r="V414" s="367"/>
      <c r="W414" s="367"/>
      <c r="X414" s="367"/>
      <c r="Y414" s="367"/>
      <c r="Z414" s="367"/>
    </row>
    <row r="415">
      <c r="A415" s="143" t="s">
        <v>1602</v>
      </c>
      <c r="B415" s="369">
        <v>2025.0</v>
      </c>
      <c r="C415" s="296" t="s">
        <v>143</v>
      </c>
      <c r="D415" s="300" t="s">
        <v>82</v>
      </c>
      <c r="E415" s="141"/>
      <c r="F415" s="296" t="s">
        <v>10</v>
      </c>
      <c r="G415" s="296" t="s">
        <v>1756</v>
      </c>
      <c r="H415" s="143" t="s">
        <v>1603</v>
      </c>
      <c r="I415" s="296" t="s">
        <v>58</v>
      </c>
      <c r="J415" s="296" t="s">
        <v>1757</v>
      </c>
      <c r="K415" s="143" t="s">
        <v>2306</v>
      </c>
      <c r="L415" s="379" t="s">
        <v>2360</v>
      </c>
      <c r="M415" s="409">
        <v>1.022948452E9</v>
      </c>
      <c r="N415" s="409">
        <v>3.193031501E9</v>
      </c>
      <c r="O415" s="367"/>
      <c r="P415" s="367"/>
      <c r="Q415" s="367"/>
      <c r="R415" s="367"/>
      <c r="S415" s="367"/>
      <c r="T415" s="367"/>
      <c r="U415" s="367"/>
      <c r="V415" s="367"/>
      <c r="W415" s="367"/>
      <c r="X415" s="367"/>
      <c r="Y415" s="367"/>
      <c r="Z415" s="367"/>
    </row>
    <row r="416">
      <c r="A416" s="143" t="s">
        <v>1602</v>
      </c>
      <c r="B416" s="369">
        <v>2025.0</v>
      </c>
      <c r="C416" s="296" t="s">
        <v>143</v>
      </c>
      <c r="D416" s="300" t="s">
        <v>82</v>
      </c>
      <c r="E416" s="141"/>
      <c r="F416" s="296" t="s">
        <v>10</v>
      </c>
      <c r="G416" s="296" t="s">
        <v>1756</v>
      </c>
      <c r="H416" s="143" t="s">
        <v>1603</v>
      </c>
      <c r="I416" s="296" t="s">
        <v>58</v>
      </c>
      <c r="J416" s="296" t="s">
        <v>1757</v>
      </c>
      <c r="K416" s="143" t="s">
        <v>2306</v>
      </c>
      <c r="L416" s="379" t="s">
        <v>2361</v>
      </c>
      <c r="M416" s="409">
        <v>1.000615638E9</v>
      </c>
      <c r="N416" s="409">
        <v>3.223385432E9</v>
      </c>
      <c r="O416" s="367"/>
      <c r="P416" s="367"/>
      <c r="Q416" s="367"/>
      <c r="R416" s="367"/>
      <c r="S416" s="367"/>
      <c r="T416" s="367"/>
      <c r="U416" s="367"/>
      <c r="V416" s="367"/>
      <c r="W416" s="367"/>
      <c r="X416" s="367"/>
      <c r="Y416" s="367"/>
      <c r="Z416" s="367"/>
    </row>
    <row r="417">
      <c r="A417" s="143" t="s">
        <v>1602</v>
      </c>
      <c r="B417" s="369">
        <v>2025.0</v>
      </c>
      <c r="C417" s="296" t="s">
        <v>143</v>
      </c>
      <c r="D417" s="300" t="s">
        <v>82</v>
      </c>
      <c r="E417" s="141"/>
      <c r="F417" s="296" t="s">
        <v>10</v>
      </c>
      <c r="G417" s="296" t="s">
        <v>1756</v>
      </c>
      <c r="H417" s="143" t="s">
        <v>1603</v>
      </c>
      <c r="I417" s="296" t="s">
        <v>58</v>
      </c>
      <c r="J417" s="296" t="s">
        <v>1757</v>
      </c>
      <c r="K417" s="143" t="s">
        <v>2306</v>
      </c>
      <c r="L417" s="379" t="s">
        <v>2362</v>
      </c>
      <c r="M417" s="409">
        <v>8.0021032E7</v>
      </c>
      <c r="N417" s="409">
        <v>3.204382452E9</v>
      </c>
      <c r="O417" s="367"/>
      <c r="P417" s="367"/>
      <c r="Q417" s="367"/>
      <c r="R417" s="367"/>
      <c r="S417" s="367"/>
      <c r="T417" s="367"/>
      <c r="U417" s="367"/>
      <c r="V417" s="367"/>
      <c r="W417" s="367"/>
      <c r="X417" s="367"/>
      <c r="Y417" s="367"/>
      <c r="Z417" s="367"/>
    </row>
    <row r="418">
      <c r="A418" s="143" t="s">
        <v>1602</v>
      </c>
      <c r="B418" s="369">
        <v>2025.0</v>
      </c>
      <c r="C418" s="296" t="s">
        <v>143</v>
      </c>
      <c r="D418" s="300" t="s">
        <v>82</v>
      </c>
      <c r="E418" s="141"/>
      <c r="F418" s="296" t="s">
        <v>10</v>
      </c>
      <c r="G418" s="296" t="s">
        <v>1756</v>
      </c>
      <c r="H418" s="143" t="s">
        <v>1603</v>
      </c>
      <c r="I418" s="296" t="s">
        <v>58</v>
      </c>
      <c r="J418" s="296" t="s">
        <v>1757</v>
      </c>
      <c r="K418" s="143" t="s">
        <v>2306</v>
      </c>
      <c r="L418" s="379" t="s">
        <v>2363</v>
      </c>
      <c r="M418" s="409">
        <v>5.233206E7</v>
      </c>
      <c r="N418" s="409">
        <v>3.124245272E9</v>
      </c>
      <c r="O418" s="367"/>
      <c r="P418" s="367"/>
      <c r="Q418" s="367"/>
      <c r="R418" s="367"/>
      <c r="S418" s="367"/>
      <c r="T418" s="367"/>
      <c r="U418" s="367"/>
      <c r="V418" s="367"/>
      <c r="W418" s="367"/>
      <c r="X418" s="367"/>
      <c r="Y418" s="367"/>
      <c r="Z418" s="367"/>
    </row>
    <row r="419">
      <c r="A419" s="143" t="s">
        <v>1602</v>
      </c>
      <c r="B419" s="369">
        <v>2025.0</v>
      </c>
      <c r="C419" s="296" t="s">
        <v>143</v>
      </c>
      <c r="D419" s="300" t="s">
        <v>82</v>
      </c>
      <c r="E419" s="141"/>
      <c r="F419" s="296" t="s">
        <v>10</v>
      </c>
      <c r="G419" s="296" t="s">
        <v>1756</v>
      </c>
      <c r="H419" s="143" t="s">
        <v>1603</v>
      </c>
      <c r="I419" s="296" t="s">
        <v>58</v>
      </c>
      <c r="J419" s="296" t="s">
        <v>1757</v>
      </c>
      <c r="K419" s="143" t="s">
        <v>2306</v>
      </c>
      <c r="L419" s="379" t="s">
        <v>2364</v>
      </c>
      <c r="M419" s="409">
        <v>1.126908708E9</v>
      </c>
      <c r="N419" s="409">
        <v>3.107913269E9</v>
      </c>
      <c r="O419" s="367"/>
      <c r="P419" s="367"/>
      <c r="Q419" s="367"/>
      <c r="R419" s="367"/>
      <c r="S419" s="367"/>
      <c r="T419" s="367"/>
      <c r="U419" s="367"/>
      <c r="V419" s="367"/>
      <c r="W419" s="367"/>
      <c r="X419" s="367"/>
      <c r="Y419" s="367"/>
      <c r="Z419" s="367"/>
    </row>
    <row r="420">
      <c r="A420" s="143" t="s">
        <v>1602</v>
      </c>
      <c r="B420" s="369">
        <v>2025.0</v>
      </c>
      <c r="C420" s="296" t="s">
        <v>143</v>
      </c>
      <c r="D420" s="300" t="s">
        <v>82</v>
      </c>
      <c r="E420" s="141"/>
      <c r="F420" s="296" t="s">
        <v>10</v>
      </c>
      <c r="G420" s="296" t="s">
        <v>1756</v>
      </c>
      <c r="H420" s="143" t="s">
        <v>1603</v>
      </c>
      <c r="I420" s="296" t="s">
        <v>58</v>
      </c>
      <c r="J420" s="296" t="s">
        <v>1757</v>
      </c>
      <c r="K420" s="143" t="s">
        <v>2306</v>
      </c>
      <c r="L420" s="379" t="s">
        <v>2365</v>
      </c>
      <c r="M420" s="409">
        <v>1.9333516E7</v>
      </c>
      <c r="N420" s="409">
        <v>3.107701284E9</v>
      </c>
      <c r="O420" s="367"/>
      <c r="P420" s="367"/>
      <c r="Q420" s="367"/>
      <c r="R420" s="367"/>
      <c r="S420" s="367"/>
      <c r="T420" s="367"/>
      <c r="U420" s="367"/>
      <c r="V420" s="367"/>
      <c r="W420" s="367"/>
      <c r="X420" s="367"/>
      <c r="Y420" s="367"/>
      <c r="Z420" s="367"/>
    </row>
    <row r="421">
      <c r="A421" s="143" t="s">
        <v>1602</v>
      </c>
      <c r="B421" s="369">
        <v>2025.0</v>
      </c>
      <c r="C421" s="296" t="s">
        <v>143</v>
      </c>
      <c r="D421" s="300" t="s">
        <v>82</v>
      </c>
      <c r="E421" s="141"/>
      <c r="F421" s="296" t="s">
        <v>10</v>
      </c>
      <c r="G421" s="296" t="s">
        <v>1756</v>
      </c>
      <c r="H421" s="143" t="s">
        <v>1603</v>
      </c>
      <c r="I421" s="296" t="s">
        <v>58</v>
      </c>
      <c r="J421" s="296" t="s">
        <v>1757</v>
      </c>
      <c r="K421" s="143" t="s">
        <v>2306</v>
      </c>
      <c r="L421" s="379" t="s">
        <v>2366</v>
      </c>
      <c r="M421" s="409">
        <v>6.5791712E7</v>
      </c>
      <c r="N421" s="409">
        <v>3.124378232E9</v>
      </c>
      <c r="O421" s="367"/>
      <c r="P421" s="367"/>
      <c r="Q421" s="367"/>
      <c r="R421" s="367"/>
      <c r="S421" s="367"/>
      <c r="T421" s="367"/>
      <c r="U421" s="367"/>
      <c r="V421" s="367"/>
      <c r="W421" s="367"/>
      <c r="X421" s="367"/>
      <c r="Y421" s="367"/>
      <c r="Z421" s="367"/>
    </row>
    <row r="422">
      <c r="A422" s="143" t="s">
        <v>1602</v>
      </c>
      <c r="B422" s="369">
        <v>2025.0</v>
      </c>
      <c r="C422" s="296" t="s">
        <v>143</v>
      </c>
      <c r="D422" s="300" t="s">
        <v>82</v>
      </c>
      <c r="E422" s="141"/>
      <c r="F422" s="296" t="s">
        <v>10</v>
      </c>
      <c r="G422" s="296" t="s">
        <v>1756</v>
      </c>
      <c r="H422" s="143" t="s">
        <v>1603</v>
      </c>
      <c r="I422" s="296" t="s">
        <v>58</v>
      </c>
      <c r="J422" s="296" t="s">
        <v>1757</v>
      </c>
      <c r="K422" s="143" t="s">
        <v>2306</v>
      </c>
      <c r="L422" s="379" t="s">
        <v>2367</v>
      </c>
      <c r="M422" s="409">
        <v>5.2232429E7</v>
      </c>
      <c r="N422" s="409">
        <v>3.125826355E9</v>
      </c>
      <c r="O422" s="367"/>
      <c r="P422" s="367"/>
      <c r="Q422" s="367"/>
      <c r="R422" s="367"/>
      <c r="S422" s="367"/>
      <c r="T422" s="367"/>
      <c r="U422" s="367"/>
      <c r="V422" s="367"/>
      <c r="W422" s="367"/>
      <c r="X422" s="367"/>
      <c r="Y422" s="367"/>
      <c r="Z422" s="367"/>
    </row>
    <row r="423">
      <c r="A423" s="143" t="s">
        <v>1602</v>
      </c>
      <c r="B423" s="369">
        <v>2025.0</v>
      </c>
      <c r="C423" s="296" t="s">
        <v>143</v>
      </c>
      <c r="D423" s="300" t="s">
        <v>82</v>
      </c>
      <c r="E423" s="141"/>
      <c r="F423" s="296" t="s">
        <v>10</v>
      </c>
      <c r="G423" s="296" t="s">
        <v>1756</v>
      </c>
      <c r="H423" s="143" t="s">
        <v>1603</v>
      </c>
      <c r="I423" s="296" t="s">
        <v>58</v>
      </c>
      <c r="J423" s="296" t="s">
        <v>1757</v>
      </c>
      <c r="K423" s="143" t="s">
        <v>2306</v>
      </c>
      <c r="L423" s="379" t="s">
        <v>2368</v>
      </c>
      <c r="M423" s="409">
        <v>1.117490581E9</v>
      </c>
      <c r="N423" s="409">
        <v>3.12355052E9</v>
      </c>
      <c r="O423" s="367"/>
      <c r="P423" s="367"/>
      <c r="Q423" s="367"/>
      <c r="R423" s="367"/>
      <c r="S423" s="367"/>
      <c r="T423" s="367"/>
      <c r="U423" s="367"/>
      <c r="V423" s="367"/>
      <c r="W423" s="367"/>
      <c r="X423" s="367"/>
      <c r="Y423" s="367"/>
      <c r="Z423" s="367"/>
    </row>
    <row r="424">
      <c r="A424" s="143" t="s">
        <v>1602</v>
      </c>
      <c r="B424" s="369">
        <v>2025.0</v>
      </c>
      <c r="C424" s="296" t="s">
        <v>143</v>
      </c>
      <c r="D424" s="300" t="s">
        <v>82</v>
      </c>
      <c r="E424" s="141"/>
      <c r="F424" s="296" t="s">
        <v>10</v>
      </c>
      <c r="G424" s="296" t="s">
        <v>1756</v>
      </c>
      <c r="H424" s="143" t="s">
        <v>1603</v>
      </c>
      <c r="I424" s="296" t="s">
        <v>58</v>
      </c>
      <c r="J424" s="296" t="s">
        <v>1757</v>
      </c>
      <c r="K424" s="143" t="s">
        <v>2306</v>
      </c>
      <c r="L424" s="379" t="s">
        <v>2369</v>
      </c>
      <c r="M424" s="409">
        <v>1.001345172E9</v>
      </c>
      <c r="N424" s="409">
        <v>3.158239039E9</v>
      </c>
      <c r="O424" s="367"/>
      <c r="P424" s="367"/>
      <c r="Q424" s="367"/>
      <c r="R424" s="367"/>
      <c r="S424" s="367"/>
      <c r="T424" s="367"/>
      <c r="U424" s="367"/>
      <c r="V424" s="367"/>
      <c r="W424" s="367"/>
      <c r="X424" s="367"/>
      <c r="Y424" s="367"/>
      <c r="Z424" s="367"/>
    </row>
    <row r="425">
      <c r="A425" s="143" t="s">
        <v>1602</v>
      </c>
      <c r="B425" s="369">
        <v>2025.0</v>
      </c>
      <c r="C425" s="296" t="s">
        <v>143</v>
      </c>
      <c r="D425" s="300" t="s">
        <v>82</v>
      </c>
      <c r="E425" s="141"/>
      <c r="F425" s="296" t="s">
        <v>10</v>
      </c>
      <c r="G425" s="296" t="s">
        <v>1756</v>
      </c>
      <c r="H425" s="143" t="s">
        <v>1603</v>
      </c>
      <c r="I425" s="296" t="s">
        <v>58</v>
      </c>
      <c r="J425" s="296" t="s">
        <v>1757</v>
      </c>
      <c r="K425" s="143" t="s">
        <v>2306</v>
      </c>
      <c r="L425" s="379" t="s">
        <v>2370</v>
      </c>
      <c r="M425" s="409">
        <v>5.1879254E7</v>
      </c>
      <c r="N425" s="409">
        <v>3.134659871E9</v>
      </c>
      <c r="O425" s="367"/>
      <c r="P425" s="367"/>
      <c r="Q425" s="367"/>
      <c r="R425" s="367"/>
      <c r="S425" s="367"/>
      <c r="T425" s="367"/>
      <c r="U425" s="367"/>
      <c r="V425" s="367"/>
      <c r="W425" s="367"/>
      <c r="X425" s="367"/>
      <c r="Y425" s="367"/>
      <c r="Z425" s="367"/>
    </row>
    <row r="426">
      <c r="A426" s="143" t="s">
        <v>1602</v>
      </c>
      <c r="B426" s="369">
        <v>2025.0</v>
      </c>
      <c r="C426" s="296" t="s">
        <v>143</v>
      </c>
      <c r="D426" s="300" t="s">
        <v>82</v>
      </c>
      <c r="E426" s="141"/>
      <c r="F426" s="296" t="s">
        <v>10</v>
      </c>
      <c r="G426" s="296" t="s">
        <v>1756</v>
      </c>
      <c r="H426" s="143" t="s">
        <v>1603</v>
      </c>
      <c r="I426" s="296" t="s">
        <v>58</v>
      </c>
      <c r="J426" s="296" t="s">
        <v>1757</v>
      </c>
      <c r="K426" s="143" t="s">
        <v>2306</v>
      </c>
      <c r="L426" s="379" t="s">
        <v>2371</v>
      </c>
      <c r="M426" s="409">
        <v>1.024508122E9</v>
      </c>
      <c r="N426" s="409">
        <v>3.125495511E9</v>
      </c>
      <c r="O426" s="367"/>
      <c r="P426" s="367"/>
      <c r="Q426" s="367"/>
      <c r="R426" s="367"/>
      <c r="S426" s="367"/>
      <c r="T426" s="367"/>
      <c r="U426" s="367"/>
      <c r="V426" s="367"/>
      <c r="W426" s="367"/>
      <c r="X426" s="367"/>
      <c r="Y426" s="367"/>
      <c r="Z426" s="367"/>
    </row>
    <row r="427">
      <c r="A427" s="143" t="s">
        <v>1602</v>
      </c>
      <c r="B427" s="369">
        <v>2025.0</v>
      </c>
      <c r="C427" s="296" t="s">
        <v>143</v>
      </c>
      <c r="D427" s="300" t="s">
        <v>82</v>
      </c>
      <c r="E427" s="141"/>
      <c r="F427" s="296" t="s">
        <v>10</v>
      </c>
      <c r="G427" s="296" t="s">
        <v>1756</v>
      </c>
      <c r="H427" s="143" t="s">
        <v>1603</v>
      </c>
      <c r="I427" s="296" t="s">
        <v>58</v>
      </c>
      <c r="J427" s="296" t="s">
        <v>1757</v>
      </c>
      <c r="K427" s="143" t="s">
        <v>2306</v>
      </c>
      <c r="L427" s="379" t="s">
        <v>2372</v>
      </c>
      <c r="M427" s="409">
        <v>5.1726853E7</v>
      </c>
      <c r="N427" s="409">
        <v>3.13894573E9</v>
      </c>
      <c r="O427" s="367"/>
      <c r="P427" s="367"/>
      <c r="Q427" s="367"/>
      <c r="R427" s="367"/>
      <c r="S427" s="367"/>
      <c r="T427" s="367"/>
      <c r="U427" s="367"/>
      <c r="V427" s="367"/>
      <c r="W427" s="367"/>
      <c r="X427" s="367"/>
      <c r="Y427" s="367"/>
      <c r="Z427" s="367"/>
    </row>
    <row r="428">
      <c r="A428" s="143" t="s">
        <v>1602</v>
      </c>
      <c r="B428" s="369">
        <v>2025.0</v>
      </c>
      <c r="C428" s="296" t="s">
        <v>143</v>
      </c>
      <c r="D428" s="300" t="s">
        <v>82</v>
      </c>
      <c r="E428" s="141"/>
      <c r="F428" s="296" t="s">
        <v>10</v>
      </c>
      <c r="G428" s="296" t="s">
        <v>1756</v>
      </c>
      <c r="H428" s="143" t="s">
        <v>1603</v>
      </c>
      <c r="I428" s="296" t="s">
        <v>58</v>
      </c>
      <c r="J428" s="296" t="s">
        <v>1757</v>
      </c>
      <c r="K428" s="143" t="s">
        <v>2306</v>
      </c>
      <c r="L428" s="379" t="s">
        <v>2373</v>
      </c>
      <c r="M428" s="409">
        <v>4.031694E7</v>
      </c>
      <c r="N428" s="409">
        <v>3.194194475E9</v>
      </c>
      <c r="O428" s="367"/>
      <c r="P428" s="367"/>
      <c r="Q428" s="367"/>
      <c r="R428" s="367"/>
      <c r="S428" s="367"/>
      <c r="T428" s="367"/>
      <c r="U428" s="367"/>
      <c r="V428" s="367"/>
      <c r="W428" s="367"/>
      <c r="X428" s="367"/>
      <c r="Y428" s="367"/>
      <c r="Z428" s="367"/>
    </row>
    <row r="429">
      <c r="A429" s="143" t="s">
        <v>1602</v>
      </c>
      <c r="B429" s="369">
        <v>2025.0</v>
      </c>
      <c r="C429" s="296" t="s">
        <v>143</v>
      </c>
      <c r="D429" s="300" t="s">
        <v>82</v>
      </c>
      <c r="E429" s="141"/>
      <c r="F429" s="296" t="s">
        <v>10</v>
      </c>
      <c r="G429" s="296" t="s">
        <v>1756</v>
      </c>
      <c r="H429" s="143" t="s">
        <v>1603</v>
      </c>
      <c r="I429" s="296" t="s">
        <v>58</v>
      </c>
      <c r="J429" s="296" t="s">
        <v>1757</v>
      </c>
      <c r="K429" s="143" t="s">
        <v>2306</v>
      </c>
      <c r="L429" s="379" t="s">
        <v>2374</v>
      </c>
      <c r="M429" s="409">
        <v>2.8799713E7</v>
      </c>
      <c r="N429" s="409">
        <v>3.133900163E9</v>
      </c>
      <c r="O429" s="367"/>
      <c r="P429" s="367"/>
      <c r="Q429" s="367"/>
      <c r="R429" s="367"/>
      <c r="S429" s="367"/>
      <c r="T429" s="367"/>
      <c r="U429" s="367"/>
      <c r="V429" s="367"/>
      <c r="W429" s="367"/>
      <c r="X429" s="367"/>
      <c r="Y429" s="367"/>
      <c r="Z429" s="367"/>
    </row>
    <row r="430">
      <c r="A430" s="143" t="s">
        <v>1602</v>
      </c>
      <c r="B430" s="369">
        <v>2025.0</v>
      </c>
      <c r="C430" s="296" t="s">
        <v>143</v>
      </c>
      <c r="D430" s="300" t="s">
        <v>82</v>
      </c>
      <c r="E430" s="141"/>
      <c r="F430" s="296" t="s">
        <v>10</v>
      </c>
      <c r="G430" s="296" t="s">
        <v>1756</v>
      </c>
      <c r="H430" s="143" t="s">
        <v>1603</v>
      </c>
      <c r="I430" s="296" t="s">
        <v>58</v>
      </c>
      <c r="J430" s="296" t="s">
        <v>1757</v>
      </c>
      <c r="K430" s="143" t="s">
        <v>2306</v>
      </c>
      <c r="L430" s="379" t="s">
        <v>2375</v>
      </c>
      <c r="M430" s="409">
        <v>1.070330117E9</v>
      </c>
      <c r="N430" s="409">
        <v>3.017883572E9</v>
      </c>
      <c r="O430" s="367"/>
      <c r="P430" s="367"/>
      <c r="Q430" s="367"/>
      <c r="R430" s="367"/>
      <c r="S430" s="367"/>
      <c r="T430" s="367"/>
      <c r="U430" s="367"/>
      <c r="V430" s="367"/>
      <c r="W430" s="367"/>
      <c r="X430" s="367"/>
      <c r="Y430" s="367"/>
      <c r="Z430" s="367"/>
    </row>
    <row r="431">
      <c r="A431" s="143" t="s">
        <v>1602</v>
      </c>
      <c r="B431" s="369">
        <v>2025.0</v>
      </c>
      <c r="C431" s="296" t="s">
        <v>143</v>
      </c>
      <c r="D431" s="300" t="s">
        <v>82</v>
      </c>
      <c r="E431" s="141"/>
      <c r="F431" s="296" t="s">
        <v>10</v>
      </c>
      <c r="G431" s="296" t="s">
        <v>1756</v>
      </c>
      <c r="H431" s="143" t="s">
        <v>1603</v>
      </c>
      <c r="I431" s="296" t="s">
        <v>58</v>
      </c>
      <c r="J431" s="296" t="s">
        <v>1757</v>
      </c>
      <c r="K431" s="143" t="s">
        <v>2306</v>
      </c>
      <c r="L431" s="379" t="s">
        <v>2376</v>
      </c>
      <c r="M431" s="409">
        <v>1.02629086E9</v>
      </c>
      <c r="N431" s="409">
        <v>3.045927014E9</v>
      </c>
      <c r="O431" s="367"/>
      <c r="P431" s="367"/>
      <c r="Q431" s="367"/>
      <c r="R431" s="367"/>
      <c r="S431" s="367"/>
      <c r="T431" s="367"/>
      <c r="U431" s="367"/>
      <c r="V431" s="367"/>
      <c r="W431" s="367"/>
      <c r="X431" s="367"/>
      <c r="Y431" s="367"/>
      <c r="Z431" s="367"/>
    </row>
    <row r="432">
      <c r="A432" s="143" t="s">
        <v>1602</v>
      </c>
      <c r="B432" s="369">
        <v>2025.0</v>
      </c>
      <c r="C432" s="296" t="s">
        <v>143</v>
      </c>
      <c r="D432" s="300" t="s">
        <v>82</v>
      </c>
      <c r="E432" s="141"/>
      <c r="F432" s="296" t="s">
        <v>10</v>
      </c>
      <c r="G432" s="296" t="s">
        <v>1756</v>
      </c>
      <c r="H432" s="143" t="s">
        <v>1603</v>
      </c>
      <c r="I432" s="296" t="s">
        <v>58</v>
      </c>
      <c r="J432" s="296" t="s">
        <v>1757</v>
      </c>
      <c r="K432" s="143" t="s">
        <v>2306</v>
      </c>
      <c r="L432" s="379" t="s">
        <v>2377</v>
      </c>
      <c r="M432" s="409">
        <v>5.2274709E7</v>
      </c>
      <c r="N432" s="409">
        <v>3.045218724E9</v>
      </c>
      <c r="O432" s="367"/>
      <c r="P432" s="367"/>
      <c r="Q432" s="367"/>
      <c r="R432" s="367"/>
      <c r="S432" s="367"/>
      <c r="T432" s="367"/>
      <c r="U432" s="367"/>
      <c r="V432" s="367"/>
      <c r="W432" s="367"/>
      <c r="X432" s="367"/>
      <c r="Y432" s="367"/>
      <c r="Z432" s="367"/>
    </row>
    <row r="433">
      <c r="A433" s="143" t="s">
        <v>1602</v>
      </c>
      <c r="B433" s="369">
        <v>2025.0</v>
      </c>
      <c r="C433" s="296" t="s">
        <v>143</v>
      </c>
      <c r="D433" s="300" t="s">
        <v>82</v>
      </c>
      <c r="E433" s="141"/>
      <c r="F433" s="296" t="s">
        <v>10</v>
      </c>
      <c r="G433" s="296" t="s">
        <v>1756</v>
      </c>
      <c r="H433" s="143" t="s">
        <v>1603</v>
      </c>
      <c r="I433" s="296" t="s">
        <v>58</v>
      </c>
      <c r="J433" s="296" t="s">
        <v>1757</v>
      </c>
      <c r="K433" s="143" t="s">
        <v>2306</v>
      </c>
      <c r="L433" s="379" t="s">
        <v>2378</v>
      </c>
      <c r="M433" s="409">
        <v>1.082999265E9</v>
      </c>
      <c r="N433" s="409">
        <v>3.10637747E9</v>
      </c>
      <c r="O433" s="367"/>
      <c r="P433" s="367"/>
      <c r="Q433" s="367"/>
      <c r="R433" s="367"/>
      <c r="S433" s="367"/>
      <c r="T433" s="367"/>
      <c r="U433" s="367"/>
      <c r="V433" s="367"/>
      <c r="W433" s="367"/>
      <c r="X433" s="367"/>
      <c r="Y433" s="367"/>
      <c r="Z433" s="367"/>
    </row>
    <row r="434">
      <c r="A434" s="143" t="s">
        <v>1602</v>
      </c>
      <c r="B434" s="369">
        <v>2025.0</v>
      </c>
      <c r="C434" s="296" t="s">
        <v>143</v>
      </c>
      <c r="D434" s="300" t="s">
        <v>82</v>
      </c>
      <c r="E434" s="141"/>
      <c r="F434" s="296" t="s">
        <v>10</v>
      </c>
      <c r="G434" s="296" t="s">
        <v>1756</v>
      </c>
      <c r="H434" s="143" t="s">
        <v>1603</v>
      </c>
      <c r="I434" s="296" t="s">
        <v>58</v>
      </c>
      <c r="J434" s="296" t="s">
        <v>1757</v>
      </c>
      <c r="K434" s="143" t="s">
        <v>2306</v>
      </c>
      <c r="L434" s="379" t="s">
        <v>2379</v>
      </c>
      <c r="M434" s="409">
        <v>1.082948436E9</v>
      </c>
      <c r="N434" s="409">
        <v>3.10637747E9</v>
      </c>
      <c r="O434" s="367"/>
      <c r="P434" s="367"/>
      <c r="Q434" s="367"/>
      <c r="R434" s="367"/>
      <c r="S434" s="367"/>
      <c r="T434" s="367"/>
      <c r="U434" s="367"/>
      <c r="V434" s="367"/>
      <c r="W434" s="367"/>
      <c r="X434" s="367"/>
      <c r="Y434" s="367"/>
      <c r="Z434" s="367"/>
    </row>
    <row r="435">
      <c r="A435" s="143" t="s">
        <v>1602</v>
      </c>
      <c r="B435" s="369">
        <v>2025.0</v>
      </c>
      <c r="C435" s="296" t="s">
        <v>143</v>
      </c>
      <c r="D435" s="300" t="s">
        <v>82</v>
      </c>
      <c r="E435" s="141"/>
      <c r="F435" s="296" t="s">
        <v>10</v>
      </c>
      <c r="G435" s="296" t="s">
        <v>1756</v>
      </c>
      <c r="H435" s="143" t="s">
        <v>1603</v>
      </c>
      <c r="I435" s="296" t="s">
        <v>58</v>
      </c>
      <c r="J435" s="296" t="s">
        <v>1757</v>
      </c>
      <c r="K435" s="143" t="s">
        <v>2306</v>
      </c>
      <c r="L435" s="379" t="s">
        <v>2380</v>
      </c>
      <c r="M435" s="409">
        <v>1.032375956E9</v>
      </c>
      <c r="N435" s="409">
        <v>3.172288566E9</v>
      </c>
      <c r="O435" s="367"/>
      <c r="P435" s="367"/>
      <c r="Q435" s="367"/>
      <c r="R435" s="367"/>
      <c r="S435" s="367"/>
      <c r="T435" s="367"/>
      <c r="U435" s="367"/>
      <c r="V435" s="367"/>
      <c r="W435" s="367"/>
      <c r="X435" s="367"/>
      <c r="Y435" s="367"/>
      <c r="Z435" s="367"/>
    </row>
    <row r="436">
      <c r="A436" s="143" t="s">
        <v>1602</v>
      </c>
      <c r="B436" s="369">
        <v>2025.0</v>
      </c>
      <c r="C436" s="296" t="s">
        <v>143</v>
      </c>
      <c r="D436" s="300" t="s">
        <v>82</v>
      </c>
      <c r="E436" s="141"/>
      <c r="F436" s="296" t="s">
        <v>10</v>
      </c>
      <c r="G436" s="296" t="s">
        <v>1756</v>
      </c>
      <c r="H436" s="143" t="s">
        <v>1603</v>
      </c>
      <c r="I436" s="296" t="s">
        <v>58</v>
      </c>
      <c r="J436" s="296" t="s">
        <v>1757</v>
      </c>
      <c r="K436" s="143" t="s">
        <v>2306</v>
      </c>
      <c r="L436" s="379" t="s">
        <v>2381</v>
      </c>
      <c r="M436" s="409">
        <v>2.4294126E7</v>
      </c>
      <c r="N436" s="409">
        <v>3.005507987E9</v>
      </c>
      <c r="O436" s="367"/>
      <c r="P436" s="367"/>
      <c r="Q436" s="367"/>
      <c r="R436" s="367"/>
      <c r="S436" s="367"/>
      <c r="T436" s="367"/>
      <c r="U436" s="367"/>
      <c r="V436" s="367"/>
      <c r="W436" s="367"/>
      <c r="X436" s="367"/>
      <c r="Y436" s="367"/>
      <c r="Z436" s="367"/>
    </row>
    <row r="437">
      <c r="A437" s="387" t="s">
        <v>1602</v>
      </c>
      <c r="B437" s="383">
        <v>2025.0</v>
      </c>
      <c r="C437" s="384" t="s">
        <v>143</v>
      </c>
      <c r="D437" s="385" t="s">
        <v>82</v>
      </c>
      <c r="E437" s="386"/>
      <c r="F437" s="384" t="s">
        <v>10</v>
      </c>
      <c r="G437" s="384" t="s">
        <v>1756</v>
      </c>
      <c r="H437" s="387" t="s">
        <v>1603</v>
      </c>
      <c r="I437" s="384" t="s">
        <v>58</v>
      </c>
      <c r="J437" s="384" t="s">
        <v>1757</v>
      </c>
      <c r="K437" s="387" t="s">
        <v>2306</v>
      </c>
      <c r="L437" s="388" t="s">
        <v>2382</v>
      </c>
      <c r="M437" s="410">
        <v>1.023874071E9</v>
      </c>
      <c r="N437" s="410">
        <v>3.123955517E9</v>
      </c>
      <c r="O437" s="382"/>
      <c r="P437" s="382"/>
      <c r="Q437" s="382"/>
      <c r="R437" s="382"/>
      <c r="S437" s="382"/>
      <c r="T437" s="382"/>
      <c r="U437" s="382"/>
      <c r="V437" s="382"/>
      <c r="W437" s="382"/>
      <c r="X437" s="382"/>
      <c r="Y437" s="382"/>
      <c r="Z437" s="382"/>
    </row>
    <row r="438">
      <c r="A438" s="411" t="s">
        <v>2383</v>
      </c>
      <c r="B438" s="412">
        <v>2025.0</v>
      </c>
      <c r="C438" s="413" t="s">
        <v>711</v>
      </c>
      <c r="D438" s="414" t="s">
        <v>82</v>
      </c>
      <c r="E438" s="415"/>
      <c r="F438" s="413" t="s">
        <v>10</v>
      </c>
      <c r="G438" s="413" t="s">
        <v>1756</v>
      </c>
      <c r="H438" s="411" t="s">
        <v>1651</v>
      </c>
      <c r="I438" s="413" t="s">
        <v>58</v>
      </c>
      <c r="J438" s="413" t="s">
        <v>1757</v>
      </c>
      <c r="K438" s="411" t="s">
        <v>1488</v>
      </c>
      <c r="L438" s="408" t="s">
        <v>2384</v>
      </c>
      <c r="M438" s="408">
        <v>4.1606021E7</v>
      </c>
      <c r="N438" s="408">
        <v>3.214530687E9</v>
      </c>
      <c r="O438" s="416"/>
      <c r="P438" s="390"/>
      <c r="Q438" s="390"/>
      <c r="R438" s="390"/>
      <c r="S438" s="390"/>
      <c r="T438" s="390"/>
      <c r="U438" s="390"/>
      <c r="V438" s="390"/>
      <c r="W438" s="390"/>
      <c r="X438" s="390"/>
      <c r="Y438" s="390"/>
      <c r="Z438" s="390"/>
    </row>
    <row r="439">
      <c r="A439" s="143" t="s">
        <v>2383</v>
      </c>
      <c r="B439" s="369">
        <v>2025.0</v>
      </c>
      <c r="C439" s="296" t="s">
        <v>711</v>
      </c>
      <c r="D439" s="300" t="s">
        <v>82</v>
      </c>
      <c r="E439" s="141"/>
      <c r="F439" s="296" t="s">
        <v>10</v>
      </c>
      <c r="G439" s="296" t="s">
        <v>1756</v>
      </c>
      <c r="H439" s="143" t="s">
        <v>1651</v>
      </c>
      <c r="I439" s="296" t="s">
        <v>58</v>
      </c>
      <c r="J439" s="296" t="s">
        <v>1757</v>
      </c>
      <c r="K439" s="143" t="s">
        <v>1488</v>
      </c>
      <c r="L439" s="119" t="s">
        <v>2385</v>
      </c>
      <c r="M439" s="119">
        <v>7.93831E7</v>
      </c>
      <c r="N439" s="119">
        <v>3.134615271E9</v>
      </c>
      <c r="O439" s="417"/>
      <c r="P439" s="367"/>
      <c r="Q439" s="367"/>
      <c r="R439" s="367"/>
      <c r="S439" s="367"/>
      <c r="T439" s="367"/>
      <c r="U439" s="367"/>
      <c r="V439" s="367"/>
      <c r="W439" s="367"/>
      <c r="X439" s="367"/>
      <c r="Y439" s="367"/>
      <c r="Z439" s="367"/>
    </row>
    <row r="440">
      <c r="A440" s="143" t="s">
        <v>2383</v>
      </c>
      <c r="B440" s="369">
        <v>2025.0</v>
      </c>
      <c r="C440" s="296" t="s">
        <v>711</v>
      </c>
      <c r="D440" s="300" t="s">
        <v>82</v>
      </c>
      <c r="E440" s="141"/>
      <c r="F440" s="296" t="s">
        <v>10</v>
      </c>
      <c r="G440" s="296" t="s">
        <v>1756</v>
      </c>
      <c r="H440" s="143" t="s">
        <v>1651</v>
      </c>
      <c r="I440" s="296" t="s">
        <v>58</v>
      </c>
      <c r="J440" s="296" t="s">
        <v>1757</v>
      </c>
      <c r="K440" s="143" t="s">
        <v>1488</v>
      </c>
      <c r="L440" s="119" t="s">
        <v>2386</v>
      </c>
      <c r="M440" s="119">
        <v>1.022947041E9</v>
      </c>
      <c r="N440" s="119">
        <v>3.217950184E9</v>
      </c>
      <c r="O440" s="417"/>
      <c r="P440" s="367"/>
      <c r="Q440" s="367"/>
      <c r="R440" s="367"/>
      <c r="S440" s="367"/>
      <c r="T440" s="367"/>
      <c r="U440" s="367"/>
      <c r="V440" s="367"/>
      <c r="W440" s="367"/>
      <c r="X440" s="367"/>
      <c r="Y440" s="367"/>
      <c r="Z440" s="367"/>
    </row>
    <row r="441">
      <c r="A441" s="143" t="s">
        <v>2383</v>
      </c>
      <c r="B441" s="369">
        <v>2025.0</v>
      </c>
      <c r="C441" s="296" t="s">
        <v>711</v>
      </c>
      <c r="D441" s="300" t="s">
        <v>82</v>
      </c>
      <c r="E441" s="141"/>
      <c r="F441" s="296" t="s">
        <v>10</v>
      </c>
      <c r="G441" s="296" t="s">
        <v>1756</v>
      </c>
      <c r="H441" s="143" t="s">
        <v>1651</v>
      </c>
      <c r="I441" s="296" t="s">
        <v>58</v>
      </c>
      <c r="J441" s="296" t="s">
        <v>1757</v>
      </c>
      <c r="K441" s="143" t="s">
        <v>1488</v>
      </c>
      <c r="L441" s="119" t="s">
        <v>2387</v>
      </c>
      <c r="M441" s="119">
        <v>7.9204043E7</v>
      </c>
      <c r="N441" s="119">
        <v>3.162888402E9</v>
      </c>
      <c r="O441" s="417"/>
      <c r="P441" s="367"/>
      <c r="Q441" s="367"/>
      <c r="R441" s="367"/>
      <c r="S441" s="367"/>
      <c r="T441" s="367"/>
      <c r="U441" s="367"/>
      <c r="V441" s="367"/>
      <c r="W441" s="367"/>
      <c r="X441" s="367"/>
      <c r="Y441" s="367"/>
      <c r="Z441" s="367"/>
    </row>
    <row r="442">
      <c r="A442" s="143" t="s">
        <v>2383</v>
      </c>
      <c r="B442" s="369">
        <v>2025.0</v>
      </c>
      <c r="C442" s="296" t="s">
        <v>711</v>
      </c>
      <c r="D442" s="300" t="s">
        <v>82</v>
      </c>
      <c r="E442" s="141"/>
      <c r="F442" s="296" t="s">
        <v>10</v>
      </c>
      <c r="G442" s="296" t="s">
        <v>1756</v>
      </c>
      <c r="H442" s="143" t="s">
        <v>1651</v>
      </c>
      <c r="I442" s="296" t="s">
        <v>58</v>
      </c>
      <c r="J442" s="296" t="s">
        <v>1757</v>
      </c>
      <c r="K442" s="143" t="s">
        <v>1488</v>
      </c>
      <c r="L442" s="119" t="s">
        <v>2388</v>
      </c>
      <c r="M442" s="119">
        <v>5.2017258E7</v>
      </c>
      <c r="N442" s="119">
        <v>3.223315984E9</v>
      </c>
      <c r="O442" s="417"/>
      <c r="P442" s="367"/>
      <c r="Q442" s="367"/>
      <c r="R442" s="367"/>
      <c r="S442" s="367"/>
      <c r="T442" s="367"/>
      <c r="U442" s="367"/>
      <c r="V442" s="367"/>
      <c r="W442" s="367"/>
      <c r="X442" s="367"/>
      <c r="Y442" s="367"/>
      <c r="Z442" s="367"/>
    </row>
    <row r="443">
      <c r="A443" s="143" t="s">
        <v>2383</v>
      </c>
      <c r="B443" s="369">
        <v>2025.0</v>
      </c>
      <c r="C443" s="296" t="s">
        <v>711</v>
      </c>
      <c r="D443" s="300" t="s">
        <v>82</v>
      </c>
      <c r="E443" s="141"/>
      <c r="F443" s="296" t="s">
        <v>10</v>
      </c>
      <c r="G443" s="296" t="s">
        <v>1756</v>
      </c>
      <c r="H443" s="143" t="s">
        <v>1651</v>
      </c>
      <c r="I443" s="296" t="s">
        <v>58</v>
      </c>
      <c r="J443" s="296" t="s">
        <v>1757</v>
      </c>
      <c r="K443" s="143" t="s">
        <v>1488</v>
      </c>
      <c r="L443" s="119" t="s">
        <v>2389</v>
      </c>
      <c r="M443" s="119">
        <v>4.1350223E7</v>
      </c>
      <c r="N443" s="119">
        <v>6.017001386E9</v>
      </c>
      <c r="O443" s="417"/>
      <c r="P443" s="367"/>
      <c r="Q443" s="367"/>
      <c r="R443" s="367"/>
      <c r="S443" s="367"/>
      <c r="T443" s="367"/>
      <c r="U443" s="367"/>
      <c r="V443" s="367"/>
      <c r="W443" s="367"/>
      <c r="X443" s="367"/>
      <c r="Y443" s="367"/>
      <c r="Z443" s="367"/>
    </row>
    <row r="444">
      <c r="A444" s="143" t="s">
        <v>2383</v>
      </c>
      <c r="B444" s="369">
        <v>2025.0</v>
      </c>
      <c r="C444" s="296" t="s">
        <v>711</v>
      </c>
      <c r="D444" s="300" t="s">
        <v>82</v>
      </c>
      <c r="E444" s="141"/>
      <c r="F444" s="296" t="s">
        <v>10</v>
      </c>
      <c r="G444" s="296" t="s">
        <v>1756</v>
      </c>
      <c r="H444" s="143" t="s">
        <v>1651</v>
      </c>
      <c r="I444" s="296" t="s">
        <v>58</v>
      </c>
      <c r="J444" s="296" t="s">
        <v>1757</v>
      </c>
      <c r="K444" s="143" t="s">
        <v>1488</v>
      </c>
      <c r="L444" s="119" t="s">
        <v>2390</v>
      </c>
      <c r="M444" s="119">
        <v>1.9404378E7</v>
      </c>
      <c r="N444" s="119">
        <v>3.023175522E9</v>
      </c>
      <c r="O444" s="417"/>
      <c r="P444" s="367"/>
      <c r="Q444" s="367"/>
      <c r="R444" s="367"/>
      <c r="S444" s="367"/>
      <c r="T444" s="367"/>
      <c r="U444" s="367"/>
      <c r="V444" s="367"/>
      <c r="W444" s="367"/>
      <c r="X444" s="367"/>
      <c r="Y444" s="367"/>
      <c r="Z444" s="367"/>
    </row>
    <row r="445">
      <c r="A445" s="143" t="s">
        <v>2383</v>
      </c>
      <c r="B445" s="369">
        <v>2025.0</v>
      </c>
      <c r="C445" s="296" t="s">
        <v>711</v>
      </c>
      <c r="D445" s="300" t="s">
        <v>82</v>
      </c>
      <c r="E445" s="141"/>
      <c r="F445" s="296" t="s">
        <v>10</v>
      </c>
      <c r="G445" s="296" t="s">
        <v>1756</v>
      </c>
      <c r="H445" s="143" t="s">
        <v>1651</v>
      </c>
      <c r="I445" s="296" t="s">
        <v>58</v>
      </c>
      <c r="J445" s="296" t="s">
        <v>1757</v>
      </c>
      <c r="K445" s="143" t="s">
        <v>1488</v>
      </c>
      <c r="L445" s="119" t="s">
        <v>2391</v>
      </c>
      <c r="M445" s="119">
        <v>1.9645628E7</v>
      </c>
      <c r="N445" s="119">
        <v>3.146291406E9</v>
      </c>
      <c r="O445" s="417"/>
      <c r="P445" s="367"/>
      <c r="Q445" s="367"/>
      <c r="R445" s="367"/>
      <c r="S445" s="367"/>
      <c r="T445" s="367"/>
      <c r="U445" s="367"/>
      <c r="V445" s="367"/>
      <c r="W445" s="367"/>
      <c r="X445" s="367"/>
      <c r="Y445" s="367"/>
      <c r="Z445" s="367"/>
    </row>
    <row r="446">
      <c r="A446" s="143" t="s">
        <v>2383</v>
      </c>
      <c r="B446" s="369">
        <v>2025.0</v>
      </c>
      <c r="C446" s="296" t="s">
        <v>711</v>
      </c>
      <c r="D446" s="300" t="s">
        <v>82</v>
      </c>
      <c r="E446" s="141"/>
      <c r="F446" s="296" t="s">
        <v>10</v>
      </c>
      <c r="G446" s="296" t="s">
        <v>1756</v>
      </c>
      <c r="H446" s="143" t="s">
        <v>1651</v>
      </c>
      <c r="I446" s="296" t="s">
        <v>58</v>
      </c>
      <c r="J446" s="296" t="s">
        <v>1757</v>
      </c>
      <c r="K446" s="143" t="s">
        <v>1488</v>
      </c>
      <c r="L446" s="119" t="s">
        <v>2392</v>
      </c>
      <c r="M446" s="119">
        <v>5.2461515E7</v>
      </c>
      <c r="N446" s="119">
        <v>3.22243955E9</v>
      </c>
      <c r="O446" s="417"/>
      <c r="P446" s="367"/>
      <c r="Q446" s="367"/>
      <c r="R446" s="367"/>
      <c r="S446" s="367"/>
      <c r="T446" s="367"/>
      <c r="U446" s="367"/>
      <c r="V446" s="367"/>
      <c r="W446" s="367"/>
      <c r="X446" s="367"/>
      <c r="Y446" s="367"/>
      <c r="Z446" s="367"/>
    </row>
    <row r="447">
      <c r="A447" s="143" t="s">
        <v>2383</v>
      </c>
      <c r="B447" s="369">
        <v>2025.0</v>
      </c>
      <c r="C447" s="296" t="s">
        <v>711</v>
      </c>
      <c r="D447" s="300" t="s">
        <v>82</v>
      </c>
      <c r="E447" s="141"/>
      <c r="F447" s="296" t="s">
        <v>10</v>
      </c>
      <c r="G447" s="296" t="s">
        <v>1756</v>
      </c>
      <c r="H447" s="143" t="s">
        <v>1651</v>
      </c>
      <c r="I447" s="296" t="s">
        <v>58</v>
      </c>
      <c r="J447" s="296" t="s">
        <v>1757</v>
      </c>
      <c r="K447" s="143" t="s">
        <v>1488</v>
      </c>
      <c r="L447" s="119" t="s">
        <v>2393</v>
      </c>
      <c r="M447" s="119">
        <v>1.7160263E7</v>
      </c>
      <c r="N447" s="119">
        <v>3.118199665E9</v>
      </c>
      <c r="O447" s="417"/>
      <c r="P447" s="367"/>
      <c r="Q447" s="367"/>
      <c r="R447" s="367"/>
      <c r="S447" s="367"/>
      <c r="T447" s="367"/>
      <c r="U447" s="367"/>
      <c r="V447" s="367"/>
      <c r="W447" s="367"/>
      <c r="X447" s="367"/>
      <c r="Y447" s="367"/>
      <c r="Z447" s="367"/>
    </row>
    <row r="448">
      <c r="A448" s="143" t="s">
        <v>2383</v>
      </c>
      <c r="B448" s="369">
        <v>2025.0</v>
      </c>
      <c r="C448" s="296" t="s">
        <v>711</v>
      </c>
      <c r="D448" s="300" t="s">
        <v>82</v>
      </c>
      <c r="E448" s="141"/>
      <c r="F448" s="296" t="s">
        <v>10</v>
      </c>
      <c r="G448" s="296" t="s">
        <v>1756</v>
      </c>
      <c r="H448" s="143" t="s">
        <v>1651</v>
      </c>
      <c r="I448" s="296" t="s">
        <v>58</v>
      </c>
      <c r="J448" s="296" t="s">
        <v>1757</v>
      </c>
      <c r="K448" s="143" t="s">
        <v>1488</v>
      </c>
      <c r="L448" s="119" t="s">
        <v>2394</v>
      </c>
      <c r="M448" s="119">
        <v>3.5321366E7</v>
      </c>
      <c r="N448" s="119">
        <v>3.163905684E9</v>
      </c>
      <c r="O448" s="417"/>
      <c r="P448" s="367"/>
      <c r="Q448" s="367"/>
      <c r="R448" s="367"/>
      <c r="S448" s="367"/>
      <c r="T448" s="367"/>
      <c r="U448" s="367"/>
      <c r="V448" s="367"/>
      <c r="W448" s="367"/>
      <c r="X448" s="367"/>
      <c r="Y448" s="367"/>
      <c r="Z448" s="367"/>
    </row>
    <row r="449">
      <c r="A449" s="143" t="s">
        <v>2383</v>
      </c>
      <c r="B449" s="369">
        <v>2025.0</v>
      </c>
      <c r="C449" s="296" t="s">
        <v>711</v>
      </c>
      <c r="D449" s="300" t="s">
        <v>82</v>
      </c>
      <c r="E449" s="141"/>
      <c r="F449" s="296" t="s">
        <v>10</v>
      </c>
      <c r="G449" s="296" t="s">
        <v>1756</v>
      </c>
      <c r="H449" s="143" t="s">
        <v>1651</v>
      </c>
      <c r="I449" s="296" t="s">
        <v>58</v>
      </c>
      <c r="J449" s="296" t="s">
        <v>1757</v>
      </c>
      <c r="K449" s="143" t="s">
        <v>1488</v>
      </c>
      <c r="L449" s="119" t="s">
        <v>2395</v>
      </c>
      <c r="M449" s="119">
        <v>3.9529916E7</v>
      </c>
      <c r="N449" s="119">
        <v>3.162812431E9</v>
      </c>
      <c r="O449" s="417"/>
      <c r="P449" s="367"/>
      <c r="Q449" s="367"/>
      <c r="R449" s="367"/>
      <c r="S449" s="367"/>
      <c r="T449" s="367"/>
      <c r="U449" s="367"/>
      <c r="V449" s="367"/>
      <c r="W449" s="367"/>
      <c r="X449" s="367"/>
      <c r="Y449" s="367"/>
      <c r="Z449" s="367"/>
    </row>
    <row r="450">
      <c r="A450" s="143" t="s">
        <v>2383</v>
      </c>
      <c r="B450" s="369">
        <v>2025.0</v>
      </c>
      <c r="C450" s="296" t="s">
        <v>711</v>
      </c>
      <c r="D450" s="300" t="s">
        <v>82</v>
      </c>
      <c r="E450" s="141"/>
      <c r="F450" s="296" t="s">
        <v>10</v>
      </c>
      <c r="G450" s="296" t="s">
        <v>1756</v>
      </c>
      <c r="H450" s="143" t="s">
        <v>1651</v>
      </c>
      <c r="I450" s="296" t="s">
        <v>58</v>
      </c>
      <c r="J450" s="296" t="s">
        <v>1757</v>
      </c>
      <c r="K450" s="143" t="s">
        <v>1488</v>
      </c>
      <c r="L450" s="119" t="s">
        <v>2396</v>
      </c>
      <c r="M450" s="119">
        <v>4667723.0</v>
      </c>
      <c r="N450" s="119">
        <v>3.151451504E9</v>
      </c>
      <c r="O450" s="417"/>
      <c r="P450" s="367"/>
      <c r="Q450" s="367"/>
      <c r="R450" s="367"/>
      <c r="S450" s="367"/>
      <c r="T450" s="367"/>
      <c r="U450" s="367"/>
      <c r="V450" s="367"/>
      <c r="W450" s="367"/>
      <c r="X450" s="367"/>
      <c r="Y450" s="367"/>
      <c r="Z450" s="367"/>
    </row>
    <row r="451">
      <c r="A451" s="143" t="s">
        <v>2383</v>
      </c>
      <c r="B451" s="369">
        <v>2025.0</v>
      </c>
      <c r="C451" s="296" t="s">
        <v>711</v>
      </c>
      <c r="D451" s="300" t="s">
        <v>82</v>
      </c>
      <c r="E451" s="141"/>
      <c r="F451" s="296" t="s">
        <v>10</v>
      </c>
      <c r="G451" s="296" t="s">
        <v>1756</v>
      </c>
      <c r="H451" s="143" t="s">
        <v>1651</v>
      </c>
      <c r="I451" s="296" t="s">
        <v>58</v>
      </c>
      <c r="J451" s="296" t="s">
        <v>1757</v>
      </c>
      <c r="K451" s="143" t="s">
        <v>1488</v>
      </c>
      <c r="L451" s="119" t="s">
        <v>2397</v>
      </c>
      <c r="M451" s="119">
        <v>4.1652635E7</v>
      </c>
      <c r="N451" s="119">
        <v>3.132533887E9</v>
      </c>
      <c r="O451" s="417"/>
      <c r="P451" s="367"/>
      <c r="Q451" s="367"/>
      <c r="R451" s="367"/>
      <c r="S451" s="367"/>
      <c r="T451" s="367"/>
      <c r="U451" s="367"/>
      <c r="V451" s="367"/>
      <c r="W451" s="367"/>
      <c r="X451" s="367"/>
      <c r="Y451" s="367"/>
      <c r="Z451" s="367"/>
    </row>
    <row r="452">
      <c r="A452" s="143" t="s">
        <v>2383</v>
      </c>
      <c r="B452" s="369">
        <v>2025.0</v>
      </c>
      <c r="C452" s="296" t="s">
        <v>711</v>
      </c>
      <c r="D452" s="300" t="s">
        <v>82</v>
      </c>
      <c r="E452" s="141"/>
      <c r="F452" s="296" t="s">
        <v>10</v>
      </c>
      <c r="G452" s="296" t="s">
        <v>1756</v>
      </c>
      <c r="H452" s="143" t="s">
        <v>1651</v>
      </c>
      <c r="I452" s="296" t="s">
        <v>58</v>
      </c>
      <c r="J452" s="296" t="s">
        <v>1757</v>
      </c>
      <c r="K452" s="143" t="s">
        <v>1488</v>
      </c>
      <c r="L452" s="119" t="s">
        <v>2398</v>
      </c>
      <c r="M452" s="119">
        <v>5.2096943E7</v>
      </c>
      <c r="N452" s="119">
        <v>3.20327859E9</v>
      </c>
      <c r="O452" s="417"/>
      <c r="P452" s="367"/>
      <c r="Q452" s="367"/>
      <c r="R452" s="367"/>
      <c r="S452" s="367"/>
      <c r="T452" s="367"/>
      <c r="U452" s="367"/>
      <c r="V452" s="367"/>
      <c r="W452" s="367"/>
      <c r="X452" s="367"/>
      <c r="Y452" s="367"/>
      <c r="Z452" s="367"/>
    </row>
    <row r="453">
      <c r="A453" s="143" t="s">
        <v>2383</v>
      </c>
      <c r="B453" s="369">
        <v>2025.0</v>
      </c>
      <c r="C453" s="296" t="s">
        <v>711</v>
      </c>
      <c r="D453" s="300" t="s">
        <v>82</v>
      </c>
      <c r="E453" s="141"/>
      <c r="F453" s="296" t="s">
        <v>10</v>
      </c>
      <c r="G453" s="296" t="s">
        <v>1756</v>
      </c>
      <c r="H453" s="143" t="s">
        <v>1651</v>
      </c>
      <c r="I453" s="296" t="s">
        <v>58</v>
      </c>
      <c r="J453" s="296" t="s">
        <v>1757</v>
      </c>
      <c r="K453" s="143" t="s">
        <v>1488</v>
      </c>
      <c r="L453" s="119" t="s">
        <v>2399</v>
      </c>
      <c r="M453" s="119">
        <v>2471325.0</v>
      </c>
      <c r="N453" s="119">
        <v>3.123811623E9</v>
      </c>
      <c r="O453" s="417"/>
      <c r="P453" s="367"/>
      <c r="Q453" s="367"/>
      <c r="R453" s="367"/>
      <c r="S453" s="367"/>
      <c r="T453" s="367"/>
      <c r="U453" s="367"/>
      <c r="V453" s="367"/>
      <c r="W453" s="367"/>
      <c r="X453" s="367"/>
      <c r="Y453" s="367"/>
      <c r="Z453" s="367"/>
    </row>
    <row r="454">
      <c r="A454" s="143" t="s">
        <v>2383</v>
      </c>
      <c r="B454" s="369">
        <v>2025.0</v>
      </c>
      <c r="C454" s="296" t="s">
        <v>711</v>
      </c>
      <c r="D454" s="300" t="s">
        <v>82</v>
      </c>
      <c r="E454" s="141"/>
      <c r="F454" s="296" t="s">
        <v>10</v>
      </c>
      <c r="G454" s="296" t="s">
        <v>1756</v>
      </c>
      <c r="H454" s="143" t="s">
        <v>1651</v>
      </c>
      <c r="I454" s="296" t="s">
        <v>58</v>
      </c>
      <c r="J454" s="296" t="s">
        <v>1757</v>
      </c>
      <c r="K454" s="143" t="s">
        <v>1488</v>
      </c>
      <c r="L454" s="119" t="s">
        <v>2400</v>
      </c>
      <c r="M454" s="119">
        <v>7.2224655E7</v>
      </c>
      <c r="N454" s="119">
        <v>3.226049635E9</v>
      </c>
      <c r="O454" s="417"/>
      <c r="P454" s="367"/>
      <c r="Q454" s="367"/>
      <c r="R454" s="367"/>
      <c r="S454" s="367"/>
      <c r="T454" s="367"/>
      <c r="U454" s="367"/>
      <c r="V454" s="367"/>
      <c r="W454" s="367"/>
      <c r="X454" s="367"/>
      <c r="Y454" s="367"/>
      <c r="Z454" s="367"/>
    </row>
    <row r="455">
      <c r="A455" s="143" t="s">
        <v>2383</v>
      </c>
      <c r="B455" s="369">
        <v>2025.0</v>
      </c>
      <c r="C455" s="296" t="s">
        <v>711</v>
      </c>
      <c r="D455" s="300" t="s">
        <v>82</v>
      </c>
      <c r="E455" s="141"/>
      <c r="F455" s="296" t="s">
        <v>10</v>
      </c>
      <c r="G455" s="296" t="s">
        <v>1756</v>
      </c>
      <c r="H455" s="143" t="s">
        <v>1651</v>
      </c>
      <c r="I455" s="296" t="s">
        <v>58</v>
      </c>
      <c r="J455" s="296" t="s">
        <v>1757</v>
      </c>
      <c r="K455" s="143" t="s">
        <v>1488</v>
      </c>
      <c r="L455" s="119" t="s">
        <v>2401</v>
      </c>
      <c r="M455" s="119">
        <v>5.190789E7</v>
      </c>
      <c r="N455" s="119">
        <v>3.128349881E9</v>
      </c>
      <c r="O455" s="417"/>
      <c r="P455" s="367"/>
      <c r="Q455" s="367"/>
      <c r="R455" s="367"/>
      <c r="S455" s="367"/>
      <c r="T455" s="367"/>
      <c r="U455" s="367"/>
      <c r="V455" s="367"/>
      <c r="W455" s="367"/>
      <c r="X455" s="367"/>
      <c r="Y455" s="367"/>
      <c r="Z455" s="367"/>
    </row>
    <row r="456">
      <c r="A456" s="143" t="s">
        <v>2383</v>
      </c>
      <c r="B456" s="369">
        <v>2025.0</v>
      </c>
      <c r="C456" s="296" t="s">
        <v>711</v>
      </c>
      <c r="D456" s="300" t="s">
        <v>82</v>
      </c>
      <c r="E456" s="141"/>
      <c r="F456" s="296" t="s">
        <v>10</v>
      </c>
      <c r="G456" s="296" t="s">
        <v>1756</v>
      </c>
      <c r="H456" s="143" t="s">
        <v>1651</v>
      </c>
      <c r="I456" s="296" t="s">
        <v>58</v>
      </c>
      <c r="J456" s="296" t="s">
        <v>1757</v>
      </c>
      <c r="K456" s="143" t="s">
        <v>1488</v>
      </c>
      <c r="L456" s="119" t="s">
        <v>2402</v>
      </c>
      <c r="M456" s="119">
        <v>1.030690522E9</v>
      </c>
      <c r="N456" s="119">
        <v>3.012081993E9</v>
      </c>
      <c r="O456" s="417"/>
      <c r="P456" s="367"/>
      <c r="Q456" s="367"/>
      <c r="R456" s="367"/>
      <c r="S456" s="367"/>
      <c r="T456" s="367"/>
      <c r="U456" s="367"/>
      <c r="V456" s="367"/>
      <c r="W456" s="367"/>
      <c r="X456" s="367"/>
      <c r="Y456" s="367"/>
      <c r="Z456" s="367"/>
    </row>
    <row r="457">
      <c r="A457" s="143" t="s">
        <v>2383</v>
      </c>
      <c r="B457" s="369">
        <v>2025.0</v>
      </c>
      <c r="C457" s="296" t="s">
        <v>711</v>
      </c>
      <c r="D457" s="300" t="s">
        <v>82</v>
      </c>
      <c r="E457" s="141"/>
      <c r="F457" s="296" t="s">
        <v>10</v>
      </c>
      <c r="G457" s="296" t="s">
        <v>1756</v>
      </c>
      <c r="H457" s="143" t="s">
        <v>1651</v>
      </c>
      <c r="I457" s="296" t="s">
        <v>58</v>
      </c>
      <c r="J457" s="296" t="s">
        <v>1757</v>
      </c>
      <c r="K457" s="143" t="s">
        <v>1488</v>
      </c>
      <c r="L457" s="119" t="s">
        <v>2403</v>
      </c>
      <c r="M457" s="119">
        <v>5.2530901E7</v>
      </c>
      <c r="N457" s="119">
        <v>3.185029464E9</v>
      </c>
      <c r="O457" s="417"/>
      <c r="P457" s="367"/>
      <c r="Q457" s="367"/>
      <c r="R457" s="367"/>
      <c r="S457" s="367"/>
      <c r="T457" s="367"/>
      <c r="U457" s="367"/>
      <c r="V457" s="367"/>
      <c r="W457" s="367"/>
      <c r="X457" s="367"/>
      <c r="Y457" s="367"/>
      <c r="Z457" s="367"/>
    </row>
    <row r="458">
      <c r="A458" s="143" t="s">
        <v>2383</v>
      </c>
      <c r="B458" s="369">
        <v>2025.0</v>
      </c>
      <c r="C458" s="296" t="s">
        <v>711</v>
      </c>
      <c r="D458" s="300" t="s">
        <v>82</v>
      </c>
      <c r="E458" s="141"/>
      <c r="F458" s="296" t="s">
        <v>10</v>
      </c>
      <c r="G458" s="296" t="s">
        <v>1756</v>
      </c>
      <c r="H458" s="143" t="s">
        <v>1651</v>
      </c>
      <c r="I458" s="296" t="s">
        <v>58</v>
      </c>
      <c r="J458" s="296" t="s">
        <v>1757</v>
      </c>
      <c r="K458" s="143" t="s">
        <v>1488</v>
      </c>
      <c r="L458" s="119" t="s">
        <v>2404</v>
      </c>
      <c r="M458" s="119">
        <v>4.1711984E7</v>
      </c>
      <c r="N458" s="119">
        <v>3.127109646E9</v>
      </c>
      <c r="O458" s="417"/>
      <c r="P458" s="367"/>
      <c r="Q458" s="367"/>
      <c r="R458" s="367"/>
      <c r="S458" s="367"/>
      <c r="T458" s="367"/>
      <c r="U458" s="367"/>
      <c r="V458" s="367"/>
      <c r="W458" s="367"/>
      <c r="X458" s="367"/>
      <c r="Y458" s="367"/>
      <c r="Z458" s="367"/>
    </row>
    <row r="459">
      <c r="A459" s="143" t="s">
        <v>2383</v>
      </c>
      <c r="B459" s="369">
        <v>2025.0</v>
      </c>
      <c r="C459" s="296" t="s">
        <v>711</v>
      </c>
      <c r="D459" s="300" t="s">
        <v>82</v>
      </c>
      <c r="E459" s="141"/>
      <c r="F459" s="296" t="s">
        <v>10</v>
      </c>
      <c r="G459" s="296" t="s">
        <v>1756</v>
      </c>
      <c r="H459" s="143" t="s">
        <v>1651</v>
      </c>
      <c r="I459" s="296" t="s">
        <v>58</v>
      </c>
      <c r="J459" s="296" t="s">
        <v>1757</v>
      </c>
      <c r="K459" s="143" t="s">
        <v>1488</v>
      </c>
      <c r="L459" s="119" t="s">
        <v>2405</v>
      </c>
      <c r="M459" s="119">
        <v>1.9213756E7</v>
      </c>
      <c r="N459" s="119">
        <v>3.103323758E9</v>
      </c>
      <c r="O459" s="417"/>
      <c r="P459" s="367"/>
      <c r="Q459" s="367"/>
      <c r="R459" s="367"/>
      <c r="S459" s="367"/>
      <c r="T459" s="367"/>
      <c r="U459" s="367"/>
      <c r="V459" s="367"/>
      <c r="W459" s="367"/>
      <c r="X459" s="367"/>
      <c r="Y459" s="367"/>
      <c r="Z459" s="367"/>
    </row>
    <row r="460">
      <c r="A460" s="143" t="s">
        <v>2383</v>
      </c>
      <c r="B460" s="369">
        <v>2025.0</v>
      </c>
      <c r="C460" s="296" t="s">
        <v>711</v>
      </c>
      <c r="D460" s="300" t="s">
        <v>82</v>
      </c>
      <c r="E460" s="141"/>
      <c r="F460" s="296" t="s">
        <v>10</v>
      </c>
      <c r="G460" s="296" t="s">
        <v>1756</v>
      </c>
      <c r="H460" s="143" t="s">
        <v>1651</v>
      </c>
      <c r="I460" s="296" t="s">
        <v>58</v>
      </c>
      <c r="J460" s="296" t="s">
        <v>1757</v>
      </c>
      <c r="K460" s="143" t="s">
        <v>1488</v>
      </c>
      <c r="L460" s="119" t="s">
        <v>2406</v>
      </c>
      <c r="M460" s="119">
        <v>4.1441909E7</v>
      </c>
      <c r="N460" s="119">
        <v>3.003831417E9</v>
      </c>
      <c r="O460" s="417"/>
      <c r="P460" s="367"/>
      <c r="Q460" s="367"/>
      <c r="R460" s="367"/>
      <c r="S460" s="367"/>
      <c r="T460" s="367"/>
      <c r="U460" s="367"/>
      <c r="V460" s="367"/>
      <c r="W460" s="367"/>
      <c r="X460" s="367"/>
      <c r="Y460" s="367"/>
      <c r="Z460" s="367"/>
    </row>
    <row r="461">
      <c r="A461" s="143" t="s">
        <v>2383</v>
      </c>
      <c r="B461" s="369">
        <v>2025.0</v>
      </c>
      <c r="C461" s="296" t="s">
        <v>711</v>
      </c>
      <c r="D461" s="300" t="s">
        <v>82</v>
      </c>
      <c r="E461" s="141"/>
      <c r="F461" s="296" t="s">
        <v>10</v>
      </c>
      <c r="G461" s="296" t="s">
        <v>1756</v>
      </c>
      <c r="H461" s="143" t="s">
        <v>1651</v>
      </c>
      <c r="I461" s="296" t="s">
        <v>58</v>
      </c>
      <c r="J461" s="296" t="s">
        <v>1757</v>
      </c>
      <c r="K461" s="143" t="s">
        <v>1488</v>
      </c>
      <c r="L461" s="119" t="s">
        <v>2407</v>
      </c>
      <c r="M461" s="119">
        <v>8073940.0</v>
      </c>
      <c r="N461" s="119">
        <v>3.246353866E9</v>
      </c>
      <c r="O461" s="417"/>
      <c r="P461" s="367"/>
      <c r="Q461" s="367"/>
      <c r="R461" s="367"/>
      <c r="S461" s="367"/>
      <c r="T461" s="367"/>
      <c r="U461" s="367"/>
      <c r="V461" s="367"/>
      <c r="W461" s="367"/>
      <c r="X461" s="367"/>
      <c r="Y461" s="367"/>
      <c r="Z461" s="367"/>
    </row>
    <row r="462">
      <c r="A462" s="143" t="s">
        <v>2383</v>
      </c>
      <c r="B462" s="369">
        <v>2025.0</v>
      </c>
      <c r="C462" s="296" t="s">
        <v>711</v>
      </c>
      <c r="D462" s="300" t="s">
        <v>82</v>
      </c>
      <c r="E462" s="141"/>
      <c r="F462" s="296" t="s">
        <v>10</v>
      </c>
      <c r="G462" s="296" t="s">
        <v>1756</v>
      </c>
      <c r="H462" s="143" t="s">
        <v>1651</v>
      </c>
      <c r="I462" s="296" t="s">
        <v>58</v>
      </c>
      <c r="J462" s="296" t="s">
        <v>1757</v>
      </c>
      <c r="K462" s="143" t="s">
        <v>1488</v>
      </c>
      <c r="L462" s="119" t="s">
        <v>2408</v>
      </c>
      <c r="M462" s="119">
        <v>5.1613838E7</v>
      </c>
      <c r="N462" s="119">
        <v>3.00431681E9</v>
      </c>
      <c r="O462" s="417"/>
      <c r="P462" s="367"/>
      <c r="Q462" s="367"/>
      <c r="R462" s="367"/>
      <c r="S462" s="367"/>
      <c r="T462" s="367"/>
      <c r="U462" s="367"/>
      <c r="V462" s="367"/>
      <c r="W462" s="367"/>
      <c r="X462" s="367"/>
      <c r="Y462" s="367"/>
      <c r="Z462" s="367"/>
    </row>
    <row r="463">
      <c r="A463" s="143" t="s">
        <v>2383</v>
      </c>
      <c r="B463" s="369">
        <v>2025.0</v>
      </c>
      <c r="C463" s="296" t="s">
        <v>711</v>
      </c>
      <c r="D463" s="300" t="s">
        <v>82</v>
      </c>
      <c r="E463" s="141"/>
      <c r="F463" s="296" t="s">
        <v>10</v>
      </c>
      <c r="G463" s="296" t="s">
        <v>1756</v>
      </c>
      <c r="H463" s="143" t="s">
        <v>1651</v>
      </c>
      <c r="I463" s="296" t="s">
        <v>58</v>
      </c>
      <c r="J463" s="296" t="s">
        <v>1757</v>
      </c>
      <c r="K463" s="143" t="s">
        <v>1488</v>
      </c>
      <c r="L463" s="119" t="s">
        <v>2409</v>
      </c>
      <c r="M463" s="119">
        <v>1.018471338E9</v>
      </c>
      <c r="N463" s="119">
        <v>3.008758412E9</v>
      </c>
      <c r="O463" s="417"/>
      <c r="P463" s="367"/>
      <c r="Q463" s="367"/>
      <c r="R463" s="367"/>
      <c r="S463" s="367"/>
      <c r="T463" s="367"/>
      <c r="U463" s="367"/>
      <c r="V463" s="367"/>
      <c r="W463" s="367"/>
      <c r="X463" s="367"/>
      <c r="Y463" s="367"/>
      <c r="Z463" s="367"/>
    </row>
    <row r="464">
      <c r="A464" s="143" t="s">
        <v>2383</v>
      </c>
      <c r="B464" s="369">
        <v>2025.0</v>
      </c>
      <c r="C464" s="296" t="s">
        <v>711</v>
      </c>
      <c r="D464" s="300" t="s">
        <v>82</v>
      </c>
      <c r="E464" s="141"/>
      <c r="F464" s="296" t="s">
        <v>10</v>
      </c>
      <c r="G464" s="296" t="s">
        <v>1756</v>
      </c>
      <c r="H464" s="143" t="s">
        <v>1651</v>
      </c>
      <c r="I464" s="296" t="s">
        <v>58</v>
      </c>
      <c r="J464" s="296" t="s">
        <v>1757</v>
      </c>
      <c r="K464" s="143" t="s">
        <v>1488</v>
      </c>
      <c r="L464" s="119" t="s">
        <v>2410</v>
      </c>
      <c r="M464" s="119">
        <v>1.9473919E7</v>
      </c>
      <c r="N464" s="119">
        <v>3.158784846E9</v>
      </c>
      <c r="O464" s="417"/>
      <c r="P464" s="367"/>
      <c r="Q464" s="367"/>
      <c r="R464" s="367"/>
      <c r="S464" s="367"/>
      <c r="T464" s="367"/>
      <c r="U464" s="367"/>
      <c r="V464" s="367"/>
      <c r="W464" s="367"/>
      <c r="X464" s="367"/>
      <c r="Y464" s="367"/>
      <c r="Z464" s="367"/>
    </row>
    <row r="465">
      <c r="A465" s="143" t="s">
        <v>2383</v>
      </c>
      <c r="B465" s="369">
        <v>2025.0</v>
      </c>
      <c r="C465" s="296" t="s">
        <v>711</v>
      </c>
      <c r="D465" s="300" t="s">
        <v>82</v>
      </c>
      <c r="E465" s="141"/>
      <c r="F465" s="296" t="s">
        <v>10</v>
      </c>
      <c r="G465" s="296" t="s">
        <v>1756</v>
      </c>
      <c r="H465" s="143" t="s">
        <v>1651</v>
      </c>
      <c r="I465" s="296" t="s">
        <v>58</v>
      </c>
      <c r="J465" s="296" t="s">
        <v>1757</v>
      </c>
      <c r="K465" s="143" t="s">
        <v>1488</v>
      </c>
      <c r="L465" s="119" t="s">
        <v>2411</v>
      </c>
      <c r="M465" s="119">
        <v>5.1585935E7</v>
      </c>
      <c r="N465" s="119">
        <v>3.186021493E9</v>
      </c>
      <c r="O465" s="417"/>
      <c r="P465" s="367"/>
      <c r="Q465" s="367"/>
      <c r="R465" s="367"/>
      <c r="S465" s="367"/>
      <c r="T465" s="367"/>
      <c r="U465" s="367"/>
      <c r="V465" s="367"/>
      <c r="W465" s="367"/>
      <c r="X465" s="367"/>
      <c r="Y465" s="367"/>
      <c r="Z465" s="367"/>
    </row>
    <row r="466">
      <c r="A466" s="143" t="s">
        <v>2383</v>
      </c>
      <c r="B466" s="369">
        <v>2025.0</v>
      </c>
      <c r="C466" s="296" t="s">
        <v>711</v>
      </c>
      <c r="D466" s="300" t="s">
        <v>82</v>
      </c>
      <c r="E466" s="141"/>
      <c r="F466" s="296" t="s">
        <v>10</v>
      </c>
      <c r="G466" s="296" t="s">
        <v>1756</v>
      </c>
      <c r="H466" s="143" t="s">
        <v>1651</v>
      </c>
      <c r="I466" s="296" t="s">
        <v>58</v>
      </c>
      <c r="J466" s="296" t="s">
        <v>1757</v>
      </c>
      <c r="K466" s="143" t="s">
        <v>1488</v>
      </c>
      <c r="L466" s="119" t="s">
        <v>2412</v>
      </c>
      <c r="M466" s="119">
        <v>7.9118852E7</v>
      </c>
      <c r="N466" s="119">
        <v>3.058007062E9</v>
      </c>
      <c r="O466" s="417"/>
      <c r="P466" s="367"/>
      <c r="Q466" s="367"/>
      <c r="R466" s="367"/>
      <c r="S466" s="367"/>
      <c r="T466" s="367"/>
      <c r="U466" s="367"/>
      <c r="V466" s="367"/>
      <c r="W466" s="367"/>
      <c r="X466" s="367"/>
      <c r="Y466" s="367"/>
      <c r="Z466" s="367"/>
    </row>
    <row r="467">
      <c r="A467" s="143" t="s">
        <v>2383</v>
      </c>
      <c r="B467" s="369">
        <v>2025.0</v>
      </c>
      <c r="C467" s="296" t="s">
        <v>711</v>
      </c>
      <c r="D467" s="300" t="s">
        <v>82</v>
      </c>
      <c r="E467" s="141"/>
      <c r="F467" s="296" t="s">
        <v>10</v>
      </c>
      <c r="G467" s="296" t="s">
        <v>1756</v>
      </c>
      <c r="H467" s="143" t="s">
        <v>1651</v>
      </c>
      <c r="I467" s="296" t="s">
        <v>58</v>
      </c>
      <c r="J467" s="296" t="s">
        <v>1757</v>
      </c>
      <c r="K467" s="143" t="s">
        <v>1488</v>
      </c>
      <c r="L467" s="119" t="s">
        <v>2413</v>
      </c>
      <c r="M467" s="119">
        <v>1.01242537E9</v>
      </c>
      <c r="N467" s="119">
        <v>3.00802071E9</v>
      </c>
      <c r="O467" s="417"/>
      <c r="P467" s="367"/>
      <c r="Q467" s="367"/>
      <c r="R467" s="367"/>
      <c r="S467" s="367"/>
      <c r="T467" s="367"/>
      <c r="U467" s="367"/>
      <c r="V467" s="367"/>
      <c r="W467" s="367"/>
      <c r="X467" s="367"/>
      <c r="Y467" s="367"/>
      <c r="Z467" s="367"/>
    </row>
    <row r="468">
      <c r="A468" s="143" t="s">
        <v>2383</v>
      </c>
      <c r="B468" s="369">
        <v>2025.0</v>
      </c>
      <c r="C468" s="296" t="s">
        <v>711</v>
      </c>
      <c r="D468" s="300" t="s">
        <v>82</v>
      </c>
      <c r="E468" s="141"/>
      <c r="F468" s="296" t="s">
        <v>10</v>
      </c>
      <c r="G468" s="296" t="s">
        <v>1756</v>
      </c>
      <c r="H468" s="143" t="s">
        <v>1651</v>
      </c>
      <c r="I468" s="296" t="s">
        <v>58</v>
      </c>
      <c r="J468" s="296" t="s">
        <v>1757</v>
      </c>
      <c r="K468" s="143" t="s">
        <v>1488</v>
      </c>
      <c r="L468" s="119" t="s">
        <v>2414</v>
      </c>
      <c r="M468" s="119">
        <v>1.9392535E7</v>
      </c>
      <c r="N468" s="119">
        <v>3.163527465E9</v>
      </c>
      <c r="O468" s="417"/>
      <c r="P468" s="367"/>
      <c r="Q468" s="367"/>
      <c r="R468" s="367"/>
      <c r="S468" s="367"/>
      <c r="T468" s="367"/>
      <c r="U468" s="367"/>
      <c r="V468" s="367"/>
      <c r="W468" s="367"/>
      <c r="X468" s="367"/>
      <c r="Y468" s="367"/>
      <c r="Z468" s="367"/>
    </row>
    <row r="469">
      <c r="A469" s="143" t="s">
        <v>2383</v>
      </c>
      <c r="B469" s="369">
        <v>2025.0</v>
      </c>
      <c r="C469" s="296" t="s">
        <v>711</v>
      </c>
      <c r="D469" s="300" t="s">
        <v>82</v>
      </c>
      <c r="E469" s="141"/>
      <c r="F469" s="296" t="s">
        <v>10</v>
      </c>
      <c r="G469" s="296" t="s">
        <v>1756</v>
      </c>
      <c r="H469" s="143" t="s">
        <v>1651</v>
      </c>
      <c r="I469" s="296" t="s">
        <v>58</v>
      </c>
      <c r="J469" s="296" t="s">
        <v>1757</v>
      </c>
      <c r="K469" s="143" t="s">
        <v>1488</v>
      </c>
      <c r="L469" s="119" t="s">
        <v>2415</v>
      </c>
      <c r="M469" s="119">
        <v>1.022364535E9</v>
      </c>
      <c r="N469" s="119">
        <v>3.142275286E9</v>
      </c>
      <c r="O469" s="417"/>
      <c r="P469" s="367"/>
      <c r="Q469" s="367"/>
      <c r="R469" s="367"/>
      <c r="S469" s="367"/>
      <c r="T469" s="367"/>
      <c r="U469" s="367"/>
      <c r="V469" s="367"/>
      <c r="W469" s="367"/>
      <c r="X469" s="367"/>
      <c r="Y469" s="367"/>
      <c r="Z469" s="367"/>
    </row>
    <row r="470">
      <c r="A470" s="143" t="s">
        <v>2383</v>
      </c>
      <c r="B470" s="369">
        <v>2025.0</v>
      </c>
      <c r="C470" s="296" t="s">
        <v>711</v>
      </c>
      <c r="D470" s="300" t="s">
        <v>82</v>
      </c>
      <c r="E470" s="141"/>
      <c r="F470" s="296" t="s">
        <v>10</v>
      </c>
      <c r="G470" s="296" t="s">
        <v>1756</v>
      </c>
      <c r="H470" s="143" t="s">
        <v>1651</v>
      </c>
      <c r="I470" s="296" t="s">
        <v>58</v>
      </c>
      <c r="J470" s="296" t="s">
        <v>1757</v>
      </c>
      <c r="K470" s="143" t="s">
        <v>1488</v>
      </c>
      <c r="L470" s="119" t="s">
        <v>2416</v>
      </c>
      <c r="M470" s="119">
        <v>1.018460066E9</v>
      </c>
      <c r="N470" s="119">
        <v>3.228540345E9</v>
      </c>
      <c r="O470" s="417"/>
      <c r="P470" s="367"/>
      <c r="Q470" s="367"/>
      <c r="R470" s="367"/>
      <c r="S470" s="367"/>
      <c r="T470" s="367"/>
      <c r="U470" s="367"/>
      <c r="V470" s="367"/>
      <c r="W470" s="367"/>
      <c r="X470" s="367"/>
      <c r="Y470" s="367"/>
      <c r="Z470" s="367"/>
    </row>
    <row r="471">
      <c r="A471" s="143" t="s">
        <v>2383</v>
      </c>
      <c r="B471" s="369">
        <v>2025.0</v>
      </c>
      <c r="C471" s="296" t="s">
        <v>711</v>
      </c>
      <c r="D471" s="300" t="s">
        <v>82</v>
      </c>
      <c r="E471" s="141"/>
      <c r="F471" s="296" t="s">
        <v>10</v>
      </c>
      <c r="G471" s="296" t="s">
        <v>1756</v>
      </c>
      <c r="H471" s="143" t="s">
        <v>1651</v>
      </c>
      <c r="I471" s="296" t="s">
        <v>58</v>
      </c>
      <c r="J471" s="296" t="s">
        <v>1757</v>
      </c>
      <c r="K471" s="143" t="s">
        <v>1488</v>
      </c>
      <c r="L471" s="119" t="s">
        <v>2417</v>
      </c>
      <c r="M471" s="119">
        <v>5.2366412E7</v>
      </c>
      <c r="N471" s="119">
        <v>3.228085848E9</v>
      </c>
      <c r="O471" s="417"/>
      <c r="P471" s="367"/>
      <c r="Q471" s="367"/>
      <c r="R471" s="367"/>
      <c r="S471" s="367"/>
      <c r="T471" s="367"/>
      <c r="U471" s="367"/>
      <c r="V471" s="367"/>
      <c r="W471" s="367"/>
      <c r="X471" s="367"/>
      <c r="Y471" s="367"/>
      <c r="Z471" s="367"/>
    </row>
    <row r="472">
      <c r="A472" s="143" t="s">
        <v>2383</v>
      </c>
      <c r="B472" s="369">
        <v>2025.0</v>
      </c>
      <c r="C472" s="296" t="s">
        <v>711</v>
      </c>
      <c r="D472" s="300" t="s">
        <v>82</v>
      </c>
      <c r="E472" s="141"/>
      <c r="F472" s="296" t="s">
        <v>10</v>
      </c>
      <c r="G472" s="296" t="s">
        <v>1756</v>
      </c>
      <c r="H472" s="143" t="s">
        <v>1651</v>
      </c>
      <c r="I472" s="296" t="s">
        <v>58</v>
      </c>
      <c r="J472" s="296" t="s">
        <v>1757</v>
      </c>
      <c r="K472" s="143" t="s">
        <v>1488</v>
      </c>
      <c r="L472" s="119" t="s">
        <v>2418</v>
      </c>
      <c r="M472" s="119">
        <v>3.964015E7</v>
      </c>
      <c r="N472" s="119">
        <v>3.502413183E9</v>
      </c>
      <c r="O472" s="417"/>
      <c r="P472" s="367"/>
      <c r="Q472" s="367"/>
      <c r="R472" s="367"/>
      <c r="S472" s="367"/>
      <c r="T472" s="367"/>
      <c r="U472" s="367"/>
      <c r="V472" s="367"/>
      <c r="W472" s="367"/>
      <c r="X472" s="367"/>
      <c r="Y472" s="367"/>
      <c r="Z472" s="367"/>
    </row>
    <row r="473">
      <c r="A473" s="143" t="s">
        <v>2383</v>
      </c>
      <c r="B473" s="369">
        <v>2025.0</v>
      </c>
      <c r="C473" s="296" t="s">
        <v>711</v>
      </c>
      <c r="D473" s="300" t="s">
        <v>82</v>
      </c>
      <c r="E473" s="141"/>
      <c r="F473" s="296" t="s">
        <v>10</v>
      </c>
      <c r="G473" s="296" t="s">
        <v>1756</v>
      </c>
      <c r="H473" s="143" t="s">
        <v>1651</v>
      </c>
      <c r="I473" s="296" t="s">
        <v>58</v>
      </c>
      <c r="J473" s="296" t="s">
        <v>1757</v>
      </c>
      <c r="K473" s="143" t="s">
        <v>1488</v>
      </c>
      <c r="L473" s="119" t="s">
        <v>2419</v>
      </c>
      <c r="M473" s="119">
        <v>7.988524E7</v>
      </c>
      <c r="N473" s="119">
        <v>3.214499491E9</v>
      </c>
      <c r="O473" s="417"/>
      <c r="P473" s="367"/>
      <c r="Q473" s="367"/>
      <c r="R473" s="367"/>
      <c r="S473" s="367"/>
      <c r="T473" s="367"/>
      <c r="U473" s="367"/>
      <c r="V473" s="367"/>
      <c r="W473" s="367"/>
      <c r="X473" s="367"/>
      <c r="Y473" s="367"/>
      <c r="Z473" s="367"/>
    </row>
    <row r="474">
      <c r="A474" s="143" t="s">
        <v>2383</v>
      </c>
      <c r="B474" s="369">
        <v>2025.0</v>
      </c>
      <c r="C474" s="296" t="s">
        <v>711</v>
      </c>
      <c r="D474" s="300" t="s">
        <v>82</v>
      </c>
      <c r="E474" s="141"/>
      <c r="F474" s="296" t="s">
        <v>10</v>
      </c>
      <c r="G474" s="296" t="s">
        <v>1756</v>
      </c>
      <c r="H474" s="143" t="s">
        <v>1651</v>
      </c>
      <c r="I474" s="296" t="s">
        <v>58</v>
      </c>
      <c r="J474" s="296" t="s">
        <v>1757</v>
      </c>
      <c r="K474" s="143" t="s">
        <v>1488</v>
      </c>
      <c r="L474" s="119" t="s">
        <v>2420</v>
      </c>
      <c r="M474" s="119">
        <v>5.2312971E7</v>
      </c>
      <c r="N474" s="119">
        <v>3.209512752E9</v>
      </c>
      <c r="O474" s="417"/>
      <c r="P474" s="367"/>
      <c r="Q474" s="367"/>
      <c r="R474" s="367"/>
      <c r="S474" s="367"/>
      <c r="T474" s="367"/>
      <c r="U474" s="367"/>
      <c r="V474" s="367"/>
      <c r="W474" s="367"/>
      <c r="X474" s="367"/>
      <c r="Y474" s="367"/>
      <c r="Z474" s="367"/>
    </row>
    <row r="475">
      <c r="A475" s="143" t="s">
        <v>2383</v>
      </c>
      <c r="B475" s="369">
        <v>2025.0</v>
      </c>
      <c r="C475" s="296" t="s">
        <v>711</v>
      </c>
      <c r="D475" s="300" t="s">
        <v>82</v>
      </c>
      <c r="E475" s="141"/>
      <c r="F475" s="296" t="s">
        <v>10</v>
      </c>
      <c r="G475" s="296" t="s">
        <v>1756</v>
      </c>
      <c r="H475" s="143" t="s">
        <v>1651</v>
      </c>
      <c r="I475" s="296" t="s">
        <v>58</v>
      </c>
      <c r="J475" s="296" t="s">
        <v>1757</v>
      </c>
      <c r="K475" s="143" t="s">
        <v>1488</v>
      </c>
      <c r="L475" s="119" t="s">
        <v>2421</v>
      </c>
      <c r="M475" s="119">
        <v>1.016949702E9</v>
      </c>
      <c r="N475" s="119">
        <v>3.012431856E9</v>
      </c>
      <c r="O475" s="417"/>
      <c r="P475" s="367"/>
      <c r="Q475" s="367"/>
      <c r="R475" s="367"/>
      <c r="S475" s="367"/>
      <c r="T475" s="367"/>
      <c r="U475" s="367"/>
      <c r="V475" s="367"/>
      <c r="W475" s="367"/>
      <c r="X475" s="367"/>
      <c r="Y475" s="367"/>
      <c r="Z475" s="367"/>
    </row>
    <row r="476">
      <c r="A476" s="143" t="s">
        <v>2383</v>
      </c>
      <c r="B476" s="369">
        <v>2025.0</v>
      </c>
      <c r="C476" s="296" t="s">
        <v>711</v>
      </c>
      <c r="D476" s="300" t="s">
        <v>82</v>
      </c>
      <c r="E476" s="141"/>
      <c r="F476" s="296" t="s">
        <v>10</v>
      </c>
      <c r="G476" s="296" t="s">
        <v>1756</v>
      </c>
      <c r="H476" s="143" t="s">
        <v>1651</v>
      </c>
      <c r="I476" s="296" t="s">
        <v>58</v>
      </c>
      <c r="J476" s="296" t="s">
        <v>1757</v>
      </c>
      <c r="K476" s="143" t="s">
        <v>1488</v>
      </c>
      <c r="L476" s="119" t="s">
        <v>2422</v>
      </c>
      <c r="M476" s="119">
        <v>1.000253449E9</v>
      </c>
      <c r="N476" s="119">
        <v>3.232500918E9</v>
      </c>
      <c r="O476" s="417"/>
      <c r="P476" s="367"/>
      <c r="Q476" s="367"/>
      <c r="R476" s="367"/>
      <c r="S476" s="367"/>
      <c r="T476" s="367"/>
      <c r="U476" s="367"/>
      <c r="V476" s="367"/>
      <c r="W476" s="367"/>
      <c r="X476" s="367"/>
      <c r="Y476" s="367"/>
      <c r="Z476" s="367"/>
    </row>
    <row r="477">
      <c r="A477" s="143" t="s">
        <v>2383</v>
      </c>
      <c r="B477" s="369">
        <v>2025.0</v>
      </c>
      <c r="C477" s="296" t="s">
        <v>711</v>
      </c>
      <c r="D477" s="300" t="s">
        <v>82</v>
      </c>
      <c r="E477" s="141"/>
      <c r="F477" s="296" t="s">
        <v>10</v>
      </c>
      <c r="G477" s="296" t="s">
        <v>1756</v>
      </c>
      <c r="H477" s="143" t="s">
        <v>1651</v>
      </c>
      <c r="I477" s="296" t="s">
        <v>58</v>
      </c>
      <c r="J477" s="296" t="s">
        <v>1757</v>
      </c>
      <c r="K477" s="143" t="s">
        <v>1488</v>
      </c>
      <c r="L477" s="119" t="s">
        <v>2423</v>
      </c>
      <c r="M477" s="119">
        <v>5.2858311E7</v>
      </c>
      <c r="N477" s="119">
        <v>3.142968023E9</v>
      </c>
      <c r="O477" s="417"/>
      <c r="P477" s="367"/>
      <c r="Q477" s="367"/>
      <c r="R477" s="367"/>
      <c r="S477" s="367"/>
      <c r="T477" s="367"/>
      <c r="U477" s="367"/>
      <c r="V477" s="367"/>
      <c r="W477" s="367"/>
      <c r="X477" s="367"/>
      <c r="Y477" s="367"/>
      <c r="Z477" s="367"/>
    </row>
    <row r="478">
      <c r="A478" s="143" t="s">
        <v>2383</v>
      </c>
      <c r="B478" s="369">
        <v>2025.0</v>
      </c>
      <c r="C478" s="296" t="s">
        <v>711</v>
      </c>
      <c r="D478" s="300" t="s">
        <v>82</v>
      </c>
      <c r="E478" s="141"/>
      <c r="F478" s="296" t="s">
        <v>10</v>
      </c>
      <c r="G478" s="296" t="s">
        <v>1756</v>
      </c>
      <c r="H478" s="143" t="s">
        <v>1651</v>
      </c>
      <c r="I478" s="296" t="s">
        <v>58</v>
      </c>
      <c r="J478" s="296" t="s">
        <v>1757</v>
      </c>
      <c r="K478" s="143" t="s">
        <v>1488</v>
      </c>
      <c r="L478" s="119" t="s">
        <v>2424</v>
      </c>
      <c r="M478" s="119">
        <v>5.181726E7</v>
      </c>
      <c r="N478" s="119">
        <v>3.239617544E9</v>
      </c>
      <c r="O478" s="417"/>
      <c r="P478" s="367"/>
      <c r="Q478" s="367"/>
      <c r="R478" s="367"/>
      <c r="S478" s="367"/>
      <c r="T478" s="367"/>
      <c r="U478" s="367"/>
      <c r="V478" s="367"/>
      <c r="W478" s="367"/>
      <c r="X478" s="367"/>
      <c r="Y478" s="367"/>
      <c r="Z478" s="367"/>
    </row>
    <row r="479">
      <c r="A479" s="143" t="s">
        <v>2383</v>
      </c>
      <c r="B479" s="369">
        <v>2025.0</v>
      </c>
      <c r="C479" s="296" t="s">
        <v>711</v>
      </c>
      <c r="D479" s="300" t="s">
        <v>82</v>
      </c>
      <c r="E479" s="141"/>
      <c r="F479" s="296" t="s">
        <v>10</v>
      </c>
      <c r="G479" s="296" t="s">
        <v>1756</v>
      </c>
      <c r="H479" s="143" t="s">
        <v>1651</v>
      </c>
      <c r="I479" s="296" t="s">
        <v>58</v>
      </c>
      <c r="J479" s="296" t="s">
        <v>1757</v>
      </c>
      <c r="K479" s="143" t="s">
        <v>1488</v>
      </c>
      <c r="L479" s="119" t="s">
        <v>2425</v>
      </c>
      <c r="M479" s="119">
        <v>1.717786037E9</v>
      </c>
      <c r="N479" s="119">
        <v>3.223407757E9</v>
      </c>
      <c r="O479" s="417"/>
      <c r="P479" s="367"/>
      <c r="Q479" s="367"/>
      <c r="R479" s="367"/>
      <c r="S479" s="367"/>
      <c r="T479" s="367"/>
      <c r="U479" s="367"/>
      <c r="V479" s="367"/>
      <c r="W479" s="367"/>
      <c r="X479" s="367"/>
      <c r="Y479" s="367"/>
      <c r="Z479" s="367"/>
    </row>
    <row r="480">
      <c r="A480" s="387" t="s">
        <v>2383</v>
      </c>
      <c r="B480" s="383">
        <v>2025.0</v>
      </c>
      <c r="C480" s="384" t="s">
        <v>711</v>
      </c>
      <c r="D480" s="385" t="s">
        <v>82</v>
      </c>
      <c r="E480" s="386"/>
      <c r="F480" s="384" t="s">
        <v>10</v>
      </c>
      <c r="G480" s="384" t="s">
        <v>1756</v>
      </c>
      <c r="H480" s="387" t="s">
        <v>1651</v>
      </c>
      <c r="I480" s="384" t="s">
        <v>58</v>
      </c>
      <c r="J480" s="384" t="s">
        <v>1757</v>
      </c>
      <c r="K480" s="387" t="s">
        <v>1488</v>
      </c>
      <c r="L480" s="418" t="s">
        <v>2426</v>
      </c>
      <c r="M480" s="418">
        <v>1.030528013E9</v>
      </c>
      <c r="N480" s="418">
        <v>3.118734871E9</v>
      </c>
      <c r="O480" s="419"/>
      <c r="P480" s="382"/>
      <c r="Q480" s="382"/>
      <c r="R480" s="382"/>
      <c r="S480" s="382"/>
      <c r="T480" s="382"/>
      <c r="U480" s="382"/>
      <c r="V480" s="382"/>
      <c r="W480" s="382"/>
      <c r="X480" s="382"/>
      <c r="Y480" s="382"/>
      <c r="Z480" s="382"/>
    </row>
    <row r="481">
      <c r="A481" s="395" t="s">
        <v>2427</v>
      </c>
      <c r="B481" s="391">
        <v>2024.0</v>
      </c>
      <c r="C481" s="392" t="s">
        <v>625</v>
      </c>
      <c r="D481" s="393" t="s">
        <v>82</v>
      </c>
      <c r="E481" s="394"/>
      <c r="F481" s="392" t="s">
        <v>10</v>
      </c>
      <c r="G481" s="392" t="s">
        <v>1756</v>
      </c>
      <c r="H481" s="395" t="s">
        <v>2428</v>
      </c>
      <c r="I481" s="392" t="s">
        <v>58</v>
      </c>
      <c r="J481" s="392" t="s">
        <v>1757</v>
      </c>
      <c r="K481" s="420" t="s">
        <v>2429</v>
      </c>
      <c r="L481" s="408" t="s">
        <v>2430</v>
      </c>
      <c r="M481" s="408">
        <v>1.9451254E7</v>
      </c>
      <c r="N481" s="408">
        <v>3.196422287E9</v>
      </c>
      <c r="O481" s="416"/>
      <c r="P481" s="390"/>
      <c r="Q481" s="390"/>
      <c r="R481" s="390"/>
      <c r="S481" s="390"/>
      <c r="T481" s="390"/>
      <c r="U481" s="390"/>
      <c r="V481" s="390"/>
      <c r="W481" s="390"/>
      <c r="X481" s="390"/>
      <c r="Y481" s="390"/>
      <c r="Z481" s="390"/>
    </row>
    <row r="482">
      <c r="A482" s="143" t="s">
        <v>2427</v>
      </c>
      <c r="B482" s="369">
        <v>2024.0</v>
      </c>
      <c r="C482" s="296" t="s">
        <v>625</v>
      </c>
      <c r="D482" s="300" t="s">
        <v>82</v>
      </c>
      <c r="E482" s="141"/>
      <c r="F482" s="296" t="s">
        <v>10</v>
      </c>
      <c r="G482" s="296" t="s">
        <v>1756</v>
      </c>
      <c r="H482" s="143" t="s">
        <v>2428</v>
      </c>
      <c r="I482" s="296" t="s">
        <v>58</v>
      </c>
      <c r="J482" s="296" t="s">
        <v>1757</v>
      </c>
      <c r="K482" s="421" t="s">
        <v>2429</v>
      </c>
      <c r="L482" s="119" t="s">
        <v>2431</v>
      </c>
      <c r="M482" s="119">
        <v>1.9314492E7</v>
      </c>
      <c r="N482" s="119">
        <v>3.112034366E9</v>
      </c>
      <c r="O482" s="417"/>
      <c r="P482" s="367"/>
      <c r="Q482" s="367"/>
      <c r="R482" s="367"/>
      <c r="S482" s="367"/>
      <c r="T482" s="367"/>
      <c r="U482" s="367"/>
      <c r="V482" s="367"/>
      <c r="W482" s="367"/>
      <c r="X482" s="367"/>
      <c r="Y482" s="367"/>
      <c r="Z482" s="367"/>
    </row>
    <row r="483">
      <c r="A483" s="143" t="s">
        <v>2427</v>
      </c>
      <c r="B483" s="369">
        <v>2024.0</v>
      </c>
      <c r="C483" s="296" t="s">
        <v>625</v>
      </c>
      <c r="D483" s="300" t="s">
        <v>82</v>
      </c>
      <c r="E483" s="141"/>
      <c r="F483" s="296" t="s">
        <v>10</v>
      </c>
      <c r="G483" s="296" t="s">
        <v>1756</v>
      </c>
      <c r="H483" s="143" t="s">
        <v>2428</v>
      </c>
      <c r="I483" s="296" t="s">
        <v>58</v>
      </c>
      <c r="J483" s="296" t="s">
        <v>1757</v>
      </c>
      <c r="K483" s="421" t="s">
        <v>2429</v>
      </c>
      <c r="L483" s="119" t="s">
        <v>2432</v>
      </c>
      <c r="M483" s="119">
        <v>4.1506932E7</v>
      </c>
      <c r="N483" s="119">
        <v>3.164386941E9</v>
      </c>
      <c r="O483" s="417"/>
      <c r="P483" s="367"/>
      <c r="Q483" s="367"/>
      <c r="R483" s="367"/>
      <c r="S483" s="367"/>
      <c r="T483" s="367"/>
      <c r="U483" s="367"/>
      <c r="V483" s="367"/>
      <c r="W483" s="367"/>
      <c r="X483" s="367"/>
      <c r="Y483" s="367"/>
      <c r="Z483" s="367"/>
    </row>
    <row r="484">
      <c r="A484" s="143" t="s">
        <v>2427</v>
      </c>
      <c r="B484" s="369">
        <v>2024.0</v>
      </c>
      <c r="C484" s="296" t="s">
        <v>625</v>
      </c>
      <c r="D484" s="300" t="s">
        <v>82</v>
      </c>
      <c r="E484" s="141"/>
      <c r="F484" s="296" t="s">
        <v>10</v>
      </c>
      <c r="G484" s="296" t="s">
        <v>1756</v>
      </c>
      <c r="H484" s="143" t="s">
        <v>2428</v>
      </c>
      <c r="I484" s="296" t="s">
        <v>58</v>
      </c>
      <c r="J484" s="296" t="s">
        <v>1757</v>
      </c>
      <c r="K484" s="421" t="s">
        <v>2429</v>
      </c>
      <c r="L484" s="119" t="s">
        <v>2433</v>
      </c>
      <c r="M484" s="119">
        <v>5.1816026E7</v>
      </c>
      <c r="N484" s="119">
        <v>3.108172958E9</v>
      </c>
      <c r="O484" s="417"/>
      <c r="P484" s="367"/>
      <c r="Q484" s="367"/>
      <c r="R484" s="367"/>
      <c r="S484" s="367"/>
      <c r="T484" s="367"/>
      <c r="U484" s="367"/>
      <c r="V484" s="367"/>
      <c r="W484" s="367"/>
      <c r="X484" s="367"/>
      <c r="Y484" s="367"/>
      <c r="Z484" s="367"/>
    </row>
    <row r="485">
      <c r="A485" s="143" t="s">
        <v>2427</v>
      </c>
      <c r="B485" s="369">
        <v>2024.0</v>
      </c>
      <c r="C485" s="296" t="s">
        <v>625</v>
      </c>
      <c r="D485" s="300" t="s">
        <v>82</v>
      </c>
      <c r="E485" s="141"/>
      <c r="F485" s="296" t="s">
        <v>10</v>
      </c>
      <c r="G485" s="296" t="s">
        <v>1756</v>
      </c>
      <c r="H485" s="143" t="s">
        <v>2428</v>
      </c>
      <c r="I485" s="296" t="s">
        <v>58</v>
      </c>
      <c r="J485" s="296" t="s">
        <v>1757</v>
      </c>
      <c r="K485" s="421" t="s">
        <v>2429</v>
      </c>
      <c r="L485" s="119" t="s">
        <v>2434</v>
      </c>
      <c r="M485" s="119">
        <v>1.9376539E7</v>
      </c>
      <c r="N485" s="119">
        <v>3.123381584E9</v>
      </c>
      <c r="O485" s="417"/>
      <c r="P485" s="367"/>
      <c r="Q485" s="367"/>
      <c r="R485" s="367"/>
      <c r="S485" s="367"/>
      <c r="T485" s="367"/>
      <c r="U485" s="367"/>
      <c r="V485" s="367"/>
      <c r="W485" s="367"/>
      <c r="X485" s="367"/>
      <c r="Y485" s="367"/>
      <c r="Z485" s="367"/>
    </row>
    <row r="486">
      <c r="A486" s="143" t="s">
        <v>2427</v>
      </c>
      <c r="B486" s="369">
        <v>2024.0</v>
      </c>
      <c r="C486" s="296" t="s">
        <v>625</v>
      </c>
      <c r="D486" s="300" t="s">
        <v>82</v>
      </c>
      <c r="E486" s="141"/>
      <c r="F486" s="296" t="s">
        <v>10</v>
      </c>
      <c r="G486" s="296" t="s">
        <v>1756</v>
      </c>
      <c r="H486" s="143" t="s">
        <v>2428</v>
      </c>
      <c r="I486" s="296" t="s">
        <v>58</v>
      </c>
      <c r="J486" s="296" t="s">
        <v>1757</v>
      </c>
      <c r="K486" s="421" t="s">
        <v>2429</v>
      </c>
      <c r="L486" s="119" t="s">
        <v>2435</v>
      </c>
      <c r="M486" s="119">
        <v>7.9696044E7</v>
      </c>
      <c r="N486" s="119">
        <v>3.118592461E9</v>
      </c>
      <c r="O486" s="417"/>
      <c r="P486" s="367"/>
      <c r="Q486" s="367"/>
      <c r="R486" s="367"/>
      <c r="S486" s="367"/>
      <c r="T486" s="367"/>
      <c r="U486" s="367"/>
      <c r="V486" s="367"/>
      <c r="W486" s="367"/>
      <c r="X486" s="367"/>
      <c r="Y486" s="367"/>
      <c r="Z486" s="367"/>
    </row>
    <row r="487">
      <c r="A487" s="143" t="s">
        <v>2427</v>
      </c>
      <c r="B487" s="369">
        <v>2024.0</v>
      </c>
      <c r="C487" s="296" t="s">
        <v>625</v>
      </c>
      <c r="D487" s="300" t="s">
        <v>82</v>
      </c>
      <c r="E487" s="141"/>
      <c r="F487" s="296" t="s">
        <v>10</v>
      </c>
      <c r="G487" s="296" t="s">
        <v>1756</v>
      </c>
      <c r="H487" s="143" t="s">
        <v>2428</v>
      </c>
      <c r="I487" s="296" t="s">
        <v>58</v>
      </c>
      <c r="J487" s="296" t="s">
        <v>1757</v>
      </c>
      <c r="K487" s="421" t="s">
        <v>2429</v>
      </c>
      <c r="L487" s="119" t="s">
        <v>2436</v>
      </c>
      <c r="M487" s="119">
        <v>1.9217141E7</v>
      </c>
      <c r="N487" s="119">
        <v>3.125124265E9</v>
      </c>
      <c r="O487" s="417"/>
      <c r="P487" s="367"/>
      <c r="Q487" s="367"/>
      <c r="R487" s="367"/>
      <c r="S487" s="367"/>
      <c r="T487" s="367"/>
      <c r="U487" s="367"/>
      <c r="V487" s="367"/>
      <c r="W487" s="367"/>
      <c r="X487" s="367"/>
      <c r="Y487" s="367"/>
      <c r="Z487" s="367"/>
    </row>
    <row r="488">
      <c r="A488" s="143" t="s">
        <v>2427</v>
      </c>
      <c r="B488" s="369">
        <v>2024.0</v>
      </c>
      <c r="C488" s="296" t="s">
        <v>625</v>
      </c>
      <c r="D488" s="300" t="s">
        <v>82</v>
      </c>
      <c r="E488" s="141"/>
      <c r="F488" s="296" t="s">
        <v>10</v>
      </c>
      <c r="G488" s="296" t="s">
        <v>1756</v>
      </c>
      <c r="H488" s="143" t="s">
        <v>2428</v>
      </c>
      <c r="I488" s="296" t="s">
        <v>58</v>
      </c>
      <c r="J488" s="296" t="s">
        <v>1757</v>
      </c>
      <c r="K488" s="421" t="s">
        <v>2429</v>
      </c>
      <c r="L488" s="119" t="s">
        <v>2437</v>
      </c>
      <c r="M488" s="119">
        <v>7.9422915E7</v>
      </c>
      <c r="N488" s="119">
        <v>3.01417714E9</v>
      </c>
      <c r="O488" s="417"/>
      <c r="P488" s="367"/>
      <c r="Q488" s="367"/>
      <c r="R488" s="367"/>
      <c r="S488" s="367"/>
      <c r="T488" s="367"/>
      <c r="U488" s="367"/>
      <c r="V488" s="367"/>
      <c r="W488" s="367"/>
      <c r="X488" s="367"/>
      <c r="Y488" s="367"/>
      <c r="Z488" s="367"/>
    </row>
    <row r="489">
      <c r="A489" s="143" t="s">
        <v>2427</v>
      </c>
      <c r="B489" s="369">
        <v>2024.0</v>
      </c>
      <c r="C489" s="296" t="s">
        <v>625</v>
      </c>
      <c r="D489" s="300" t="s">
        <v>82</v>
      </c>
      <c r="E489" s="141"/>
      <c r="F489" s="296" t="s">
        <v>10</v>
      </c>
      <c r="G489" s="296" t="s">
        <v>1756</v>
      </c>
      <c r="H489" s="143" t="s">
        <v>2428</v>
      </c>
      <c r="I489" s="296" t="s">
        <v>58</v>
      </c>
      <c r="J489" s="296" t="s">
        <v>1757</v>
      </c>
      <c r="K489" s="421" t="s">
        <v>2429</v>
      </c>
      <c r="L489" s="119" t="s">
        <v>2438</v>
      </c>
      <c r="M489" s="119">
        <v>8.023552E7</v>
      </c>
      <c r="N489" s="119">
        <v>3.18755321E9</v>
      </c>
      <c r="O489" s="417"/>
      <c r="P489" s="367"/>
      <c r="Q489" s="367"/>
      <c r="R489" s="367"/>
      <c r="S489" s="367"/>
      <c r="T489" s="367"/>
      <c r="U489" s="367"/>
      <c r="V489" s="367"/>
      <c r="W489" s="367"/>
      <c r="X489" s="367"/>
      <c r="Y489" s="367"/>
      <c r="Z489" s="367"/>
    </row>
    <row r="490">
      <c r="A490" s="143" t="s">
        <v>2427</v>
      </c>
      <c r="B490" s="369">
        <v>2024.0</v>
      </c>
      <c r="C490" s="296" t="s">
        <v>625</v>
      </c>
      <c r="D490" s="300" t="s">
        <v>82</v>
      </c>
      <c r="E490" s="141"/>
      <c r="F490" s="296" t="s">
        <v>10</v>
      </c>
      <c r="G490" s="296" t="s">
        <v>1756</v>
      </c>
      <c r="H490" s="143" t="s">
        <v>2428</v>
      </c>
      <c r="I490" s="296" t="s">
        <v>58</v>
      </c>
      <c r="J490" s="296" t="s">
        <v>1757</v>
      </c>
      <c r="K490" s="421" t="s">
        <v>2429</v>
      </c>
      <c r="L490" s="119" t="s">
        <v>2439</v>
      </c>
      <c r="M490" s="119">
        <v>7531480.0</v>
      </c>
      <c r="N490" s="119">
        <v>3.115451829E9</v>
      </c>
      <c r="O490" s="417"/>
      <c r="P490" s="367"/>
      <c r="Q490" s="367"/>
      <c r="R490" s="367"/>
      <c r="S490" s="367"/>
      <c r="T490" s="367"/>
      <c r="U490" s="367"/>
      <c r="V490" s="367"/>
      <c r="W490" s="367"/>
      <c r="X490" s="367"/>
      <c r="Y490" s="367"/>
      <c r="Z490" s="367"/>
    </row>
    <row r="491">
      <c r="A491" s="143" t="s">
        <v>2427</v>
      </c>
      <c r="B491" s="369">
        <v>2024.0</v>
      </c>
      <c r="C491" s="296" t="s">
        <v>625</v>
      </c>
      <c r="D491" s="300" t="s">
        <v>82</v>
      </c>
      <c r="E491" s="141"/>
      <c r="F491" s="296" t="s">
        <v>10</v>
      </c>
      <c r="G491" s="296" t="s">
        <v>1756</v>
      </c>
      <c r="H491" s="143" t="s">
        <v>2428</v>
      </c>
      <c r="I491" s="296" t="s">
        <v>58</v>
      </c>
      <c r="J491" s="296" t="s">
        <v>1757</v>
      </c>
      <c r="K491" s="421" t="s">
        <v>2429</v>
      </c>
      <c r="L491" s="119" t="s">
        <v>2440</v>
      </c>
      <c r="M491" s="119">
        <v>5.1950437E7</v>
      </c>
      <c r="N491" s="119">
        <v>3.138346548E9</v>
      </c>
      <c r="O491" s="417"/>
      <c r="P491" s="367"/>
      <c r="Q491" s="367"/>
      <c r="R491" s="367"/>
      <c r="S491" s="367"/>
      <c r="T491" s="367"/>
      <c r="U491" s="367"/>
      <c r="V491" s="367"/>
      <c r="W491" s="367"/>
      <c r="X491" s="367"/>
      <c r="Y491" s="367"/>
      <c r="Z491" s="367"/>
    </row>
    <row r="492">
      <c r="A492" s="143" t="s">
        <v>2427</v>
      </c>
      <c r="B492" s="369">
        <v>2024.0</v>
      </c>
      <c r="C492" s="296" t="s">
        <v>625</v>
      </c>
      <c r="D492" s="300" t="s">
        <v>82</v>
      </c>
      <c r="E492" s="141"/>
      <c r="F492" s="296" t="s">
        <v>10</v>
      </c>
      <c r="G492" s="296" t="s">
        <v>1756</v>
      </c>
      <c r="H492" s="143" t="s">
        <v>2428</v>
      </c>
      <c r="I492" s="296" t="s">
        <v>58</v>
      </c>
      <c r="J492" s="296" t="s">
        <v>1757</v>
      </c>
      <c r="K492" s="421" t="s">
        <v>2429</v>
      </c>
      <c r="L492" s="119" t="s">
        <v>2441</v>
      </c>
      <c r="M492" s="119">
        <v>1.9318371E7</v>
      </c>
      <c r="N492" s="119">
        <v>3.102173081E9</v>
      </c>
      <c r="O492" s="417"/>
      <c r="P492" s="367"/>
      <c r="Q492" s="367"/>
      <c r="R492" s="367"/>
      <c r="S492" s="367"/>
      <c r="T492" s="367"/>
      <c r="U492" s="367"/>
      <c r="V492" s="367"/>
      <c r="W492" s="367"/>
      <c r="X492" s="367"/>
      <c r="Y492" s="367"/>
      <c r="Z492" s="367"/>
    </row>
    <row r="493">
      <c r="A493" s="143" t="s">
        <v>2427</v>
      </c>
      <c r="B493" s="369">
        <v>2024.0</v>
      </c>
      <c r="C493" s="296" t="s">
        <v>625</v>
      </c>
      <c r="D493" s="300" t="s">
        <v>82</v>
      </c>
      <c r="E493" s="141"/>
      <c r="F493" s="296" t="s">
        <v>10</v>
      </c>
      <c r="G493" s="296" t="s">
        <v>1756</v>
      </c>
      <c r="H493" s="143" t="s">
        <v>2428</v>
      </c>
      <c r="I493" s="296" t="s">
        <v>58</v>
      </c>
      <c r="J493" s="296" t="s">
        <v>1757</v>
      </c>
      <c r="K493" s="421" t="s">
        <v>2429</v>
      </c>
      <c r="L493" s="119" t="s">
        <v>2442</v>
      </c>
      <c r="M493" s="119">
        <v>2.0290941E7</v>
      </c>
      <c r="N493" s="119">
        <v>3.046670747E9</v>
      </c>
      <c r="O493" s="417"/>
      <c r="P493" s="367"/>
      <c r="Q493" s="367"/>
      <c r="R493" s="367"/>
      <c r="S493" s="367"/>
      <c r="T493" s="367"/>
      <c r="U493" s="367"/>
      <c r="V493" s="367"/>
      <c r="W493" s="367"/>
      <c r="X493" s="367"/>
      <c r="Y493" s="367"/>
      <c r="Z493" s="367"/>
    </row>
    <row r="494">
      <c r="A494" s="143" t="s">
        <v>2427</v>
      </c>
      <c r="B494" s="369">
        <v>2024.0</v>
      </c>
      <c r="C494" s="296" t="s">
        <v>625</v>
      </c>
      <c r="D494" s="300" t="s">
        <v>82</v>
      </c>
      <c r="E494" s="141"/>
      <c r="F494" s="296" t="s">
        <v>10</v>
      </c>
      <c r="G494" s="296" t="s">
        <v>1756</v>
      </c>
      <c r="H494" s="143" t="s">
        <v>2428</v>
      </c>
      <c r="I494" s="296" t="s">
        <v>58</v>
      </c>
      <c r="J494" s="296" t="s">
        <v>1757</v>
      </c>
      <c r="K494" s="421" t="s">
        <v>2429</v>
      </c>
      <c r="L494" s="119" t="s">
        <v>2443</v>
      </c>
      <c r="M494" s="119">
        <v>1.9059411E7</v>
      </c>
      <c r="N494" s="119">
        <v>3.186041413E9</v>
      </c>
      <c r="O494" s="417"/>
      <c r="P494" s="367"/>
      <c r="Q494" s="367"/>
      <c r="R494" s="367"/>
      <c r="S494" s="367"/>
      <c r="T494" s="367"/>
      <c r="U494" s="367"/>
      <c r="V494" s="367"/>
      <c r="W494" s="367"/>
      <c r="X494" s="367"/>
      <c r="Y494" s="367"/>
      <c r="Z494" s="367"/>
    </row>
    <row r="495">
      <c r="A495" s="143" t="s">
        <v>2427</v>
      </c>
      <c r="B495" s="369">
        <v>2024.0</v>
      </c>
      <c r="C495" s="296" t="s">
        <v>625</v>
      </c>
      <c r="D495" s="300" t="s">
        <v>82</v>
      </c>
      <c r="E495" s="141"/>
      <c r="F495" s="296" t="s">
        <v>10</v>
      </c>
      <c r="G495" s="296" t="s">
        <v>1756</v>
      </c>
      <c r="H495" s="143" t="s">
        <v>2428</v>
      </c>
      <c r="I495" s="296" t="s">
        <v>58</v>
      </c>
      <c r="J495" s="296" t="s">
        <v>1757</v>
      </c>
      <c r="K495" s="421" t="s">
        <v>2429</v>
      </c>
      <c r="L495" s="119" t="s">
        <v>2444</v>
      </c>
      <c r="M495" s="119">
        <v>4326703.0</v>
      </c>
      <c r="N495" s="119">
        <v>3.112174374E9</v>
      </c>
      <c r="O495" s="417"/>
      <c r="P495" s="367"/>
      <c r="Q495" s="367"/>
      <c r="R495" s="367"/>
      <c r="S495" s="367"/>
      <c r="T495" s="367"/>
      <c r="U495" s="367"/>
      <c r="V495" s="367"/>
      <c r="W495" s="367"/>
      <c r="X495" s="367"/>
      <c r="Y495" s="367"/>
      <c r="Z495" s="367"/>
    </row>
    <row r="496">
      <c r="A496" s="143" t="s">
        <v>2427</v>
      </c>
      <c r="B496" s="369">
        <v>2024.0</v>
      </c>
      <c r="C496" s="296" t="s">
        <v>625</v>
      </c>
      <c r="D496" s="300" t="s">
        <v>82</v>
      </c>
      <c r="E496" s="141"/>
      <c r="F496" s="296" t="s">
        <v>10</v>
      </c>
      <c r="G496" s="296" t="s">
        <v>1756</v>
      </c>
      <c r="H496" s="143" t="s">
        <v>2428</v>
      </c>
      <c r="I496" s="296" t="s">
        <v>58</v>
      </c>
      <c r="J496" s="296" t="s">
        <v>1757</v>
      </c>
      <c r="K496" s="421" t="s">
        <v>2429</v>
      </c>
      <c r="L496" s="119" t="s">
        <v>2445</v>
      </c>
      <c r="M496" s="119">
        <v>7.9343165E7</v>
      </c>
      <c r="N496" s="119">
        <v>3.014890462E9</v>
      </c>
      <c r="O496" s="417"/>
      <c r="P496" s="367"/>
      <c r="Q496" s="367"/>
      <c r="R496" s="367"/>
      <c r="S496" s="367"/>
      <c r="T496" s="367"/>
      <c r="U496" s="367"/>
      <c r="V496" s="367"/>
      <c r="W496" s="367"/>
      <c r="X496" s="367"/>
      <c r="Y496" s="367"/>
      <c r="Z496" s="367"/>
    </row>
    <row r="497">
      <c r="A497" s="143" t="s">
        <v>2427</v>
      </c>
      <c r="B497" s="369">
        <v>2024.0</v>
      </c>
      <c r="C497" s="296" t="s">
        <v>625</v>
      </c>
      <c r="D497" s="300" t="s">
        <v>82</v>
      </c>
      <c r="E497" s="141"/>
      <c r="F497" s="296" t="s">
        <v>10</v>
      </c>
      <c r="G497" s="296" t="s">
        <v>1756</v>
      </c>
      <c r="H497" s="143" t="s">
        <v>2428</v>
      </c>
      <c r="I497" s="296" t="s">
        <v>58</v>
      </c>
      <c r="J497" s="296" t="s">
        <v>1757</v>
      </c>
      <c r="K497" s="421" t="s">
        <v>2429</v>
      </c>
      <c r="L497" s="119" t="s">
        <v>2446</v>
      </c>
      <c r="M497" s="119">
        <v>4.1631141E7</v>
      </c>
      <c r="N497" s="119">
        <v>3.14422736E9</v>
      </c>
      <c r="O497" s="417"/>
      <c r="P497" s="367"/>
      <c r="Q497" s="367"/>
      <c r="R497" s="367"/>
      <c r="S497" s="367"/>
      <c r="T497" s="367"/>
      <c r="U497" s="367"/>
      <c r="V497" s="367"/>
      <c r="W497" s="367"/>
      <c r="X497" s="367"/>
      <c r="Y497" s="367"/>
      <c r="Z497" s="367"/>
    </row>
    <row r="498">
      <c r="A498" s="143" t="s">
        <v>2427</v>
      </c>
      <c r="B498" s="369">
        <v>2024.0</v>
      </c>
      <c r="C498" s="296" t="s">
        <v>625</v>
      </c>
      <c r="D498" s="300" t="s">
        <v>82</v>
      </c>
      <c r="E498" s="141"/>
      <c r="F498" s="296" t="s">
        <v>10</v>
      </c>
      <c r="G498" s="296" t="s">
        <v>1756</v>
      </c>
      <c r="H498" s="143" t="s">
        <v>2428</v>
      </c>
      <c r="I498" s="296" t="s">
        <v>58</v>
      </c>
      <c r="J498" s="296" t="s">
        <v>1757</v>
      </c>
      <c r="K498" s="421" t="s">
        <v>2429</v>
      </c>
      <c r="L498" s="119" t="s">
        <v>2447</v>
      </c>
      <c r="M498" s="119">
        <v>5.1666775E7</v>
      </c>
      <c r="N498" s="119">
        <v>3.124592512E9</v>
      </c>
      <c r="O498" s="417"/>
      <c r="P498" s="367"/>
      <c r="Q498" s="367"/>
      <c r="R498" s="367"/>
      <c r="S498" s="367"/>
      <c r="T498" s="367"/>
      <c r="U498" s="367"/>
      <c r="V498" s="367"/>
      <c r="W498" s="367"/>
      <c r="X498" s="367"/>
      <c r="Y498" s="367"/>
      <c r="Z498" s="367"/>
    </row>
    <row r="499">
      <c r="A499" s="143" t="s">
        <v>2427</v>
      </c>
      <c r="B499" s="369">
        <v>2024.0</v>
      </c>
      <c r="C499" s="296" t="s">
        <v>625</v>
      </c>
      <c r="D499" s="300" t="s">
        <v>82</v>
      </c>
      <c r="E499" s="141"/>
      <c r="F499" s="296" t="s">
        <v>10</v>
      </c>
      <c r="G499" s="296" t="s">
        <v>1756</v>
      </c>
      <c r="H499" s="143" t="s">
        <v>2428</v>
      </c>
      <c r="I499" s="296" t="s">
        <v>58</v>
      </c>
      <c r="J499" s="296" t="s">
        <v>1757</v>
      </c>
      <c r="K499" s="421" t="s">
        <v>2429</v>
      </c>
      <c r="L499" s="119" t="s">
        <v>2448</v>
      </c>
      <c r="M499" s="119">
        <v>1.7075416E7</v>
      </c>
      <c r="N499" s="119">
        <v>3.01204888E9</v>
      </c>
      <c r="O499" s="417"/>
      <c r="P499" s="367"/>
      <c r="Q499" s="367"/>
      <c r="R499" s="367"/>
      <c r="S499" s="367"/>
      <c r="T499" s="367"/>
      <c r="U499" s="367"/>
      <c r="V499" s="367"/>
      <c r="W499" s="367"/>
      <c r="X499" s="367"/>
      <c r="Y499" s="367"/>
      <c r="Z499" s="367"/>
    </row>
    <row r="500">
      <c r="A500" s="143" t="s">
        <v>2427</v>
      </c>
      <c r="B500" s="369">
        <v>2024.0</v>
      </c>
      <c r="C500" s="296" t="s">
        <v>625</v>
      </c>
      <c r="D500" s="300" t="s">
        <v>82</v>
      </c>
      <c r="E500" s="141"/>
      <c r="F500" s="296" t="s">
        <v>10</v>
      </c>
      <c r="G500" s="296" t="s">
        <v>1756</v>
      </c>
      <c r="H500" s="143" t="s">
        <v>2428</v>
      </c>
      <c r="I500" s="296" t="s">
        <v>58</v>
      </c>
      <c r="J500" s="296" t="s">
        <v>1757</v>
      </c>
      <c r="K500" s="421" t="s">
        <v>2429</v>
      </c>
      <c r="L500" s="119" t="s">
        <v>2449</v>
      </c>
      <c r="M500" s="119">
        <v>8.079414E7</v>
      </c>
      <c r="N500" s="119">
        <v>3.224118599E9</v>
      </c>
      <c r="O500" s="417"/>
      <c r="P500" s="367"/>
      <c r="Q500" s="367"/>
      <c r="R500" s="367"/>
      <c r="S500" s="367"/>
      <c r="T500" s="367"/>
      <c r="U500" s="367"/>
      <c r="V500" s="367"/>
      <c r="W500" s="367"/>
      <c r="X500" s="367"/>
      <c r="Y500" s="367"/>
      <c r="Z500" s="367"/>
    </row>
    <row r="501">
      <c r="A501" s="143" t="s">
        <v>2427</v>
      </c>
      <c r="B501" s="369">
        <v>2024.0</v>
      </c>
      <c r="C501" s="296" t="s">
        <v>625</v>
      </c>
      <c r="D501" s="300" t="s">
        <v>82</v>
      </c>
      <c r="E501" s="141"/>
      <c r="F501" s="296" t="s">
        <v>10</v>
      </c>
      <c r="G501" s="296" t="s">
        <v>1756</v>
      </c>
      <c r="H501" s="143" t="s">
        <v>2428</v>
      </c>
      <c r="I501" s="296" t="s">
        <v>58</v>
      </c>
      <c r="J501" s="296" t="s">
        <v>1757</v>
      </c>
      <c r="K501" s="421" t="s">
        <v>2429</v>
      </c>
      <c r="L501" s="119" t="s">
        <v>2450</v>
      </c>
      <c r="M501" s="119">
        <v>5.2771187E7</v>
      </c>
      <c r="N501" s="119">
        <v>3.204874498E9</v>
      </c>
      <c r="O501" s="417"/>
      <c r="P501" s="367"/>
      <c r="Q501" s="367"/>
      <c r="R501" s="367"/>
      <c r="S501" s="367"/>
      <c r="T501" s="367"/>
      <c r="U501" s="367"/>
      <c r="V501" s="367"/>
      <c r="W501" s="367"/>
      <c r="X501" s="367"/>
      <c r="Y501" s="367"/>
      <c r="Z501" s="367"/>
    </row>
    <row r="502">
      <c r="A502" s="143" t="s">
        <v>2427</v>
      </c>
      <c r="B502" s="369">
        <v>2024.0</v>
      </c>
      <c r="C502" s="296" t="s">
        <v>625</v>
      </c>
      <c r="D502" s="300" t="s">
        <v>82</v>
      </c>
      <c r="E502" s="141"/>
      <c r="F502" s="296" t="s">
        <v>10</v>
      </c>
      <c r="G502" s="296" t="s">
        <v>1756</v>
      </c>
      <c r="H502" s="143" t="s">
        <v>2428</v>
      </c>
      <c r="I502" s="296" t="s">
        <v>58</v>
      </c>
      <c r="J502" s="296" t="s">
        <v>1757</v>
      </c>
      <c r="K502" s="421" t="s">
        <v>2429</v>
      </c>
      <c r="L502" s="119" t="s">
        <v>2451</v>
      </c>
      <c r="M502" s="119">
        <v>4.1418529E7</v>
      </c>
      <c r="N502" s="119">
        <v>3.115824564E9</v>
      </c>
      <c r="O502" s="417"/>
      <c r="P502" s="367"/>
      <c r="Q502" s="367"/>
      <c r="R502" s="367"/>
      <c r="S502" s="367"/>
      <c r="T502" s="367"/>
      <c r="U502" s="367"/>
      <c r="V502" s="367"/>
      <c r="W502" s="367"/>
      <c r="X502" s="367"/>
      <c r="Y502" s="367"/>
      <c r="Z502" s="367"/>
    </row>
    <row r="503">
      <c r="A503" s="143" t="s">
        <v>2427</v>
      </c>
      <c r="B503" s="369">
        <v>2024.0</v>
      </c>
      <c r="C503" s="296" t="s">
        <v>625</v>
      </c>
      <c r="D503" s="300" t="s">
        <v>82</v>
      </c>
      <c r="E503" s="141"/>
      <c r="F503" s="296" t="s">
        <v>10</v>
      </c>
      <c r="G503" s="296" t="s">
        <v>1756</v>
      </c>
      <c r="H503" s="143" t="s">
        <v>2428</v>
      </c>
      <c r="I503" s="296" t="s">
        <v>58</v>
      </c>
      <c r="J503" s="296" t="s">
        <v>1757</v>
      </c>
      <c r="K503" s="421" t="s">
        <v>2429</v>
      </c>
      <c r="L503" s="119" t="s">
        <v>2452</v>
      </c>
      <c r="M503" s="119">
        <v>1.030631896E9</v>
      </c>
      <c r="N503" s="119">
        <v>3.104576005E9</v>
      </c>
      <c r="O503" s="417"/>
      <c r="P503" s="367"/>
      <c r="Q503" s="367"/>
      <c r="R503" s="367"/>
      <c r="S503" s="367"/>
      <c r="T503" s="367"/>
      <c r="U503" s="367"/>
      <c r="V503" s="367"/>
      <c r="W503" s="367"/>
      <c r="X503" s="367"/>
      <c r="Y503" s="367"/>
      <c r="Z503" s="367"/>
    </row>
    <row r="504">
      <c r="A504" s="143" t="s">
        <v>2427</v>
      </c>
      <c r="B504" s="369">
        <v>2024.0</v>
      </c>
      <c r="C504" s="296" t="s">
        <v>625</v>
      </c>
      <c r="D504" s="300" t="s">
        <v>82</v>
      </c>
      <c r="E504" s="141"/>
      <c r="F504" s="296" t="s">
        <v>10</v>
      </c>
      <c r="G504" s="296" t="s">
        <v>1756</v>
      </c>
      <c r="H504" s="143" t="s">
        <v>2428</v>
      </c>
      <c r="I504" s="296" t="s">
        <v>58</v>
      </c>
      <c r="J504" s="296" t="s">
        <v>1757</v>
      </c>
      <c r="K504" s="421" t="s">
        <v>2429</v>
      </c>
      <c r="L504" s="119" t="s">
        <v>2453</v>
      </c>
      <c r="M504" s="119">
        <v>1.02233287E9</v>
      </c>
      <c r="N504" s="119">
        <v>3.202271571E9</v>
      </c>
      <c r="O504" s="417"/>
      <c r="P504" s="367"/>
      <c r="Q504" s="367"/>
      <c r="R504" s="367"/>
      <c r="S504" s="367"/>
      <c r="T504" s="367"/>
      <c r="U504" s="367"/>
      <c r="V504" s="367"/>
      <c r="W504" s="367"/>
      <c r="X504" s="367"/>
      <c r="Y504" s="367"/>
      <c r="Z504" s="367"/>
    </row>
    <row r="505">
      <c r="A505" s="143" t="s">
        <v>2427</v>
      </c>
      <c r="B505" s="369">
        <v>2024.0</v>
      </c>
      <c r="C505" s="296" t="s">
        <v>625</v>
      </c>
      <c r="D505" s="300" t="s">
        <v>82</v>
      </c>
      <c r="E505" s="141"/>
      <c r="F505" s="296" t="s">
        <v>10</v>
      </c>
      <c r="G505" s="296" t="s">
        <v>1756</v>
      </c>
      <c r="H505" s="143" t="s">
        <v>2428</v>
      </c>
      <c r="I505" s="296" t="s">
        <v>58</v>
      </c>
      <c r="J505" s="296" t="s">
        <v>1757</v>
      </c>
      <c r="K505" s="421" t="s">
        <v>2429</v>
      </c>
      <c r="L505" s="119" t="s">
        <v>2454</v>
      </c>
      <c r="M505" s="119">
        <v>7.9473124E7</v>
      </c>
      <c r="N505" s="119">
        <v>3.144349668E9</v>
      </c>
      <c r="O505" s="417"/>
      <c r="P505" s="367"/>
      <c r="Q505" s="367"/>
      <c r="R505" s="367"/>
      <c r="S505" s="367"/>
      <c r="T505" s="367"/>
      <c r="U505" s="367"/>
      <c r="V505" s="367"/>
      <c r="W505" s="367"/>
      <c r="X505" s="367"/>
      <c r="Y505" s="367"/>
      <c r="Z505" s="367"/>
    </row>
    <row r="506">
      <c r="A506" s="143" t="s">
        <v>2427</v>
      </c>
      <c r="B506" s="369">
        <v>2024.0</v>
      </c>
      <c r="C506" s="296" t="s">
        <v>625</v>
      </c>
      <c r="D506" s="300" t="s">
        <v>82</v>
      </c>
      <c r="E506" s="141"/>
      <c r="F506" s="296" t="s">
        <v>10</v>
      </c>
      <c r="G506" s="296" t="s">
        <v>1756</v>
      </c>
      <c r="H506" s="143" t="s">
        <v>2428</v>
      </c>
      <c r="I506" s="296" t="s">
        <v>58</v>
      </c>
      <c r="J506" s="296" t="s">
        <v>1757</v>
      </c>
      <c r="K506" s="421" t="s">
        <v>2429</v>
      </c>
      <c r="L506" s="119" t="s">
        <v>2455</v>
      </c>
      <c r="M506" s="119">
        <v>5.2193648E7</v>
      </c>
      <c r="N506" s="119">
        <v>3.133366114E9</v>
      </c>
      <c r="O506" s="417"/>
      <c r="P506" s="367"/>
      <c r="Q506" s="367"/>
      <c r="R506" s="367"/>
      <c r="S506" s="367"/>
      <c r="T506" s="367"/>
      <c r="U506" s="367"/>
      <c r="V506" s="367"/>
      <c r="W506" s="367"/>
      <c r="X506" s="367"/>
      <c r="Y506" s="367"/>
      <c r="Z506" s="367"/>
    </row>
    <row r="507">
      <c r="A507" s="143" t="s">
        <v>2427</v>
      </c>
      <c r="B507" s="369">
        <v>2024.0</v>
      </c>
      <c r="C507" s="296" t="s">
        <v>625</v>
      </c>
      <c r="D507" s="300" t="s">
        <v>82</v>
      </c>
      <c r="E507" s="141"/>
      <c r="F507" s="296" t="s">
        <v>10</v>
      </c>
      <c r="G507" s="296" t="s">
        <v>1756</v>
      </c>
      <c r="H507" s="143" t="s">
        <v>2428</v>
      </c>
      <c r="I507" s="296" t="s">
        <v>58</v>
      </c>
      <c r="J507" s="296" t="s">
        <v>1757</v>
      </c>
      <c r="K507" s="421" t="s">
        <v>2429</v>
      </c>
      <c r="L507" s="119" t="s">
        <v>2456</v>
      </c>
      <c r="M507" s="119">
        <v>7213717.0</v>
      </c>
      <c r="N507" s="119">
        <v>3.153368008E9</v>
      </c>
      <c r="O507" s="417"/>
      <c r="P507" s="367"/>
      <c r="Q507" s="367"/>
      <c r="R507" s="367"/>
      <c r="S507" s="367"/>
      <c r="T507" s="367"/>
      <c r="U507" s="367"/>
      <c r="V507" s="367"/>
      <c r="W507" s="367"/>
      <c r="X507" s="367"/>
      <c r="Y507" s="367"/>
      <c r="Z507" s="367"/>
    </row>
    <row r="508">
      <c r="A508" s="143" t="s">
        <v>2427</v>
      </c>
      <c r="B508" s="369">
        <v>2024.0</v>
      </c>
      <c r="C508" s="296" t="s">
        <v>625</v>
      </c>
      <c r="D508" s="300" t="s">
        <v>82</v>
      </c>
      <c r="E508" s="141"/>
      <c r="F508" s="296" t="s">
        <v>10</v>
      </c>
      <c r="G508" s="296" t="s">
        <v>1756</v>
      </c>
      <c r="H508" s="143" t="s">
        <v>2428</v>
      </c>
      <c r="I508" s="296" t="s">
        <v>58</v>
      </c>
      <c r="J508" s="296" t="s">
        <v>1757</v>
      </c>
      <c r="K508" s="421" t="s">
        <v>2429</v>
      </c>
      <c r="L508" s="119" t="s">
        <v>2457</v>
      </c>
      <c r="M508" s="119">
        <v>5.2550417E7</v>
      </c>
      <c r="N508" s="119">
        <v>3.014177104E9</v>
      </c>
      <c r="O508" s="417"/>
      <c r="P508" s="367"/>
      <c r="Q508" s="367"/>
      <c r="R508" s="367"/>
      <c r="S508" s="367"/>
      <c r="T508" s="367"/>
      <c r="U508" s="367"/>
      <c r="V508" s="367"/>
      <c r="W508" s="367"/>
      <c r="X508" s="367"/>
      <c r="Y508" s="367"/>
      <c r="Z508" s="367"/>
    </row>
    <row r="509">
      <c r="A509" s="143" t="s">
        <v>2427</v>
      </c>
      <c r="B509" s="369">
        <v>2024.0</v>
      </c>
      <c r="C509" s="296" t="s">
        <v>625</v>
      </c>
      <c r="D509" s="300" t="s">
        <v>82</v>
      </c>
      <c r="E509" s="141"/>
      <c r="F509" s="296" t="s">
        <v>10</v>
      </c>
      <c r="G509" s="296" t="s">
        <v>1756</v>
      </c>
      <c r="H509" s="143" t="s">
        <v>2428</v>
      </c>
      <c r="I509" s="296" t="s">
        <v>58</v>
      </c>
      <c r="J509" s="296" t="s">
        <v>1757</v>
      </c>
      <c r="K509" s="421" t="s">
        <v>2429</v>
      </c>
      <c r="L509" s="119" t="s">
        <v>2458</v>
      </c>
      <c r="M509" s="119">
        <v>4.1777326E7</v>
      </c>
      <c r="N509" s="119">
        <v>3.202338277E9</v>
      </c>
      <c r="O509" s="417"/>
      <c r="P509" s="367"/>
      <c r="Q509" s="367"/>
      <c r="R509" s="367"/>
      <c r="S509" s="367"/>
      <c r="T509" s="367"/>
      <c r="U509" s="367"/>
      <c r="V509" s="367"/>
      <c r="W509" s="367"/>
      <c r="X509" s="367"/>
      <c r="Y509" s="367"/>
      <c r="Z509" s="367"/>
    </row>
    <row r="510">
      <c r="A510" s="143" t="s">
        <v>2427</v>
      </c>
      <c r="B510" s="369">
        <v>2024.0</v>
      </c>
      <c r="C510" s="296" t="s">
        <v>625</v>
      </c>
      <c r="D510" s="300" t="s">
        <v>82</v>
      </c>
      <c r="E510" s="141"/>
      <c r="F510" s="296" t="s">
        <v>10</v>
      </c>
      <c r="G510" s="296" t="s">
        <v>1756</v>
      </c>
      <c r="H510" s="143" t="s">
        <v>2428</v>
      </c>
      <c r="I510" s="296" t="s">
        <v>58</v>
      </c>
      <c r="J510" s="296" t="s">
        <v>1757</v>
      </c>
      <c r="K510" s="421" t="s">
        <v>2429</v>
      </c>
      <c r="L510" s="379" t="s">
        <v>2459</v>
      </c>
      <c r="M510" s="409">
        <v>1.9378148E7</v>
      </c>
      <c r="N510" s="409">
        <v>3.118576091E9</v>
      </c>
      <c r="O510" s="367"/>
      <c r="P510" s="367"/>
      <c r="Q510" s="367"/>
      <c r="R510" s="367"/>
      <c r="S510" s="367"/>
      <c r="T510" s="367"/>
      <c r="U510" s="367"/>
      <c r="V510" s="367"/>
      <c r="W510" s="367"/>
      <c r="X510" s="367"/>
      <c r="Y510" s="367"/>
      <c r="Z510" s="367"/>
    </row>
    <row r="511">
      <c r="A511" s="143" t="s">
        <v>2427</v>
      </c>
      <c r="B511" s="369">
        <v>2024.0</v>
      </c>
      <c r="C511" s="296" t="s">
        <v>625</v>
      </c>
      <c r="D511" s="300" t="s">
        <v>82</v>
      </c>
      <c r="E511" s="141"/>
      <c r="F511" s="296" t="s">
        <v>10</v>
      </c>
      <c r="G511" s="296" t="s">
        <v>1756</v>
      </c>
      <c r="H511" s="143" t="s">
        <v>2428</v>
      </c>
      <c r="I511" s="296" t="s">
        <v>58</v>
      </c>
      <c r="J511" s="296" t="s">
        <v>1757</v>
      </c>
      <c r="K511" s="421" t="s">
        <v>2429</v>
      </c>
      <c r="L511" s="379" t="s">
        <v>2460</v>
      </c>
      <c r="M511" s="409">
        <v>5159071.0</v>
      </c>
      <c r="N511" s="409">
        <v>3.212549223E9</v>
      </c>
      <c r="O511" s="367"/>
      <c r="P511" s="367"/>
      <c r="Q511" s="367"/>
      <c r="R511" s="367"/>
      <c r="S511" s="367"/>
      <c r="T511" s="367"/>
      <c r="U511" s="367"/>
      <c r="V511" s="367"/>
      <c r="W511" s="367"/>
      <c r="X511" s="367"/>
      <c r="Y511" s="367"/>
      <c r="Z511" s="367"/>
    </row>
    <row r="512">
      <c r="A512" s="387" t="s">
        <v>2427</v>
      </c>
      <c r="B512" s="383">
        <v>2024.0</v>
      </c>
      <c r="C512" s="384" t="s">
        <v>625</v>
      </c>
      <c r="D512" s="385" t="s">
        <v>82</v>
      </c>
      <c r="E512" s="386"/>
      <c r="F512" s="384" t="s">
        <v>10</v>
      </c>
      <c r="G512" s="384" t="s">
        <v>1756</v>
      </c>
      <c r="H512" s="387" t="s">
        <v>2428</v>
      </c>
      <c r="I512" s="384" t="s">
        <v>58</v>
      </c>
      <c r="J512" s="384" t="s">
        <v>1757</v>
      </c>
      <c r="K512" s="422" t="s">
        <v>2429</v>
      </c>
      <c r="L512" s="388" t="s">
        <v>2461</v>
      </c>
      <c r="M512" s="410">
        <v>7.9361635E7</v>
      </c>
      <c r="N512" s="410">
        <v>3.002186255E9</v>
      </c>
      <c r="O512" s="382"/>
      <c r="P512" s="382"/>
      <c r="Q512" s="382"/>
      <c r="R512" s="382"/>
      <c r="S512" s="382"/>
      <c r="T512" s="382"/>
      <c r="U512" s="382"/>
      <c r="V512" s="382"/>
      <c r="W512" s="382"/>
      <c r="X512" s="382"/>
      <c r="Y512" s="382"/>
      <c r="Z512" s="382"/>
    </row>
    <row r="513">
      <c r="A513" s="387" t="s">
        <v>2427</v>
      </c>
      <c r="B513" s="383">
        <v>2024.0</v>
      </c>
      <c r="C513" s="384" t="s">
        <v>625</v>
      </c>
      <c r="D513" s="385" t="s">
        <v>82</v>
      </c>
      <c r="E513" s="386"/>
      <c r="F513" s="384" t="s">
        <v>10</v>
      </c>
      <c r="G513" s="384" t="s">
        <v>1756</v>
      </c>
      <c r="H513" s="387" t="s">
        <v>2428</v>
      </c>
      <c r="I513" s="384" t="s">
        <v>58</v>
      </c>
      <c r="J513" s="384" t="s">
        <v>1757</v>
      </c>
      <c r="K513" s="422" t="s">
        <v>2429</v>
      </c>
      <c r="L513" s="379" t="s">
        <v>2462</v>
      </c>
      <c r="M513" s="143">
        <v>1.064994966E9</v>
      </c>
      <c r="N513" s="143">
        <v>3.214096745E9</v>
      </c>
      <c r="O513" s="367"/>
      <c r="P513" s="367"/>
      <c r="Q513" s="367"/>
      <c r="R513" s="367"/>
      <c r="S513" s="367"/>
      <c r="T513" s="367"/>
      <c r="U513" s="367"/>
      <c r="V513" s="367"/>
      <c r="W513" s="367"/>
      <c r="X513" s="367"/>
      <c r="Y513" s="367"/>
      <c r="Z513" s="367"/>
    </row>
    <row r="514">
      <c r="A514" s="387" t="s">
        <v>2427</v>
      </c>
      <c r="B514" s="383">
        <v>2024.0</v>
      </c>
      <c r="C514" s="384" t="s">
        <v>625</v>
      </c>
      <c r="D514" s="385" t="s">
        <v>82</v>
      </c>
      <c r="E514" s="386"/>
      <c r="F514" s="384" t="s">
        <v>10</v>
      </c>
      <c r="G514" s="384" t="s">
        <v>1756</v>
      </c>
      <c r="H514" s="387" t="s">
        <v>2428</v>
      </c>
      <c r="I514" s="384" t="s">
        <v>58</v>
      </c>
      <c r="J514" s="384" t="s">
        <v>1757</v>
      </c>
      <c r="K514" s="422" t="s">
        <v>2429</v>
      </c>
      <c r="L514" s="379" t="s">
        <v>2463</v>
      </c>
      <c r="M514" s="143">
        <v>1.073380758E9</v>
      </c>
      <c r="N514" s="143">
        <v>3.137188875E9</v>
      </c>
      <c r="O514" s="367"/>
      <c r="P514" s="367"/>
      <c r="Q514" s="367"/>
      <c r="R514" s="367"/>
      <c r="S514" s="367"/>
      <c r="T514" s="367"/>
      <c r="U514" s="367"/>
      <c r="V514" s="367"/>
      <c r="W514" s="367"/>
      <c r="X514" s="367"/>
      <c r="Y514" s="367"/>
      <c r="Z514" s="367"/>
    </row>
    <row r="515">
      <c r="A515" s="387" t="s">
        <v>2427</v>
      </c>
      <c r="B515" s="383">
        <v>2024.0</v>
      </c>
      <c r="C515" s="384" t="s">
        <v>625</v>
      </c>
      <c r="D515" s="385" t="s">
        <v>82</v>
      </c>
      <c r="E515" s="386"/>
      <c r="F515" s="384" t="s">
        <v>10</v>
      </c>
      <c r="G515" s="384" t="s">
        <v>1756</v>
      </c>
      <c r="H515" s="387" t="s">
        <v>2428</v>
      </c>
      <c r="I515" s="384" t="s">
        <v>58</v>
      </c>
      <c r="J515" s="384" t="s">
        <v>1757</v>
      </c>
      <c r="K515" s="422" t="s">
        <v>2429</v>
      </c>
      <c r="L515" s="379" t="s">
        <v>2464</v>
      </c>
      <c r="M515" s="143">
        <v>5.2069995E7</v>
      </c>
      <c r="N515" s="143">
        <v>3.008361078E9</v>
      </c>
      <c r="O515" s="367"/>
      <c r="P515" s="367"/>
      <c r="Q515" s="367"/>
      <c r="R515" s="367"/>
      <c r="S515" s="367"/>
      <c r="T515" s="367"/>
      <c r="U515" s="367"/>
      <c r="V515" s="367"/>
      <c r="W515" s="367"/>
      <c r="X515" s="367"/>
      <c r="Y515" s="367"/>
      <c r="Z515" s="367"/>
    </row>
    <row r="516">
      <c r="A516" s="387" t="s">
        <v>2427</v>
      </c>
      <c r="B516" s="383">
        <v>2024.0</v>
      </c>
      <c r="C516" s="384" t="s">
        <v>625</v>
      </c>
      <c r="D516" s="385" t="s">
        <v>82</v>
      </c>
      <c r="E516" s="386"/>
      <c r="F516" s="384" t="s">
        <v>10</v>
      </c>
      <c r="G516" s="384" t="s">
        <v>1756</v>
      </c>
      <c r="H516" s="387" t="s">
        <v>2428</v>
      </c>
      <c r="I516" s="384" t="s">
        <v>58</v>
      </c>
      <c r="J516" s="384" t="s">
        <v>1757</v>
      </c>
      <c r="K516" s="422" t="s">
        <v>2429</v>
      </c>
      <c r="L516" s="379" t="s">
        <v>2465</v>
      </c>
      <c r="M516" s="143">
        <v>3.5323849E7</v>
      </c>
      <c r="N516" s="143">
        <v>3.125124365E9</v>
      </c>
      <c r="O516" s="367"/>
      <c r="P516" s="367"/>
      <c r="Q516" s="367"/>
      <c r="R516" s="367"/>
      <c r="S516" s="367"/>
      <c r="T516" s="367"/>
      <c r="U516" s="367"/>
      <c r="V516" s="367"/>
      <c r="W516" s="367"/>
      <c r="X516" s="367"/>
      <c r="Y516" s="367"/>
      <c r="Z516" s="367"/>
    </row>
    <row r="517">
      <c r="A517" s="387" t="s">
        <v>2427</v>
      </c>
      <c r="B517" s="383">
        <v>2024.0</v>
      </c>
      <c r="C517" s="384" t="s">
        <v>625</v>
      </c>
      <c r="D517" s="385" t="s">
        <v>82</v>
      </c>
      <c r="E517" s="386"/>
      <c r="F517" s="384" t="s">
        <v>10</v>
      </c>
      <c r="G517" s="384" t="s">
        <v>1756</v>
      </c>
      <c r="H517" s="387" t="s">
        <v>2428</v>
      </c>
      <c r="I517" s="384" t="s">
        <v>58</v>
      </c>
      <c r="J517" s="384" t="s">
        <v>1757</v>
      </c>
      <c r="K517" s="422" t="s">
        <v>2429</v>
      </c>
      <c r="L517" s="379" t="s">
        <v>2466</v>
      </c>
      <c r="M517" s="143">
        <v>4.1370697E7</v>
      </c>
      <c r="N517" s="143">
        <v>3.134350799E9</v>
      </c>
      <c r="O517" s="367"/>
      <c r="P517" s="367"/>
      <c r="Q517" s="367"/>
      <c r="R517" s="367"/>
      <c r="S517" s="367"/>
      <c r="T517" s="367"/>
      <c r="U517" s="367"/>
      <c r="V517" s="367"/>
      <c r="W517" s="367"/>
      <c r="X517" s="367"/>
      <c r="Y517" s="367"/>
      <c r="Z517" s="367"/>
    </row>
    <row r="518">
      <c r="A518" s="387" t="s">
        <v>2427</v>
      </c>
      <c r="B518" s="383">
        <v>2024.0</v>
      </c>
      <c r="C518" s="384" t="s">
        <v>625</v>
      </c>
      <c r="D518" s="385" t="s">
        <v>82</v>
      </c>
      <c r="E518" s="386"/>
      <c r="F518" s="384" t="s">
        <v>10</v>
      </c>
      <c r="G518" s="384" t="s">
        <v>1756</v>
      </c>
      <c r="H518" s="387" t="s">
        <v>2428</v>
      </c>
      <c r="I518" s="384" t="s">
        <v>58</v>
      </c>
      <c r="J518" s="384" t="s">
        <v>1757</v>
      </c>
      <c r="K518" s="422" t="s">
        <v>2429</v>
      </c>
      <c r="L518" s="379" t="s">
        <v>2467</v>
      </c>
      <c r="M518" s="143">
        <v>5.1816026E7</v>
      </c>
      <c r="N518" s="143">
        <v>3.108172958E9</v>
      </c>
      <c r="O518" s="367"/>
      <c r="P518" s="367"/>
      <c r="Q518" s="367"/>
      <c r="R518" s="367"/>
      <c r="S518" s="367"/>
      <c r="T518" s="367"/>
      <c r="U518" s="367"/>
      <c r="V518" s="367"/>
      <c r="W518" s="367"/>
      <c r="X518" s="367"/>
      <c r="Y518" s="367"/>
      <c r="Z518" s="367"/>
    </row>
    <row r="519">
      <c r="A519" s="387" t="s">
        <v>2427</v>
      </c>
      <c r="B519" s="383">
        <v>2024.0</v>
      </c>
      <c r="C519" s="384" t="s">
        <v>625</v>
      </c>
      <c r="D519" s="385" t="s">
        <v>82</v>
      </c>
      <c r="E519" s="386"/>
      <c r="F519" s="384" t="s">
        <v>10</v>
      </c>
      <c r="G519" s="384" t="s">
        <v>1756</v>
      </c>
      <c r="H519" s="387" t="s">
        <v>2428</v>
      </c>
      <c r="I519" s="384" t="s">
        <v>58</v>
      </c>
      <c r="J519" s="384" t="s">
        <v>1757</v>
      </c>
      <c r="K519" s="422" t="s">
        <v>2429</v>
      </c>
      <c r="L519" s="379" t="s">
        <v>2468</v>
      </c>
      <c r="M519" s="143">
        <v>4.1631149E7</v>
      </c>
      <c r="N519" s="143">
        <v>3.14422736E8</v>
      </c>
      <c r="O519" s="367"/>
      <c r="P519" s="367"/>
      <c r="Q519" s="367"/>
      <c r="R519" s="367"/>
      <c r="S519" s="367"/>
      <c r="T519" s="367"/>
      <c r="U519" s="367"/>
      <c r="V519" s="367"/>
      <c r="W519" s="367"/>
      <c r="X519" s="367"/>
      <c r="Y519" s="367"/>
      <c r="Z519" s="367"/>
    </row>
    <row r="520">
      <c r="A520" s="387" t="s">
        <v>2427</v>
      </c>
      <c r="B520" s="383">
        <v>2024.0</v>
      </c>
      <c r="C520" s="384" t="s">
        <v>625</v>
      </c>
      <c r="D520" s="385" t="s">
        <v>82</v>
      </c>
      <c r="E520" s="386"/>
      <c r="F520" s="384" t="s">
        <v>10</v>
      </c>
      <c r="G520" s="384" t="s">
        <v>1756</v>
      </c>
      <c r="H520" s="387" t="s">
        <v>2428</v>
      </c>
      <c r="I520" s="384" t="s">
        <v>58</v>
      </c>
      <c r="J520" s="384" t="s">
        <v>1757</v>
      </c>
      <c r="K520" s="422" t="s">
        <v>2429</v>
      </c>
      <c r="L520" s="379" t="s">
        <v>2469</v>
      </c>
      <c r="M520" s="143">
        <v>1.7075416E7</v>
      </c>
      <c r="N520" s="143">
        <v>3.01204888E9</v>
      </c>
      <c r="O520" s="367"/>
      <c r="P520" s="367"/>
      <c r="Q520" s="367"/>
      <c r="R520" s="367"/>
      <c r="S520" s="367"/>
      <c r="T520" s="367"/>
      <c r="U520" s="367"/>
      <c r="V520" s="367"/>
      <c r="W520" s="367"/>
      <c r="X520" s="367"/>
      <c r="Y520" s="367"/>
      <c r="Z520" s="367"/>
    </row>
    <row r="521">
      <c r="A521" s="387" t="s">
        <v>2427</v>
      </c>
      <c r="B521" s="383">
        <v>2024.0</v>
      </c>
      <c r="C521" s="384" t="s">
        <v>625</v>
      </c>
      <c r="D521" s="385" t="s">
        <v>82</v>
      </c>
      <c r="E521" s="386"/>
      <c r="F521" s="384" t="s">
        <v>10</v>
      </c>
      <c r="G521" s="384" t="s">
        <v>1756</v>
      </c>
      <c r="H521" s="387" t="s">
        <v>2428</v>
      </c>
      <c r="I521" s="384" t="s">
        <v>58</v>
      </c>
      <c r="J521" s="384" t="s">
        <v>1757</v>
      </c>
      <c r="K521" s="422" t="s">
        <v>2429</v>
      </c>
      <c r="L521" s="379" t="s">
        <v>2470</v>
      </c>
      <c r="M521" s="143">
        <v>1.9318371E7</v>
      </c>
      <c r="N521" s="143">
        <v>3.102173081E9</v>
      </c>
      <c r="O521" s="367"/>
      <c r="P521" s="367"/>
      <c r="Q521" s="367"/>
      <c r="R521" s="367"/>
      <c r="S521" s="367"/>
      <c r="T521" s="367"/>
      <c r="U521" s="367"/>
      <c r="V521" s="367"/>
      <c r="W521" s="367"/>
      <c r="X521" s="367"/>
      <c r="Y521" s="367"/>
      <c r="Z521" s="367"/>
    </row>
    <row r="522">
      <c r="A522" s="387" t="s">
        <v>2427</v>
      </c>
      <c r="B522" s="383">
        <v>2024.0</v>
      </c>
      <c r="C522" s="384" t="s">
        <v>625</v>
      </c>
      <c r="D522" s="385" t="s">
        <v>82</v>
      </c>
      <c r="E522" s="386"/>
      <c r="F522" s="384" t="s">
        <v>10</v>
      </c>
      <c r="G522" s="384" t="s">
        <v>1756</v>
      </c>
      <c r="H522" s="387" t="s">
        <v>2428</v>
      </c>
      <c r="I522" s="384" t="s">
        <v>58</v>
      </c>
      <c r="J522" s="384" t="s">
        <v>1757</v>
      </c>
      <c r="K522" s="422" t="s">
        <v>2429</v>
      </c>
      <c r="L522" s="379" t="s">
        <v>2471</v>
      </c>
      <c r="M522" s="143">
        <v>5.2764593E7</v>
      </c>
      <c r="N522" s="143">
        <v>3.204940157E9</v>
      </c>
      <c r="O522" s="367"/>
      <c r="P522" s="367"/>
      <c r="Q522" s="367"/>
      <c r="R522" s="367"/>
      <c r="S522" s="367"/>
      <c r="T522" s="367"/>
      <c r="U522" s="367"/>
      <c r="V522" s="367"/>
      <c r="W522" s="367"/>
      <c r="X522" s="367"/>
      <c r="Y522" s="367"/>
      <c r="Z522" s="367"/>
    </row>
    <row r="523">
      <c r="A523" s="387" t="s">
        <v>2427</v>
      </c>
      <c r="B523" s="383">
        <v>2024.0</v>
      </c>
      <c r="C523" s="384" t="s">
        <v>625</v>
      </c>
      <c r="D523" s="385" t="s">
        <v>82</v>
      </c>
      <c r="E523" s="386"/>
      <c r="F523" s="384" t="s">
        <v>10</v>
      </c>
      <c r="G523" s="384" t="s">
        <v>1756</v>
      </c>
      <c r="H523" s="387" t="s">
        <v>2428</v>
      </c>
      <c r="I523" s="384" t="s">
        <v>58</v>
      </c>
      <c r="J523" s="384" t="s">
        <v>1757</v>
      </c>
      <c r="K523" s="422" t="s">
        <v>2429</v>
      </c>
      <c r="L523" s="388" t="s">
        <v>2472</v>
      </c>
      <c r="M523" s="387">
        <v>8727049.0</v>
      </c>
      <c r="N523" s="387">
        <v>3.203238429E9</v>
      </c>
      <c r="O523" s="382"/>
      <c r="P523" s="382"/>
      <c r="Q523" s="382"/>
      <c r="R523" s="382"/>
      <c r="S523" s="382"/>
      <c r="T523" s="382"/>
      <c r="U523" s="382"/>
      <c r="V523" s="382"/>
      <c r="W523" s="382"/>
      <c r="X523" s="382"/>
      <c r="Y523" s="382"/>
      <c r="Z523" s="382"/>
    </row>
    <row r="524">
      <c r="A524" s="395" t="s">
        <v>2473</v>
      </c>
      <c r="B524" s="412">
        <v>2025.0</v>
      </c>
      <c r="C524" s="413" t="s">
        <v>795</v>
      </c>
      <c r="D524" s="414" t="s">
        <v>2474</v>
      </c>
      <c r="E524" s="415"/>
      <c r="F524" s="413" t="s">
        <v>10</v>
      </c>
      <c r="G524" s="413" t="s">
        <v>1756</v>
      </c>
      <c r="H524" s="411" t="s">
        <v>1664</v>
      </c>
      <c r="I524" s="413" t="s">
        <v>58</v>
      </c>
      <c r="J524" s="413" t="s">
        <v>1757</v>
      </c>
      <c r="K524" s="395" t="s">
        <v>2429</v>
      </c>
      <c r="L524" s="396" t="s">
        <v>2475</v>
      </c>
      <c r="M524" s="395">
        <v>8.000259E7</v>
      </c>
      <c r="N524" s="395">
        <v>3.04639206E9</v>
      </c>
      <c r="O524" s="390"/>
      <c r="P524" s="390"/>
      <c r="Q524" s="390"/>
      <c r="R524" s="390"/>
      <c r="S524" s="390"/>
      <c r="T524" s="390"/>
      <c r="U524" s="390"/>
      <c r="V524" s="390"/>
      <c r="W524" s="390"/>
      <c r="X524" s="390"/>
      <c r="Y524" s="390"/>
      <c r="Z524" s="390"/>
    </row>
    <row r="525">
      <c r="A525" s="143" t="s">
        <v>2473</v>
      </c>
      <c r="B525" s="383">
        <v>2025.0</v>
      </c>
      <c r="C525" s="384" t="s">
        <v>795</v>
      </c>
      <c r="D525" s="385" t="s">
        <v>2474</v>
      </c>
      <c r="E525" s="386"/>
      <c r="F525" s="384" t="s">
        <v>10</v>
      </c>
      <c r="G525" s="384" t="s">
        <v>1756</v>
      </c>
      <c r="H525" s="387" t="s">
        <v>1664</v>
      </c>
      <c r="I525" s="384" t="s">
        <v>58</v>
      </c>
      <c r="J525" s="384" t="s">
        <v>1757</v>
      </c>
      <c r="K525" s="143" t="s">
        <v>2429</v>
      </c>
      <c r="L525" s="379" t="s">
        <v>2476</v>
      </c>
      <c r="M525" s="143">
        <v>1.030687676E9</v>
      </c>
      <c r="N525" s="143">
        <v>3.138459674E9</v>
      </c>
      <c r="O525" s="367"/>
      <c r="P525" s="367"/>
      <c r="Q525" s="367"/>
      <c r="R525" s="367"/>
      <c r="S525" s="367"/>
      <c r="T525" s="367"/>
      <c r="U525" s="367"/>
      <c r="V525" s="367"/>
      <c r="W525" s="367"/>
      <c r="X525" s="367"/>
      <c r="Y525" s="367"/>
      <c r="Z525" s="367"/>
    </row>
    <row r="526">
      <c r="A526" s="143" t="s">
        <v>2473</v>
      </c>
      <c r="B526" s="383">
        <v>2025.0</v>
      </c>
      <c r="C526" s="384" t="s">
        <v>795</v>
      </c>
      <c r="D526" s="385" t="s">
        <v>2474</v>
      </c>
      <c r="E526" s="386"/>
      <c r="F526" s="384" t="s">
        <v>10</v>
      </c>
      <c r="G526" s="384" t="s">
        <v>1756</v>
      </c>
      <c r="H526" s="387" t="s">
        <v>1664</v>
      </c>
      <c r="I526" s="384" t="s">
        <v>58</v>
      </c>
      <c r="J526" s="384" t="s">
        <v>1757</v>
      </c>
      <c r="K526" s="143" t="s">
        <v>2429</v>
      </c>
      <c r="L526" s="379" t="s">
        <v>2477</v>
      </c>
      <c r="M526" s="143">
        <v>5.2845286E7</v>
      </c>
      <c r="N526" s="143">
        <v>3.246048657E9</v>
      </c>
      <c r="O526" s="367"/>
      <c r="P526" s="367"/>
      <c r="Q526" s="367"/>
      <c r="R526" s="367"/>
      <c r="S526" s="367"/>
      <c r="T526" s="367"/>
      <c r="U526" s="367"/>
      <c r="V526" s="367"/>
      <c r="W526" s="367"/>
      <c r="X526" s="367"/>
      <c r="Y526" s="367"/>
      <c r="Z526" s="367"/>
    </row>
    <row r="527">
      <c r="A527" s="143" t="s">
        <v>2473</v>
      </c>
      <c r="B527" s="383">
        <v>2025.0</v>
      </c>
      <c r="C527" s="384" t="s">
        <v>795</v>
      </c>
      <c r="D527" s="385" t="s">
        <v>2474</v>
      </c>
      <c r="E527" s="386"/>
      <c r="F527" s="384" t="s">
        <v>10</v>
      </c>
      <c r="G527" s="384" t="s">
        <v>1756</v>
      </c>
      <c r="H527" s="387" t="s">
        <v>1664</v>
      </c>
      <c r="I527" s="384" t="s">
        <v>58</v>
      </c>
      <c r="J527" s="384" t="s">
        <v>1757</v>
      </c>
      <c r="K527" s="143" t="s">
        <v>2429</v>
      </c>
      <c r="L527" s="379" t="s">
        <v>2478</v>
      </c>
      <c r="M527" s="143">
        <v>7.9702189E7</v>
      </c>
      <c r="N527" s="143">
        <v>3.187572708E9</v>
      </c>
      <c r="O527" s="367"/>
      <c r="P527" s="367"/>
      <c r="Q527" s="367"/>
      <c r="R527" s="367"/>
      <c r="S527" s="367"/>
      <c r="T527" s="367"/>
      <c r="U527" s="367"/>
      <c r="V527" s="367"/>
      <c r="W527" s="367"/>
      <c r="X527" s="367"/>
      <c r="Y527" s="367"/>
      <c r="Z527" s="367"/>
    </row>
    <row r="528">
      <c r="A528" s="143" t="s">
        <v>2473</v>
      </c>
      <c r="B528" s="383">
        <v>2025.0</v>
      </c>
      <c r="C528" s="384" t="s">
        <v>795</v>
      </c>
      <c r="D528" s="385" t="s">
        <v>2474</v>
      </c>
      <c r="E528" s="386"/>
      <c r="F528" s="384" t="s">
        <v>10</v>
      </c>
      <c r="G528" s="384" t="s">
        <v>1756</v>
      </c>
      <c r="H528" s="387" t="s">
        <v>1664</v>
      </c>
      <c r="I528" s="384" t="s">
        <v>58</v>
      </c>
      <c r="J528" s="384" t="s">
        <v>1757</v>
      </c>
      <c r="K528" s="143" t="s">
        <v>2429</v>
      </c>
      <c r="L528" s="379" t="s">
        <v>2479</v>
      </c>
      <c r="M528" s="143">
        <v>5.2225277E7</v>
      </c>
      <c r="N528" s="143">
        <v>3.22255397E9</v>
      </c>
      <c r="O528" s="367"/>
      <c r="P528" s="367"/>
      <c r="Q528" s="367"/>
      <c r="R528" s="367"/>
      <c r="S528" s="367"/>
      <c r="T528" s="367"/>
      <c r="U528" s="367"/>
      <c r="V528" s="367"/>
      <c r="W528" s="367"/>
      <c r="X528" s="367"/>
      <c r="Y528" s="367"/>
      <c r="Z528" s="367"/>
    </row>
    <row r="529">
      <c r="A529" s="143" t="s">
        <v>2473</v>
      </c>
      <c r="B529" s="383">
        <v>2025.0</v>
      </c>
      <c r="C529" s="384" t="s">
        <v>795</v>
      </c>
      <c r="D529" s="385" t="s">
        <v>2474</v>
      </c>
      <c r="E529" s="386"/>
      <c r="F529" s="384" t="s">
        <v>10</v>
      </c>
      <c r="G529" s="384" t="s">
        <v>1756</v>
      </c>
      <c r="H529" s="387" t="s">
        <v>1664</v>
      </c>
      <c r="I529" s="384" t="s">
        <v>58</v>
      </c>
      <c r="J529" s="384" t="s">
        <v>1757</v>
      </c>
      <c r="K529" s="143" t="s">
        <v>2429</v>
      </c>
      <c r="L529" s="379" t="s">
        <v>2480</v>
      </c>
      <c r="M529" s="143">
        <v>7.9455079E7</v>
      </c>
      <c r="N529" s="143">
        <v>3.103161388E9</v>
      </c>
      <c r="O529" s="367"/>
      <c r="P529" s="367"/>
      <c r="Q529" s="367"/>
      <c r="R529" s="367"/>
      <c r="S529" s="367"/>
      <c r="T529" s="367"/>
      <c r="U529" s="367"/>
      <c r="V529" s="367"/>
      <c r="W529" s="367"/>
      <c r="X529" s="367"/>
      <c r="Y529" s="367"/>
      <c r="Z529" s="367"/>
    </row>
    <row r="530">
      <c r="A530" s="143" t="s">
        <v>2473</v>
      </c>
      <c r="B530" s="383">
        <v>2025.0</v>
      </c>
      <c r="C530" s="384" t="s">
        <v>795</v>
      </c>
      <c r="D530" s="385" t="s">
        <v>2474</v>
      </c>
      <c r="E530" s="386"/>
      <c r="F530" s="384" t="s">
        <v>10</v>
      </c>
      <c r="G530" s="384" t="s">
        <v>1756</v>
      </c>
      <c r="H530" s="387" t="s">
        <v>1664</v>
      </c>
      <c r="I530" s="384" t="s">
        <v>58</v>
      </c>
      <c r="J530" s="384" t="s">
        <v>1757</v>
      </c>
      <c r="K530" s="143" t="s">
        <v>2429</v>
      </c>
      <c r="L530" s="379" t="s">
        <v>2481</v>
      </c>
      <c r="M530" s="143">
        <v>521980.0</v>
      </c>
      <c r="N530" s="143">
        <v>3.227712497E9</v>
      </c>
      <c r="O530" s="367"/>
      <c r="P530" s="367"/>
      <c r="Q530" s="367"/>
      <c r="R530" s="367"/>
      <c r="S530" s="367"/>
      <c r="T530" s="367"/>
      <c r="U530" s="367"/>
      <c r="V530" s="367"/>
      <c r="W530" s="367"/>
      <c r="X530" s="367"/>
      <c r="Y530" s="367"/>
      <c r="Z530" s="367"/>
    </row>
    <row r="531">
      <c r="A531" s="143" t="s">
        <v>2473</v>
      </c>
      <c r="B531" s="383">
        <v>2025.0</v>
      </c>
      <c r="C531" s="384" t="s">
        <v>795</v>
      </c>
      <c r="D531" s="385" t="s">
        <v>2474</v>
      </c>
      <c r="E531" s="386"/>
      <c r="F531" s="384" t="s">
        <v>10</v>
      </c>
      <c r="G531" s="384" t="s">
        <v>1756</v>
      </c>
      <c r="H531" s="387" t="s">
        <v>1664</v>
      </c>
      <c r="I531" s="384" t="s">
        <v>58</v>
      </c>
      <c r="J531" s="384" t="s">
        <v>1757</v>
      </c>
      <c r="K531" s="143" t="s">
        <v>2429</v>
      </c>
      <c r="L531" s="379" t="s">
        <v>2482</v>
      </c>
      <c r="M531" s="143">
        <v>4076730.0</v>
      </c>
      <c r="N531" s="143">
        <v>3.20212689E9</v>
      </c>
      <c r="O531" s="367"/>
      <c r="P531" s="367"/>
      <c r="Q531" s="367"/>
      <c r="R531" s="367"/>
      <c r="S531" s="367"/>
      <c r="T531" s="367"/>
      <c r="U531" s="367"/>
      <c r="V531" s="367"/>
      <c r="W531" s="367"/>
      <c r="X531" s="367"/>
      <c r="Y531" s="367"/>
      <c r="Z531" s="367"/>
    </row>
    <row r="532">
      <c r="A532" s="143" t="s">
        <v>2473</v>
      </c>
      <c r="B532" s="383">
        <v>2025.0</v>
      </c>
      <c r="C532" s="384" t="s">
        <v>795</v>
      </c>
      <c r="D532" s="385" t="s">
        <v>2474</v>
      </c>
      <c r="E532" s="386"/>
      <c r="F532" s="384" t="s">
        <v>10</v>
      </c>
      <c r="G532" s="384" t="s">
        <v>1756</v>
      </c>
      <c r="H532" s="387" t="s">
        <v>1664</v>
      </c>
      <c r="I532" s="384" t="s">
        <v>58</v>
      </c>
      <c r="J532" s="384" t="s">
        <v>1757</v>
      </c>
      <c r="K532" s="143" t="s">
        <v>2429</v>
      </c>
      <c r="L532" s="379" t="s">
        <v>2483</v>
      </c>
      <c r="M532" s="143">
        <v>5.2076199E7</v>
      </c>
      <c r="N532" s="143">
        <v>3.118599635E9</v>
      </c>
      <c r="O532" s="367"/>
      <c r="P532" s="367"/>
      <c r="Q532" s="367"/>
      <c r="R532" s="367"/>
      <c r="S532" s="367"/>
      <c r="T532" s="367"/>
      <c r="U532" s="367"/>
      <c r="V532" s="367"/>
      <c r="W532" s="367"/>
      <c r="X532" s="367"/>
      <c r="Y532" s="367"/>
      <c r="Z532" s="367"/>
    </row>
    <row r="533">
      <c r="A533" s="143" t="s">
        <v>2473</v>
      </c>
      <c r="B533" s="383">
        <v>2025.0</v>
      </c>
      <c r="C533" s="384" t="s">
        <v>795</v>
      </c>
      <c r="D533" s="385" t="s">
        <v>2474</v>
      </c>
      <c r="E533" s="386"/>
      <c r="F533" s="384" t="s">
        <v>10</v>
      </c>
      <c r="G533" s="384" t="s">
        <v>1756</v>
      </c>
      <c r="H533" s="387" t="s">
        <v>1664</v>
      </c>
      <c r="I533" s="384" t="s">
        <v>58</v>
      </c>
      <c r="J533" s="384" t="s">
        <v>1757</v>
      </c>
      <c r="K533" s="143" t="s">
        <v>2429</v>
      </c>
      <c r="L533" s="379" t="s">
        <v>2484</v>
      </c>
      <c r="M533" s="143">
        <v>1.033764521E9</v>
      </c>
      <c r="N533" s="143">
        <v>3.196050006E9</v>
      </c>
      <c r="O533" s="367"/>
      <c r="P533" s="367"/>
      <c r="Q533" s="367"/>
      <c r="R533" s="367"/>
      <c r="S533" s="367"/>
      <c r="T533" s="367"/>
      <c r="U533" s="367"/>
      <c r="V533" s="367"/>
      <c r="W533" s="367"/>
      <c r="X533" s="367"/>
      <c r="Y533" s="367"/>
      <c r="Z533" s="367"/>
    </row>
    <row r="534">
      <c r="A534" s="143" t="s">
        <v>2473</v>
      </c>
      <c r="B534" s="383">
        <v>2025.0</v>
      </c>
      <c r="C534" s="384" t="s">
        <v>795</v>
      </c>
      <c r="D534" s="385" t="s">
        <v>2474</v>
      </c>
      <c r="E534" s="386"/>
      <c r="F534" s="384" t="s">
        <v>10</v>
      </c>
      <c r="G534" s="384" t="s">
        <v>1756</v>
      </c>
      <c r="H534" s="387" t="s">
        <v>1664</v>
      </c>
      <c r="I534" s="384" t="s">
        <v>58</v>
      </c>
      <c r="J534" s="384" t="s">
        <v>1757</v>
      </c>
      <c r="K534" s="143" t="s">
        <v>2429</v>
      </c>
      <c r="L534" s="379" t="s">
        <v>2485</v>
      </c>
      <c r="M534" s="143">
        <v>5.1841442E7</v>
      </c>
      <c r="N534" s="143">
        <v>3.165407212E9</v>
      </c>
      <c r="O534" s="367"/>
      <c r="P534" s="367"/>
      <c r="Q534" s="367"/>
      <c r="R534" s="367"/>
      <c r="S534" s="367"/>
      <c r="T534" s="367"/>
      <c r="U534" s="367"/>
      <c r="V534" s="367"/>
      <c r="W534" s="367"/>
      <c r="X534" s="367"/>
      <c r="Y534" s="367"/>
      <c r="Z534" s="367"/>
    </row>
    <row r="535">
      <c r="A535" s="143" t="s">
        <v>2473</v>
      </c>
      <c r="B535" s="383">
        <v>2025.0</v>
      </c>
      <c r="C535" s="384" t="s">
        <v>795</v>
      </c>
      <c r="D535" s="385" t="s">
        <v>2474</v>
      </c>
      <c r="E535" s="386"/>
      <c r="F535" s="384" t="s">
        <v>10</v>
      </c>
      <c r="G535" s="384" t="s">
        <v>1756</v>
      </c>
      <c r="H535" s="387" t="s">
        <v>1664</v>
      </c>
      <c r="I535" s="384" t="s">
        <v>58</v>
      </c>
      <c r="J535" s="384" t="s">
        <v>1757</v>
      </c>
      <c r="K535" s="143" t="s">
        <v>2429</v>
      </c>
      <c r="L535" s="379" t="s">
        <v>2486</v>
      </c>
      <c r="M535" s="143">
        <v>5792439.0</v>
      </c>
      <c r="N535" s="143">
        <v>3.052334559E9</v>
      </c>
      <c r="O535" s="367"/>
      <c r="P535" s="367"/>
      <c r="Q535" s="367"/>
      <c r="R535" s="367"/>
      <c r="S535" s="367"/>
      <c r="T535" s="367"/>
      <c r="U535" s="367"/>
      <c r="V535" s="367"/>
      <c r="W535" s="367"/>
      <c r="X535" s="367"/>
      <c r="Y535" s="367"/>
      <c r="Z535" s="367"/>
    </row>
    <row r="536">
      <c r="A536" s="143" t="s">
        <v>2473</v>
      </c>
      <c r="B536" s="383">
        <v>2025.0</v>
      </c>
      <c r="C536" s="384" t="s">
        <v>795</v>
      </c>
      <c r="D536" s="385" t="s">
        <v>2474</v>
      </c>
      <c r="E536" s="386"/>
      <c r="F536" s="384" t="s">
        <v>10</v>
      </c>
      <c r="G536" s="384" t="s">
        <v>1756</v>
      </c>
      <c r="H536" s="387" t="s">
        <v>1664</v>
      </c>
      <c r="I536" s="384" t="s">
        <v>58</v>
      </c>
      <c r="J536" s="384" t="s">
        <v>1757</v>
      </c>
      <c r="K536" s="143" t="s">
        <v>2429</v>
      </c>
      <c r="L536" s="379" t="s">
        <v>2487</v>
      </c>
      <c r="M536" s="143">
        <v>1.001343915E9</v>
      </c>
      <c r="N536" s="143">
        <v>3.04406578E9</v>
      </c>
      <c r="O536" s="367"/>
      <c r="P536" s="367"/>
      <c r="Q536" s="367"/>
      <c r="R536" s="367"/>
      <c r="S536" s="367"/>
      <c r="T536" s="367"/>
      <c r="U536" s="367"/>
      <c r="V536" s="367"/>
      <c r="W536" s="367"/>
      <c r="X536" s="367"/>
      <c r="Y536" s="367"/>
      <c r="Z536" s="367"/>
    </row>
    <row r="537">
      <c r="A537" s="143" t="s">
        <v>2473</v>
      </c>
      <c r="B537" s="383">
        <v>2025.0</v>
      </c>
      <c r="C537" s="384" t="s">
        <v>795</v>
      </c>
      <c r="D537" s="385" t="s">
        <v>2474</v>
      </c>
      <c r="E537" s="386"/>
      <c r="F537" s="384" t="s">
        <v>10</v>
      </c>
      <c r="G537" s="384" t="s">
        <v>1756</v>
      </c>
      <c r="H537" s="387" t="s">
        <v>1664</v>
      </c>
      <c r="I537" s="384" t="s">
        <v>58</v>
      </c>
      <c r="J537" s="384" t="s">
        <v>1757</v>
      </c>
      <c r="K537" s="143" t="s">
        <v>2429</v>
      </c>
      <c r="L537" s="379" t="s">
        <v>2488</v>
      </c>
      <c r="M537" s="143">
        <v>1.023953598E9</v>
      </c>
      <c r="N537" s="143">
        <v>3.223019032E9</v>
      </c>
      <c r="O537" s="367"/>
      <c r="P537" s="367"/>
      <c r="Q537" s="367"/>
      <c r="R537" s="367"/>
      <c r="S537" s="367"/>
      <c r="T537" s="367"/>
      <c r="U537" s="367"/>
      <c r="V537" s="367"/>
      <c r="W537" s="367"/>
      <c r="X537" s="367"/>
      <c r="Y537" s="367"/>
      <c r="Z537" s="367"/>
    </row>
    <row r="538">
      <c r="A538" s="143" t="s">
        <v>2473</v>
      </c>
      <c r="B538" s="383">
        <v>2025.0</v>
      </c>
      <c r="C538" s="384" t="s">
        <v>795</v>
      </c>
      <c r="D538" s="385" t="s">
        <v>2474</v>
      </c>
      <c r="E538" s="386"/>
      <c r="F538" s="384" t="s">
        <v>10</v>
      </c>
      <c r="G538" s="384" t="s">
        <v>1756</v>
      </c>
      <c r="H538" s="387" t="s">
        <v>1664</v>
      </c>
      <c r="I538" s="384" t="s">
        <v>58</v>
      </c>
      <c r="J538" s="384" t="s">
        <v>1757</v>
      </c>
      <c r="K538" s="387" t="s">
        <v>2429</v>
      </c>
      <c r="L538" s="388" t="s">
        <v>2489</v>
      </c>
      <c r="M538" s="387">
        <v>1.9143935E7</v>
      </c>
      <c r="N538" s="387">
        <v>3.123240869E9</v>
      </c>
      <c r="O538" s="382"/>
      <c r="P538" s="382"/>
      <c r="Q538" s="382"/>
      <c r="R538" s="382"/>
      <c r="S538" s="382"/>
      <c r="T538" s="382"/>
      <c r="U538" s="382"/>
      <c r="V538" s="382"/>
      <c r="W538" s="382"/>
      <c r="X538" s="382"/>
      <c r="Y538" s="382"/>
      <c r="Z538" s="382"/>
    </row>
    <row r="539">
      <c r="A539" s="395" t="s">
        <v>2490</v>
      </c>
      <c r="B539" s="412">
        <v>2026.0</v>
      </c>
      <c r="C539" s="413" t="s">
        <v>54</v>
      </c>
      <c r="D539" s="414" t="s">
        <v>82</v>
      </c>
      <c r="E539" s="415"/>
      <c r="F539" s="413" t="s">
        <v>10</v>
      </c>
      <c r="G539" s="413" t="s">
        <v>1756</v>
      </c>
      <c r="H539" s="411" t="s">
        <v>1684</v>
      </c>
      <c r="I539" s="413" t="s">
        <v>58</v>
      </c>
      <c r="J539" s="413" t="s">
        <v>1757</v>
      </c>
      <c r="K539" s="395" t="s">
        <v>1723</v>
      </c>
      <c r="L539" s="396" t="s">
        <v>2491</v>
      </c>
      <c r="M539" s="395">
        <v>1.2096133E7</v>
      </c>
      <c r="N539" s="395">
        <v>3.153234144E9</v>
      </c>
      <c r="O539" s="390"/>
      <c r="P539" s="390"/>
      <c r="Q539" s="390"/>
      <c r="R539" s="390"/>
      <c r="S539" s="390"/>
      <c r="T539" s="390"/>
      <c r="U539" s="390"/>
      <c r="V539" s="390"/>
      <c r="W539" s="390"/>
      <c r="X539" s="390"/>
      <c r="Y539" s="390"/>
      <c r="Z539" s="390"/>
    </row>
    <row r="540">
      <c r="A540" s="143" t="s">
        <v>2490</v>
      </c>
      <c r="B540" s="383">
        <v>2026.0</v>
      </c>
      <c r="C540" s="384" t="s">
        <v>54</v>
      </c>
      <c r="D540" s="385" t="s">
        <v>82</v>
      </c>
      <c r="E540" s="386"/>
      <c r="F540" s="384" t="s">
        <v>10</v>
      </c>
      <c r="G540" s="384" t="s">
        <v>1756</v>
      </c>
      <c r="H540" s="387" t="s">
        <v>1684</v>
      </c>
      <c r="I540" s="384" t="s">
        <v>58</v>
      </c>
      <c r="J540" s="384" t="s">
        <v>1757</v>
      </c>
      <c r="K540" s="143" t="s">
        <v>1723</v>
      </c>
      <c r="L540" s="379" t="s">
        <v>2492</v>
      </c>
      <c r="M540" s="143">
        <v>6.5754619E7</v>
      </c>
      <c r="N540" s="143">
        <v>3.222551759E9</v>
      </c>
      <c r="O540" s="367"/>
      <c r="P540" s="367"/>
      <c r="Q540" s="367"/>
      <c r="R540" s="367"/>
      <c r="S540" s="367"/>
      <c r="T540" s="367"/>
      <c r="U540" s="367"/>
      <c r="V540" s="367"/>
      <c r="W540" s="367"/>
      <c r="X540" s="367"/>
      <c r="Y540" s="367"/>
      <c r="Z540" s="367"/>
    </row>
    <row r="541">
      <c r="A541" s="143" t="s">
        <v>2490</v>
      </c>
      <c r="B541" s="383">
        <v>2026.0</v>
      </c>
      <c r="C541" s="384" t="s">
        <v>54</v>
      </c>
      <c r="D541" s="385" t="s">
        <v>82</v>
      </c>
      <c r="E541" s="386"/>
      <c r="F541" s="384" t="s">
        <v>10</v>
      </c>
      <c r="G541" s="384" t="s">
        <v>1756</v>
      </c>
      <c r="H541" s="387" t="s">
        <v>1684</v>
      </c>
      <c r="I541" s="384" t="s">
        <v>58</v>
      </c>
      <c r="J541" s="384" t="s">
        <v>1757</v>
      </c>
      <c r="K541" s="143" t="s">
        <v>1723</v>
      </c>
      <c r="L541" s="379" t="s">
        <v>2493</v>
      </c>
      <c r="M541" s="143">
        <v>4.139579E7</v>
      </c>
      <c r="N541" s="143">
        <v>3.117035797E9</v>
      </c>
      <c r="O541" s="367"/>
      <c r="P541" s="367"/>
      <c r="Q541" s="367"/>
      <c r="R541" s="367"/>
      <c r="S541" s="367"/>
      <c r="T541" s="367"/>
      <c r="U541" s="367"/>
      <c r="V541" s="367"/>
      <c r="W541" s="367"/>
      <c r="X541" s="367"/>
      <c r="Y541" s="367"/>
      <c r="Z541" s="367"/>
    </row>
    <row r="542">
      <c r="A542" s="143" t="s">
        <v>2490</v>
      </c>
      <c r="B542" s="383">
        <v>2026.0</v>
      </c>
      <c r="C542" s="384" t="s">
        <v>54</v>
      </c>
      <c r="D542" s="385" t="s">
        <v>82</v>
      </c>
      <c r="E542" s="386"/>
      <c r="F542" s="384" t="s">
        <v>10</v>
      </c>
      <c r="G542" s="384" t="s">
        <v>1756</v>
      </c>
      <c r="H542" s="387" t="s">
        <v>1684</v>
      </c>
      <c r="I542" s="384" t="s">
        <v>58</v>
      </c>
      <c r="J542" s="384" t="s">
        <v>1757</v>
      </c>
      <c r="K542" s="143" t="s">
        <v>1723</v>
      </c>
      <c r="L542" s="379" t="s">
        <v>2494</v>
      </c>
      <c r="M542" s="143">
        <v>4.1781774E7</v>
      </c>
      <c r="N542" s="143">
        <v>3.202721985E9</v>
      </c>
      <c r="O542" s="367"/>
      <c r="P542" s="367"/>
      <c r="Q542" s="367"/>
      <c r="R542" s="367"/>
      <c r="S542" s="367"/>
      <c r="T542" s="367"/>
      <c r="U542" s="367"/>
      <c r="V542" s="367"/>
      <c r="W542" s="367"/>
      <c r="X542" s="367"/>
      <c r="Y542" s="367"/>
      <c r="Z542" s="367"/>
    </row>
    <row r="543">
      <c r="A543" s="143" t="s">
        <v>2490</v>
      </c>
      <c r="B543" s="383">
        <v>2026.0</v>
      </c>
      <c r="C543" s="384" t="s">
        <v>54</v>
      </c>
      <c r="D543" s="385" t="s">
        <v>82</v>
      </c>
      <c r="E543" s="386"/>
      <c r="F543" s="384" t="s">
        <v>10</v>
      </c>
      <c r="G543" s="384" t="s">
        <v>1756</v>
      </c>
      <c r="H543" s="387" t="s">
        <v>1684</v>
      </c>
      <c r="I543" s="384" t="s">
        <v>58</v>
      </c>
      <c r="J543" s="384" t="s">
        <v>1757</v>
      </c>
      <c r="K543" s="143" t="s">
        <v>1723</v>
      </c>
      <c r="L543" s="379" t="s">
        <v>2495</v>
      </c>
      <c r="M543" s="143">
        <v>5.1649793E7</v>
      </c>
      <c r="N543" s="143">
        <v>3.115346233E9</v>
      </c>
      <c r="O543" s="367"/>
      <c r="P543" s="367"/>
      <c r="Q543" s="367"/>
      <c r="R543" s="367"/>
      <c r="S543" s="367"/>
      <c r="T543" s="367"/>
      <c r="U543" s="367"/>
      <c r="V543" s="367"/>
      <c r="W543" s="367"/>
      <c r="X543" s="367"/>
      <c r="Y543" s="367"/>
      <c r="Z543" s="367"/>
    </row>
    <row r="544">
      <c r="A544" s="143" t="s">
        <v>2490</v>
      </c>
      <c r="B544" s="383">
        <v>2026.0</v>
      </c>
      <c r="C544" s="384" t="s">
        <v>54</v>
      </c>
      <c r="D544" s="385" t="s">
        <v>82</v>
      </c>
      <c r="E544" s="386"/>
      <c r="F544" s="384" t="s">
        <v>10</v>
      </c>
      <c r="G544" s="384" t="s">
        <v>1756</v>
      </c>
      <c r="H544" s="387" t="s">
        <v>1684</v>
      </c>
      <c r="I544" s="384" t="s">
        <v>58</v>
      </c>
      <c r="J544" s="384" t="s">
        <v>1757</v>
      </c>
      <c r="K544" s="143" t="s">
        <v>1723</v>
      </c>
      <c r="L544" s="379" t="s">
        <v>2496</v>
      </c>
      <c r="M544" s="143">
        <v>5772733.0</v>
      </c>
      <c r="N544" s="143">
        <v>3.103082722E9</v>
      </c>
      <c r="O544" s="367"/>
      <c r="P544" s="367"/>
      <c r="Q544" s="367"/>
      <c r="R544" s="367"/>
      <c r="S544" s="367"/>
      <c r="T544" s="367"/>
      <c r="U544" s="367"/>
      <c r="V544" s="367"/>
      <c r="W544" s="367"/>
      <c r="X544" s="367"/>
      <c r="Y544" s="367"/>
      <c r="Z544" s="367"/>
    </row>
    <row r="545">
      <c r="A545" s="143" t="s">
        <v>2490</v>
      </c>
      <c r="B545" s="383">
        <v>2026.0</v>
      </c>
      <c r="C545" s="384" t="s">
        <v>54</v>
      </c>
      <c r="D545" s="385" t="s">
        <v>82</v>
      </c>
      <c r="E545" s="386"/>
      <c r="F545" s="384" t="s">
        <v>10</v>
      </c>
      <c r="G545" s="384" t="s">
        <v>1756</v>
      </c>
      <c r="H545" s="387" t="s">
        <v>1684</v>
      </c>
      <c r="I545" s="384" t="s">
        <v>58</v>
      </c>
      <c r="J545" s="384" t="s">
        <v>1757</v>
      </c>
      <c r="K545" s="143" t="s">
        <v>1723</v>
      </c>
      <c r="L545" s="379" t="s">
        <v>2497</v>
      </c>
      <c r="M545" s="143">
        <v>2.0634201E7</v>
      </c>
      <c r="N545" s="143">
        <v>3.202456053E9</v>
      </c>
      <c r="O545" s="367"/>
      <c r="P545" s="367"/>
      <c r="Q545" s="367"/>
      <c r="R545" s="367"/>
      <c r="S545" s="367"/>
      <c r="T545" s="367"/>
      <c r="U545" s="367"/>
      <c r="V545" s="367"/>
      <c r="W545" s="367"/>
      <c r="X545" s="367"/>
      <c r="Y545" s="367"/>
      <c r="Z545" s="367"/>
    </row>
    <row r="546">
      <c r="A546" s="143" t="s">
        <v>2490</v>
      </c>
      <c r="B546" s="383">
        <v>2026.0</v>
      </c>
      <c r="C546" s="384" t="s">
        <v>54</v>
      </c>
      <c r="D546" s="385" t="s">
        <v>82</v>
      </c>
      <c r="E546" s="386"/>
      <c r="F546" s="384" t="s">
        <v>10</v>
      </c>
      <c r="G546" s="384" t="s">
        <v>1756</v>
      </c>
      <c r="H546" s="387" t="s">
        <v>1684</v>
      </c>
      <c r="I546" s="384" t="s">
        <v>58</v>
      </c>
      <c r="J546" s="384" t="s">
        <v>1757</v>
      </c>
      <c r="K546" s="143" t="s">
        <v>1723</v>
      </c>
      <c r="L546" s="379" t="s">
        <v>2498</v>
      </c>
      <c r="M546" s="143">
        <v>7.9612011E7</v>
      </c>
      <c r="N546" s="143">
        <v>3.102109107E9</v>
      </c>
      <c r="O546" s="367"/>
      <c r="P546" s="367"/>
      <c r="Q546" s="367"/>
      <c r="R546" s="367"/>
      <c r="S546" s="367"/>
      <c r="T546" s="367"/>
      <c r="U546" s="367"/>
      <c r="V546" s="367"/>
      <c r="W546" s="367"/>
      <c r="X546" s="367"/>
      <c r="Y546" s="367"/>
      <c r="Z546" s="367"/>
    </row>
    <row r="547">
      <c r="A547" s="143" t="s">
        <v>2490</v>
      </c>
      <c r="B547" s="383">
        <v>2026.0</v>
      </c>
      <c r="C547" s="384" t="s">
        <v>54</v>
      </c>
      <c r="D547" s="385" t="s">
        <v>82</v>
      </c>
      <c r="E547" s="386"/>
      <c r="F547" s="384" t="s">
        <v>10</v>
      </c>
      <c r="G547" s="384" t="s">
        <v>1756</v>
      </c>
      <c r="H547" s="387" t="s">
        <v>1684</v>
      </c>
      <c r="I547" s="384" t="s">
        <v>58</v>
      </c>
      <c r="J547" s="384" t="s">
        <v>1757</v>
      </c>
      <c r="K547" s="143" t="s">
        <v>1723</v>
      </c>
      <c r="L547" s="379" t="s">
        <v>2499</v>
      </c>
      <c r="M547" s="143">
        <v>4.1739199E7</v>
      </c>
      <c r="N547" s="143">
        <v>3.102123279E9</v>
      </c>
      <c r="O547" s="367"/>
      <c r="P547" s="367"/>
      <c r="Q547" s="367"/>
      <c r="R547" s="367"/>
      <c r="S547" s="367"/>
      <c r="T547" s="367"/>
      <c r="U547" s="367"/>
      <c r="V547" s="367"/>
      <c r="W547" s="367"/>
      <c r="X547" s="367"/>
      <c r="Y547" s="367"/>
      <c r="Z547" s="367"/>
    </row>
    <row r="548">
      <c r="A548" s="143" t="s">
        <v>2490</v>
      </c>
      <c r="B548" s="383">
        <v>2026.0</v>
      </c>
      <c r="C548" s="384" t="s">
        <v>54</v>
      </c>
      <c r="D548" s="385" t="s">
        <v>82</v>
      </c>
      <c r="E548" s="386"/>
      <c r="F548" s="384" t="s">
        <v>10</v>
      </c>
      <c r="G548" s="384" t="s">
        <v>1756</v>
      </c>
      <c r="H548" s="387" t="s">
        <v>1684</v>
      </c>
      <c r="I548" s="384" t="s">
        <v>58</v>
      </c>
      <c r="J548" s="384" t="s">
        <v>1757</v>
      </c>
      <c r="K548" s="143" t="s">
        <v>1723</v>
      </c>
      <c r="L548" s="379" t="s">
        <v>2500</v>
      </c>
      <c r="M548" s="143">
        <v>5.1752327E7</v>
      </c>
      <c r="N548" s="143">
        <v>3.21849227E8</v>
      </c>
      <c r="O548" s="367"/>
      <c r="P548" s="367"/>
      <c r="Q548" s="367"/>
      <c r="R548" s="367"/>
      <c r="S548" s="367"/>
      <c r="T548" s="367"/>
      <c r="U548" s="367"/>
      <c r="V548" s="367"/>
      <c r="W548" s="367"/>
      <c r="X548" s="367"/>
      <c r="Y548" s="367"/>
      <c r="Z548" s="367"/>
    </row>
    <row r="549">
      <c r="A549" s="143" t="s">
        <v>2490</v>
      </c>
      <c r="B549" s="383">
        <v>2026.0</v>
      </c>
      <c r="C549" s="384" t="s">
        <v>54</v>
      </c>
      <c r="D549" s="385" t="s">
        <v>82</v>
      </c>
      <c r="E549" s="386"/>
      <c r="F549" s="384" t="s">
        <v>10</v>
      </c>
      <c r="G549" s="384" t="s">
        <v>1756</v>
      </c>
      <c r="H549" s="387" t="s">
        <v>1684</v>
      </c>
      <c r="I549" s="384" t="s">
        <v>58</v>
      </c>
      <c r="J549" s="384" t="s">
        <v>1757</v>
      </c>
      <c r="K549" s="143" t="s">
        <v>1723</v>
      </c>
      <c r="L549" s="379" t="s">
        <v>2501</v>
      </c>
      <c r="M549" s="143">
        <v>4.0020895E7</v>
      </c>
      <c r="N549" s="143">
        <v>3.138085721E9</v>
      </c>
      <c r="O549" s="367"/>
      <c r="P549" s="367"/>
      <c r="Q549" s="367"/>
      <c r="R549" s="367"/>
      <c r="S549" s="367"/>
      <c r="T549" s="367"/>
      <c r="U549" s="367"/>
      <c r="V549" s="367"/>
      <c r="W549" s="367"/>
      <c r="X549" s="367"/>
      <c r="Y549" s="367"/>
      <c r="Z549" s="367"/>
    </row>
    <row r="550">
      <c r="A550" s="143" t="s">
        <v>2490</v>
      </c>
      <c r="B550" s="383">
        <v>2026.0</v>
      </c>
      <c r="C550" s="384" t="s">
        <v>54</v>
      </c>
      <c r="D550" s="385" t="s">
        <v>82</v>
      </c>
      <c r="E550" s="386"/>
      <c r="F550" s="384" t="s">
        <v>10</v>
      </c>
      <c r="G550" s="384" t="s">
        <v>1756</v>
      </c>
      <c r="H550" s="387" t="s">
        <v>1684</v>
      </c>
      <c r="I550" s="384" t="s">
        <v>58</v>
      </c>
      <c r="J550" s="384" t="s">
        <v>1757</v>
      </c>
      <c r="K550" s="143" t="s">
        <v>1723</v>
      </c>
      <c r="L550" s="379" t="s">
        <v>2502</v>
      </c>
      <c r="M550" s="143">
        <v>4.17802E7</v>
      </c>
      <c r="N550" s="143">
        <v>3.143339968E9</v>
      </c>
      <c r="O550" s="367"/>
      <c r="P550" s="367"/>
      <c r="Q550" s="367"/>
      <c r="R550" s="367"/>
      <c r="S550" s="367"/>
      <c r="T550" s="367"/>
      <c r="U550" s="367"/>
      <c r="V550" s="367"/>
      <c r="W550" s="367"/>
      <c r="X550" s="367"/>
      <c r="Y550" s="367"/>
      <c r="Z550" s="367"/>
    </row>
    <row r="551">
      <c r="A551" s="143" t="s">
        <v>2490</v>
      </c>
      <c r="B551" s="383">
        <v>2026.0</v>
      </c>
      <c r="C551" s="384" t="s">
        <v>54</v>
      </c>
      <c r="D551" s="385" t="s">
        <v>82</v>
      </c>
      <c r="E551" s="386"/>
      <c r="F551" s="384" t="s">
        <v>10</v>
      </c>
      <c r="G551" s="384" t="s">
        <v>1756</v>
      </c>
      <c r="H551" s="387" t="s">
        <v>1684</v>
      </c>
      <c r="I551" s="384" t="s">
        <v>58</v>
      </c>
      <c r="J551" s="384" t="s">
        <v>1757</v>
      </c>
      <c r="K551" s="143" t="s">
        <v>1723</v>
      </c>
      <c r="L551" s="379" t="s">
        <v>2503</v>
      </c>
      <c r="M551" s="143">
        <v>7.5343463E7</v>
      </c>
      <c r="N551" s="143">
        <v>3.175922074E9</v>
      </c>
      <c r="O551" s="367"/>
      <c r="P551" s="367"/>
      <c r="Q551" s="367"/>
      <c r="R551" s="367"/>
      <c r="S551" s="367"/>
      <c r="T551" s="367"/>
      <c r="U551" s="367"/>
      <c r="V551" s="367"/>
      <c r="W551" s="367"/>
      <c r="X551" s="367"/>
      <c r="Y551" s="367"/>
      <c r="Z551" s="367"/>
    </row>
    <row r="552">
      <c r="A552" s="143" t="s">
        <v>2490</v>
      </c>
      <c r="B552" s="383">
        <v>2026.0</v>
      </c>
      <c r="C552" s="384" t="s">
        <v>54</v>
      </c>
      <c r="D552" s="385" t="s">
        <v>82</v>
      </c>
      <c r="E552" s="386"/>
      <c r="F552" s="384" t="s">
        <v>10</v>
      </c>
      <c r="G552" s="384" t="s">
        <v>1756</v>
      </c>
      <c r="H552" s="387" t="s">
        <v>1684</v>
      </c>
      <c r="I552" s="384" t="s">
        <v>58</v>
      </c>
      <c r="J552" s="384" t="s">
        <v>1757</v>
      </c>
      <c r="K552" s="143" t="s">
        <v>1723</v>
      </c>
      <c r="L552" s="379" t="s">
        <v>2504</v>
      </c>
      <c r="M552" s="143">
        <v>5.7752517E7</v>
      </c>
      <c r="N552" s="143">
        <v>3.13405031E8</v>
      </c>
      <c r="O552" s="367"/>
      <c r="P552" s="367"/>
      <c r="Q552" s="367"/>
      <c r="R552" s="367"/>
      <c r="S552" s="367"/>
      <c r="T552" s="367"/>
      <c r="U552" s="367"/>
      <c r="V552" s="367"/>
      <c r="W552" s="367"/>
      <c r="X552" s="367"/>
      <c r="Y552" s="367"/>
      <c r="Z552" s="367"/>
    </row>
    <row r="553">
      <c r="A553" s="143" t="s">
        <v>2490</v>
      </c>
      <c r="B553" s="383">
        <v>2026.0</v>
      </c>
      <c r="C553" s="384" t="s">
        <v>54</v>
      </c>
      <c r="D553" s="385" t="s">
        <v>82</v>
      </c>
      <c r="E553" s="386"/>
      <c r="F553" s="384" t="s">
        <v>10</v>
      </c>
      <c r="G553" s="384" t="s">
        <v>1756</v>
      </c>
      <c r="H553" s="387" t="s">
        <v>1684</v>
      </c>
      <c r="I553" s="384" t="s">
        <v>58</v>
      </c>
      <c r="J553" s="384" t="s">
        <v>1757</v>
      </c>
      <c r="K553" s="143" t="s">
        <v>1723</v>
      </c>
      <c r="L553" s="379" t="s">
        <v>2505</v>
      </c>
      <c r="M553" s="143">
        <v>5.1904207E7</v>
      </c>
      <c r="N553" s="143">
        <v>3.124095683E9</v>
      </c>
      <c r="O553" s="367"/>
      <c r="P553" s="367"/>
      <c r="Q553" s="367"/>
      <c r="R553" s="367"/>
      <c r="S553" s="367"/>
      <c r="T553" s="367"/>
      <c r="U553" s="367"/>
      <c r="V553" s="367"/>
      <c r="W553" s="367"/>
      <c r="X553" s="367"/>
      <c r="Y553" s="367"/>
      <c r="Z553" s="367"/>
    </row>
    <row r="554">
      <c r="A554" s="143" t="s">
        <v>2490</v>
      </c>
      <c r="B554" s="383">
        <v>2026.0</v>
      </c>
      <c r="C554" s="384" t="s">
        <v>54</v>
      </c>
      <c r="D554" s="385" t="s">
        <v>82</v>
      </c>
      <c r="E554" s="386"/>
      <c r="F554" s="384" t="s">
        <v>10</v>
      </c>
      <c r="G554" s="384" t="s">
        <v>1756</v>
      </c>
      <c r="H554" s="387" t="s">
        <v>1684</v>
      </c>
      <c r="I554" s="384" t="s">
        <v>58</v>
      </c>
      <c r="J554" s="384" t="s">
        <v>1757</v>
      </c>
      <c r="K554" s="143" t="s">
        <v>1723</v>
      </c>
      <c r="L554" s="379" t="s">
        <v>2506</v>
      </c>
      <c r="M554" s="143">
        <v>1.02240947E9</v>
      </c>
      <c r="N554" s="143">
        <v>3.138440142E9</v>
      </c>
      <c r="O554" s="367"/>
      <c r="P554" s="367"/>
      <c r="Q554" s="367"/>
      <c r="R554" s="367"/>
      <c r="S554" s="367"/>
      <c r="T554" s="367"/>
      <c r="U554" s="367"/>
      <c r="V554" s="367"/>
      <c r="W554" s="367"/>
      <c r="X554" s="367"/>
      <c r="Y554" s="367"/>
      <c r="Z554" s="367"/>
    </row>
    <row r="555">
      <c r="A555" s="143" t="s">
        <v>2490</v>
      </c>
      <c r="B555" s="383">
        <v>2026.0</v>
      </c>
      <c r="C555" s="384" t="s">
        <v>54</v>
      </c>
      <c r="D555" s="385" t="s">
        <v>82</v>
      </c>
      <c r="E555" s="386"/>
      <c r="F555" s="384" t="s">
        <v>10</v>
      </c>
      <c r="G555" s="384" t="s">
        <v>1756</v>
      </c>
      <c r="H555" s="387" t="s">
        <v>1684</v>
      </c>
      <c r="I555" s="384" t="s">
        <v>58</v>
      </c>
      <c r="J555" s="384" t="s">
        <v>1757</v>
      </c>
      <c r="K555" s="143" t="s">
        <v>1723</v>
      </c>
      <c r="L555" s="379" t="s">
        <v>2507</v>
      </c>
      <c r="M555" s="143">
        <v>5.1601019E7</v>
      </c>
      <c r="N555" s="143">
        <v>3.123051981E9</v>
      </c>
      <c r="O555" s="367"/>
      <c r="P555" s="367"/>
      <c r="Q555" s="367"/>
      <c r="R555" s="367"/>
      <c r="S555" s="367"/>
      <c r="T555" s="367"/>
      <c r="U555" s="367"/>
      <c r="V555" s="367"/>
      <c r="W555" s="367"/>
      <c r="X555" s="367"/>
      <c r="Y555" s="367"/>
      <c r="Z555" s="367"/>
    </row>
    <row r="556">
      <c r="A556" s="143" t="s">
        <v>2490</v>
      </c>
      <c r="B556" s="383">
        <v>2026.0</v>
      </c>
      <c r="C556" s="384" t="s">
        <v>54</v>
      </c>
      <c r="D556" s="385" t="s">
        <v>82</v>
      </c>
      <c r="E556" s="386"/>
      <c r="F556" s="384" t="s">
        <v>10</v>
      </c>
      <c r="G556" s="384" t="s">
        <v>1756</v>
      </c>
      <c r="H556" s="387" t="s">
        <v>1684</v>
      </c>
      <c r="I556" s="384" t="s">
        <v>58</v>
      </c>
      <c r="J556" s="384" t="s">
        <v>1757</v>
      </c>
      <c r="K556" s="143" t="s">
        <v>1723</v>
      </c>
      <c r="L556" s="379" t="s">
        <v>2508</v>
      </c>
      <c r="M556" s="143">
        <v>7.9107427E7</v>
      </c>
      <c r="N556" s="143">
        <v>3.112657209E9</v>
      </c>
      <c r="O556" s="367"/>
      <c r="P556" s="367"/>
      <c r="Q556" s="367"/>
      <c r="R556" s="367"/>
      <c r="S556" s="367"/>
      <c r="T556" s="367"/>
      <c r="U556" s="367"/>
      <c r="V556" s="367"/>
      <c r="W556" s="367"/>
      <c r="X556" s="367"/>
      <c r="Y556" s="367"/>
      <c r="Z556" s="367"/>
    </row>
    <row r="557">
      <c r="A557" s="143" t="s">
        <v>2490</v>
      </c>
      <c r="B557" s="383">
        <v>2026.0</v>
      </c>
      <c r="C557" s="384" t="s">
        <v>54</v>
      </c>
      <c r="D557" s="385" t="s">
        <v>82</v>
      </c>
      <c r="E557" s="386"/>
      <c r="F557" s="384" t="s">
        <v>10</v>
      </c>
      <c r="G557" s="384" t="s">
        <v>1756</v>
      </c>
      <c r="H557" s="387" t="s">
        <v>1684</v>
      </c>
      <c r="I557" s="384" t="s">
        <v>58</v>
      </c>
      <c r="J557" s="384" t="s">
        <v>1757</v>
      </c>
      <c r="K557" s="143" t="s">
        <v>1723</v>
      </c>
      <c r="L557" s="379" t="s">
        <v>2509</v>
      </c>
      <c r="M557" s="143">
        <v>4.1540766E7</v>
      </c>
      <c r="N557" s="143">
        <v>3.1231725109E10</v>
      </c>
      <c r="O557" s="367"/>
      <c r="P557" s="367"/>
      <c r="Q557" s="367"/>
      <c r="R557" s="367"/>
      <c r="S557" s="367"/>
      <c r="T557" s="367"/>
      <c r="U557" s="367"/>
      <c r="V557" s="367"/>
      <c r="W557" s="367"/>
      <c r="X557" s="367"/>
      <c r="Y557" s="367"/>
      <c r="Z557" s="367"/>
    </row>
    <row r="558">
      <c r="A558" s="143" t="s">
        <v>2490</v>
      </c>
      <c r="B558" s="383">
        <v>2026.0</v>
      </c>
      <c r="C558" s="384" t="s">
        <v>54</v>
      </c>
      <c r="D558" s="385" t="s">
        <v>82</v>
      </c>
      <c r="E558" s="386"/>
      <c r="F558" s="384" t="s">
        <v>10</v>
      </c>
      <c r="G558" s="384" t="s">
        <v>1756</v>
      </c>
      <c r="H558" s="387" t="s">
        <v>1684</v>
      </c>
      <c r="I558" s="384" t="s">
        <v>58</v>
      </c>
      <c r="J558" s="384" t="s">
        <v>1757</v>
      </c>
      <c r="K558" s="143" t="s">
        <v>1723</v>
      </c>
      <c r="L558" s="379" t="s">
        <v>2510</v>
      </c>
      <c r="M558" s="143">
        <v>3.8141897E7</v>
      </c>
      <c r="N558" s="143">
        <v>3.105764858E9</v>
      </c>
      <c r="O558" s="367"/>
      <c r="P558" s="367"/>
      <c r="Q558" s="367"/>
      <c r="R558" s="367"/>
      <c r="S558" s="367"/>
      <c r="T558" s="367"/>
      <c r="U558" s="367"/>
      <c r="V558" s="367"/>
      <c r="W558" s="367"/>
      <c r="X558" s="367"/>
      <c r="Y558" s="367"/>
      <c r="Z558" s="367"/>
    </row>
    <row r="559">
      <c r="A559" s="143" t="s">
        <v>2490</v>
      </c>
      <c r="B559" s="383">
        <v>2026.0</v>
      </c>
      <c r="C559" s="384" t="s">
        <v>54</v>
      </c>
      <c r="D559" s="385" t="s">
        <v>82</v>
      </c>
      <c r="E559" s="386"/>
      <c r="F559" s="384" t="s">
        <v>10</v>
      </c>
      <c r="G559" s="384" t="s">
        <v>1756</v>
      </c>
      <c r="H559" s="387" t="s">
        <v>1684</v>
      </c>
      <c r="I559" s="384" t="s">
        <v>58</v>
      </c>
      <c r="J559" s="384" t="s">
        <v>1757</v>
      </c>
      <c r="K559" s="143" t="s">
        <v>1723</v>
      </c>
      <c r="L559" s="379" t="s">
        <v>2511</v>
      </c>
      <c r="M559" s="143">
        <v>4.1718698E7</v>
      </c>
      <c r="N559" s="143">
        <v>3.732929242E9</v>
      </c>
      <c r="O559" s="367"/>
      <c r="P559" s="367"/>
      <c r="Q559" s="367"/>
      <c r="R559" s="367"/>
      <c r="S559" s="367"/>
      <c r="T559" s="367"/>
      <c r="U559" s="367"/>
      <c r="V559" s="367"/>
      <c r="W559" s="367"/>
      <c r="X559" s="367"/>
      <c r="Y559" s="367"/>
      <c r="Z559" s="367"/>
    </row>
    <row r="560">
      <c r="A560" s="143" t="s">
        <v>2490</v>
      </c>
      <c r="B560" s="383">
        <v>2026.0</v>
      </c>
      <c r="C560" s="384" t="s">
        <v>54</v>
      </c>
      <c r="D560" s="385" t="s">
        <v>82</v>
      </c>
      <c r="E560" s="386"/>
      <c r="F560" s="384" t="s">
        <v>10</v>
      </c>
      <c r="G560" s="384" t="s">
        <v>1756</v>
      </c>
      <c r="H560" s="387" t="s">
        <v>1684</v>
      </c>
      <c r="I560" s="384" t="s">
        <v>58</v>
      </c>
      <c r="J560" s="384" t="s">
        <v>1757</v>
      </c>
      <c r="K560" s="143" t="s">
        <v>1723</v>
      </c>
      <c r="L560" s="379" t="s">
        <v>2512</v>
      </c>
      <c r="M560" s="143">
        <v>1933843.0</v>
      </c>
      <c r="N560" s="143">
        <v>3.19338403E8</v>
      </c>
      <c r="O560" s="367"/>
      <c r="P560" s="367"/>
      <c r="Q560" s="367"/>
      <c r="R560" s="367"/>
      <c r="S560" s="367"/>
      <c r="T560" s="367"/>
      <c r="U560" s="367"/>
      <c r="V560" s="367"/>
      <c r="W560" s="367"/>
      <c r="X560" s="367"/>
      <c r="Y560" s="367"/>
      <c r="Z560" s="367"/>
    </row>
    <row r="561">
      <c r="A561" s="143" t="s">
        <v>2490</v>
      </c>
      <c r="B561" s="383">
        <v>2026.0</v>
      </c>
      <c r="C561" s="384" t="s">
        <v>54</v>
      </c>
      <c r="D561" s="385" t="s">
        <v>82</v>
      </c>
      <c r="E561" s="386"/>
      <c r="F561" s="384" t="s">
        <v>10</v>
      </c>
      <c r="G561" s="384" t="s">
        <v>1756</v>
      </c>
      <c r="H561" s="387" t="s">
        <v>1684</v>
      </c>
      <c r="I561" s="384" t="s">
        <v>58</v>
      </c>
      <c r="J561" s="384" t="s">
        <v>1757</v>
      </c>
      <c r="K561" s="143" t="s">
        <v>1723</v>
      </c>
      <c r="L561" s="379" t="s">
        <v>2513</v>
      </c>
      <c r="M561" s="143">
        <v>2.3622797E7</v>
      </c>
      <c r="N561" s="143">
        <v>3.13546837E9</v>
      </c>
      <c r="O561" s="367"/>
      <c r="P561" s="367"/>
      <c r="Q561" s="367"/>
      <c r="R561" s="367"/>
      <c r="S561" s="367"/>
      <c r="T561" s="367"/>
      <c r="U561" s="367"/>
      <c r="V561" s="367"/>
      <c r="W561" s="367"/>
      <c r="X561" s="367"/>
      <c r="Y561" s="367"/>
      <c r="Z561" s="367"/>
    </row>
    <row r="562">
      <c r="A562" s="143" t="s">
        <v>2490</v>
      </c>
      <c r="B562" s="383">
        <v>2026.0</v>
      </c>
      <c r="C562" s="384" t="s">
        <v>54</v>
      </c>
      <c r="D562" s="385" t="s">
        <v>82</v>
      </c>
      <c r="E562" s="386"/>
      <c r="F562" s="384" t="s">
        <v>10</v>
      </c>
      <c r="G562" s="384" t="s">
        <v>1756</v>
      </c>
      <c r="H562" s="387" t="s">
        <v>1684</v>
      </c>
      <c r="I562" s="384" t="s">
        <v>58</v>
      </c>
      <c r="J562" s="384" t="s">
        <v>1757</v>
      </c>
      <c r="K562" s="143" t="s">
        <v>1723</v>
      </c>
      <c r="L562" s="379" t="s">
        <v>2514</v>
      </c>
      <c r="M562" s="143">
        <v>7.9749338E7</v>
      </c>
      <c r="N562" s="143">
        <v>3.11287907E9</v>
      </c>
      <c r="O562" s="367"/>
      <c r="P562" s="367"/>
      <c r="Q562" s="367"/>
      <c r="R562" s="367"/>
      <c r="S562" s="367"/>
      <c r="T562" s="367"/>
      <c r="U562" s="367"/>
      <c r="V562" s="367"/>
      <c r="W562" s="367"/>
      <c r="X562" s="367"/>
      <c r="Y562" s="367"/>
      <c r="Z562" s="367"/>
    </row>
    <row r="563">
      <c r="A563" s="143" t="s">
        <v>2490</v>
      </c>
      <c r="B563" s="383">
        <v>2026.0</v>
      </c>
      <c r="C563" s="384" t="s">
        <v>54</v>
      </c>
      <c r="D563" s="385" t="s">
        <v>82</v>
      </c>
      <c r="E563" s="386"/>
      <c r="F563" s="384" t="s">
        <v>10</v>
      </c>
      <c r="G563" s="384" t="s">
        <v>1756</v>
      </c>
      <c r="H563" s="387" t="s">
        <v>1684</v>
      </c>
      <c r="I563" s="384" t="s">
        <v>58</v>
      </c>
      <c r="J563" s="384" t="s">
        <v>1757</v>
      </c>
      <c r="K563" s="143" t="s">
        <v>1723</v>
      </c>
      <c r="L563" s="379" t="s">
        <v>2515</v>
      </c>
      <c r="M563" s="143">
        <v>4.0018985E7</v>
      </c>
      <c r="N563" s="143">
        <v>3.12594963E9</v>
      </c>
      <c r="O563" s="367"/>
      <c r="P563" s="367"/>
      <c r="Q563" s="367"/>
      <c r="R563" s="367"/>
      <c r="S563" s="367"/>
      <c r="T563" s="367"/>
      <c r="U563" s="367"/>
      <c r="V563" s="367"/>
      <c r="W563" s="367"/>
      <c r="X563" s="367"/>
      <c r="Y563" s="367"/>
      <c r="Z563" s="367"/>
    </row>
    <row r="564">
      <c r="A564" s="143" t="s">
        <v>2490</v>
      </c>
      <c r="B564" s="383">
        <v>2026.0</v>
      </c>
      <c r="C564" s="384" t="s">
        <v>54</v>
      </c>
      <c r="D564" s="385" t="s">
        <v>82</v>
      </c>
      <c r="E564" s="386"/>
      <c r="F564" s="384" t="s">
        <v>10</v>
      </c>
      <c r="G564" s="384" t="s">
        <v>1756</v>
      </c>
      <c r="H564" s="387" t="s">
        <v>1684</v>
      </c>
      <c r="I564" s="384" t="s">
        <v>58</v>
      </c>
      <c r="J564" s="384" t="s">
        <v>1757</v>
      </c>
      <c r="K564" s="143" t="s">
        <v>1723</v>
      </c>
      <c r="L564" s="379" t="s">
        <v>2516</v>
      </c>
      <c r="M564" s="143">
        <v>6013555.0</v>
      </c>
      <c r="N564" s="143">
        <v>3.13240506E9</v>
      </c>
      <c r="O564" s="367"/>
      <c r="P564" s="367"/>
      <c r="Q564" s="367"/>
      <c r="R564" s="367"/>
      <c r="S564" s="367"/>
      <c r="T564" s="367"/>
      <c r="U564" s="367"/>
      <c r="V564" s="367"/>
      <c r="W564" s="367"/>
      <c r="X564" s="367"/>
      <c r="Y564" s="367"/>
      <c r="Z564" s="367"/>
    </row>
    <row r="565">
      <c r="A565" s="143" t="s">
        <v>2490</v>
      </c>
      <c r="B565" s="383">
        <v>2026.0</v>
      </c>
      <c r="C565" s="384" t="s">
        <v>54</v>
      </c>
      <c r="D565" s="385" t="s">
        <v>82</v>
      </c>
      <c r="E565" s="386"/>
      <c r="F565" s="384" t="s">
        <v>10</v>
      </c>
      <c r="G565" s="384" t="s">
        <v>1756</v>
      </c>
      <c r="H565" s="387" t="s">
        <v>1684</v>
      </c>
      <c r="I565" s="384" t="s">
        <v>58</v>
      </c>
      <c r="J565" s="384" t="s">
        <v>1757</v>
      </c>
      <c r="K565" s="143" t="s">
        <v>1723</v>
      </c>
      <c r="L565" s="379" t="s">
        <v>2517</v>
      </c>
      <c r="M565" s="143">
        <v>7.9643942E7</v>
      </c>
      <c r="N565" s="143">
        <v>3.02353337E9</v>
      </c>
      <c r="O565" s="367"/>
      <c r="P565" s="367"/>
      <c r="Q565" s="367"/>
      <c r="R565" s="367"/>
      <c r="S565" s="367"/>
      <c r="T565" s="367"/>
      <c r="U565" s="367"/>
      <c r="V565" s="367"/>
      <c r="W565" s="367"/>
      <c r="X565" s="367"/>
      <c r="Y565" s="367"/>
      <c r="Z565" s="367"/>
    </row>
    <row r="566">
      <c r="A566" s="387" t="s">
        <v>2490</v>
      </c>
      <c r="B566" s="383">
        <v>2026.0</v>
      </c>
      <c r="C566" s="384" t="s">
        <v>54</v>
      </c>
      <c r="D566" s="385" t="s">
        <v>82</v>
      </c>
      <c r="E566" s="386"/>
      <c r="F566" s="384" t="s">
        <v>10</v>
      </c>
      <c r="G566" s="384" t="s">
        <v>1756</v>
      </c>
      <c r="H566" s="387" t="s">
        <v>1684</v>
      </c>
      <c r="I566" s="384" t="s">
        <v>58</v>
      </c>
      <c r="J566" s="384" t="s">
        <v>1757</v>
      </c>
      <c r="K566" s="387" t="s">
        <v>1723</v>
      </c>
      <c r="L566" s="388" t="s">
        <v>2518</v>
      </c>
      <c r="M566" s="387">
        <v>2.7981245E7</v>
      </c>
      <c r="N566" s="387">
        <v>3.123239529E9</v>
      </c>
      <c r="O566" s="382"/>
      <c r="P566" s="382"/>
      <c r="Q566" s="382"/>
      <c r="R566" s="382"/>
      <c r="S566" s="382"/>
      <c r="T566" s="382"/>
      <c r="U566" s="382"/>
      <c r="V566" s="382"/>
      <c r="W566" s="382"/>
      <c r="X566" s="382"/>
      <c r="Y566" s="382"/>
      <c r="Z566" s="382"/>
    </row>
    <row r="567">
      <c r="A567" s="395" t="s">
        <v>2519</v>
      </c>
      <c r="B567" s="412">
        <v>2026.0</v>
      </c>
      <c r="C567" s="413" t="s">
        <v>179</v>
      </c>
      <c r="D567" s="414" t="s">
        <v>82</v>
      </c>
      <c r="E567" s="415"/>
      <c r="F567" s="413" t="s">
        <v>10</v>
      </c>
      <c r="G567" s="413" t="s">
        <v>1756</v>
      </c>
      <c r="H567" s="411" t="s">
        <v>1395</v>
      </c>
      <c r="I567" s="413" t="s">
        <v>58</v>
      </c>
      <c r="J567" s="413" t="s">
        <v>1757</v>
      </c>
      <c r="K567" s="395" t="s">
        <v>1488</v>
      </c>
      <c r="L567" s="396" t="s">
        <v>2520</v>
      </c>
      <c r="M567" s="395">
        <v>4.1402224E7</v>
      </c>
      <c r="N567" s="395">
        <v>3.114517227E9</v>
      </c>
      <c r="O567" s="390"/>
      <c r="P567" s="390"/>
      <c r="Q567" s="390"/>
      <c r="R567" s="390"/>
      <c r="S567" s="390"/>
      <c r="T567" s="390"/>
      <c r="U567" s="390"/>
      <c r="V567" s="390"/>
      <c r="W567" s="390"/>
      <c r="X567" s="390"/>
      <c r="Y567" s="390"/>
      <c r="Z567" s="390"/>
    </row>
    <row r="568">
      <c r="A568" s="143" t="s">
        <v>2519</v>
      </c>
      <c r="B568" s="383">
        <v>2026.0</v>
      </c>
      <c r="C568" s="384" t="s">
        <v>179</v>
      </c>
      <c r="D568" s="385" t="s">
        <v>82</v>
      </c>
      <c r="E568" s="386"/>
      <c r="F568" s="384" t="s">
        <v>10</v>
      </c>
      <c r="G568" s="384" t="s">
        <v>1756</v>
      </c>
      <c r="H568" s="387" t="s">
        <v>1395</v>
      </c>
      <c r="I568" s="384" t="s">
        <v>58</v>
      </c>
      <c r="J568" s="384" t="s">
        <v>1757</v>
      </c>
      <c r="K568" s="143" t="s">
        <v>1488</v>
      </c>
      <c r="L568" s="379" t="s">
        <v>2521</v>
      </c>
      <c r="M568" s="143">
        <v>7.9429515E7</v>
      </c>
      <c r="N568" s="143">
        <v>3.144747014E9</v>
      </c>
      <c r="O568" s="367"/>
      <c r="P568" s="367"/>
      <c r="Q568" s="367"/>
      <c r="R568" s="367"/>
      <c r="S568" s="367"/>
      <c r="T568" s="367"/>
      <c r="U568" s="367"/>
      <c r="V568" s="367"/>
      <c r="W568" s="367"/>
      <c r="X568" s="367"/>
      <c r="Y568" s="367"/>
      <c r="Z568" s="367"/>
    </row>
    <row r="569">
      <c r="A569" s="143" t="s">
        <v>2519</v>
      </c>
      <c r="B569" s="383">
        <v>2026.0</v>
      </c>
      <c r="C569" s="384" t="s">
        <v>179</v>
      </c>
      <c r="D569" s="385" t="s">
        <v>82</v>
      </c>
      <c r="E569" s="386"/>
      <c r="F569" s="384" t="s">
        <v>10</v>
      </c>
      <c r="G569" s="384" t="s">
        <v>1756</v>
      </c>
      <c r="H569" s="387" t="s">
        <v>1395</v>
      </c>
      <c r="I569" s="384" t="s">
        <v>58</v>
      </c>
      <c r="J569" s="384" t="s">
        <v>1757</v>
      </c>
      <c r="K569" s="143" t="s">
        <v>1488</v>
      </c>
      <c r="L569" s="379" t="s">
        <v>2522</v>
      </c>
      <c r="M569" s="143">
        <v>1.9056346E7</v>
      </c>
      <c r="N569" s="143">
        <v>3.144370095E9</v>
      </c>
      <c r="O569" s="367"/>
      <c r="P569" s="367"/>
      <c r="Q569" s="367"/>
      <c r="R569" s="367"/>
      <c r="S569" s="367"/>
      <c r="T569" s="367"/>
      <c r="U569" s="367"/>
      <c r="V569" s="367"/>
      <c r="W569" s="367"/>
      <c r="X569" s="367"/>
      <c r="Y569" s="367"/>
      <c r="Z569" s="367"/>
    </row>
    <row r="570">
      <c r="A570" s="143" t="s">
        <v>2519</v>
      </c>
      <c r="B570" s="383">
        <v>2026.0</v>
      </c>
      <c r="C570" s="384" t="s">
        <v>179</v>
      </c>
      <c r="D570" s="385" t="s">
        <v>82</v>
      </c>
      <c r="E570" s="386"/>
      <c r="F570" s="384" t="s">
        <v>10</v>
      </c>
      <c r="G570" s="384" t="s">
        <v>1756</v>
      </c>
      <c r="H570" s="387" t="s">
        <v>1395</v>
      </c>
      <c r="I570" s="384" t="s">
        <v>58</v>
      </c>
      <c r="J570" s="384" t="s">
        <v>1757</v>
      </c>
      <c r="K570" s="143" t="s">
        <v>1488</v>
      </c>
      <c r="L570" s="379" t="s">
        <v>2523</v>
      </c>
      <c r="M570" s="143">
        <v>7.9394975E7</v>
      </c>
      <c r="N570" s="143">
        <v>3.15632356E9</v>
      </c>
      <c r="O570" s="367"/>
      <c r="P570" s="367"/>
      <c r="Q570" s="367"/>
      <c r="R570" s="367"/>
      <c r="S570" s="367"/>
      <c r="T570" s="367"/>
      <c r="U570" s="367"/>
      <c r="V570" s="367"/>
      <c r="W570" s="367"/>
      <c r="X570" s="367"/>
      <c r="Y570" s="367"/>
      <c r="Z570" s="367"/>
    </row>
    <row r="571">
      <c r="A571" s="143" t="s">
        <v>2519</v>
      </c>
      <c r="B571" s="383">
        <v>2026.0</v>
      </c>
      <c r="C571" s="384" t="s">
        <v>179</v>
      </c>
      <c r="D571" s="385" t="s">
        <v>82</v>
      </c>
      <c r="E571" s="386"/>
      <c r="F571" s="384" t="s">
        <v>10</v>
      </c>
      <c r="G571" s="384" t="s">
        <v>1756</v>
      </c>
      <c r="H571" s="387" t="s">
        <v>1395</v>
      </c>
      <c r="I571" s="384" t="s">
        <v>58</v>
      </c>
      <c r="J571" s="384" t="s">
        <v>1757</v>
      </c>
      <c r="K571" s="143" t="s">
        <v>1488</v>
      </c>
      <c r="L571" s="379" t="s">
        <v>2524</v>
      </c>
      <c r="M571" s="143">
        <v>5.1719926E7</v>
      </c>
      <c r="N571" s="143">
        <v>3.134963351E9</v>
      </c>
      <c r="O571" s="367"/>
      <c r="P571" s="367"/>
      <c r="Q571" s="367"/>
      <c r="R571" s="367"/>
      <c r="S571" s="367"/>
      <c r="T571" s="367"/>
      <c r="U571" s="367"/>
      <c r="V571" s="367"/>
      <c r="W571" s="367"/>
      <c r="X571" s="367"/>
      <c r="Y571" s="367"/>
      <c r="Z571" s="367"/>
    </row>
    <row r="572">
      <c r="A572" s="143" t="s">
        <v>2519</v>
      </c>
      <c r="B572" s="383">
        <v>2026.0</v>
      </c>
      <c r="C572" s="384" t="s">
        <v>179</v>
      </c>
      <c r="D572" s="385" t="s">
        <v>82</v>
      </c>
      <c r="E572" s="386"/>
      <c r="F572" s="384" t="s">
        <v>10</v>
      </c>
      <c r="G572" s="384" t="s">
        <v>1756</v>
      </c>
      <c r="H572" s="387" t="s">
        <v>1395</v>
      </c>
      <c r="I572" s="384" t="s">
        <v>58</v>
      </c>
      <c r="J572" s="384" t="s">
        <v>1757</v>
      </c>
      <c r="K572" s="143" t="s">
        <v>1488</v>
      </c>
      <c r="L572" s="379" t="s">
        <v>2525</v>
      </c>
      <c r="M572" s="143">
        <v>2.0586681E7</v>
      </c>
      <c r="N572" s="143">
        <v>3.217705273E9</v>
      </c>
      <c r="O572" s="367"/>
      <c r="P572" s="367"/>
      <c r="Q572" s="367"/>
      <c r="R572" s="367"/>
      <c r="S572" s="367"/>
      <c r="T572" s="367"/>
      <c r="U572" s="367"/>
      <c r="V572" s="367"/>
      <c r="W572" s="367"/>
      <c r="X572" s="367"/>
      <c r="Y572" s="367"/>
      <c r="Z572" s="367"/>
    </row>
    <row r="573">
      <c r="A573" s="143" t="s">
        <v>2519</v>
      </c>
      <c r="B573" s="383">
        <v>2026.0</v>
      </c>
      <c r="C573" s="384" t="s">
        <v>179</v>
      </c>
      <c r="D573" s="385" t="s">
        <v>82</v>
      </c>
      <c r="E573" s="386"/>
      <c r="F573" s="384" t="s">
        <v>10</v>
      </c>
      <c r="G573" s="384" t="s">
        <v>1756</v>
      </c>
      <c r="H573" s="387" t="s">
        <v>1395</v>
      </c>
      <c r="I573" s="384" t="s">
        <v>58</v>
      </c>
      <c r="J573" s="384" t="s">
        <v>1757</v>
      </c>
      <c r="K573" s="143" t="s">
        <v>1488</v>
      </c>
      <c r="L573" s="379" t="s">
        <v>2526</v>
      </c>
      <c r="M573" s="143">
        <v>7.9573656E7</v>
      </c>
      <c r="N573" s="143">
        <v>3.118110218E9</v>
      </c>
      <c r="O573" s="367"/>
      <c r="P573" s="367"/>
      <c r="Q573" s="367"/>
      <c r="R573" s="367"/>
      <c r="S573" s="367"/>
      <c r="T573" s="367"/>
      <c r="U573" s="367"/>
      <c r="V573" s="367"/>
      <c r="W573" s="367"/>
      <c r="X573" s="367"/>
      <c r="Y573" s="367"/>
      <c r="Z573" s="367"/>
    </row>
    <row r="574">
      <c r="A574" s="143" t="s">
        <v>2519</v>
      </c>
      <c r="B574" s="383">
        <v>2026.0</v>
      </c>
      <c r="C574" s="384" t="s">
        <v>179</v>
      </c>
      <c r="D574" s="385" t="s">
        <v>82</v>
      </c>
      <c r="E574" s="386"/>
      <c r="F574" s="384" t="s">
        <v>10</v>
      </c>
      <c r="G574" s="384" t="s">
        <v>1756</v>
      </c>
      <c r="H574" s="387" t="s">
        <v>1395</v>
      </c>
      <c r="I574" s="384" t="s">
        <v>58</v>
      </c>
      <c r="J574" s="384" t="s">
        <v>1757</v>
      </c>
      <c r="K574" s="143" t="s">
        <v>1488</v>
      </c>
      <c r="L574" s="379" t="s">
        <v>2527</v>
      </c>
      <c r="M574" s="143">
        <v>4.1467843E7</v>
      </c>
      <c r="N574" s="143">
        <v>3.112127851E9</v>
      </c>
      <c r="O574" s="367"/>
      <c r="P574" s="367"/>
      <c r="Q574" s="367"/>
      <c r="R574" s="367"/>
      <c r="S574" s="367"/>
      <c r="T574" s="367"/>
      <c r="U574" s="367"/>
      <c r="V574" s="367"/>
      <c r="W574" s="367"/>
      <c r="X574" s="367"/>
      <c r="Y574" s="367"/>
      <c r="Z574" s="367"/>
    </row>
    <row r="575">
      <c r="A575" s="143" t="s">
        <v>2519</v>
      </c>
      <c r="B575" s="383">
        <v>2026.0</v>
      </c>
      <c r="C575" s="384" t="s">
        <v>179</v>
      </c>
      <c r="D575" s="385" t="s">
        <v>82</v>
      </c>
      <c r="E575" s="386"/>
      <c r="F575" s="384" t="s">
        <v>10</v>
      </c>
      <c r="G575" s="384" t="s">
        <v>1756</v>
      </c>
      <c r="H575" s="387" t="s">
        <v>1395</v>
      </c>
      <c r="I575" s="384" t="s">
        <v>58</v>
      </c>
      <c r="J575" s="384" t="s">
        <v>1757</v>
      </c>
      <c r="K575" s="143" t="s">
        <v>1488</v>
      </c>
      <c r="L575" s="379" t="s">
        <v>2528</v>
      </c>
      <c r="M575" s="143">
        <v>4.1503629E7</v>
      </c>
      <c r="N575" s="143">
        <v>3.115497279E9</v>
      </c>
      <c r="O575" s="367"/>
      <c r="P575" s="367"/>
      <c r="Q575" s="367"/>
      <c r="R575" s="367"/>
      <c r="S575" s="367"/>
      <c r="T575" s="367"/>
      <c r="U575" s="367"/>
      <c r="V575" s="367"/>
      <c r="W575" s="367"/>
      <c r="X575" s="367"/>
      <c r="Y575" s="367"/>
      <c r="Z575" s="367"/>
    </row>
    <row r="576">
      <c r="A576" s="143" t="s">
        <v>2519</v>
      </c>
      <c r="B576" s="383">
        <v>2026.0</v>
      </c>
      <c r="C576" s="384" t="s">
        <v>179</v>
      </c>
      <c r="D576" s="385" t="s">
        <v>82</v>
      </c>
      <c r="E576" s="386"/>
      <c r="F576" s="384" t="s">
        <v>10</v>
      </c>
      <c r="G576" s="384" t="s">
        <v>1756</v>
      </c>
      <c r="H576" s="387" t="s">
        <v>1395</v>
      </c>
      <c r="I576" s="384" t="s">
        <v>58</v>
      </c>
      <c r="J576" s="384" t="s">
        <v>1757</v>
      </c>
      <c r="K576" s="143" t="s">
        <v>1488</v>
      </c>
      <c r="L576" s="379" t="s">
        <v>2529</v>
      </c>
      <c r="M576" s="143">
        <v>5.1572258E7</v>
      </c>
      <c r="N576" s="143">
        <v>3.208643533E9</v>
      </c>
      <c r="O576" s="367"/>
      <c r="P576" s="367"/>
      <c r="Q576" s="367"/>
      <c r="R576" s="367"/>
      <c r="S576" s="367"/>
      <c r="T576" s="367"/>
      <c r="U576" s="367"/>
      <c r="V576" s="367"/>
      <c r="W576" s="367"/>
      <c r="X576" s="367"/>
      <c r="Y576" s="367"/>
      <c r="Z576" s="367"/>
    </row>
    <row r="577">
      <c r="A577" s="143" t="s">
        <v>2519</v>
      </c>
      <c r="B577" s="383">
        <v>2026.0</v>
      </c>
      <c r="C577" s="384" t="s">
        <v>179</v>
      </c>
      <c r="D577" s="385" t="s">
        <v>82</v>
      </c>
      <c r="E577" s="386"/>
      <c r="F577" s="384" t="s">
        <v>10</v>
      </c>
      <c r="G577" s="384" t="s">
        <v>1756</v>
      </c>
      <c r="H577" s="387" t="s">
        <v>1395</v>
      </c>
      <c r="I577" s="384" t="s">
        <v>58</v>
      </c>
      <c r="J577" s="384" t="s">
        <v>1757</v>
      </c>
      <c r="K577" s="143" t="s">
        <v>1488</v>
      </c>
      <c r="L577" s="379" t="s">
        <v>2530</v>
      </c>
      <c r="M577" s="143">
        <v>2034113.0</v>
      </c>
      <c r="N577" s="143">
        <v>3.015104357E9</v>
      </c>
      <c r="O577" s="367"/>
      <c r="P577" s="367"/>
      <c r="Q577" s="367"/>
      <c r="R577" s="367"/>
      <c r="S577" s="367"/>
      <c r="T577" s="367"/>
      <c r="U577" s="367"/>
      <c r="V577" s="367"/>
      <c r="W577" s="367"/>
      <c r="X577" s="367"/>
      <c r="Y577" s="367"/>
      <c r="Z577" s="367"/>
    </row>
    <row r="578">
      <c r="A578" s="143" t="s">
        <v>2519</v>
      </c>
      <c r="B578" s="383">
        <v>2026.0</v>
      </c>
      <c r="C578" s="384" t="s">
        <v>179</v>
      </c>
      <c r="D578" s="385" t="s">
        <v>82</v>
      </c>
      <c r="E578" s="386"/>
      <c r="F578" s="384" t="s">
        <v>10</v>
      </c>
      <c r="G578" s="384" t="s">
        <v>1756</v>
      </c>
      <c r="H578" s="387" t="s">
        <v>1395</v>
      </c>
      <c r="I578" s="384" t="s">
        <v>58</v>
      </c>
      <c r="J578" s="384" t="s">
        <v>1757</v>
      </c>
      <c r="K578" s="143" t="s">
        <v>1488</v>
      </c>
      <c r="L578" s="379" t="s">
        <v>2531</v>
      </c>
      <c r="M578" s="143">
        <v>5.1568831E7</v>
      </c>
      <c r="N578" s="143">
        <v>3.103030535E9</v>
      </c>
      <c r="O578" s="367"/>
      <c r="P578" s="367"/>
      <c r="Q578" s="367"/>
      <c r="R578" s="367"/>
      <c r="S578" s="367"/>
      <c r="T578" s="367"/>
      <c r="U578" s="367"/>
      <c r="V578" s="367"/>
      <c r="W578" s="367"/>
      <c r="X578" s="367"/>
      <c r="Y578" s="367"/>
      <c r="Z578" s="367"/>
    </row>
    <row r="579">
      <c r="A579" s="143" t="s">
        <v>2519</v>
      </c>
      <c r="B579" s="383">
        <v>2026.0</v>
      </c>
      <c r="C579" s="384" t="s">
        <v>179</v>
      </c>
      <c r="D579" s="385" t="s">
        <v>82</v>
      </c>
      <c r="E579" s="386"/>
      <c r="F579" s="384" t="s">
        <v>10</v>
      </c>
      <c r="G579" s="384" t="s">
        <v>1756</v>
      </c>
      <c r="H579" s="387" t="s">
        <v>1395</v>
      </c>
      <c r="I579" s="384" t="s">
        <v>58</v>
      </c>
      <c r="J579" s="384" t="s">
        <v>1757</v>
      </c>
      <c r="K579" s="143" t="s">
        <v>1488</v>
      </c>
      <c r="L579" s="379" t="s">
        <v>2532</v>
      </c>
      <c r="M579" s="143">
        <v>2.6733379E7</v>
      </c>
      <c r="N579" s="143">
        <v>3.208212395E9</v>
      </c>
      <c r="O579" s="367"/>
      <c r="P579" s="367"/>
      <c r="Q579" s="367"/>
      <c r="R579" s="367"/>
      <c r="S579" s="367"/>
      <c r="T579" s="367"/>
      <c r="U579" s="367"/>
      <c r="V579" s="367"/>
      <c r="W579" s="367"/>
      <c r="X579" s="367"/>
      <c r="Y579" s="367"/>
      <c r="Z579" s="367"/>
    </row>
    <row r="580">
      <c r="A580" s="143" t="s">
        <v>2519</v>
      </c>
      <c r="B580" s="383">
        <v>2026.0</v>
      </c>
      <c r="C580" s="384" t="s">
        <v>179</v>
      </c>
      <c r="D580" s="385" t="s">
        <v>82</v>
      </c>
      <c r="E580" s="386"/>
      <c r="F580" s="384" t="s">
        <v>10</v>
      </c>
      <c r="G580" s="384" t="s">
        <v>1756</v>
      </c>
      <c r="H580" s="387" t="s">
        <v>1395</v>
      </c>
      <c r="I580" s="384" t="s">
        <v>58</v>
      </c>
      <c r="J580" s="384" t="s">
        <v>1757</v>
      </c>
      <c r="K580" s="143" t="s">
        <v>1488</v>
      </c>
      <c r="L580" s="379" t="s">
        <v>2533</v>
      </c>
      <c r="M580" s="143">
        <v>7.9271764E7</v>
      </c>
      <c r="N580" s="143">
        <v>3.133934556E9</v>
      </c>
      <c r="O580" s="367"/>
      <c r="P580" s="367"/>
      <c r="Q580" s="367"/>
      <c r="R580" s="367"/>
      <c r="S580" s="367"/>
      <c r="T580" s="367"/>
      <c r="U580" s="367"/>
      <c r="V580" s="367"/>
      <c r="W580" s="367"/>
      <c r="X580" s="367"/>
      <c r="Y580" s="367"/>
      <c r="Z580" s="367"/>
    </row>
    <row r="581">
      <c r="A581" s="143" t="s">
        <v>2519</v>
      </c>
      <c r="B581" s="383">
        <v>2026.0</v>
      </c>
      <c r="C581" s="384" t="s">
        <v>179</v>
      </c>
      <c r="D581" s="385" t="s">
        <v>82</v>
      </c>
      <c r="E581" s="386"/>
      <c r="F581" s="384" t="s">
        <v>10</v>
      </c>
      <c r="G581" s="384" t="s">
        <v>1756</v>
      </c>
      <c r="H581" s="387" t="s">
        <v>1395</v>
      </c>
      <c r="I581" s="384" t="s">
        <v>58</v>
      </c>
      <c r="J581" s="384" t="s">
        <v>1757</v>
      </c>
      <c r="K581" s="143" t="s">
        <v>1488</v>
      </c>
      <c r="L581" s="379" t="s">
        <v>2534</v>
      </c>
      <c r="M581" s="143">
        <v>5.1620188E7</v>
      </c>
      <c r="N581" s="143">
        <v>3.115772595E9</v>
      </c>
      <c r="O581" s="367"/>
      <c r="P581" s="367"/>
      <c r="Q581" s="367"/>
      <c r="R581" s="367"/>
      <c r="S581" s="367"/>
      <c r="T581" s="367"/>
      <c r="U581" s="367"/>
      <c r="V581" s="367"/>
      <c r="W581" s="367"/>
      <c r="X581" s="367"/>
      <c r="Y581" s="367"/>
      <c r="Z581" s="367"/>
    </row>
    <row r="582">
      <c r="A582" s="143" t="s">
        <v>2519</v>
      </c>
      <c r="B582" s="383">
        <v>2026.0</v>
      </c>
      <c r="C582" s="384" t="s">
        <v>179</v>
      </c>
      <c r="D582" s="385" t="s">
        <v>82</v>
      </c>
      <c r="E582" s="386"/>
      <c r="F582" s="384" t="s">
        <v>10</v>
      </c>
      <c r="G582" s="384" t="s">
        <v>1756</v>
      </c>
      <c r="H582" s="387" t="s">
        <v>1395</v>
      </c>
      <c r="I582" s="384" t="s">
        <v>58</v>
      </c>
      <c r="J582" s="384" t="s">
        <v>1757</v>
      </c>
      <c r="K582" s="143" t="s">
        <v>1488</v>
      </c>
      <c r="L582" s="379" t="s">
        <v>2535</v>
      </c>
      <c r="M582" s="143">
        <v>1.033714423E9</v>
      </c>
      <c r="N582" s="143">
        <v>3.174301009E9</v>
      </c>
      <c r="O582" s="367"/>
      <c r="P582" s="367"/>
      <c r="Q582" s="367"/>
      <c r="R582" s="367"/>
      <c r="S582" s="367"/>
      <c r="T582" s="367"/>
      <c r="U582" s="367"/>
      <c r="V582" s="367"/>
      <c r="W582" s="367"/>
      <c r="X582" s="367"/>
      <c r="Y582" s="367"/>
      <c r="Z582" s="367"/>
    </row>
    <row r="583">
      <c r="A583" s="143" t="s">
        <v>2519</v>
      </c>
      <c r="B583" s="383">
        <v>2026.0</v>
      </c>
      <c r="C583" s="384" t="s">
        <v>179</v>
      </c>
      <c r="D583" s="385" t="s">
        <v>82</v>
      </c>
      <c r="E583" s="386"/>
      <c r="F583" s="384" t="s">
        <v>10</v>
      </c>
      <c r="G583" s="384" t="s">
        <v>1756</v>
      </c>
      <c r="H583" s="387" t="s">
        <v>1395</v>
      </c>
      <c r="I583" s="384" t="s">
        <v>58</v>
      </c>
      <c r="J583" s="384" t="s">
        <v>1757</v>
      </c>
      <c r="K583" s="143" t="s">
        <v>1488</v>
      </c>
      <c r="L583" s="379" t="s">
        <v>2536</v>
      </c>
      <c r="M583" s="143">
        <v>9.128012E7</v>
      </c>
      <c r="N583" s="143">
        <v>3.188852841E9</v>
      </c>
      <c r="O583" s="367"/>
      <c r="P583" s="367"/>
      <c r="Q583" s="367"/>
      <c r="R583" s="367"/>
      <c r="S583" s="367"/>
      <c r="T583" s="367"/>
      <c r="U583" s="367"/>
      <c r="V583" s="367"/>
      <c r="W583" s="367"/>
      <c r="X583" s="367"/>
      <c r="Y583" s="367"/>
      <c r="Z583" s="367"/>
    </row>
    <row r="584">
      <c r="A584" s="143" t="s">
        <v>2519</v>
      </c>
      <c r="B584" s="383">
        <v>2026.0</v>
      </c>
      <c r="C584" s="384" t="s">
        <v>179</v>
      </c>
      <c r="D584" s="385" t="s">
        <v>82</v>
      </c>
      <c r="E584" s="386"/>
      <c r="F584" s="384" t="s">
        <v>10</v>
      </c>
      <c r="G584" s="384" t="s">
        <v>1756</v>
      </c>
      <c r="H584" s="387" t="s">
        <v>1395</v>
      </c>
      <c r="I584" s="384" t="s">
        <v>58</v>
      </c>
      <c r="J584" s="384" t="s">
        <v>1757</v>
      </c>
      <c r="K584" s="143" t="s">
        <v>1488</v>
      </c>
      <c r="L584" s="379" t="s">
        <v>2537</v>
      </c>
      <c r="M584" s="143">
        <v>4.1558134E7</v>
      </c>
      <c r="N584" s="143">
        <v>3.158211721E9</v>
      </c>
      <c r="O584" s="367"/>
      <c r="P584" s="367"/>
      <c r="Q584" s="367"/>
      <c r="R584" s="367"/>
      <c r="S584" s="367"/>
      <c r="T584" s="367"/>
      <c r="U584" s="367"/>
      <c r="V584" s="367"/>
      <c r="W584" s="367"/>
      <c r="X584" s="367"/>
      <c r="Y584" s="367"/>
      <c r="Z584" s="367"/>
    </row>
    <row r="585">
      <c r="A585" s="143" t="s">
        <v>2519</v>
      </c>
      <c r="B585" s="383">
        <v>2026.0</v>
      </c>
      <c r="C585" s="384" t="s">
        <v>179</v>
      </c>
      <c r="D585" s="385" t="s">
        <v>82</v>
      </c>
      <c r="E585" s="386"/>
      <c r="F585" s="384" t="s">
        <v>10</v>
      </c>
      <c r="G585" s="384" t="s">
        <v>1756</v>
      </c>
      <c r="H585" s="387" t="s">
        <v>1395</v>
      </c>
      <c r="I585" s="384" t="s">
        <v>58</v>
      </c>
      <c r="J585" s="384" t="s">
        <v>1757</v>
      </c>
      <c r="K585" s="143" t="s">
        <v>1488</v>
      </c>
      <c r="L585" s="379" t="s">
        <v>2503</v>
      </c>
      <c r="M585" s="143">
        <v>1.00489108E9</v>
      </c>
      <c r="N585" s="143">
        <v>3.112398337E9</v>
      </c>
      <c r="O585" s="367"/>
      <c r="P585" s="367"/>
      <c r="Q585" s="367"/>
      <c r="R585" s="367"/>
      <c r="S585" s="367"/>
      <c r="T585" s="367"/>
      <c r="U585" s="367"/>
      <c r="V585" s="367"/>
      <c r="W585" s="367"/>
      <c r="X585" s="367"/>
      <c r="Y585" s="367"/>
      <c r="Z585" s="367"/>
    </row>
    <row r="586">
      <c r="A586" s="143" t="s">
        <v>2519</v>
      </c>
      <c r="B586" s="383">
        <v>2026.0</v>
      </c>
      <c r="C586" s="384" t="s">
        <v>179</v>
      </c>
      <c r="D586" s="385" t="s">
        <v>82</v>
      </c>
      <c r="E586" s="386"/>
      <c r="F586" s="384" t="s">
        <v>10</v>
      </c>
      <c r="G586" s="384" t="s">
        <v>1756</v>
      </c>
      <c r="H586" s="387" t="s">
        <v>1395</v>
      </c>
      <c r="I586" s="384" t="s">
        <v>58</v>
      </c>
      <c r="J586" s="384" t="s">
        <v>1757</v>
      </c>
      <c r="K586" s="143" t="s">
        <v>1488</v>
      </c>
      <c r="L586" s="379" t="s">
        <v>2538</v>
      </c>
      <c r="M586" s="143">
        <v>1.000506677E9</v>
      </c>
      <c r="N586" s="143">
        <v>3.058022027E9</v>
      </c>
      <c r="O586" s="367"/>
      <c r="P586" s="367"/>
      <c r="Q586" s="367"/>
      <c r="R586" s="367"/>
      <c r="S586" s="367"/>
      <c r="T586" s="367"/>
      <c r="U586" s="367"/>
      <c r="V586" s="367"/>
      <c r="W586" s="367"/>
      <c r="X586" s="367"/>
      <c r="Y586" s="367"/>
      <c r="Z586" s="367"/>
    </row>
    <row r="587">
      <c r="A587" s="143" t="s">
        <v>2519</v>
      </c>
      <c r="B587" s="383">
        <v>2026.0</v>
      </c>
      <c r="C587" s="384" t="s">
        <v>179</v>
      </c>
      <c r="D587" s="385" t="s">
        <v>82</v>
      </c>
      <c r="E587" s="386"/>
      <c r="F587" s="384" t="s">
        <v>10</v>
      </c>
      <c r="G587" s="384" t="s">
        <v>1756</v>
      </c>
      <c r="H587" s="387" t="s">
        <v>1395</v>
      </c>
      <c r="I587" s="384" t="s">
        <v>58</v>
      </c>
      <c r="J587" s="384" t="s">
        <v>1757</v>
      </c>
      <c r="K587" s="143" t="s">
        <v>1488</v>
      </c>
      <c r="L587" s="379" t="s">
        <v>2539</v>
      </c>
      <c r="M587" s="143">
        <v>1.034662637E9</v>
      </c>
      <c r="N587" s="143">
        <v>3.118469936E9</v>
      </c>
      <c r="O587" s="367"/>
      <c r="P587" s="367"/>
      <c r="Q587" s="367"/>
      <c r="R587" s="367"/>
      <c r="S587" s="367"/>
      <c r="T587" s="367"/>
      <c r="U587" s="367"/>
      <c r="V587" s="367"/>
      <c r="W587" s="367"/>
      <c r="X587" s="367"/>
      <c r="Y587" s="367"/>
      <c r="Z587" s="367"/>
    </row>
    <row r="588">
      <c r="A588" s="143" t="s">
        <v>2519</v>
      </c>
      <c r="B588" s="383">
        <v>2026.0</v>
      </c>
      <c r="C588" s="384" t="s">
        <v>179</v>
      </c>
      <c r="D588" s="385" t="s">
        <v>82</v>
      </c>
      <c r="E588" s="386"/>
      <c r="F588" s="384" t="s">
        <v>10</v>
      </c>
      <c r="G588" s="384" t="s">
        <v>1756</v>
      </c>
      <c r="H588" s="387" t="s">
        <v>1395</v>
      </c>
      <c r="I588" s="384" t="s">
        <v>58</v>
      </c>
      <c r="J588" s="384" t="s">
        <v>1757</v>
      </c>
      <c r="K588" s="143" t="s">
        <v>1488</v>
      </c>
      <c r="L588" s="379" t="s">
        <v>2540</v>
      </c>
      <c r="M588" s="143">
        <v>1.042248148E9</v>
      </c>
      <c r="N588" s="143">
        <v>3.245839736E9</v>
      </c>
      <c r="O588" s="367"/>
      <c r="P588" s="367"/>
      <c r="Q588" s="367"/>
      <c r="R588" s="367"/>
      <c r="S588" s="367"/>
      <c r="T588" s="367"/>
      <c r="U588" s="367"/>
      <c r="V588" s="367"/>
      <c r="W588" s="367"/>
      <c r="X588" s="367"/>
      <c r="Y588" s="367"/>
      <c r="Z588" s="367"/>
    </row>
    <row r="589">
      <c r="A589" s="143" t="s">
        <v>2519</v>
      </c>
      <c r="B589" s="383">
        <v>2026.0</v>
      </c>
      <c r="C589" s="384" t="s">
        <v>179</v>
      </c>
      <c r="D589" s="385" t="s">
        <v>82</v>
      </c>
      <c r="E589" s="386"/>
      <c r="F589" s="384" t="s">
        <v>10</v>
      </c>
      <c r="G589" s="384" t="s">
        <v>1756</v>
      </c>
      <c r="H589" s="387" t="s">
        <v>1395</v>
      </c>
      <c r="I589" s="384" t="s">
        <v>58</v>
      </c>
      <c r="J589" s="384" t="s">
        <v>1757</v>
      </c>
      <c r="K589" s="143" t="s">
        <v>1488</v>
      </c>
      <c r="L589" s="379" t="s">
        <v>2541</v>
      </c>
      <c r="M589" s="143">
        <v>1.4205307E7</v>
      </c>
      <c r="N589" s="143">
        <v>3.102584609E9</v>
      </c>
      <c r="O589" s="367"/>
      <c r="P589" s="367"/>
      <c r="Q589" s="367"/>
      <c r="R589" s="367"/>
      <c r="S589" s="367"/>
      <c r="T589" s="367"/>
      <c r="U589" s="367"/>
      <c r="V589" s="367"/>
      <c r="W589" s="367"/>
      <c r="X589" s="367"/>
      <c r="Y589" s="367"/>
      <c r="Z589" s="367"/>
    </row>
    <row r="590">
      <c r="A590" s="143" t="s">
        <v>2519</v>
      </c>
      <c r="B590" s="383">
        <v>2026.0</v>
      </c>
      <c r="C590" s="384" t="s">
        <v>179</v>
      </c>
      <c r="D590" s="385" t="s">
        <v>82</v>
      </c>
      <c r="E590" s="386"/>
      <c r="F590" s="384" t="s">
        <v>10</v>
      </c>
      <c r="G590" s="384" t="s">
        <v>1756</v>
      </c>
      <c r="H590" s="387" t="s">
        <v>1395</v>
      </c>
      <c r="I590" s="384" t="s">
        <v>58</v>
      </c>
      <c r="J590" s="384" t="s">
        <v>1757</v>
      </c>
      <c r="K590" s="143" t="s">
        <v>1488</v>
      </c>
      <c r="L590" s="379" t="s">
        <v>2542</v>
      </c>
      <c r="M590" s="143">
        <v>2.0651626E7</v>
      </c>
      <c r="N590" s="143">
        <v>3.114805417E9</v>
      </c>
      <c r="O590" s="367"/>
      <c r="P590" s="367"/>
      <c r="Q590" s="367"/>
      <c r="R590" s="367"/>
      <c r="S590" s="367"/>
      <c r="T590" s="367"/>
      <c r="U590" s="367"/>
      <c r="V590" s="367"/>
      <c r="W590" s="367"/>
      <c r="X590" s="367"/>
      <c r="Y590" s="367"/>
      <c r="Z590" s="367"/>
    </row>
    <row r="591">
      <c r="A591" s="143" t="s">
        <v>2519</v>
      </c>
      <c r="B591" s="383">
        <v>2026.0</v>
      </c>
      <c r="C591" s="384" t="s">
        <v>179</v>
      </c>
      <c r="D591" s="385" t="s">
        <v>82</v>
      </c>
      <c r="E591" s="386"/>
      <c r="F591" s="384" t="s">
        <v>10</v>
      </c>
      <c r="G591" s="384" t="s">
        <v>1756</v>
      </c>
      <c r="H591" s="387" t="s">
        <v>1395</v>
      </c>
      <c r="I591" s="384" t="s">
        <v>58</v>
      </c>
      <c r="J591" s="384" t="s">
        <v>1757</v>
      </c>
      <c r="K591" s="143" t="s">
        <v>1488</v>
      </c>
      <c r="L591" s="379" t="s">
        <v>2543</v>
      </c>
      <c r="M591" s="143">
        <v>8.0800516E7</v>
      </c>
      <c r="N591" s="143">
        <v>3.114602153E9</v>
      </c>
      <c r="O591" s="367"/>
      <c r="P591" s="367"/>
      <c r="Q591" s="367"/>
      <c r="R591" s="367"/>
      <c r="S591" s="367"/>
      <c r="T591" s="367"/>
      <c r="U591" s="367"/>
      <c r="V591" s="367"/>
      <c r="W591" s="367"/>
      <c r="X591" s="367"/>
      <c r="Y591" s="367"/>
      <c r="Z591" s="367"/>
    </row>
    <row r="592">
      <c r="A592" s="143" t="s">
        <v>2519</v>
      </c>
      <c r="B592" s="383">
        <v>2026.0</v>
      </c>
      <c r="C592" s="384" t="s">
        <v>179</v>
      </c>
      <c r="D592" s="385" t="s">
        <v>82</v>
      </c>
      <c r="E592" s="386"/>
      <c r="F592" s="384" t="s">
        <v>10</v>
      </c>
      <c r="G592" s="384" t="s">
        <v>1756</v>
      </c>
      <c r="H592" s="387" t="s">
        <v>1395</v>
      </c>
      <c r="I592" s="384" t="s">
        <v>58</v>
      </c>
      <c r="J592" s="384" t="s">
        <v>1757</v>
      </c>
      <c r="K592" s="143" t="s">
        <v>1488</v>
      </c>
      <c r="L592" s="379" t="s">
        <v>2544</v>
      </c>
      <c r="M592" s="143">
        <v>7.7030468E7</v>
      </c>
      <c r="N592" s="143">
        <v>3.114774416E9</v>
      </c>
      <c r="O592" s="367"/>
      <c r="P592" s="367"/>
      <c r="Q592" s="367"/>
      <c r="R592" s="367"/>
      <c r="S592" s="367"/>
      <c r="T592" s="367"/>
      <c r="U592" s="367"/>
      <c r="V592" s="367"/>
      <c r="W592" s="367"/>
      <c r="X592" s="367"/>
      <c r="Y592" s="367"/>
      <c r="Z592" s="367"/>
    </row>
    <row r="593">
      <c r="A593" s="143" t="s">
        <v>2519</v>
      </c>
      <c r="B593" s="383">
        <v>2026.0</v>
      </c>
      <c r="C593" s="384" t="s">
        <v>179</v>
      </c>
      <c r="D593" s="385" t="s">
        <v>82</v>
      </c>
      <c r="E593" s="386"/>
      <c r="F593" s="384" t="s">
        <v>10</v>
      </c>
      <c r="G593" s="384" t="s">
        <v>1756</v>
      </c>
      <c r="H593" s="387" t="s">
        <v>1395</v>
      </c>
      <c r="I593" s="384" t="s">
        <v>58</v>
      </c>
      <c r="J593" s="384" t="s">
        <v>1757</v>
      </c>
      <c r="K593" s="143" t="s">
        <v>1488</v>
      </c>
      <c r="L593" s="379" t="s">
        <v>2545</v>
      </c>
      <c r="M593" s="143">
        <v>2.8873635E7</v>
      </c>
      <c r="N593" s="143">
        <v>3.118123267E9</v>
      </c>
      <c r="O593" s="367"/>
      <c r="P593" s="367"/>
      <c r="Q593" s="367"/>
      <c r="R593" s="367"/>
      <c r="S593" s="367"/>
      <c r="T593" s="367"/>
      <c r="U593" s="367"/>
      <c r="V593" s="367"/>
      <c r="W593" s="367"/>
      <c r="X593" s="367"/>
      <c r="Y593" s="367"/>
      <c r="Z593" s="367"/>
    </row>
    <row r="594">
      <c r="A594" s="143" t="s">
        <v>2519</v>
      </c>
      <c r="B594" s="383">
        <v>2026.0</v>
      </c>
      <c r="C594" s="384" t="s">
        <v>179</v>
      </c>
      <c r="D594" s="385" t="s">
        <v>82</v>
      </c>
      <c r="E594" s="386"/>
      <c r="F594" s="384" t="s">
        <v>10</v>
      </c>
      <c r="G594" s="384" t="s">
        <v>1756</v>
      </c>
      <c r="H594" s="387" t="s">
        <v>1395</v>
      </c>
      <c r="I594" s="384" t="s">
        <v>58</v>
      </c>
      <c r="J594" s="384" t="s">
        <v>1757</v>
      </c>
      <c r="K594" s="143" t="s">
        <v>1488</v>
      </c>
      <c r="L594" s="379" t="s">
        <v>2546</v>
      </c>
      <c r="M594" s="143">
        <v>4.152858E7</v>
      </c>
      <c r="N594" s="143">
        <v>3.134277304E9</v>
      </c>
      <c r="O594" s="367"/>
      <c r="P594" s="367"/>
      <c r="Q594" s="367"/>
      <c r="R594" s="367"/>
      <c r="S594" s="367"/>
      <c r="T594" s="367"/>
      <c r="U594" s="367"/>
      <c r="V594" s="367"/>
      <c r="W594" s="367"/>
      <c r="X594" s="367"/>
      <c r="Y594" s="367"/>
      <c r="Z594" s="367"/>
    </row>
    <row r="595">
      <c r="A595" s="143" t="s">
        <v>2519</v>
      </c>
      <c r="B595" s="383">
        <v>2026.0</v>
      </c>
      <c r="C595" s="384" t="s">
        <v>179</v>
      </c>
      <c r="D595" s="385" t="s">
        <v>82</v>
      </c>
      <c r="E595" s="386"/>
      <c r="F595" s="384" t="s">
        <v>10</v>
      </c>
      <c r="G595" s="384" t="s">
        <v>1756</v>
      </c>
      <c r="H595" s="387" t="s">
        <v>1395</v>
      </c>
      <c r="I595" s="384" t="s">
        <v>58</v>
      </c>
      <c r="J595" s="384" t="s">
        <v>1757</v>
      </c>
      <c r="K595" s="143" t="s">
        <v>1488</v>
      </c>
      <c r="L595" s="379" t="s">
        <v>2547</v>
      </c>
      <c r="M595" s="143">
        <v>4.1691133E7</v>
      </c>
      <c r="N595" s="143">
        <v>3.164608568E9</v>
      </c>
      <c r="O595" s="367"/>
      <c r="P595" s="367"/>
      <c r="Q595" s="367"/>
      <c r="R595" s="367"/>
      <c r="S595" s="367"/>
      <c r="T595" s="367"/>
      <c r="U595" s="367"/>
      <c r="V595" s="367"/>
      <c r="W595" s="367"/>
      <c r="X595" s="367"/>
      <c r="Y595" s="367"/>
      <c r="Z595" s="367"/>
    </row>
    <row r="596">
      <c r="A596" s="143" t="s">
        <v>2519</v>
      </c>
      <c r="B596" s="383">
        <v>2026.0</v>
      </c>
      <c r="C596" s="384" t="s">
        <v>179</v>
      </c>
      <c r="D596" s="385" t="s">
        <v>82</v>
      </c>
      <c r="E596" s="386"/>
      <c r="F596" s="384" t="s">
        <v>10</v>
      </c>
      <c r="G596" s="384" t="s">
        <v>1756</v>
      </c>
      <c r="H596" s="387" t="s">
        <v>1395</v>
      </c>
      <c r="I596" s="384" t="s">
        <v>58</v>
      </c>
      <c r="J596" s="384" t="s">
        <v>1757</v>
      </c>
      <c r="K596" s="143" t="s">
        <v>1488</v>
      </c>
      <c r="L596" s="379" t="s">
        <v>2548</v>
      </c>
      <c r="M596" s="143">
        <v>5.1784926E7</v>
      </c>
      <c r="N596" s="143">
        <v>3.152931117E9</v>
      </c>
      <c r="O596" s="367"/>
      <c r="P596" s="367"/>
      <c r="Q596" s="367"/>
      <c r="R596" s="367"/>
      <c r="S596" s="367"/>
      <c r="T596" s="367"/>
      <c r="U596" s="367"/>
      <c r="V596" s="367"/>
      <c r="W596" s="367"/>
      <c r="X596" s="367"/>
      <c r="Y596" s="367"/>
      <c r="Z596" s="367"/>
    </row>
    <row r="597">
      <c r="A597" s="143" t="s">
        <v>2519</v>
      </c>
      <c r="B597" s="383">
        <v>2026.0</v>
      </c>
      <c r="C597" s="384" t="s">
        <v>179</v>
      </c>
      <c r="D597" s="385" t="s">
        <v>82</v>
      </c>
      <c r="E597" s="386"/>
      <c r="F597" s="384" t="s">
        <v>10</v>
      </c>
      <c r="G597" s="384" t="s">
        <v>1756</v>
      </c>
      <c r="H597" s="387" t="s">
        <v>1395</v>
      </c>
      <c r="I597" s="384" t="s">
        <v>58</v>
      </c>
      <c r="J597" s="384" t="s">
        <v>1757</v>
      </c>
      <c r="K597" s="143" t="s">
        <v>1488</v>
      </c>
      <c r="L597" s="379" t="s">
        <v>2549</v>
      </c>
      <c r="M597" s="143">
        <v>2.1223914E7</v>
      </c>
      <c r="N597" s="143">
        <v>3.007347184E9</v>
      </c>
      <c r="O597" s="367"/>
      <c r="P597" s="367"/>
      <c r="Q597" s="367"/>
      <c r="R597" s="367"/>
      <c r="S597" s="367"/>
      <c r="T597" s="367"/>
      <c r="U597" s="367"/>
      <c r="V597" s="367"/>
      <c r="W597" s="367"/>
      <c r="X597" s="367"/>
      <c r="Y597" s="367"/>
      <c r="Z597" s="367"/>
    </row>
    <row r="598">
      <c r="A598" s="143" t="s">
        <v>2519</v>
      </c>
      <c r="B598" s="383">
        <v>2026.0</v>
      </c>
      <c r="C598" s="384" t="s">
        <v>179</v>
      </c>
      <c r="D598" s="385" t="s">
        <v>82</v>
      </c>
      <c r="E598" s="386"/>
      <c r="F598" s="384" t="s">
        <v>10</v>
      </c>
      <c r="G598" s="384" t="s">
        <v>1756</v>
      </c>
      <c r="H598" s="387" t="s">
        <v>1395</v>
      </c>
      <c r="I598" s="384" t="s">
        <v>58</v>
      </c>
      <c r="J598" s="384" t="s">
        <v>1757</v>
      </c>
      <c r="K598" s="143" t="s">
        <v>1488</v>
      </c>
      <c r="L598" s="379" t="s">
        <v>2550</v>
      </c>
      <c r="M598" s="143">
        <v>1.02233834E9</v>
      </c>
      <c r="N598" s="143">
        <v>3.136187064E9</v>
      </c>
      <c r="O598" s="367"/>
      <c r="P598" s="367"/>
      <c r="Q598" s="367"/>
      <c r="R598" s="367"/>
      <c r="S598" s="367"/>
      <c r="T598" s="367"/>
      <c r="U598" s="367"/>
      <c r="V598" s="367"/>
      <c r="W598" s="367"/>
      <c r="X598" s="367"/>
      <c r="Y598" s="367"/>
      <c r="Z598" s="367"/>
    </row>
    <row r="599">
      <c r="A599" s="143" t="s">
        <v>2519</v>
      </c>
      <c r="B599" s="383">
        <v>2026.0</v>
      </c>
      <c r="C599" s="384" t="s">
        <v>179</v>
      </c>
      <c r="D599" s="385" t="s">
        <v>82</v>
      </c>
      <c r="E599" s="386"/>
      <c r="F599" s="384" t="s">
        <v>10</v>
      </c>
      <c r="G599" s="384" t="s">
        <v>1756</v>
      </c>
      <c r="H599" s="387" t="s">
        <v>1395</v>
      </c>
      <c r="I599" s="384" t="s">
        <v>58</v>
      </c>
      <c r="J599" s="384" t="s">
        <v>1757</v>
      </c>
      <c r="K599" s="143" t="s">
        <v>1488</v>
      </c>
      <c r="L599" s="379" t="s">
        <v>2551</v>
      </c>
      <c r="M599" s="143">
        <v>7.9251218E7</v>
      </c>
      <c r="N599" s="143">
        <v>3.177983111E9</v>
      </c>
      <c r="O599" s="367"/>
      <c r="P599" s="367"/>
      <c r="Q599" s="367"/>
      <c r="R599" s="367"/>
      <c r="S599" s="367"/>
      <c r="T599" s="367"/>
      <c r="U599" s="367"/>
      <c r="V599" s="367"/>
      <c r="W599" s="367"/>
      <c r="X599" s="367"/>
      <c r="Y599" s="367"/>
      <c r="Z599" s="367"/>
    </row>
    <row r="600">
      <c r="A600" s="143" t="s">
        <v>2519</v>
      </c>
      <c r="B600" s="383">
        <v>2026.0</v>
      </c>
      <c r="C600" s="384" t="s">
        <v>179</v>
      </c>
      <c r="D600" s="385" t="s">
        <v>82</v>
      </c>
      <c r="E600" s="386"/>
      <c r="F600" s="384" t="s">
        <v>10</v>
      </c>
      <c r="G600" s="384" t="s">
        <v>1756</v>
      </c>
      <c r="H600" s="387" t="s">
        <v>1395</v>
      </c>
      <c r="I600" s="384" t="s">
        <v>58</v>
      </c>
      <c r="J600" s="384" t="s">
        <v>1757</v>
      </c>
      <c r="K600" s="143" t="s">
        <v>1488</v>
      </c>
      <c r="L600" s="379" t="s">
        <v>2552</v>
      </c>
      <c r="M600" s="143">
        <v>1.022382384E9</v>
      </c>
      <c r="N600" s="143">
        <v>3.028501678E9</v>
      </c>
      <c r="O600" s="367"/>
      <c r="P600" s="367"/>
      <c r="Q600" s="367"/>
      <c r="R600" s="367"/>
      <c r="S600" s="367"/>
      <c r="T600" s="367"/>
      <c r="U600" s="367"/>
      <c r="V600" s="367"/>
      <c r="W600" s="367"/>
      <c r="X600" s="367"/>
      <c r="Y600" s="367"/>
      <c r="Z600" s="367"/>
    </row>
    <row r="601">
      <c r="A601" s="143" t="s">
        <v>2519</v>
      </c>
      <c r="B601" s="383">
        <v>2026.0</v>
      </c>
      <c r="C601" s="384" t="s">
        <v>179</v>
      </c>
      <c r="D601" s="385" t="s">
        <v>82</v>
      </c>
      <c r="E601" s="386"/>
      <c r="F601" s="384" t="s">
        <v>10</v>
      </c>
      <c r="G601" s="384" t="s">
        <v>1756</v>
      </c>
      <c r="H601" s="387" t="s">
        <v>1395</v>
      </c>
      <c r="I601" s="384" t="s">
        <v>58</v>
      </c>
      <c r="J601" s="384" t="s">
        <v>1757</v>
      </c>
      <c r="K601" s="143" t="s">
        <v>1488</v>
      </c>
      <c r="L601" s="388" t="s">
        <v>2553</v>
      </c>
      <c r="M601" s="387">
        <v>5.1620188E7</v>
      </c>
      <c r="N601" s="387">
        <v>3.115772595E9</v>
      </c>
      <c r="O601" s="367"/>
      <c r="P601" s="367"/>
      <c r="Q601" s="367"/>
      <c r="R601" s="367"/>
      <c r="S601" s="367"/>
      <c r="T601" s="367"/>
      <c r="U601" s="367"/>
      <c r="V601" s="367"/>
      <c r="W601" s="367"/>
      <c r="X601" s="367"/>
      <c r="Y601" s="367"/>
      <c r="Z601" s="367"/>
    </row>
    <row r="602">
      <c r="A602" s="143" t="s">
        <v>2519</v>
      </c>
      <c r="B602" s="383">
        <v>2026.0</v>
      </c>
      <c r="C602" s="384" t="s">
        <v>179</v>
      </c>
      <c r="D602" s="385" t="s">
        <v>82</v>
      </c>
      <c r="E602" s="386"/>
      <c r="F602" s="384" t="s">
        <v>10</v>
      </c>
      <c r="G602" s="384" t="s">
        <v>1756</v>
      </c>
      <c r="H602" s="387" t="s">
        <v>1395</v>
      </c>
      <c r="I602" s="384" t="s">
        <v>58</v>
      </c>
      <c r="J602" s="384" t="s">
        <v>1757</v>
      </c>
      <c r="K602" s="143" t="s">
        <v>1488</v>
      </c>
      <c r="L602" s="423" t="s">
        <v>2247</v>
      </c>
      <c r="M602" s="423">
        <v>2.0130062E7</v>
      </c>
      <c r="N602" s="423">
        <v>3.227202141E9</v>
      </c>
      <c r="O602" s="417"/>
      <c r="P602" s="367"/>
      <c r="Q602" s="367"/>
      <c r="R602" s="367"/>
      <c r="S602" s="367"/>
      <c r="T602" s="367"/>
      <c r="U602" s="367"/>
      <c r="V602" s="367"/>
      <c r="W602" s="367"/>
      <c r="X602" s="367"/>
      <c r="Y602" s="367"/>
      <c r="Z602" s="367"/>
    </row>
    <row r="603">
      <c r="A603" s="143" t="s">
        <v>2519</v>
      </c>
      <c r="B603" s="383">
        <v>2026.0</v>
      </c>
      <c r="C603" s="384" t="s">
        <v>179</v>
      </c>
      <c r="D603" s="385" t="s">
        <v>82</v>
      </c>
      <c r="E603" s="386"/>
      <c r="F603" s="384" t="s">
        <v>10</v>
      </c>
      <c r="G603" s="384" t="s">
        <v>1756</v>
      </c>
      <c r="H603" s="387" t="s">
        <v>1395</v>
      </c>
      <c r="I603" s="384" t="s">
        <v>58</v>
      </c>
      <c r="J603" s="384" t="s">
        <v>1757</v>
      </c>
      <c r="K603" s="143" t="s">
        <v>1488</v>
      </c>
      <c r="L603" s="423" t="s">
        <v>2248</v>
      </c>
      <c r="M603" s="423">
        <v>1.130585873E9</v>
      </c>
      <c r="N603" s="423">
        <v>3.154310229E9</v>
      </c>
      <c r="O603" s="417"/>
      <c r="P603" s="367"/>
      <c r="Q603" s="367"/>
      <c r="R603" s="367"/>
      <c r="S603" s="367"/>
      <c r="T603" s="367"/>
      <c r="U603" s="367"/>
      <c r="V603" s="367"/>
      <c r="W603" s="367"/>
      <c r="X603" s="367"/>
      <c r="Y603" s="367"/>
      <c r="Z603" s="367"/>
    </row>
    <row r="604">
      <c r="A604" s="143" t="s">
        <v>2519</v>
      </c>
      <c r="B604" s="383">
        <v>2026.0</v>
      </c>
      <c r="C604" s="384" t="s">
        <v>179</v>
      </c>
      <c r="D604" s="385" t="s">
        <v>82</v>
      </c>
      <c r="E604" s="386"/>
      <c r="F604" s="384" t="s">
        <v>10</v>
      </c>
      <c r="G604" s="384" t="s">
        <v>1756</v>
      </c>
      <c r="H604" s="387" t="s">
        <v>1395</v>
      </c>
      <c r="I604" s="384" t="s">
        <v>58</v>
      </c>
      <c r="J604" s="384" t="s">
        <v>1757</v>
      </c>
      <c r="K604" s="143" t="s">
        <v>1488</v>
      </c>
      <c r="L604" s="423" t="s">
        <v>2249</v>
      </c>
      <c r="M604" s="423">
        <v>1.000601393E9</v>
      </c>
      <c r="N604" s="423">
        <v>3.194756918E9</v>
      </c>
      <c r="O604" s="417"/>
      <c r="P604" s="367"/>
      <c r="Q604" s="367"/>
      <c r="R604" s="367"/>
      <c r="S604" s="367"/>
      <c r="T604" s="367"/>
      <c r="U604" s="367"/>
      <c r="V604" s="367"/>
      <c r="W604" s="367"/>
      <c r="X604" s="367"/>
      <c r="Y604" s="367"/>
      <c r="Z604" s="367"/>
    </row>
    <row r="605">
      <c r="A605" s="143" t="s">
        <v>2519</v>
      </c>
      <c r="B605" s="383">
        <v>2026.0</v>
      </c>
      <c r="C605" s="384" t="s">
        <v>179</v>
      </c>
      <c r="D605" s="385" t="s">
        <v>82</v>
      </c>
      <c r="E605" s="386"/>
      <c r="F605" s="384" t="s">
        <v>10</v>
      </c>
      <c r="G605" s="384" t="s">
        <v>1756</v>
      </c>
      <c r="H605" s="387" t="s">
        <v>1395</v>
      </c>
      <c r="I605" s="384" t="s">
        <v>58</v>
      </c>
      <c r="J605" s="384" t="s">
        <v>1757</v>
      </c>
      <c r="K605" s="143" t="s">
        <v>1488</v>
      </c>
      <c r="L605" s="423" t="s">
        <v>2250</v>
      </c>
      <c r="M605" s="423">
        <v>1.027151031E9</v>
      </c>
      <c r="N605" s="423">
        <v>3.108533845E9</v>
      </c>
      <c r="O605" s="417"/>
      <c r="P605" s="367"/>
      <c r="Q605" s="367"/>
      <c r="R605" s="367"/>
      <c r="S605" s="367"/>
      <c r="T605" s="367"/>
      <c r="U605" s="367"/>
      <c r="V605" s="367"/>
      <c r="W605" s="367"/>
      <c r="X605" s="367"/>
      <c r="Y605" s="367"/>
      <c r="Z605" s="367"/>
    </row>
    <row r="606">
      <c r="A606" s="143" t="s">
        <v>2519</v>
      </c>
      <c r="B606" s="383">
        <v>2026.0</v>
      </c>
      <c r="C606" s="384" t="s">
        <v>179</v>
      </c>
      <c r="D606" s="385" t="s">
        <v>82</v>
      </c>
      <c r="E606" s="386"/>
      <c r="F606" s="384" t="s">
        <v>10</v>
      </c>
      <c r="G606" s="384" t="s">
        <v>1756</v>
      </c>
      <c r="H606" s="387" t="s">
        <v>1395</v>
      </c>
      <c r="I606" s="384" t="s">
        <v>58</v>
      </c>
      <c r="J606" s="384" t="s">
        <v>1757</v>
      </c>
      <c r="K606" s="143" t="s">
        <v>1488</v>
      </c>
      <c r="L606" s="423" t="s">
        <v>2251</v>
      </c>
      <c r="M606" s="423">
        <v>2.7961066E7</v>
      </c>
      <c r="N606" s="423">
        <v>3.115538336E9</v>
      </c>
      <c r="O606" s="417"/>
      <c r="P606" s="367"/>
      <c r="Q606" s="367"/>
      <c r="R606" s="367"/>
      <c r="S606" s="367"/>
      <c r="T606" s="367"/>
      <c r="U606" s="367"/>
      <c r="V606" s="367"/>
      <c r="W606" s="367"/>
      <c r="X606" s="367"/>
      <c r="Y606" s="367"/>
      <c r="Z606" s="367"/>
    </row>
    <row r="607">
      <c r="A607" s="143" t="s">
        <v>2519</v>
      </c>
      <c r="B607" s="383">
        <v>2026.0</v>
      </c>
      <c r="C607" s="384" t="s">
        <v>179</v>
      </c>
      <c r="D607" s="385" t="s">
        <v>82</v>
      </c>
      <c r="E607" s="386"/>
      <c r="F607" s="384" t="s">
        <v>10</v>
      </c>
      <c r="G607" s="384" t="s">
        <v>1756</v>
      </c>
      <c r="H607" s="387" t="s">
        <v>1395</v>
      </c>
      <c r="I607" s="384" t="s">
        <v>58</v>
      </c>
      <c r="J607" s="384" t="s">
        <v>1757</v>
      </c>
      <c r="K607" s="143" t="s">
        <v>1488</v>
      </c>
      <c r="L607" s="423" t="s">
        <v>2252</v>
      </c>
      <c r="M607" s="423">
        <v>1.3438119E7</v>
      </c>
      <c r="N607" s="423">
        <v>3.157860173E9</v>
      </c>
      <c r="O607" s="417"/>
      <c r="P607" s="367"/>
      <c r="Q607" s="367"/>
      <c r="R607" s="367"/>
      <c r="S607" s="367"/>
      <c r="T607" s="367"/>
      <c r="U607" s="367"/>
      <c r="V607" s="367"/>
      <c r="W607" s="367"/>
      <c r="X607" s="367"/>
      <c r="Y607" s="367"/>
      <c r="Z607" s="367"/>
    </row>
    <row r="608">
      <c r="A608" s="143" t="s">
        <v>2519</v>
      </c>
      <c r="B608" s="383">
        <v>2026.0</v>
      </c>
      <c r="C608" s="384" t="s">
        <v>179</v>
      </c>
      <c r="D608" s="385" t="s">
        <v>82</v>
      </c>
      <c r="E608" s="386"/>
      <c r="F608" s="384" t="s">
        <v>10</v>
      </c>
      <c r="G608" s="384" t="s">
        <v>1756</v>
      </c>
      <c r="H608" s="387" t="s">
        <v>1395</v>
      </c>
      <c r="I608" s="384" t="s">
        <v>58</v>
      </c>
      <c r="J608" s="384" t="s">
        <v>1757</v>
      </c>
      <c r="K608" s="143" t="s">
        <v>1488</v>
      </c>
      <c r="L608" s="423" t="s">
        <v>2253</v>
      </c>
      <c r="M608" s="423">
        <v>1.032440892E9</v>
      </c>
      <c r="N608" s="423">
        <v>3.123812639E9</v>
      </c>
      <c r="O608" s="417"/>
      <c r="P608" s="367"/>
      <c r="Q608" s="367"/>
      <c r="R608" s="367"/>
      <c r="S608" s="367"/>
      <c r="T608" s="367"/>
      <c r="U608" s="367"/>
      <c r="V608" s="367"/>
      <c r="W608" s="367"/>
      <c r="X608" s="367"/>
      <c r="Y608" s="367"/>
      <c r="Z608" s="367"/>
    </row>
    <row r="609">
      <c r="A609" s="143" t="s">
        <v>2519</v>
      </c>
      <c r="B609" s="383">
        <v>2026.0</v>
      </c>
      <c r="C609" s="384" t="s">
        <v>179</v>
      </c>
      <c r="D609" s="385" t="s">
        <v>82</v>
      </c>
      <c r="E609" s="386"/>
      <c r="F609" s="384" t="s">
        <v>10</v>
      </c>
      <c r="G609" s="384" t="s">
        <v>1756</v>
      </c>
      <c r="H609" s="387" t="s">
        <v>1395</v>
      </c>
      <c r="I609" s="384" t="s">
        <v>58</v>
      </c>
      <c r="J609" s="384" t="s">
        <v>1757</v>
      </c>
      <c r="K609" s="143" t="s">
        <v>1488</v>
      </c>
      <c r="L609" s="423" t="s">
        <v>2254</v>
      </c>
      <c r="M609" s="423">
        <v>1.000158171E9</v>
      </c>
      <c r="N609" s="423">
        <v>3.022242482E9</v>
      </c>
      <c r="O609" s="417"/>
      <c r="P609" s="367"/>
      <c r="Q609" s="367"/>
      <c r="R609" s="367"/>
      <c r="S609" s="367"/>
      <c r="T609" s="367"/>
      <c r="U609" s="367"/>
      <c r="V609" s="367"/>
      <c r="W609" s="367"/>
      <c r="X609" s="367"/>
      <c r="Y609" s="367"/>
      <c r="Z609" s="367"/>
    </row>
    <row r="610">
      <c r="A610" s="143" t="s">
        <v>2519</v>
      </c>
      <c r="B610" s="383">
        <v>2026.0</v>
      </c>
      <c r="C610" s="384" t="s">
        <v>179</v>
      </c>
      <c r="D610" s="385" t="s">
        <v>82</v>
      </c>
      <c r="E610" s="386"/>
      <c r="F610" s="384" t="s">
        <v>10</v>
      </c>
      <c r="G610" s="384" t="s">
        <v>1756</v>
      </c>
      <c r="H610" s="387" t="s">
        <v>1395</v>
      </c>
      <c r="I610" s="384" t="s">
        <v>58</v>
      </c>
      <c r="J610" s="384" t="s">
        <v>1757</v>
      </c>
      <c r="K610" s="143" t="s">
        <v>1488</v>
      </c>
      <c r="L610" s="423" t="s">
        <v>2255</v>
      </c>
      <c r="M610" s="423">
        <v>7.4243693E7</v>
      </c>
      <c r="N610" s="423">
        <v>3.138042252E9</v>
      </c>
      <c r="O610" s="417"/>
      <c r="P610" s="367"/>
      <c r="Q610" s="367"/>
      <c r="R610" s="367"/>
      <c r="S610" s="367"/>
      <c r="T610" s="367"/>
      <c r="U610" s="367"/>
      <c r="V610" s="367"/>
      <c r="W610" s="367"/>
      <c r="X610" s="367"/>
      <c r="Y610" s="367"/>
      <c r="Z610" s="367"/>
    </row>
    <row r="611">
      <c r="A611" s="143" t="s">
        <v>2519</v>
      </c>
      <c r="B611" s="383">
        <v>2026.0</v>
      </c>
      <c r="C611" s="384" t="s">
        <v>179</v>
      </c>
      <c r="D611" s="385" t="s">
        <v>82</v>
      </c>
      <c r="E611" s="386"/>
      <c r="F611" s="384" t="s">
        <v>10</v>
      </c>
      <c r="G611" s="384" t="s">
        <v>1756</v>
      </c>
      <c r="H611" s="387" t="s">
        <v>1395</v>
      </c>
      <c r="I611" s="384" t="s">
        <v>58</v>
      </c>
      <c r="J611" s="384" t="s">
        <v>1757</v>
      </c>
      <c r="K611" s="143" t="s">
        <v>1488</v>
      </c>
      <c r="L611" s="423" t="s">
        <v>2256</v>
      </c>
      <c r="M611" s="423">
        <v>7.9573656E7</v>
      </c>
      <c r="N611" s="423">
        <v>3.118110279E9</v>
      </c>
      <c r="O611" s="417"/>
      <c r="P611" s="367"/>
      <c r="Q611" s="367"/>
      <c r="R611" s="367"/>
      <c r="S611" s="367"/>
      <c r="T611" s="367"/>
      <c r="U611" s="367"/>
      <c r="V611" s="367"/>
      <c r="W611" s="367"/>
      <c r="X611" s="367"/>
      <c r="Y611" s="367"/>
      <c r="Z611" s="367"/>
    </row>
    <row r="612">
      <c r="A612" s="143" t="s">
        <v>2519</v>
      </c>
      <c r="B612" s="383">
        <v>2026.0</v>
      </c>
      <c r="C612" s="384" t="s">
        <v>179</v>
      </c>
      <c r="D612" s="385" t="s">
        <v>82</v>
      </c>
      <c r="E612" s="386"/>
      <c r="F612" s="384" t="s">
        <v>10</v>
      </c>
      <c r="G612" s="384" t="s">
        <v>1756</v>
      </c>
      <c r="H612" s="387" t="s">
        <v>1395</v>
      </c>
      <c r="I612" s="384" t="s">
        <v>58</v>
      </c>
      <c r="J612" s="384" t="s">
        <v>1757</v>
      </c>
      <c r="K612" s="143" t="s">
        <v>1488</v>
      </c>
      <c r="L612" s="423" t="s">
        <v>2257</v>
      </c>
      <c r="M612" s="423">
        <v>1.9397651E7</v>
      </c>
      <c r="N612" s="423">
        <v>3.15246605E9</v>
      </c>
      <c r="O612" s="417"/>
      <c r="P612" s="367"/>
      <c r="Q612" s="367"/>
      <c r="R612" s="367"/>
      <c r="S612" s="367"/>
      <c r="T612" s="367"/>
      <c r="U612" s="367"/>
      <c r="V612" s="367"/>
      <c r="W612" s="367"/>
      <c r="X612" s="367"/>
      <c r="Y612" s="367"/>
      <c r="Z612" s="367"/>
    </row>
    <row r="613">
      <c r="A613" s="143" t="s">
        <v>2519</v>
      </c>
      <c r="B613" s="383">
        <v>2026.0</v>
      </c>
      <c r="C613" s="384" t="s">
        <v>179</v>
      </c>
      <c r="D613" s="385" t="s">
        <v>82</v>
      </c>
      <c r="E613" s="386"/>
      <c r="F613" s="384" t="s">
        <v>10</v>
      </c>
      <c r="G613" s="384" t="s">
        <v>1756</v>
      </c>
      <c r="H613" s="387" t="s">
        <v>1395</v>
      </c>
      <c r="I613" s="384" t="s">
        <v>58</v>
      </c>
      <c r="J613" s="384" t="s">
        <v>1757</v>
      </c>
      <c r="K613" s="143" t="s">
        <v>1488</v>
      </c>
      <c r="L613" s="423" t="s">
        <v>2258</v>
      </c>
      <c r="M613" s="423">
        <v>1.032437066E9</v>
      </c>
      <c r="N613" s="423">
        <v>3.168129979E9</v>
      </c>
      <c r="O613" s="417"/>
      <c r="P613" s="367"/>
      <c r="Q613" s="367"/>
      <c r="R613" s="367"/>
      <c r="S613" s="367"/>
      <c r="T613" s="367"/>
      <c r="U613" s="367"/>
      <c r="V613" s="367"/>
      <c r="W613" s="367"/>
      <c r="X613" s="367"/>
      <c r="Y613" s="367"/>
      <c r="Z613" s="367"/>
    </row>
    <row r="614">
      <c r="A614" s="143" t="s">
        <v>2519</v>
      </c>
      <c r="B614" s="383">
        <v>2026.0</v>
      </c>
      <c r="C614" s="384" t="s">
        <v>179</v>
      </c>
      <c r="D614" s="385" t="s">
        <v>82</v>
      </c>
      <c r="E614" s="386"/>
      <c r="F614" s="384" t="s">
        <v>10</v>
      </c>
      <c r="G614" s="384" t="s">
        <v>1756</v>
      </c>
      <c r="H614" s="387" t="s">
        <v>1395</v>
      </c>
      <c r="I614" s="384" t="s">
        <v>58</v>
      </c>
      <c r="J614" s="384" t="s">
        <v>1757</v>
      </c>
      <c r="K614" s="143" t="s">
        <v>1488</v>
      </c>
      <c r="L614" s="423" t="s">
        <v>2259</v>
      </c>
      <c r="M614" s="423">
        <v>4.0428506E7</v>
      </c>
      <c r="N614" s="423">
        <v>3.11382994E9</v>
      </c>
      <c r="O614" s="417"/>
      <c r="P614" s="367"/>
      <c r="Q614" s="367"/>
      <c r="R614" s="367"/>
      <c r="S614" s="367"/>
      <c r="T614" s="367"/>
      <c r="U614" s="367"/>
      <c r="V614" s="367"/>
      <c r="W614" s="367"/>
      <c r="X614" s="367"/>
      <c r="Y614" s="367"/>
      <c r="Z614" s="367"/>
    </row>
    <row r="615">
      <c r="A615" s="143" t="s">
        <v>2519</v>
      </c>
      <c r="B615" s="383">
        <v>2026.0</v>
      </c>
      <c r="C615" s="384" t="s">
        <v>179</v>
      </c>
      <c r="D615" s="385" t="s">
        <v>82</v>
      </c>
      <c r="E615" s="386"/>
      <c r="F615" s="384" t="s">
        <v>10</v>
      </c>
      <c r="G615" s="384" t="s">
        <v>1756</v>
      </c>
      <c r="H615" s="387" t="s">
        <v>1395</v>
      </c>
      <c r="I615" s="384" t="s">
        <v>58</v>
      </c>
      <c r="J615" s="384" t="s">
        <v>1757</v>
      </c>
      <c r="K615" s="143" t="s">
        <v>1488</v>
      </c>
      <c r="L615" s="423" t="s">
        <v>2260</v>
      </c>
      <c r="M615" s="423">
        <v>9394975.0</v>
      </c>
      <c r="N615" s="423">
        <v>3.15632356E9</v>
      </c>
      <c r="O615" s="417"/>
      <c r="P615" s="367"/>
      <c r="Q615" s="367"/>
      <c r="R615" s="367"/>
      <c r="S615" s="367"/>
      <c r="T615" s="367"/>
      <c r="U615" s="367"/>
      <c r="V615" s="367"/>
      <c r="W615" s="367"/>
      <c r="X615" s="367"/>
      <c r="Y615" s="367"/>
      <c r="Z615" s="367"/>
    </row>
    <row r="616">
      <c r="A616" s="143" t="s">
        <v>2519</v>
      </c>
      <c r="B616" s="383">
        <v>2026.0</v>
      </c>
      <c r="C616" s="384" t="s">
        <v>179</v>
      </c>
      <c r="D616" s="385" t="s">
        <v>82</v>
      </c>
      <c r="E616" s="386"/>
      <c r="F616" s="384" t="s">
        <v>10</v>
      </c>
      <c r="G616" s="384" t="s">
        <v>1756</v>
      </c>
      <c r="H616" s="387" t="s">
        <v>1395</v>
      </c>
      <c r="I616" s="384" t="s">
        <v>58</v>
      </c>
      <c r="J616" s="384" t="s">
        <v>1757</v>
      </c>
      <c r="K616" s="143" t="s">
        <v>1488</v>
      </c>
      <c r="L616" s="423" t="s">
        <v>2261</v>
      </c>
      <c r="M616" s="423">
        <v>1.030699983E9</v>
      </c>
      <c r="N616" s="423">
        <v>3.227122322E9</v>
      </c>
      <c r="O616" s="417"/>
      <c r="P616" s="367"/>
      <c r="Q616" s="367"/>
      <c r="R616" s="367"/>
      <c r="S616" s="367"/>
      <c r="T616" s="367"/>
      <c r="U616" s="367"/>
      <c r="V616" s="367"/>
      <c r="W616" s="367"/>
      <c r="X616" s="367"/>
      <c r="Y616" s="367"/>
      <c r="Z616" s="367"/>
    </row>
    <row r="617">
      <c r="A617" s="143" t="s">
        <v>2519</v>
      </c>
      <c r="B617" s="383">
        <v>2026.0</v>
      </c>
      <c r="C617" s="384" t="s">
        <v>179</v>
      </c>
      <c r="D617" s="385" t="s">
        <v>82</v>
      </c>
      <c r="E617" s="386"/>
      <c r="F617" s="384" t="s">
        <v>10</v>
      </c>
      <c r="G617" s="384" t="s">
        <v>1756</v>
      </c>
      <c r="H617" s="387" t="s">
        <v>1395</v>
      </c>
      <c r="I617" s="384" t="s">
        <v>58</v>
      </c>
      <c r="J617" s="384" t="s">
        <v>1757</v>
      </c>
      <c r="K617" s="143" t="s">
        <v>1488</v>
      </c>
      <c r="L617" s="423" t="s">
        <v>2262</v>
      </c>
      <c r="M617" s="423">
        <v>1.9352621E7</v>
      </c>
      <c r="N617" s="423">
        <v>3.162370006E9</v>
      </c>
      <c r="O617" s="417"/>
      <c r="P617" s="367"/>
      <c r="Q617" s="367"/>
      <c r="R617" s="367"/>
      <c r="S617" s="367"/>
      <c r="T617" s="367"/>
      <c r="U617" s="367"/>
      <c r="V617" s="367"/>
      <c r="W617" s="367"/>
      <c r="X617" s="367"/>
      <c r="Y617" s="367"/>
      <c r="Z617" s="367"/>
    </row>
    <row r="618">
      <c r="A618" s="143" t="s">
        <v>2519</v>
      </c>
      <c r="B618" s="383">
        <v>2026.0</v>
      </c>
      <c r="C618" s="384" t="s">
        <v>179</v>
      </c>
      <c r="D618" s="385" t="s">
        <v>82</v>
      </c>
      <c r="E618" s="386"/>
      <c r="F618" s="384" t="s">
        <v>10</v>
      </c>
      <c r="G618" s="384" t="s">
        <v>1756</v>
      </c>
      <c r="H618" s="387" t="s">
        <v>1395</v>
      </c>
      <c r="I618" s="384" t="s">
        <v>58</v>
      </c>
      <c r="J618" s="384" t="s">
        <v>1757</v>
      </c>
      <c r="K618" s="143" t="s">
        <v>1488</v>
      </c>
      <c r="L618" s="423" t="s">
        <v>2263</v>
      </c>
      <c r="M618" s="423">
        <v>8.0005258E7</v>
      </c>
      <c r="N618" s="423">
        <v>3.136434353E9</v>
      </c>
      <c r="O618" s="417"/>
      <c r="P618" s="367"/>
      <c r="Q618" s="367"/>
      <c r="R618" s="367"/>
      <c r="S618" s="367"/>
      <c r="T618" s="367"/>
      <c r="U618" s="367"/>
      <c r="V618" s="367"/>
      <c r="W618" s="367"/>
      <c r="X618" s="367"/>
      <c r="Y618" s="367"/>
      <c r="Z618" s="367"/>
    </row>
    <row r="619">
      <c r="A619" s="143" t="s">
        <v>2519</v>
      </c>
      <c r="B619" s="383">
        <v>2026.0</v>
      </c>
      <c r="C619" s="384" t="s">
        <v>179</v>
      </c>
      <c r="D619" s="385" t="s">
        <v>82</v>
      </c>
      <c r="E619" s="386"/>
      <c r="F619" s="384" t="s">
        <v>10</v>
      </c>
      <c r="G619" s="384" t="s">
        <v>1756</v>
      </c>
      <c r="H619" s="387" t="s">
        <v>1395</v>
      </c>
      <c r="I619" s="384" t="s">
        <v>58</v>
      </c>
      <c r="J619" s="384" t="s">
        <v>1757</v>
      </c>
      <c r="K619" s="143" t="s">
        <v>1488</v>
      </c>
      <c r="L619" s="423" t="s">
        <v>2264</v>
      </c>
      <c r="M619" s="423">
        <v>3222087.0</v>
      </c>
      <c r="N619" s="423">
        <v>3.104786071E9</v>
      </c>
      <c r="O619" s="417"/>
      <c r="P619" s="367"/>
      <c r="Q619" s="367"/>
      <c r="R619" s="367"/>
      <c r="S619" s="367"/>
      <c r="T619" s="367"/>
      <c r="U619" s="367"/>
      <c r="V619" s="367"/>
      <c r="W619" s="367"/>
      <c r="X619" s="367"/>
      <c r="Y619" s="367"/>
      <c r="Z619" s="367"/>
    </row>
    <row r="620">
      <c r="A620" s="143" t="s">
        <v>2519</v>
      </c>
      <c r="B620" s="383">
        <v>2026.0</v>
      </c>
      <c r="C620" s="384" t="s">
        <v>179</v>
      </c>
      <c r="D620" s="385" t="s">
        <v>82</v>
      </c>
      <c r="E620" s="386"/>
      <c r="F620" s="384" t="s">
        <v>10</v>
      </c>
      <c r="G620" s="384" t="s">
        <v>1756</v>
      </c>
      <c r="H620" s="387" t="s">
        <v>1395</v>
      </c>
      <c r="I620" s="384" t="s">
        <v>58</v>
      </c>
      <c r="J620" s="384" t="s">
        <v>1757</v>
      </c>
      <c r="K620" s="143" t="s">
        <v>1488</v>
      </c>
      <c r="L620" s="423" t="s">
        <v>2265</v>
      </c>
      <c r="M620" s="423">
        <v>5.1733652E7</v>
      </c>
      <c r="N620" s="423">
        <v>3.208215636E9</v>
      </c>
      <c r="O620" s="417"/>
      <c r="P620" s="367"/>
      <c r="Q620" s="367"/>
      <c r="R620" s="367"/>
      <c r="S620" s="367"/>
      <c r="T620" s="367"/>
      <c r="U620" s="367"/>
      <c r="V620" s="367"/>
      <c r="W620" s="367"/>
      <c r="X620" s="367"/>
      <c r="Y620" s="367"/>
      <c r="Z620" s="367"/>
    </row>
    <row r="621">
      <c r="A621" s="143" t="s">
        <v>2519</v>
      </c>
      <c r="B621" s="383">
        <v>2026.0</v>
      </c>
      <c r="C621" s="384" t="s">
        <v>179</v>
      </c>
      <c r="D621" s="385" t="s">
        <v>82</v>
      </c>
      <c r="E621" s="386"/>
      <c r="F621" s="384" t="s">
        <v>10</v>
      </c>
      <c r="G621" s="384" t="s">
        <v>1756</v>
      </c>
      <c r="H621" s="387" t="s">
        <v>1395</v>
      </c>
      <c r="I621" s="384" t="s">
        <v>58</v>
      </c>
      <c r="J621" s="384" t="s">
        <v>1757</v>
      </c>
      <c r="K621" s="143" t="s">
        <v>1488</v>
      </c>
      <c r="L621" s="423" t="s">
        <v>2266</v>
      </c>
      <c r="M621" s="423">
        <v>5.212343E7</v>
      </c>
      <c r="N621" s="423">
        <v>3.102160717E9</v>
      </c>
      <c r="O621" s="417"/>
      <c r="P621" s="367"/>
      <c r="Q621" s="367"/>
      <c r="R621" s="367"/>
      <c r="S621" s="367"/>
      <c r="T621" s="367"/>
      <c r="U621" s="367"/>
      <c r="V621" s="367"/>
      <c r="W621" s="367"/>
      <c r="X621" s="367"/>
      <c r="Y621" s="367"/>
      <c r="Z621" s="367"/>
    </row>
    <row r="622">
      <c r="A622" s="143" t="s">
        <v>2519</v>
      </c>
      <c r="B622" s="383">
        <v>2026.0</v>
      </c>
      <c r="C622" s="384" t="s">
        <v>179</v>
      </c>
      <c r="D622" s="385" t="s">
        <v>82</v>
      </c>
      <c r="E622" s="386"/>
      <c r="F622" s="384" t="s">
        <v>10</v>
      </c>
      <c r="G622" s="384" t="s">
        <v>1756</v>
      </c>
      <c r="H622" s="387" t="s">
        <v>1395</v>
      </c>
      <c r="I622" s="384" t="s">
        <v>58</v>
      </c>
      <c r="J622" s="384" t="s">
        <v>1757</v>
      </c>
      <c r="K622" s="143" t="s">
        <v>1488</v>
      </c>
      <c r="L622" s="423" t="s">
        <v>2267</v>
      </c>
      <c r="M622" s="423">
        <v>1.030598167E9</v>
      </c>
      <c r="N622" s="423">
        <v>3.118605554E9</v>
      </c>
      <c r="O622" s="417"/>
      <c r="P622" s="367"/>
      <c r="Q622" s="367"/>
      <c r="R622" s="367"/>
      <c r="S622" s="367"/>
      <c r="T622" s="367"/>
      <c r="U622" s="367"/>
      <c r="V622" s="367"/>
      <c r="W622" s="367"/>
      <c r="X622" s="367"/>
      <c r="Y622" s="367"/>
      <c r="Z622" s="367"/>
    </row>
    <row r="623">
      <c r="A623" s="143" t="s">
        <v>2519</v>
      </c>
      <c r="B623" s="383">
        <v>2026.0</v>
      </c>
      <c r="C623" s="384" t="s">
        <v>179</v>
      </c>
      <c r="D623" s="385" t="s">
        <v>82</v>
      </c>
      <c r="E623" s="386"/>
      <c r="F623" s="384" t="s">
        <v>10</v>
      </c>
      <c r="G623" s="384" t="s">
        <v>1756</v>
      </c>
      <c r="H623" s="387" t="s">
        <v>1395</v>
      </c>
      <c r="I623" s="384" t="s">
        <v>58</v>
      </c>
      <c r="J623" s="384" t="s">
        <v>1757</v>
      </c>
      <c r="K623" s="143" t="s">
        <v>1488</v>
      </c>
      <c r="L623" s="423" t="s">
        <v>2268</v>
      </c>
      <c r="M623" s="423">
        <v>5.2173914E7</v>
      </c>
      <c r="N623" s="423">
        <v>3.209737796E9</v>
      </c>
      <c r="O623" s="417"/>
      <c r="P623" s="367"/>
      <c r="Q623" s="367"/>
      <c r="R623" s="367"/>
      <c r="S623" s="367"/>
      <c r="T623" s="367"/>
      <c r="U623" s="367"/>
      <c r="V623" s="367"/>
      <c r="W623" s="367"/>
      <c r="X623" s="367"/>
      <c r="Y623" s="367"/>
      <c r="Z623" s="367"/>
    </row>
    <row r="624">
      <c r="A624" s="387" t="s">
        <v>2519</v>
      </c>
      <c r="B624" s="383">
        <v>2026.0</v>
      </c>
      <c r="C624" s="384" t="s">
        <v>179</v>
      </c>
      <c r="D624" s="385" t="s">
        <v>82</v>
      </c>
      <c r="E624" s="386"/>
      <c r="F624" s="384" t="s">
        <v>10</v>
      </c>
      <c r="G624" s="384" t="s">
        <v>1756</v>
      </c>
      <c r="H624" s="387" t="s">
        <v>1395</v>
      </c>
      <c r="I624" s="384" t="s">
        <v>58</v>
      </c>
      <c r="J624" s="384" t="s">
        <v>1757</v>
      </c>
      <c r="K624" s="387" t="s">
        <v>1488</v>
      </c>
      <c r="L624" s="424" t="s">
        <v>2269</v>
      </c>
      <c r="M624" s="424">
        <v>1.925794E7</v>
      </c>
      <c r="N624" s="424">
        <v>3.152018514E9</v>
      </c>
      <c r="O624" s="419"/>
      <c r="P624" s="382"/>
      <c r="Q624" s="382"/>
      <c r="R624" s="382"/>
      <c r="S624" s="382"/>
      <c r="T624" s="382"/>
      <c r="U624" s="382"/>
      <c r="V624" s="382"/>
      <c r="W624" s="382"/>
      <c r="X624" s="382"/>
      <c r="Y624" s="382"/>
      <c r="Z624" s="382"/>
    </row>
    <row r="625">
      <c r="A625" s="395" t="s">
        <v>2554</v>
      </c>
      <c r="B625" s="412">
        <v>2025.0</v>
      </c>
      <c r="C625" s="413" t="s">
        <v>179</v>
      </c>
      <c r="D625" s="414" t="s">
        <v>82</v>
      </c>
      <c r="E625" s="415"/>
      <c r="F625" s="413" t="s">
        <v>10</v>
      </c>
      <c r="G625" s="413" t="s">
        <v>1756</v>
      </c>
      <c r="H625" s="411" t="s">
        <v>1395</v>
      </c>
      <c r="I625" s="413" t="s">
        <v>58</v>
      </c>
      <c r="J625" s="413" t="s">
        <v>1757</v>
      </c>
      <c r="K625" s="395" t="s">
        <v>1488</v>
      </c>
      <c r="L625" s="408" t="s">
        <v>2555</v>
      </c>
      <c r="M625" s="408">
        <v>5.191554E7</v>
      </c>
      <c r="N625" s="408">
        <v>3.153303384E9</v>
      </c>
      <c r="O625" s="416"/>
      <c r="P625" s="390"/>
      <c r="Q625" s="390"/>
      <c r="R625" s="390"/>
      <c r="S625" s="390"/>
      <c r="T625" s="390"/>
      <c r="U625" s="390"/>
      <c r="V625" s="390"/>
      <c r="W625" s="390"/>
      <c r="X625" s="390"/>
      <c r="Y625" s="390"/>
      <c r="Z625" s="390"/>
    </row>
    <row r="626">
      <c r="A626" s="143" t="s">
        <v>2554</v>
      </c>
      <c r="B626" s="383">
        <v>2025.0</v>
      </c>
      <c r="C626" s="384" t="s">
        <v>179</v>
      </c>
      <c r="D626" s="385" t="s">
        <v>82</v>
      </c>
      <c r="E626" s="386"/>
      <c r="F626" s="384" t="s">
        <v>10</v>
      </c>
      <c r="G626" s="384" t="s">
        <v>1756</v>
      </c>
      <c r="H626" s="387" t="s">
        <v>1395</v>
      </c>
      <c r="I626" s="384" t="s">
        <v>58</v>
      </c>
      <c r="J626" s="384" t="s">
        <v>1757</v>
      </c>
      <c r="K626" s="143" t="s">
        <v>1488</v>
      </c>
      <c r="L626" s="119" t="s">
        <v>2556</v>
      </c>
      <c r="M626" s="119">
        <v>1.000472872E9</v>
      </c>
      <c r="N626" s="119">
        <v>3.195941045E9</v>
      </c>
      <c r="O626" s="417"/>
      <c r="P626" s="367"/>
      <c r="Q626" s="367"/>
      <c r="R626" s="367"/>
      <c r="S626" s="367"/>
      <c r="T626" s="367"/>
      <c r="U626" s="367"/>
      <c r="V626" s="367"/>
      <c r="W626" s="367"/>
      <c r="X626" s="367"/>
      <c r="Y626" s="367"/>
      <c r="Z626" s="367"/>
    </row>
    <row r="627">
      <c r="A627" s="143" t="s">
        <v>2554</v>
      </c>
      <c r="B627" s="383">
        <v>2025.0</v>
      </c>
      <c r="C627" s="384" t="s">
        <v>179</v>
      </c>
      <c r="D627" s="385" t="s">
        <v>82</v>
      </c>
      <c r="E627" s="386"/>
      <c r="F627" s="384" t="s">
        <v>10</v>
      </c>
      <c r="G627" s="384" t="s">
        <v>1756</v>
      </c>
      <c r="H627" s="387" t="s">
        <v>1395</v>
      </c>
      <c r="I627" s="384" t="s">
        <v>58</v>
      </c>
      <c r="J627" s="384" t="s">
        <v>1757</v>
      </c>
      <c r="K627" s="143" t="s">
        <v>1488</v>
      </c>
      <c r="L627" s="119" t="s">
        <v>2557</v>
      </c>
      <c r="M627" s="119">
        <v>5.3206105E7</v>
      </c>
      <c r="N627" s="119">
        <v>3.183880891E9</v>
      </c>
      <c r="O627" s="417"/>
      <c r="P627" s="367"/>
      <c r="Q627" s="367"/>
      <c r="R627" s="367"/>
      <c r="S627" s="367"/>
      <c r="T627" s="367"/>
      <c r="U627" s="367"/>
      <c r="V627" s="367"/>
      <c r="W627" s="367"/>
      <c r="X627" s="367"/>
      <c r="Y627" s="367"/>
      <c r="Z627" s="367"/>
    </row>
    <row r="628">
      <c r="A628" s="143" t="s">
        <v>2554</v>
      </c>
      <c r="B628" s="383">
        <v>2025.0</v>
      </c>
      <c r="C628" s="384" t="s">
        <v>179</v>
      </c>
      <c r="D628" s="385" t="s">
        <v>82</v>
      </c>
      <c r="E628" s="386"/>
      <c r="F628" s="384" t="s">
        <v>10</v>
      </c>
      <c r="G628" s="384" t="s">
        <v>1756</v>
      </c>
      <c r="H628" s="387" t="s">
        <v>1395</v>
      </c>
      <c r="I628" s="384" t="s">
        <v>58</v>
      </c>
      <c r="J628" s="384" t="s">
        <v>1757</v>
      </c>
      <c r="K628" s="143" t="s">
        <v>1488</v>
      </c>
      <c r="L628" s="119" t="s">
        <v>2558</v>
      </c>
      <c r="M628" s="119">
        <v>2.379992E8</v>
      </c>
      <c r="N628" s="119">
        <v>3.115510102E9</v>
      </c>
      <c r="O628" s="417"/>
      <c r="P628" s="367"/>
      <c r="Q628" s="367"/>
      <c r="R628" s="367"/>
      <c r="S628" s="367"/>
      <c r="T628" s="367"/>
      <c r="U628" s="367"/>
      <c r="V628" s="367"/>
      <c r="W628" s="367"/>
      <c r="X628" s="367"/>
      <c r="Y628" s="367"/>
      <c r="Z628" s="367"/>
    </row>
    <row r="629">
      <c r="A629" s="143" t="s">
        <v>2554</v>
      </c>
      <c r="B629" s="383">
        <v>2025.0</v>
      </c>
      <c r="C629" s="384" t="s">
        <v>179</v>
      </c>
      <c r="D629" s="385" t="s">
        <v>82</v>
      </c>
      <c r="E629" s="386"/>
      <c r="F629" s="384" t="s">
        <v>10</v>
      </c>
      <c r="G629" s="384" t="s">
        <v>1756</v>
      </c>
      <c r="H629" s="387" t="s">
        <v>1395</v>
      </c>
      <c r="I629" s="384" t="s">
        <v>58</v>
      </c>
      <c r="J629" s="384" t="s">
        <v>1757</v>
      </c>
      <c r="K629" s="143" t="s">
        <v>1488</v>
      </c>
      <c r="L629" s="119" t="s">
        <v>2559</v>
      </c>
      <c r="M629" s="119">
        <v>5.1919592E7</v>
      </c>
      <c r="N629" s="119">
        <v>3.158943986E9</v>
      </c>
      <c r="O629" s="417"/>
      <c r="P629" s="367"/>
      <c r="Q629" s="367"/>
      <c r="R629" s="367"/>
      <c r="S629" s="367"/>
      <c r="T629" s="367"/>
      <c r="U629" s="367"/>
      <c r="V629" s="367"/>
      <c r="W629" s="367"/>
      <c r="X629" s="367"/>
      <c r="Y629" s="367"/>
      <c r="Z629" s="367"/>
    </row>
    <row r="630">
      <c r="A630" s="143" t="s">
        <v>2554</v>
      </c>
      <c r="B630" s="383">
        <v>2025.0</v>
      </c>
      <c r="C630" s="384" t="s">
        <v>179</v>
      </c>
      <c r="D630" s="385" t="s">
        <v>82</v>
      </c>
      <c r="E630" s="386"/>
      <c r="F630" s="384" t="s">
        <v>10</v>
      </c>
      <c r="G630" s="384" t="s">
        <v>1756</v>
      </c>
      <c r="H630" s="387" t="s">
        <v>1395</v>
      </c>
      <c r="I630" s="384" t="s">
        <v>58</v>
      </c>
      <c r="J630" s="384" t="s">
        <v>1757</v>
      </c>
      <c r="K630" s="143" t="s">
        <v>1488</v>
      </c>
      <c r="L630" s="119" t="s">
        <v>2560</v>
      </c>
      <c r="M630" s="119">
        <v>7.1598299E7</v>
      </c>
      <c r="N630" s="119">
        <v>3.105169855E9</v>
      </c>
      <c r="O630" s="417"/>
      <c r="P630" s="367"/>
      <c r="Q630" s="367"/>
      <c r="R630" s="367"/>
      <c r="S630" s="367"/>
      <c r="T630" s="367"/>
      <c r="U630" s="367"/>
      <c r="V630" s="367"/>
      <c r="W630" s="367"/>
      <c r="X630" s="367"/>
      <c r="Y630" s="367"/>
      <c r="Z630" s="367"/>
    </row>
    <row r="631">
      <c r="A631" s="143" t="s">
        <v>2554</v>
      </c>
      <c r="B631" s="383">
        <v>2025.0</v>
      </c>
      <c r="C631" s="384" t="s">
        <v>179</v>
      </c>
      <c r="D631" s="385" t="s">
        <v>82</v>
      </c>
      <c r="E631" s="386"/>
      <c r="F631" s="384" t="s">
        <v>10</v>
      </c>
      <c r="G631" s="384" t="s">
        <v>1756</v>
      </c>
      <c r="H631" s="387" t="s">
        <v>1395</v>
      </c>
      <c r="I631" s="384" t="s">
        <v>58</v>
      </c>
      <c r="J631" s="384" t="s">
        <v>1757</v>
      </c>
      <c r="K631" s="143" t="s">
        <v>1488</v>
      </c>
      <c r="L631" s="119" t="s">
        <v>2561</v>
      </c>
      <c r="M631" s="119">
        <v>7.9283245E7</v>
      </c>
      <c r="N631" s="119">
        <v>3.166583289E9</v>
      </c>
      <c r="O631" s="417"/>
      <c r="P631" s="367"/>
      <c r="Q631" s="367"/>
      <c r="R631" s="367"/>
      <c r="S631" s="367"/>
      <c r="T631" s="367"/>
      <c r="U631" s="367"/>
      <c r="V631" s="367"/>
      <c r="W631" s="367"/>
      <c r="X631" s="367"/>
      <c r="Y631" s="367"/>
      <c r="Z631" s="367"/>
    </row>
    <row r="632">
      <c r="A632" s="143" t="s">
        <v>2554</v>
      </c>
      <c r="B632" s="383">
        <v>2025.0</v>
      </c>
      <c r="C632" s="384" t="s">
        <v>179</v>
      </c>
      <c r="D632" s="385" t="s">
        <v>82</v>
      </c>
      <c r="E632" s="386"/>
      <c r="F632" s="384" t="s">
        <v>10</v>
      </c>
      <c r="G632" s="384" t="s">
        <v>1756</v>
      </c>
      <c r="H632" s="387" t="s">
        <v>1395</v>
      </c>
      <c r="I632" s="384" t="s">
        <v>58</v>
      </c>
      <c r="J632" s="384" t="s">
        <v>1757</v>
      </c>
      <c r="K632" s="143" t="s">
        <v>1488</v>
      </c>
      <c r="L632" s="119" t="s">
        <v>2562</v>
      </c>
      <c r="M632" s="119">
        <v>5.1630519E7</v>
      </c>
      <c r="N632" s="119">
        <v>3.153406618E9</v>
      </c>
      <c r="O632" s="417"/>
      <c r="P632" s="367"/>
      <c r="Q632" s="367"/>
      <c r="R632" s="367"/>
      <c r="S632" s="367"/>
      <c r="T632" s="367"/>
      <c r="U632" s="367"/>
      <c r="V632" s="367"/>
      <c r="W632" s="367"/>
      <c r="X632" s="367"/>
      <c r="Y632" s="367"/>
      <c r="Z632" s="367"/>
    </row>
    <row r="633">
      <c r="A633" s="143" t="s">
        <v>2554</v>
      </c>
      <c r="B633" s="383">
        <v>2025.0</v>
      </c>
      <c r="C633" s="384" t="s">
        <v>179</v>
      </c>
      <c r="D633" s="385" t="s">
        <v>82</v>
      </c>
      <c r="E633" s="386"/>
      <c r="F633" s="384" t="s">
        <v>10</v>
      </c>
      <c r="G633" s="384" t="s">
        <v>1756</v>
      </c>
      <c r="H633" s="387" t="s">
        <v>1395</v>
      </c>
      <c r="I633" s="384" t="s">
        <v>58</v>
      </c>
      <c r="J633" s="384" t="s">
        <v>1757</v>
      </c>
      <c r="K633" s="143" t="s">
        <v>1488</v>
      </c>
      <c r="L633" s="119" t="s">
        <v>2563</v>
      </c>
      <c r="M633" s="119">
        <v>1.01847013E9</v>
      </c>
      <c r="N633" s="119">
        <v>3.118988034E9</v>
      </c>
      <c r="O633" s="417"/>
      <c r="P633" s="367"/>
      <c r="Q633" s="367"/>
      <c r="R633" s="367"/>
      <c r="S633" s="367"/>
      <c r="T633" s="367"/>
      <c r="U633" s="367"/>
      <c r="V633" s="367"/>
      <c r="W633" s="367"/>
      <c r="X633" s="367"/>
      <c r="Y633" s="367"/>
      <c r="Z633" s="367"/>
    </row>
    <row r="634">
      <c r="A634" s="143" t="s">
        <v>2554</v>
      </c>
      <c r="B634" s="383">
        <v>2025.0</v>
      </c>
      <c r="C634" s="384" t="s">
        <v>179</v>
      </c>
      <c r="D634" s="385" t="s">
        <v>82</v>
      </c>
      <c r="E634" s="386"/>
      <c r="F634" s="384" t="s">
        <v>10</v>
      </c>
      <c r="G634" s="384" t="s">
        <v>1756</v>
      </c>
      <c r="H634" s="387" t="s">
        <v>1395</v>
      </c>
      <c r="I634" s="384" t="s">
        <v>58</v>
      </c>
      <c r="J634" s="384" t="s">
        <v>1757</v>
      </c>
      <c r="K634" s="143" t="s">
        <v>1488</v>
      </c>
      <c r="L634" s="119" t="s">
        <v>2564</v>
      </c>
      <c r="M634" s="119">
        <v>2.352158E7</v>
      </c>
      <c r="N634" s="119">
        <v>3.005588226E9</v>
      </c>
      <c r="O634" s="417"/>
      <c r="P634" s="367"/>
      <c r="Q634" s="367"/>
      <c r="R634" s="367"/>
      <c r="S634" s="367"/>
      <c r="T634" s="367"/>
      <c r="U634" s="367"/>
      <c r="V634" s="367"/>
      <c r="W634" s="367"/>
      <c r="X634" s="367"/>
      <c r="Y634" s="367"/>
      <c r="Z634" s="367"/>
    </row>
    <row r="635">
      <c r="A635" s="143" t="s">
        <v>2554</v>
      </c>
      <c r="B635" s="383">
        <v>2025.0</v>
      </c>
      <c r="C635" s="384" t="s">
        <v>179</v>
      </c>
      <c r="D635" s="385" t="s">
        <v>82</v>
      </c>
      <c r="E635" s="386"/>
      <c r="F635" s="384" t="s">
        <v>10</v>
      </c>
      <c r="G635" s="384" t="s">
        <v>1756</v>
      </c>
      <c r="H635" s="387" t="s">
        <v>1395</v>
      </c>
      <c r="I635" s="384" t="s">
        <v>58</v>
      </c>
      <c r="J635" s="384" t="s">
        <v>1757</v>
      </c>
      <c r="K635" s="143" t="s">
        <v>1488</v>
      </c>
      <c r="L635" s="119" t="s">
        <v>2565</v>
      </c>
      <c r="M635" s="119">
        <v>7.9405479E7</v>
      </c>
      <c r="N635" s="119">
        <v>3.208720675E9</v>
      </c>
      <c r="O635" s="417"/>
      <c r="P635" s="367"/>
      <c r="Q635" s="367"/>
      <c r="R635" s="367"/>
      <c r="S635" s="367"/>
      <c r="T635" s="367"/>
      <c r="U635" s="367"/>
      <c r="V635" s="367"/>
      <c r="W635" s="367"/>
      <c r="X635" s="367"/>
      <c r="Y635" s="367"/>
      <c r="Z635" s="367"/>
    </row>
    <row r="636">
      <c r="A636" s="143" t="s">
        <v>2554</v>
      </c>
      <c r="B636" s="383">
        <v>2025.0</v>
      </c>
      <c r="C636" s="384" t="s">
        <v>179</v>
      </c>
      <c r="D636" s="385" t="s">
        <v>82</v>
      </c>
      <c r="E636" s="386"/>
      <c r="F636" s="384" t="s">
        <v>10</v>
      </c>
      <c r="G636" s="384" t="s">
        <v>1756</v>
      </c>
      <c r="H636" s="387" t="s">
        <v>1395</v>
      </c>
      <c r="I636" s="384" t="s">
        <v>58</v>
      </c>
      <c r="J636" s="384" t="s">
        <v>1757</v>
      </c>
      <c r="K636" s="143" t="s">
        <v>1488</v>
      </c>
      <c r="L636" s="119" t="s">
        <v>2566</v>
      </c>
      <c r="M636" s="119">
        <v>4.1797588E7</v>
      </c>
      <c r="N636" s="119">
        <v>3.214853867E9</v>
      </c>
      <c r="O636" s="417"/>
      <c r="P636" s="367"/>
      <c r="Q636" s="367"/>
      <c r="R636" s="367"/>
      <c r="S636" s="367"/>
      <c r="T636" s="367"/>
      <c r="U636" s="367"/>
      <c r="V636" s="367"/>
      <c r="W636" s="367"/>
      <c r="X636" s="367"/>
      <c r="Y636" s="367"/>
      <c r="Z636" s="367"/>
    </row>
    <row r="637">
      <c r="A637" s="143" t="s">
        <v>2554</v>
      </c>
      <c r="B637" s="383">
        <v>2025.0</v>
      </c>
      <c r="C637" s="384" t="s">
        <v>179</v>
      </c>
      <c r="D637" s="385" t="s">
        <v>82</v>
      </c>
      <c r="E637" s="386"/>
      <c r="F637" s="384" t="s">
        <v>10</v>
      </c>
      <c r="G637" s="384" t="s">
        <v>1756</v>
      </c>
      <c r="H637" s="387" t="s">
        <v>1395</v>
      </c>
      <c r="I637" s="384" t="s">
        <v>58</v>
      </c>
      <c r="J637" s="384" t="s">
        <v>1757</v>
      </c>
      <c r="K637" s="143" t="s">
        <v>1488</v>
      </c>
      <c r="L637" s="425" t="s">
        <v>2567</v>
      </c>
      <c r="M637" s="405">
        <v>3165543.0</v>
      </c>
      <c r="N637" s="405">
        <v>3.204820042E9</v>
      </c>
      <c r="O637" s="367"/>
      <c r="P637" s="367"/>
      <c r="Q637" s="367"/>
      <c r="R637" s="367"/>
      <c r="S637" s="367"/>
      <c r="T637" s="367"/>
      <c r="U637" s="367"/>
      <c r="V637" s="367"/>
      <c r="W637" s="367"/>
      <c r="X637" s="367"/>
      <c r="Y637" s="367"/>
      <c r="Z637" s="367"/>
    </row>
    <row r="638">
      <c r="A638" s="143" t="s">
        <v>2554</v>
      </c>
      <c r="B638" s="383">
        <v>2025.0</v>
      </c>
      <c r="C638" s="384" t="s">
        <v>179</v>
      </c>
      <c r="D638" s="385" t="s">
        <v>82</v>
      </c>
      <c r="E638" s="386"/>
      <c r="F638" s="384" t="s">
        <v>10</v>
      </c>
      <c r="G638" s="384" t="s">
        <v>1756</v>
      </c>
      <c r="H638" s="387" t="s">
        <v>1395</v>
      </c>
      <c r="I638" s="384" t="s">
        <v>58</v>
      </c>
      <c r="J638" s="384" t="s">
        <v>1757</v>
      </c>
      <c r="K638" s="143" t="s">
        <v>1488</v>
      </c>
      <c r="L638" s="379" t="s">
        <v>2276</v>
      </c>
      <c r="M638" s="143">
        <v>4239012.0</v>
      </c>
      <c r="N638" s="143">
        <v>3.005704933E9</v>
      </c>
      <c r="O638" s="367"/>
      <c r="P638" s="367"/>
      <c r="Q638" s="367"/>
      <c r="R638" s="367"/>
      <c r="S638" s="367"/>
      <c r="T638" s="367"/>
      <c r="U638" s="367"/>
      <c r="V638" s="367"/>
      <c r="W638" s="367"/>
      <c r="X638" s="367"/>
      <c r="Y638" s="367"/>
      <c r="Z638" s="367"/>
    </row>
    <row r="639">
      <c r="A639" s="143" t="s">
        <v>2554</v>
      </c>
      <c r="B639" s="383">
        <v>2025.0</v>
      </c>
      <c r="C639" s="384" t="s">
        <v>179</v>
      </c>
      <c r="D639" s="385" t="s">
        <v>82</v>
      </c>
      <c r="E639" s="386"/>
      <c r="F639" s="384" t="s">
        <v>10</v>
      </c>
      <c r="G639" s="384" t="s">
        <v>1756</v>
      </c>
      <c r="H639" s="387" t="s">
        <v>1395</v>
      </c>
      <c r="I639" s="384" t="s">
        <v>58</v>
      </c>
      <c r="J639" s="384" t="s">
        <v>1757</v>
      </c>
      <c r="K639" s="143" t="s">
        <v>1488</v>
      </c>
      <c r="L639" s="379" t="s">
        <v>2568</v>
      </c>
      <c r="M639" s="143">
        <v>1.2958505E7</v>
      </c>
      <c r="N639" s="143">
        <v>3.132688737E9</v>
      </c>
      <c r="O639" s="367"/>
      <c r="P639" s="367"/>
      <c r="Q639" s="367"/>
      <c r="R639" s="367"/>
      <c r="S639" s="367"/>
      <c r="T639" s="367"/>
      <c r="U639" s="367"/>
      <c r="V639" s="367"/>
      <c r="W639" s="367"/>
      <c r="X639" s="367"/>
      <c r="Y639" s="367"/>
      <c r="Z639" s="367"/>
    </row>
    <row r="640">
      <c r="A640" s="143" t="s">
        <v>2554</v>
      </c>
      <c r="B640" s="383">
        <v>2025.0</v>
      </c>
      <c r="C640" s="384" t="s">
        <v>179</v>
      </c>
      <c r="D640" s="385" t="s">
        <v>82</v>
      </c>
      <c r="E640" s="386"/>
      <c r="F640" s="384" t="s">
        <v>10</v>
      </c>
      <c r="G640" s="384" t="s">
        <v>1756</v>
      </c>
      <c r="H640" s="387" t="s">
        <v>1395</v>
      </c>
      <c r="I640" s="384" t="s">
        <v>58</v>
      </c>
      <c r="J640" s="384" t="s">
        <v>1757</v>
      </c>
      <c r="K640" s="143" t="s">
        <v>1488</v>
      </c>
      <c r="L640" s="379" t="s">
        <v>2569</v>
      </c>
      <c r="M640" s="143">
        <v>7.6046071E7</v>
      </c>
      <c r="N640" s="143">
        <v>3.103097915E9</v>
      </c>
      <c r="O640" s="367"/>
      <c r="P640" s="367"/>
      <c r="Q640" s="367"/>
      <c r="R640" s="367"/>
      <c r="S640" s="367"/>
      <c r="T640" s="367"/>
      <c r="U640" s="367"/>
      <c r="V640" s="367"/>
      <c r="W640" s="367"/>
      <c r="X640" s="367"/>
      <c r="Y640" s="367"/>
      <c r="Z640" s="367"/>
    </row>
    <row r="641">
      <c r="A641" s="143" t="s">
        <v>2554</v>
      </c>
      <c r="B641" s="383">
        <v>2025.0</v>
      </c>
      <c r="C641" s="384" t="s">
        <v>179</v>
      </c>
      <c r="D641" s="385" t="s">
        <v>82</v>
      </c>
      <c r="E641" s="386"/>
      <c r="F641" s="384" t="s">
        <v>10</v>
      </c>
      <c r="G641" s="384" t="s">
        <v>1756</v>
      </c>
      <c r="H641" s="387" t="s">
        <v>1395</v>
      </c>
      <c r="I641" s="384" t="s">
        <v>58</v>
      </c>
      <c r="J641" s="384" t="s">
        <v>1757</v>
      </c>
      <c r="K641" s="143" t="s">
        <v>1488</v>
      </c>
      <c r="L641" s="379" t="s">
        <v>2570</v>
      </c>
      <c r="M641" s="143">
        <v>7.5072509E7</v>
      </c>
      <c r="N641" s="143">
        <v>3.103126929E9</v>
      </c>
      <c r="O641" s="367"/>
      <c r="P641" s="367"/>
      <c r="Q641" s="367"/>
      <c r="R641" s="367"/>
      <c r="S641" s="367"/>
      <c r="T641" s="367"/>
      <c r="U641" s="367"/>
      <c r="V641" s="367"/>
      <c r="W641" s="367"/>
      <c r="X641" s="367"/>
      <c r="Y641" s="367"/>
      <c r="Z641" s="367"/>
    </row>
    <row r="642">
      <c r="A642" s="143" t="s">
        <v>2554</v>
      </c>
      <c r="B642" s="383">
        <v>2025.0</v>
      </c>
      <c r="C642" s="384" t="s">
        <v>179</v>
      </c>
      <c r="D642" s="385" t="s">
        <v>82</v>
      </c>
      <c r="E642" s="386"/>
      <c r="F642" s="384" t="s">
        <v>10</v>
      </c>
      <c r="G642" s="384" t="s">
        <v>1756</v>
      </c>
      <c r="H642" s="387" t="s">
        <v>1395</v>
      </c>
      <c r="I642" s="384" t="s">
        <v>58</v>
      </c>
      <c r="J642" s="384" t="s">
        <v>1757</v>
      </c>
      <c r="K642" s="143" t="s">
        <v>1488</v>
      </c>
      <c r="L642" s="379" t="s">
        <v>2571</v>
      </c>
      <c r="M642" s="143">
        <v>1.026589303E9</v>
      </c>
      <c r="N642" s="143">
        <v>3.013596424E9</v>
      </c>
      <c r="O642" s="367"/>
      <c r="P642" s="367"/>
      <c r="Q642" s="367"/>
      <c r="R642" s="367"/>
      <c r="S642" s="367"/>
      <c r="T642" s="367"/>
      <c r="U642" s="367"/>
      <c r="V642" s="367"/>
      <c r="W642" s="367"/>
      <c r="X642" s="367"/>
      <c r="Y642" s="367"/>
      <c r="Z642" s="367"/>
    </row>
    <row r="643">
      <c r="A643" s="143" t="s">
        <v>2554</v>
      </c>
      <c r="B643" s="383">
        <v>2025.0</v>
      </c>
      <c r="C643" s="384" t="s">
        <v>179</v>
      </c>
      <c r="D643" s="385" t="s">
        <v>82</v>
      </c>
      <c r="E643" s="386"/>
      <c r="F643" s="384" t="s">
        <v>10</v>
      </c>
      <c r="G643" s="384" t="s">
        <v>1756</v>
      </c>
      <c r="H643" s="387" t="s">
        <v>1395</v>
      </c>
      <c r="I643" s="384" t="s">
        <v>58</v>
      </c>
      <c r="J643" s="384" t="s">
        <v>1757</v>
      </c>
      <c r="K643" s="143" t="s">
        <v>1488</v>
      </c>
      <c r="L643" s="379" t="s">
        <v>2561</v>
      </c>
      <c r="M643" s="143">
        <v>7.9283245E7</v>
      </c>
      <c r="N643" s="143">
        <v>3.10257668E9</v>
      </c>
      <c r="O643" s="367"/>
      <c r="P643" s="367"/>
      <c r="Q643" s="367"/>
      <c r="R643" s="367"/>
      <c r="S643" s="367"/>
      <c r="T643" s="367"/>
      <c r="U643" s="367"/>
      <c r="V643" s="367"/>
      <c r="W643" s="367"/>
      <c r="X643" s="367"/>
      <c r="Y643" s="367"/>
      <c r="Z643" s="367"/>
    </row>
    <row r="644">
      <c r="A644" s="143" t="s">
        <v>2554</v>
      </c>
      <c r="B644" s="383">
        <v>2025.0</v>
      </c>
      <c r="C644" s="384" t="s">
        <v>179</v>
      </c>
      <c r="D644" s="385" t="s">
        <v>82</v>
      </c>
      <c r="E644" s="386"/>
      <c r="F644" s="384" t="s">
        <v>10</v>
      </c>
      <c r="G644" s="384" t="s">
        <v>1756</v>
      </c>
      <c r="H644" s="387" t="s">
        <v>1395</v>
      </c>
      <c r="I644" s="384" t="s">
        <v>58</v>
      </c>
      <c r="J644" s="384" t="s">
        <v>1757</v>
      </c>
      <c r="K644" s="143" t="s">
        <v>1488</v>
      </c>
      <c r="L644" s="379" t="s">
        <v>2572</v>
      </c>
      <c r="M644" s="143">
        <v>1.945311E7</v>
      </c>
      <c r="N644" s="143">
        <v>3.023896933E9</v>
      </c>
      <c r="O644" s="367"/>
      <c r="P644" s="367"/>
      <c r="Q644" s="367"/>
      <c r="R644" s="367"/>
      <c r="S644" s="367"/>
      <c r="T644" s="367"/>
      <c r="U644" s="367"/>
      <c r="V644" s="367"/>
      <c r="W644" s="367"/>
      <c r="X644" s="367"/>
      <c r="Y644" s="367"/>
      <c r="Z644" s="367"/>
    </row>
    <row r="645">
      <c r="A645" s="143" t="s">
        <v>2554</v>
      </c>
      <c r="B645" s="383">
        <v>2025.0</v>
      </c>
      <c r="C645" s="384" t="s">
        <v>179</v>
      </c>
      <c r="D645" s="385" t="s">
        <v>82</v>
      </c>
      <c r="E645" s="386"/>
      <c r="F645" s="384" t="s">
        <v>10</v>
      </c>
      <c r="G645" s="384" t="s">
        <v>1756</v>
      </c>
      <c r="H645" s="387" t="s">
        <v>1395</v>
      </c>
      <c r="I645" s="384" t="s">
        <v>58</v>
      </c>
      <c r="J645" s="384" t="s">
        <v>1757</v>
      </c>
      <c r="K645" s="143" t="s">
        <v>1488</v>
      </c>
      <c r="L645" s="379" t="s">
        <v>2573</v>
      </c>
      <c r="M645" s="143">
        <v>1.9420162E7</v>
      </c>
      <c r="N645" s="143">
        <v>3.225117488E9</v>
      </c>
      <c r="O645" s="367"/>
      <c r="P645" s="367"/>
      <c r="Q645" s="367"/>
      <c r="R645" s="367"/>
      <c r="S645" s="367"/>
      <c r="T645" s="367"/>
      <c r="U645" s="367"/>
      <c r="V645" s="367"/>
      <c r="W645" s="367"/>
      <c r="X645" s="367"/>
      <c r="Y645" s="367"/>
      <c r="Z645" s="367"/>
    </row>
    <row r="646">
      <c r="A646" s="143" t="s">
        <v>2554</v>
      </c>
      <c r="B646" s="383">
        <v>2025.0</v>
      </c>
      <c r="C646" s="384" t="s">
        <v>179</v>
      </c>
      <c r="D646" s="385" t="s">
        <v>82</v>
      </c>
      <c r="E646" s="386"/>
      <c r="F646" s="384" t="s">
        <v>10</v>
      </c>
      <c r="G646" s="384" t="s">
        <v>1756</v>
      </c>
      <c r="H646" s="387" t="s">
        <v>1395</v>
      </c>
      <c r="I646" s="384" t="s">
        <v>58</v>
      </c>
      <c r="J646" s="384" t="s">
        <v>1757</v>
      </c>
      <c r="K646" s="143" t="s">
        <v>1488</v>
      </c>
      <c r="L646" s="379" t="s">
        <v>2574</v>
      </c>
      <c r="M646" s="143">
        <v>4.3422477E7</v>
      </c>
      <c r="N646" s="143">
        <v>3.117277071E9</v>
      </c>
      <c r="O646" s="367"/>
      <c r="P646" s="367"/>
      <c r="Q646" s="367"/>
      <c r="R646" s="367"/>
      <c r="S646" s="367"/>
      <c r="T646" s="367"/>
      <c r="U646" s="367"/>
      <c r="V646" s="367"/>
      <c r="W646" s="367"/>
      <c r="X646" s="367"/>
      <c r="Y646" s="367"/>
      <c r="Z646" s="367"/>
    </row>
    <row r="647">
      <c r="A647" s="143" t="s">
        <v>2554</v>
      </c>
      <c r="B647" s="383">
        <v>2025.0</v>
      </c>
      <c r="C647" s="384" t="s">
        <v>179</v>
      </c>
      <c r="D647" s="385" t="s">
        <v>82</v>
      </c>
      <c r="E647" s="386"/>
      <c r="F647" s="384" t="s">
        <v>10</v>
      </c>
      <c r="G647" s="384" t="s">
        <v>1756</v>
      </c>
      <c r="H647" s="387" t="s">
        <v>1395</v>
      </c>
      <c r="I647" s="384" t="s">
        <v>58</v>
      </c>
      <c r="J647" s="384" t="s">
        <v>1757</v>
      </c>
      <c r="K647" s="143" t="s">
        <v>1488</v>
      </c>
      <c r="L647" s="379" t="s">
        <v>2543</v>
      </c>
      <c r="M647" s="143">
        <v>5.1962782E7</v>
      </c>
      <c r="N647" s="143">
        <v>3.023896933E9</v>
      </c>
      <c r="O647" s="367"/>
      <c r="P647" s="367"/>
      <c r="Q647" s="367"/>
      <c r="R647" s="367"/>
      <c r="S647" s="367"/>
      <c r="T647" s="367"/>
      <c r="U647" s="367"/>
      <c r="V647" s="367"/>
      <c r="W647" s="367"/>
      <c r="X647" s="367"/>
      <c r="Y647" s="367"/>
      <c r="Z647" s="367"/>
    </row>
    <row r="648">
      <c r="A648" s="143" t="s">
        <v>2554</v>
      </c>
      <c r="B648" s="383">
        <v>2025.0</v>
      </c>
      <c r="C648" s="384" t="s">
        <v>179</v>
      </c>
      <c r="D648" s="385" t="s">
        <v>82</v>
      </c>
      <c r="E648" s="386"/>
      <c r="F648" s="384" t="s">
        <v>10</v>
      </c>
      <c r="G648" s="384" t="s">
        <v>1756</v>
      </c>
      <c r="H648" s="387" t="s">
        <v>1395</v>
      </c>
      <c r="I648" s="384" t="s">
        <v>58</v>
      </c>
      <c r="J648" s="384" t="s">
        <v>1757</v>
      </c>
      <c r="K648" s="143" t="s">
        <v>1488</v>
      </c>
      <c r="L648" s="379" t="s">
        <v>2575</v>
      </c>
      <c r="M648" s="143">
        <v>7.1598295E7</v>
      </c>
      <c r="N648" s="143">
        <v>3.108169855E9</v>
      </c>
      <c r="O648" s="367"/>
      <c r="P648" s="367"/>
      <c r="Q648" s="367"/>
      <c r="R648" s="367"/>
      <c r="S648" s="367"/>
      <c r="T648" s="367"/>
      <c r="U648" s="367"/>
      <c r="V648" s="367"/>
      <c r="W648" s="367"/>
      <c r="X648" s="367"/>
      <c r="Y648" s="367"/>
      <c r="Z648" s="367"/>
    </row>
    <row r="649">
      <c r="A649" s="143" t="s">
        <v>2554</v>
      </c>
      <c r="B649" s="383">
        <v>2025.0</v>
      </c>
      <c r="C649" s="384" t="s">
        <v>179</v>
      </c>
      <c r="D649" s="385" t="s">
        <v>82</v>
      </c>
      <c r="E649" s="386"/>
      <c r="F649" s="384" t="s">
        <v>10</v>
      </c>
      <c r="G649" s="384" t="s">
        <v>1756</v>
      </c>
      <c r="H649" s="387" t="s">
        <v>1395</v>
      </c>
      <c r="I649" s="384" t="s">
        <v>58</v>
      </c>
      <c r="J649" s="384" t="s">
        <v>1757</v>
      </c>
      <c r="K649" s="143" t="s">
        <v>1488</v>
      </c>
      <c r="L649" s="379" t="s">
        <v>2576</v>
      </c>
      <c r="M649" s="143">
        <v>7.5071239E7</v>
      </c>
      <c r="N649" s="143">
        <v>3.102578967E9</v>
      </c>
      <c r="O649" s="367"/>
      <c r="P649" s="367"/>
      <c r="Q649" s="367"/>
      <c r="R649" s="367"/>
      <c r="S649" s="367"/>
      <c r="T649" s="367"/>
      <c r="U649" s="367"/>
      <c r="V649" s="367"/>
      <c r="W649" s="367"/>
      <c r="X649" s="367"/>
      <c r="Y649" s="367"/>
      <c r="Z649" s="367"/>
    </row>
    <row r="650">
      <c r="A650" s="143" t="s">
        <v>2554</v>
      </c>
      <c r="B650" s="383">
        <v>2025.0</v>
      </c>
      <c r="C650" s="384" t="s">
        <v>179</v>
      </c>
      <c r="D650" s="385" t="s">
        <v>82</v>
      </c>
      <c r="E650" s="386"/>
      <c r="F650" s="384" t="s">
        <v>10</v>
      </c>
      <c r="G650" s="384" t="s">
        <v>1756</v>
      </c>
      <c r="H650" s="387" t="s">
        <v>1395</v>
      </c>
      <c r="I650" s="384" t="s">
        <v>58</v>
      </c>
      <c r="J650" s="384" t="s">
        <v>1757</v>
      </c>
      <c r="K650" s="143" t="s">
        <v>1488</v>
      </c>
      <c r="L650" s="379" t="s">
        <v>2577</v>
      </c>
      <c r="M650" s="143">
        <v>4.1597028E7</v>
      </c>
      <c r="N650" s="143">
        <v>3.133539323E9</v>
      </c>
      <c r="O650" s="367"/>
      <c r="P650" s="367"/>
      <c r="Q650" s="367"/>
      <c r="R650" s="367"/>
      <c r="S650" s="367"/>
      <c r="T650" s="367"/>
      <c r="U650" s="367"/>
      <c r="V650" s="367"/>
      <c r="W650" s="367"/>
      <c r="X650" s="367"/>
      <c r="Y650" s="367"/>
      <c r="Z650" s="367"/>
    </row>
    <row r="651">
      <c r="A651" s="143" t="s">
        <v>2554</v>
      </c>
      <c r="B651" s="383">
        <v>2025.0</v>
      </c>
      <c r="C651" s="384" t="s">
        <v>179</v>
      </c>
      <c r="D651" s="385" t="s">
        <v>82</v>
      </c>
      <c r="E651" s="386"/>
      <c r="F651" s="384" t="s">
        <v>10</v>
      </c>
      <c r="G651" s="384" t="s">
        <v>1756</v>
      </c>
      <c r="H651" s="387" t="s">
        <v>1395</v>
      </c>
      <c r="I651" s="384" t="s">
        <v>58</v>
      </c>
      <c r="J651" s="384" t="s">
        <v>1757</v>
      </c>
      <c r="K651" s="143" t="s">
        <v>1488</v>
      </c>
      <c r="L651" s="379" t="s">
        <v>2578</v>
      </c>
      <c r="M651" s="143">
        <v>8.0876557E7</v>
      </c>
      <c r="N651" s="143">
        <v>3.144135527E9</v>
      </c>
      <c r="O651" s="367"/>
      <c r="P651" s="367"/>
      <c r="Q651" s="367"/>
      <c r="R651" s="367"/>
      <c r="S651" s="367"/>
      <c r="T651" s="367"/>
      <c r="U651" s="367"/>
      <c r="V651" s="367"/>
      <c r="W651" s="367"/>
      <c r="X651" s="367"/>
      <c r="Y651" s="367"/>
      <c r="Z651" s="367"/>
    </row>
    <row r="652">
      <c r="A652" s="143" t="s">
        <v>2554</v>
      </c>
      <c r="B652" s="383">
        <v>2025.0</v>
      </c>
      <c r="C652" s="384" t="s">
        <v>179</v>
      </c>
      <c r="D652" s="385" t="s">
        <v>82</v>
      </c>
      <c r="E652" s="386"/>
      <c r="F652" s="384" t="s">
        <v>10</v>
      </c>
      <c r="G652" s="384" t="s">
        <v>1756</v>
      </c>
      <c r="H652" s="387" t="s">
        <v>1395</v>
      </c>
      <c r="I652" s="384" t="s">
        <v>58</v>
      </c>
      <c r="J652" s="384" t="s">
        <v>1757</v>
      </c>
      <c r="K652" s="143" t="s">
        <v>1488</v>
      </c>
      <c r="L652" s="379" t="s">
        <v>2579</v>
      </c>
      <c r="M652" s="143">
        <v>2.7072519E7</v>
      </c>
      <c r="N652" s="143">
        <v>3.136801222E9</v>
      </c>
      <c r="O652" s="367"/>
      <c r="P652" s="367"/>
      <c r="Q652" s="367"/>
      <c r="R652" s="367"/>
      <c r="S652" s="367"/>
      <c r="T652" s="367"/>
      <c r="U652" s="367"/>
      <c r="V652" s="367"/>
      <c r="W652" s="367"/>
      <c r="X652" s="367"/>
      <c r="Y652" s="367"/>
      <c r="Z652" s="367"/>
    </row>
    <row r="653">
      <c r="A653" s="143" t="s">
        <v>2554</v>
      </c>
      <c r="B653" s="383">
        <v>2025.0</v>
      </c>
      <c r="C653" s="384" t="s">
        <v>179</v>
      </c>
      <c r="D653" s="385" t="s">
        <v>82</v>
      </c>
      <c r="E653" s="386"/>
      <c r="F653" s="384" t="s">
        <v>10</v>
      </c>
      <c r="G653" s="384" t="s">
        <v>1756</v>
      </c>
      <c r="H653" s="387" t="s">
        <v>1395</v>
      </c>
      <c r="I653" s="384" t="s">
        <v>58</v>
      </c>
      <c r="J653" s="384" t="s">
        <v>1757</v>
      </c>
      <c r="K653" s="143" t="s">
        <v>1488</v>
      </c>
      <c r="L653" s="379" t="s">
        <v>2543</v>
      </c>
      <c r="M653" s="143">
        <v>3.5461744E7</v>
      </c>
      <c r="N653" s="143">
        <v>3.002377151E9</v>
      </c>
      <c r="O653" s="367"/>
      <c r="P653" s="367"/>
      <c r="Q653" s="367"/>
      <c r="R653" s="367"/>
      <c r="S653" s="367"/>
      <c r="T653" s="367"/>
      <c r="U653" s="367"/>
      <c r="V653" s="367"/>
      <c r="W653" s="367"/>
      <c r="X653" s="367"/>
      <c r="Y653" s="367"/>
      <c r="Z653" s="367"/>
    </row>
    <row r="654">
      <c r="A654" s="387" t="s">
        <v>2554</v>
      </c>
      <c r="B654" s="383">
        <v>2025.0</v>
      </c>
      <c r="C654" s="384" t="s">
        <v>179</v>
      </c>
      <c r="D654" s="385" t="s">
        <v>82</v>
      </c>
      <c r="E654" s="386"/>
      <c r="F654" s="384" t="s">
        <v>10</v>
      </c>
      <c r="G654" s="384" t="s">
        <v>1756</v>
      </c>
      <c r="H654" s="387" t="s">
        <v>1395</v>
      </c>
      <c r="I654" s="384" t="s">
        <v>58</v>
      </c>
      <c r="J654" s="384" t="s">
        <v>1757</v>
      </c>
      <c r="K654" s="387" t="s">
        <v>1488</v>
      </c>
      <c r="L654" s="388" t="s">
        <v>2580</v>
      </c>
      <c r="M654" s="387">
        <v>5.2234318E7</v>
      </c>
      <c r="N654" s="387">
        <v>3.104941356E9</v>
      </c>
      <c r="O654" s="382"/>
      <c r="P654" s="382"/>
      <c r="Q654" s="382"/>
      <c r="R654" s="382"/>
      <c r="S654" s="382"/>
      <c r="T654" s="382"/>
      <c r="U654" s="382"/>
      <c r="V654" s="382"/>
      <c r="W654" s="382"/>
      <c r="X654" s="382"/>
      <c r="Y654" s="382"/>
      <c r="Z654" s="382"/>
    </row>
    <row r="655">
      <c r="A655" s="395" t="s">
        <v>2581</v>
      </c>
      <c r="B655" s="412">
        <v>2025.0</v>
      </c>
      <c r="C655" s="413" t="s">
        <v>711</v>
      </c>
      <c r="D655" s="414" t="s">
        <v>133</v>
      </c>
      <c r="E655" s="415"/>
      <c r="F655" s="413" t="s">
        <v>10</v>
      </c>
      <c r="G655" s="413" t="s">
        <v>1756</v>
      </c>
      <c r="H655" s="411" t="s">
        <v>2582</v>
      </c>
      <c r="I655" s="413" t="s">
        <v>58</v>
      </c>
      <c r="J655" s="413" t="s">
        <v>1757</v>
      </c>
      <c r="K655" s="395" t="s">
        <v>2429</v>
      </c>
      <c r="L655" s="408" t="s">
        <v>2583</v>
      </c>
      <c r="M655" s="408">
        <v>8.0832091E7</v>
      </c>
      <c r="N655" s="408">
        <v>3.214929228E9</v>
      </c>
      <c r="O655" s="426"/>
      <c r="P655" s="427"/>
      <c r="Q655" s="427"/>
      <c r="R655" s="427"/>
      <c r="S655" s="427"/>
      <c r="T655" s="427"/>
      <c r="U655" s="427"/>
      <c r="V655" s="427"/>
      <c r="W655" s="427"/>
      <c r="X655" s="427"/>
      <c r="Y655" s="427"/>
      <c r="Z655" s="427"/>
    </row>
    <row r="656">
      <c r="A656" s="143" t="s">
        <v>2581</v>
      </c>
      <c r="B656" s="383">
        <v>2025.0</v>
      </c>
      <c r="C656" s="384" t="s">
        <v>711</v>
      </c>
      <c r="D656" s="385" t="s">
        <v>133</v>
      </c>
      <c r="E656" s="386"/>
      <c r="F656" s="384" t="s">
        <v>10</v>
      </c>
      <c r="G656" s="384" t="s">
        <v>1756</v>
      </c>
      <c r="H656" s="387" t="s">
        <v>2582</v>
      </c>
      <c r="I656" s="384" t="s">
        <v>58</v>
      </c>
      <c r="J656" s="384" t="s">
        <v>1757</v>
      </c>
      <c r="K656" s="143" t="s">
        <v>2429</v>
      </c>
      <c r="L656" s="119" t="s">
        <v>2584</v>
      </c>
      <c r="M656" s="119">
        <v>5.2070355E7</v>
      </c>
      <c r="N656" s="119">
        <v>3.102804014E9</v>
      </c>
      <c r="O656" s="417"/>
      <c r="P656" s="367"/>
      <c r="Q656" s="367"/>
      <c r="R656" s="367"/>
      <c r="S656" s="367"/>
      <c r="T656" s="367"/>
      <c r="U656" s="367"/>
      <c r="V656" s="367"/>
      <c r="W656" s="367"/>
      <c r="X656" s="367"/>
      <c r="Y656" s="367"/>
      <c r="Z656" s="367"/>
    </row>
    <row r="657">
      <c r="A657" s="143" t="s">
        <v>2581</v>
      </c>
      <c r="B657" s="383">
        <v>2025.0</v>
      </c>
      <c r="C657" s="384" t="s">
        <v>711</v>
      </c>
      <c r="D657" s="385" t="s">
        <v>133</v>
      </c>
      <c r="E657" s="386"/>
      <c r="F657" s="384" t="s">
        <v>10</v>
      </c>
      <c r="G657" s="384" t="s">
        <v>1756</v>
      </c>
      <c r="H657" s="387" t="s">
        <v>2582</v>
      </c>
      <c r="I657" s="384" t="s">
        <v>58</v>
      </c>
      <c r="J657" s="384" t="s">
        <v>1757</v>
      </c>
      <c r="K657" s="143" t="s">
        <v>2429</v>
      </c>
      <c r="L657" s="119" t="s">
        <v>2585</v>
      </c>
      <c r="M657" s="119">
        <v>5.219151E7</v>
      </c>
      <c r="N657" s="119">
        <v>3.108843008E9</v>
      </c>
      <c r="O657" s="417"/>
      <c r="P657" s="367"/>
      <c r="Q657" s="367"/>
      <c r="R657" s="367"/>
      <c r="S657" s="367"/>
      <c r="T657" s="367"/>
      <c r="U657" s="367"/>
      <c r="V657" s="367"/>
      <c r="W657" s="367"/>
      <c r="X657" s="367"/>
      <c r="Y657" s="367"/>
      <c r="Z657" s="367"/>
    </row>
    <row r="658">
      <c r="A658" s="143" t="s">
        <v>2581</v>
      </c>
      <c r="B658" s="383">
        <v>2025.0</v>
      </c>
      <c r="C658" s="384" t="s">
        <v>711</v>
      </c>
      <c r="D658" s="385" t="s">
        <v>133</v>
      </c>
      <c r="E658" s="386"/>
      <c r="F658" s="384" t="s">
        <v>10</v>
      </c>
      <c r="G658" s="384" t="s">
        <v>1756</v>
      </c>
      <c r="H658" s="387" t="s">
        <v>2582</v>
      </c>
      <c r="I658" s="384" t="s">
        <v>58</v>
      </c>
      <c r="J658" s="384" t="s">
        <v>1757</v>
      </c>
      <c r="K658" s="143" t="s">
        <v>2429</v>
      </c>
      <c r="L658" s="119" t="s">
        <v>2586</v>
      </c>
      <c r="M658" s="119">
        <v>5.2176562E7</v>
      </c>
      <c r="N658" s="119">
        <v>3.204942682E9</v>
      </c>
      <c r="O658" s="417"/>
      <c r="P658" s="367"/>
      <c r="Q658" s="367"/>
      <c r="R658" s="367"/>
      <c r="S658" s="367"/>
      <c r="T658" s="367"/>
      <c r="U658" s="367"/>
      <c r="V658" s="367"/>
      <c r="W658" s="367"/>
      <c r="X658" s="367"/>
      <c r="Y658" s="367"/>
      <c r="Z658" s="367"/>
    </row>
    <row r="659">
      <c r="A659" s="143" t="s">
        <v>2581</v>
      </c>
      <c r="B659" s="383">
        <v>2025.0</v>
      </c>
      <c r="C659" s="384" t="s">
        <v>711</v>
      </c>
      <c r="D659" s="385" t="s">
        <v>133</v>
      </c>
      <c r="E659" s="386"/>
      <c r="F659" s="384" t="s">
        <v>10</v>
      </c>
      <c r="G659" s="384" t="s">
        <v>1756</v>
      </c>
      <c r="H659" s="387" t="s">
        <v>2582</v>
      </c>
      <c r="I659" s="384" t="s">
        <v>58</v>
      </c>
      <c r="J659" s="384" t="s">
        <v>1757</v>
      </c>
      <c r="K659" s="143" t="s">
        <v>2429</v>
      </c>
      <c r="L659" s="119" t="s">
        <v>2587</v>
      </c>
      <c r="M659" s="119">
        <v>1.9336292E7</v>
      </c>
      <c r="N659" s="119">
        <v>3.117273686E9</v>
      </c>
      <c r="O659" s="417"/>
      <c r="P659" s="367"/>
      <c r="Q659" s="367"/>
      <c r="R659" s="367"/>
      <c r="S659" s="367"/>
      <c r="T659" s="367"/>
      <c r="U659" s="367"/>
      <c r="V659" s="367"/>
      <c r="W659" s="367"/>
      <c r="X659" s="367"/>
      <c r="Y659" s="367"/>
      <c r="Z659" s="367"/>
    </row>
    <row r="660">
      <c r="A660" s="143" t="s">
        <v>2581</v>
      </c>
      <c r="B660" s="383">
        <v>2025.0</v>
      </c>
      <c r="C660" s="384" t="s">
        <v>711</v>
      </c>
      <c r="D660" s="385" t="s">
        <v>133</v>
      </c>
      <c r="E660" s="386"/>
      <c r="F660" s="384" t="s">
        <v>10</v>
      </c>
      <c r="G660" s="384" t="s">
        <v>1756</v>
      </c>
      <c r="H660" s="387" t="s">
        <v>2582</v>
      </c>
      <c r="I660" s="384" t="s">
        <v>58</v>
      </c>
      <c r="J660" s="384" t="s">
        <v>1757</v>
      </c>
      <c r="K660" s="143" t="s">
        <v>2429</v>
      </c>
      <c r="L660" s="119" t="s">
        <v>2588</v>
      </c>
      <c r="M660" s="119">
        <v>6.3364228E7</v>
      </c>
      <c r="N660" s="119">
        <v>3.114825709E9</v>
      </c>
      <c r="O660" s="417"/>
      <c r="P660" s="367"/>
      <c r="Q660" s="367"/>
      <c r="R660" s="367"/>
      <c r="S660" s="367"/>
      <c r="T660" s="367"/>
      <c r="U660" s="367"/>
      <c r="V660" s="367"/>
      <c r="W660" s="367"/>
      <c r="X660" s="367"/>
      <c r="Y660" s="367"/>
      <c r="Z660" s="367"/>
    </row>
    <row r="661">
      <c r="A661" s="143" t="s">
        <v>2581</v>
      </c>
      <c r="B661" s="383">
        <v>2025.0</v>
      </c>
      <c r="C661" s="384" t="s">
        <v>711</v>
      </c>
      <c r="D661" s="385" t="s">
        <v>133</v>
      </c>
      <c r="E661" s="386"/>
      <c r="F661" s="384" t="s">
        <v>10</v>
      </c>
      <c r="G661" s="384" t="s">
        <v>1756</v>
      </c>
      <c r="H661" s="387" t="s">
        <v>2582</v>
      </c>
      <c r="I661" s="384" t="s">
        <v>58</v>
      </c>
      <c r="J661" s="384" t="s">
        <v>1757</v>
      </c>
      <c r="K661" s="143" t="s">
        <v>2429</v>
      </c>
      <c r="L661" s="119" t="s">
        <v>2589</v>
      </c>
      <c r="M661" s="119">
        <v>7.9491871E7</v>
      </c>
      <c r="N661" s="119">
        <v>3.164848897E9</v>
      </c>
      <c r="O661" s="417"/>
      <c r="P661" s="367"/>
      <c r="Q661" s="367"/>
      <c r="R661" s="367"/>
      <c r="S661" s="367"/>
      <c r="T661" s="367"/>
      <c r="U661" s="367"/>
      <c r="V661" s="367"/>
      <c r="W661" s="367"/>
      <c r="X661" s="367"/>
      <c r="Y661" s="367"/>
      <c r="Z661" s="367"/>
    </row>
    <row r="662">
      <c r="A662" s="143" t="s">
        <v>2581</v>
      </c>
      <c r="B662" s="383">
        <v>2025.0</v>
      </c>
      <c r="C662" s="384" t="s">
        <v>711</v>
      </c>
      <c r="D662" s="385" t="s">
        <v>133</v>
      </c>
      <c r="E662" s="386"/>
      <c r="F662" s="384" t="s">
        <v>10</v>
      </c>
      <c r="G662" s="384" t="s">
        <v>1756</v>
      </c>
      <c r="H662" s="387" t="s">
        <v>2582</v>
      </c>
      <c r="I662" s="384" t="s">
        <v>58</v>
      </c>
      <c r="J662" s="384" t="s">
        <v>1757</v>
      </c>
      <c r="K662" s="143" t="s">
        <v>2429</v>
      </c>
      <c r="L662" s="119" t="s">
        <v>2590</v>
      </c>
      <c r="M662" s="119">
        <v>5.174171E7</v>
      </c>
      <c r="N662" s="119">
        <v>3.152556197E9</v>
      </c>
      <c r="O662" s="417"/>
      <c r="P662" s="367"/>
      <c r="Q662" s="367"/>
      <c r="R662" s="367"/>
      <c r="S662" s="367"/>
      <c r="T662" s="367"/>
      <c r="U662" s="367"/>
      <c r="V662" s="367"/>
      <c r="W662" s="367"/>
      <c r="X662" s="367"/>
      <c r="Y662" s="367"/>
      <c r="Z662" s="367"/>
    </row>
    <row r="663">
      <c r="A663" s="143" t="s">
        <v>2581</v>
      </c>
      <c r="B663" s="383">
        <v>2025.0</v>
      </c>
      <c r="C663" s="384" t="s">
        <v>711</v>
      </c>
      <c r="D663" s="385" t="s">
        <v>133</v>
      </c>
      <c r="E663" s="386"/>
      <c r="F663" s="384" t="s">
        <v>10</v>
      </c>
      <c r="G663" s="384" t="s">
        <v>1756</v>
      </c>
      <c r="H663" s="387" t="s">
        <v>2582</v>
      </c>
      <c r="I663" s="384" t="s">
        <v>58</v>
      </c>
      <c r="J663" s="384" t="s">
        <v>1757</v>
      </c>
      <c r="K663" s="143" t="s">
        <v>2429</v>
      </c>
      <c r="L663" s="119" t="s">
        <v>2591</v>
      </c>
      <c r="M663" s="119">
        <v>4.1460758E7</v>
      </c>
      <c r="N663" s="119">
        <v>3.118312434E9</v>
      </c>
      <c r="O663" s="417"/>
      <c r="P663" s="367"/>
      <c r="Q663" s="367"/>
      <c r="R663" s="367"/>
      <c r="S663" s="367"/>
      <c r="T663" s="367"/>
      <c r="U663" s="367"/>
      <c r="V663" s="367"/>
      <c r="W663" s="367"/>
      <c r="X663" s="367"/>
      <c r="Y663" s="367"/>
      <c r="Z663" s="367"/>
    </row>
    <row r="664">
      <c r="A664" s="143" t="s">
        <v>2581</v>
      </c>
      <c r="B664" s="383">
        <v>2025.0</v>
      </c>
      <c r="C664" s="384" t="s">
        <v>711</v>
      </c>
      <c r="D664" s="385" t="s">
        <v>133</v>
      </c>
      <c r="E664" s="386"/>
      <c r="F664" s="384" t="s">
        <v>10</v>
      </c>
      <c r="G664" s="384" t="s">
        <v>1756</v>
      </c>
      <c r="H664" s="387" t="s">
        <v>2582</v>
      </c>
      <c r="I664" s="384" t="s">
        <v>58</v>
      </c>
      <c r="J664" s="384" t="s">
        <v>1757</v>
      </c>
      <c r="K664" s="143" t="s">
        <v>2429</v>
      </c>
      <c r="L664" s="119" t="s">
        <v>2592</v>
      </c>
      <c r="M664" s="119">
        <v>3.7891716E7</v>
      </c>
      <c r="N664" s="119">
        <v>3.112169455E9</v>
      </c>
      <c r="O664" s="417"/>
      <c r="P664" s="367"/>
      <c r="Q664" s="367"/>
      <c r="R664" s="367"/>
      <c r="S664" s="367"/>
      <c r="T664" s="367"/>
      <c r="U664" s="367"/>
      <c r="V664" s="367"/>
      <c r="W664" s="367"/>
      <c r="X664" s="367"/>
      <c r="Y664" s="367"/>
      <c r="Z664" s="367"/>
    </row>
    <row r="665">
      <c r="A665" s="143" t="s">
        <v>2581</v>
      </c>
      <c r="B665" s="383">
        <v>2025.0</v>
      </c>
      <c r="C665" s="384" t="s">
        <v>711</v>
      </c>
      <c r="D665" s="385" t="s">
        <v>133</v>
      </c>
      <c r="E665" s="386"/>
      <c r="F665" s="384" t="s">
        <v>10</v>
      </c>
      <c r="G665" s="384" t="s">
        <v>1756</v>
      </c>
      <c r="H665" s="387" t="s">
        <v>2582</v>
      </c>
      <c r="I665" s="384" t="s">
        <v>58</v>
      </c>
      <c r="J665" s="384" t="s">
        <v>1757</v>
      </c>
      <c r="K665" s="143" t="s">
        <v>2429</v>
      </c>
      <c r="L665" s="119" t="s">
        <v>2593</v>
      </c>
      <c r="M665" s="119">
        <v>5.1838353E7</v>
      </c>
      <c r="N665" s="119">
        <v>3.133075616E9</v>
      </c>
      <c r="O665" s="417"/>
      <c r="P665" s="367"/>
      <c r="Q665" s="367"/>
      <c r="R665" s="367"/>
      <c r="S665" s="367"/>
      <c r="T665" s="367"/>
      <c r="U665" s="367"/>
      <c r="V665" s="367"/>
      <c r="W665" s="367"/>
      <c r="X665" s="367"/>
      <c r="Y665" s="367"/>
      <c r="Z665" s="367"/>
    </row>
    <row r="666">
      <c r="A666" s="143" t="s">
        <v>2581</v>
      </c>
      <c r="B666" s="383">
        <v>2025.0</v>
      </c>
      <c r="C666" s="384" t="s">
        <v>711</v>
      </c>
      <c r="D666" s="385" t="s">
        <v>133</v>
      </c>
      <c r="E666" s="386"/>
      <c r="F666" s="384" t="s">
        <v>10</v>
      </c>
      <c r="G666" s="384" t="s">
        <v>1756</v>
      </c>
      <c r="H666" s="387" t="s">
        <v>2582</v>
      </c>
      <c r="I666" s="384" t="s">
        <v>58</v>
      </c>
      <c r="J666" s="384" t="s">
        <v>1757</v>
      </c>
      <c r="K666" s="143" t="s">
        <v>2429</v>
      </c>
      <c r="L666" s="119" t="s">
        <v>2594</v>
      </c>
      <c r="M666" s="119">
        <v>1.030678463E9</v>
      </c>
      <c r="N666" s="119">
        <v>3.102409147E9</v>
      </c>
      <c r="O666" s="417"/>
      <c r="P666" s="367"/>
      <c r="Q666" s="367"/>
      <c r="R666" s="367"/>
      <c r="S666" s="367"/>
      <c r="T666" s="367"/>
      <c r="U666" s="367"/>
      <c r="V666" s="367"/>
      <c r="W666" s="367"/>
      <c r="X666" s="367"/>
      <c r="Y666" s="367"/>
      <c r="Z666" s="367"/>
    </row>
    <row r="667">
      <c r="A667" s="143" t="s">
        <v>2581</v>
      </c>
      <c r="B667" s="383">
        <v>2025.0</v>
      </c>
      <c r="C667" s="384" t="s">
        <v>711</v>
      </c>
      <c r="D667" s="385" t="s">
        <v>133</v>
      </c>
      <c r="E667" s="386"/>
      <c r="F667" s="384" t="s">
        <v>10</v>
      </c>
      <c r="G667" s="384" t="s">
        <v>1756</v>
      </c>
      <c r="H667" s="387" t="s">
        <v>2582</v>
      </c>
      <c r="I667" s="384" t="s">
        <v>58</v>
      </c>
      <c r="J667" s="384" t="s">
        <v>1757</v>
      </c>
      <c r="K667" s="143" t="s">
        <v>2429</v>
      </c>
      <c r="L667" s="119" t="s">
        <v>2595</v>
      </c>
      <c r="M667" s="119">
        <v>7.926882E7</v>
      </c>
      <c r="N667" s="119">
        <v>3.102840791E9</v>
      </c>
      <c r="O667" s="417"/>
      <c r="P667" s="367"/>
      <c r="Q667" s="367"/>
      <c r="R667" s="367"/>
      <c r="S667" s="367"/>
      <c r="T667" s="367"/>
      <c r="U667" s="367"/>
      <c r="V667" s="367"/>
      <c r="W667" s="367"/>
      <c r="X667" s="367"/>
      <c r="Y667" s="367"/>
      <c r="Z667" s="367"/>
    </row>
    <row r="668">
      <c r="A668" s="143" t="s">
        <v>2581</v>
      </c>
      <c r="B668" s="383">
        <v>2025.0</v>
      </c>
      <c r="C668" s="384" t="s">
        <v>711</v>
      </c>
      <c r="D668" s="385" t="s">
        <v>133</v>
      </c>
      <c r="E668" s="386"/>
      <c r="F668" s="384" t="s">
        <v>10</v>
      </c>
      <c r="G668" s="384" t="s">
        <v>1756</v>
      </c>
      <c r="H668" s="387" t="s">
        <v>2582</v>
      </c>
      <c r="I668" s="384" t="s">
        <v>58</v>
      </c>
      <c r="J668" s="384" t="s">
        <v>1757</v>
      </c>
      <c r="K668" s="143" t="s">
        <v>2429</v>
      </c>
      <c r="L668" s="119" t="s">
        <v>2596</v>
      </c>
      <c r="M668" s="119">
        <v>1.939469E7</v>
      </c>
      <c r="N668" s="119">
        <v>3.00664388E9</v>
      </c>
      <c r="O668" s="417"/>
      <c r="P668" s="367"/>
      <c r="Q668" s="367"/>
      <c r="R668" s="367"/>
      <c r="S668" s="367"/>
      <c r="T668" s="367"/>
      <c r="U668" s="367"/>
      <c r="V668" s="367"/>
      <c r="W668" s="367"/>
      <c r="X668" s="367"/>
      <c r="Y668" s="367"/>
      <c r="Z668" s="367"/>
    </row>
    <row r="669">
      <c r="A669" s="143" t="s">
        <v>2581</v>
      </c>
      <c r="B669" s="383">
        <v>2025.0</v>
      </c>
      <c r="C669" s="384" t="s">
        <v>711</v>
      </c>
      <c r="D669" s="385" t="s">
        <v>133</v>
      </c>
      <c r="E669" s="386"/>
      <c r="F669" s="384" t="s">
        <v>10</v>
      </c>
      <c r="G669" s="384" t="s">
        <v>1756</v>
      </c>
      <c r="H669" s="387" t="s">
        <v>2582</v>
      </c>
      <c r="I669" s="384" t="s">
        <v>58</v>
      </c>
      <c r="J669" s="384" t="s">
        <v>1757</v>
      </c>
      <c r="K669" s="143" t="s">
        <v>2429</v>
      </c>
      <c r="L669" s="119" t="s">
        <v>2597</v>
      </c>
      <c r="M669" s="119">
        <v>1.9071566E7</v>
      </c>
      <c r="N669" s="119">
        <v>3.103696634E9</v>
      </c>
      <c r="O669" s="417"/>
      <c r="P669" s="367"/>
      <c r="Q669" s="367"/>
      <c r="R669" s="367"/>
      <c r="S669" s="367"/>
      <c r="T669" s="367"/>
      <c r="U669" s="367"/>
      <c r="V669" s="367"/>
      <c r="W669" s="367"/>
      <c r="X669" s="367"/>
      <c r="Y669" s="367"/>
      <c r="Z669" s="367"/>
    </row>
    <row r="670">
      <c r="A670" s="143" t="s">
        <v>2581</v>
      </c>
      <c r="B670" s="383">
        <v>2025.0</v>
      </c>
      <c r="C670" s="384" t="s">
        <v>711</v>
      </c>
      <c r="D670" s="385" t="s">
        <v>133</v>
      </c>
      <c r="E670" s="386"/>
      <c r="F670" s="384" t="s">
        <v>10</v>
      </c>
      <c r="G670" s="384" t="s">
        <v>1756</v>
      </c>
      <c r="H670" s="387" t="s">
        <v>2582</v>
      </c>
      <c r="I670" s="384" t="s">
        <v>58</v>
      </c>
      <c r="J670" s="384" t="s">
        <v>1757</v>
      </c>
      <c r="K670" s="143" t="s">
        <v>2429</v>
      </c>
      <c r="L670" s="119" t="s">
        <v>2598</v>
      </c>
      <c r="M670" s="119">
        <v>3.8281782E7</v>
      </c>
      <c r="N670" s="119">
        <v>3.132286812E9</v>
      </c>
      <c r="O670" s="417"/>
      <c r="P670" s="367"/>
      <c r="Q670" s="367"/>
      <c r="R670" s="367"/>
      <c r="S670" s="367"/>
      <c r="T670" s="367"/>
      <c r="U670" s="367"/>
      <c r="V670" s="367"/>
      <c r="W670" s="367"/>
      <c r="X670" s="367"/>
      <c r="Y670" s="367"/>
      <c r="Z670" s="367"/>
    </row>
    <row r="671">
      <c r="A671" s="143" t="s">
        <v>2581</v>
      </c>
      <c r="B671" s="383">
        <v>2025.0</v>
      </c>
      <c r="C671" s="384" t="s">
        <v>711</v>
      </c>
      <c r="D671" s="385" t="s">
        <v>133</v>
      </c>
      <c r="E671" s="386"/>
      <c r="F671" s="384" t="s">
        <v>10</v>
      </c>
      <c r="G671" s="384" t="s">
        <v>1756</v>
      </c>
      <c r="H671" s="387" t="s">
        <v>2582</v>
      </c>
      <c r="I671" s="384" t="s">
        <v>58</v>
      </c>
      <c r="J671" s="384" t="s">
        <v>1757</v>
      </c>
      <c r="K671" s="143" t="s">
        <v>2429</v>
      </c>
      <c r="L671" s="119" t="s">
        <v>2599</v>
      </c>
      <c r="M671" s="119">
        <v>2.0291116E7</v>
      </c>
      <c r="N671" s="119">
        <v>3.142001078E9</v>
      </c>
      <c r="O671" s="417"/>
      <c r="P671" s="367"/>
      <c r="Q671" s="367"/>
      <c r="R671" s="367"/>
      <c r="S671" s="367"/>
      <c r="T671" s="367"/>
      <c r="U671" s="367"/>
      <c r="V671" s="367"/>
      <c r="W671" s="367"/>
      <c r="X671" s="367"/>
      <c r="Y671" s="367"/>
      <c r="Z671" s="367"/>
    </row>
    <row r="672">
      <c r="A672" s="143" t="s">
        <v>2581</v>
      </c>
      <c r="B672" s="383">
        <v>2025.0</v>
      </c>
      <c r="C672" s="384" t="s">
        <v>711</v>
      </c>
      <c r="D672" s="385" t="s">
        <v>133</v>
      </c>
      <c r="E672" s="386"/>
      <c r="F672" s="384" t="s">
        <v>10</v>
      </c>
      <c r="G672" s="384" t="s">
        <v>1756</v>
      </c>
      <c r="H672" s="387" t="s">
        <v>2582</v>
      </c>
      <c r="I672" s="384" t="s">
        <v>58</v>
      </c>
      <c r="J672" s="384" t="s">
        <v>1757</v>
      </c>
      <c r="K672" s="143" t="s">
        <v>2429</v>
      </c>
      <c r="L672" s="119" t="s">
        <v>2600</v>
      </c>
      <c r="M672" s="119">
        <v>2.4226808E7</v>
      </c>
      <c r="N672" s="119">
        <v>3.21290699E9</v>
      </c>
      <c r="O672" s="417"/>
      <c r="P672" s="367"/>
      <c r="Q672" s="367"/>
      <c r="R672" s="367"/>
      <c r="S672" s="367"/>
      <c r="T672" s="367"/>
      <c r="U672" s="367"/>
      <c r="V672" s="367"/>
      <c r="W672" s="367"/>
      <c r="X672" s="367"/>
      <c r="Y672" s="367"/>
      <c r="Z672" s="367"/>
    </row>
    <row r="673">
      <c r="A673" s="143" t="s">
        <v>2581</v>
      </c>
      <c r="B673" s="383">
        <v>2025.0</v>
      </c>
      <c r="C673" s="384" t="s">
        <v>711</v>
      </c>
      <c r="D673" s="385" t="s">
        <v>133</v>
      </c>
      <c r="E673" s="386"/>
      <c r="F673" s="384" t="s">
        <v>10</v>
      </c>
      <c r="G673" s="384" t="s">
        <v>1756</v>
      </c>
      <c r="H673" s="387" t="s">
        <v>2582</v>
      </c>
      <c r="I673" s="384" t="s">
        <v>58</v>
      </c>
      <c r="J673" s="384" t="s">
        <v>1757</v>
      </c>
      <c r="K673" s="143" t="s">
        <v>2429</v>
      </c>
      <c r="L673" s="119" t="s">
        <v>2601</v>
      </c>
      <c r="M673" s="119">
        <v>4.1476969E7</v>
      </c>
      <c r="N673" s="119">
        <v>3.223252008E9</v>
      </c>
      <c r="O673" s="417"/>
      <c r="P673" s="367"/>
      <c r="Q673" s="367"/>
      <c r="R673" s="367"/>
      <c r="S673" s="367"/>
      <c r="T673" s="367"/>
      <c r="U673" s="367"/>
      <c r="V673" s="367"/>
      <c r="W673" s="367"/>
      <c r="X673" s="367"/>
      <c r="Y673" s="367"/>
      <c r="Z673" s="367"/>
    </row>
    <row r="674">
      <c r="A674" s="143" t="s">
        <v>2581</v>
      </c>
      <c r="B674" s="383">
        <v>2025.0</v>
      </c>
      <c r="C674" s="384" t="s">
        <v>711</v>
      </c>
      <c r="D674" s="385" t="s">
        <v>133</v>
      </c>
      <c r="E674" s="386"/>
      <c r="F674" s="384" t="s">
        <v>10</v>
      </c>
      <c r="G674" s="384" t="s">
        <v>1756</v>
      </c>
      <c r="H674" s="387" t="s">
        <v>2582</v>
      </c>
      <c r="I674" s="384" t="s">
        <v>58</v>
      </c>
      <c r="J674" s="384" t="s">
        <v>1757</v>
      </c>
      <c r="K674" s="143" t="s">
        <v>2429</v>
      </c>
      <c r="L674" s="119" t="s">
        <v>2602</v>
      </c>
      <c r="M674" s="119">
        <v>1.944605E7</v>
      </c>
      <c r="N674" s="119">
        <v>3.202516843E9</v>
      </c>
      <c r="O674" s="417"/>
      <c r="P674" s="367"/>
      <c r="Q674" s="367"/>
      <c r="R674" s="367"/>
      <c r="S674" s="367"/>
      <c r="T674" s="367"/>
      <c r="U674" s="367"/>
      <c r="V674" s="367"/>
      <c r="W674" s="367"/>
      <c r="X674" s="367"/>
      <c r="Y674" s="367"/>
      <c r="Z674" s="367"/>
    </row>
    <row r="675">
      <c r="A675" s="143" t="s">
        <v>2581</v>
      </c>
      <c r="B675" s="383">
        <v>2025.0</v>
      </c>
      <c r="C675" s="384" t="s">
        <v>711</v>
      </c>
      <c r="D675" s="385" t="s">
        <v>133</v>
      </c>
      <c r="E675" s="386"/>
      <c r="F675" s="384" t="s">
        <v>10</v>
      </c>
      <c r="G675" s="384" t="s">
        <v>1756</v>
      </c>
      <c r="H675" s="387" t="s">
        <v>2582</v>
      </c>
      <c r="I675" s="384" t="s">
        <v>58</v>
      </c>
      <c r="J675" s="384" t="s">
        <v>1757</v>
      </c>
      <c r="K675" s="143" t="s">
        <v>2429</v>
      </c>
      <c r="L675" s="425" t="s">
        <v>2603</v>
      </c>
      <c r="M675" s="405">
        <v>1.012397755E9</v>
      </c>
      <c r="N675" s="405">
        <v>3.123912766E9</v>
      </c>
      <c r="O675" s="367"/>
      <c r="P675" s="367"/>
      <c r="Q675" s="367"/>
      <c r="R675" s="367"/>
      <c r="S675" s="367"/>
      <c r="T675" s="367"/>
      <c r="U675" s="367"/>
      <c r="V675" s="367"/>
      <c r="W675" s="367"/>
      <c r="X675" s="367"/>
      <c r="Y675" s="367"/>
      <c r="Z675" s="367"/>
    </row>
    <row r="676">
      <c r="A676" s="143" t="s">
        <v>2581</v>
      </c>
      <c r="B676" s="383">
        <v>2025.0</v>
      </c>
      <c r="C676" s="384" t="s">
        <v>711</v>
      </c>
      <c r="D676" s="385" t="s">
        <v>133</v>
      </c>
      <c r="E676" s="386"/>
      <c r="F676" s="384" t="s">
        <v>10</v>
      </c>
      <c r="G676" s="384" t="s">
        <v>1756</v>
      </c>
      <c r="H676" s="387" t="s">
        <v>2582</v>
      </c>
      <c r="I676" s="384" t="s">
        <v>58</v>
      </c>
      <c r="J676" s="384" t="s">
        <v>1757</v>
      </c>
      <c r="K676" s="143" t="s">
        <v>2429</v>
      </c>
      <c r="L676" s="379" t="s">
        <v>2604</v>
      </c>
      <c r="M676" s="143">
        <v>4.1460758E7</v>
      </c>
      <c r="N676" s="143">
        <v>3.118312434E9</v>
      </c>
      <c r="O676" s="367"/>
      <c r="P676" s="367"/>
      <c r="Q676" s="367"/>
      <c r="R676" s="367"/>
      <c r="S676" s="367"/>
      <c r="T676" s="367"/>
      <c r="U676" s="367"/>
      <c r="V676" s="367"/>
      <c r="W676" s="367"/>
      <c r="X676" s="367"/>
      <c r="Y676" s="367"/>
      <c r="Z676" s="367"/>
    </row>
    <row r="677">
      <c r="A677" s="143" t="s">
        <v>2581</v>
      </c>
      <c r="B677" s="383">
        <v>2025.0</v>
      </c>
      <c r="C677" s="384" t="s">
        <v>711</v>
      </c>
      <c r="D677" s="385" t="s">
        <v>133</v>
      </c>
      <c r="E677" s="386"/>
      <c r="F677" s="384" t="s">
        <v>10</v>
      </c>
      <c r="G677" s="384" t="s">
        <v>1756</v>
      </c>
      <c r="H677" s="387" t="s">
        <v>2582</v>
      </c>
      <c r="I677" s="384" t="s">
        <v>58</v>
      </c>
      <c r="J677" s="384" t="s">
        <v>1757</v>
      </c>
      <c r="K677" s="143" t="s">
        <v>2429</v>
      </c>
      <c r="L677" s="379" t="s">
        <v>2605</v>
      </c>
      <c r="M677" s="143">
        <v>6.4915311E7</v>
      </c>
      <c r="N677" s="143">
        <v>3.203557881E9</v>
      </c>
      <c r="O677" s="367"/>
      <c r="P677" s="367"/>
      <c r="Q677" s="367"/>
      <c r="R677" s="367"/>
      <c r="S677" s="367"/>
      <c r="T677" s="367"/>
      <c r="U677" s="367"/>
      <c r="V677" s="367"/>
      <c r="W677" s="367"/>
      <c r="X677" s="367"/>
      <c r="Y677" s="367"/>
      <c r="Z677" s="367"/>
    </row>
    <row r="678">
      <c r="A678" s="143" t="s">
        <v>2581</v>
      </c>
      <c r="B678" s="383">
        <v>2025.0</v>
      </c>
      <c r="C678" s="384" t="s">
        <v>711</v>
      </c>
      <c r="D678" s="385" t="s">
        <v>133</v>
      </c>
      <c r="E678" s="386"/>
      <c r="F678" s="384" t="s">
        <v>10</v>
      </c>
      <c r="G678" s="384" t="s">
        <v>1756</v>
      </c>
      <c r="H678" s="387" t="s">
        <v>2582</v>
      </c>
      <c r="I678" s="384" t="s">
        <v>58</v>
      </c>
      <c r="J678" s="384" t="s">
        <v>1757</v>
      </c>
      <c r="K678" s="143" t="s">
        <v>2429</v>
      </c>
      <c r="L678" s="379" t="s">
        <v>2587</v>
      </c>
      <c r="M678" s="143">
        <v>1.9336292E7</v>
      </c>
      <c r="N678" s="143">
        <v>3.117273686E9</v>
      </c>
      <c r="O678" s="367"/>
      <c r="P678" s="367"/>
      <c r="Q678" s="367"/>
      <c r="R678" s="367"/>
      <c r="S678" s="367"/>
      <c r="T678" s="367"/>
      <c r="U678" s="367"/>
      <c r="V678" s="367"/>
      <c r="W678" s="367"/>
      <c r="X678" s="367"/>
      <c r="Y678" s="367"/>
      <c r="Z678" s="367"/>
    </row>
    <row r="679">
      <c r="A679" s="143" t="s">
        <v>2581</v>
      </c>
      <c r="B679" s="383">
        <v>2025.0</v>
      </c>
      <c r="C679" s="384" t="s">
        <v>711</v>
      </c>
      <c r="D679" s="385" t="s">
        <v>133</v>
      </c>
      <c r="E679" s="386"/>
      <c r="F679" s="384" t="s">
        <v>10</v>
      </c>
      <c r="G679" s="384" t="s">
        <v>1756</v>
      </c>
      <c r="H679" s="387" t="s">
        <v>2582</v>
      </c>
      <c r="I679" s="384" t="s">
        <v>58</v>
      </c>
      <c r="J679" s="384" t="s">
        <v>1757</v>
      </c>
      <c r="K679" s="143" t="s">
        <v>2429</v>
      </c>
      <c r="L679" s="379" t="s">
        <v>2586</v>
      </c>
      <c r="M679" s="143">
        <v>5.2176562E7</v>
      </c>
      <c r="N679" s="143">
        <v>3.204942682E9</v>
      </c>
      <c r="O679" s="367"/>
      <c r="P679" s="367"/>
      <c r="Q679" s="367"/>
      <c r="R679" s="367"/>
      <c r="S679" s="367"/>
      <c r="T679" s="367"/>
      <c r="U679" s="367"/>
      <c r="V679" s="367"/>
      <c r="W679" s="367"/>
      <c r="X679" s="367"/>
      <c r="Y679" s="367"/>
      <c r="Z679" s="367"/>
    </row>
    <row r="680">
      <c r="A680" s="143" t="s">
        <v>2581</v>
      </c>
      <c r="B680" s="383">
        <v>2025.0</v>
      </c>
      <c r="C680" s="384" t="s">
        <v>711</v>
      </c>
      <c r="D680" s="385" t="s">
        <v>133</v>
      </c>
      <c r="E680" s="386"/>
      <c r="F680" s="384" t="s">
        <v>10</v>
      </c>
      <c r="G680" s="384" t="s">
        <v>1756</v>
      </c>
      <c r="H680" s="387" t="s">
        <v>2582</v>
      </c>
      <c r="I680" s="384" t="s">
        <v>58</v>
      </c>
      <c r="J680" s="384" t="s">
        <v>1757</v>
      </c>
      <c r="K680" s="143" t="s">
        <v>2429</v>
      </c>
      <c r="L680" s="379" t="s">
        <v>2606</v>
      </c>
      <c r="M680" s="143">
        <v>1.9231585E7</v>
      </c>
      <c r="N680" s="143">
        <v>3.502568867E9</v>
      </c>
      <c r="O680" s="367"/>
      <c r="P680" s="367"/>
      <c r="Q680" s="367"/>
      <c r="R680" s="367"/>
      <c r="S680" s="367"/>
      <c r="T680" s="367"/>
      <c r="U680" s="367"/>
      <c r="V680" s="367"/>
      <c r="W680" s="367"/>
      <c r="X680" s="367"/>
      <c r="Y680" s="367"/>
      <c r="Z680" s="367"/>
    </row>
    <row r="681">
      <c r="A681" s="143" t="s">
        <v>2581</v>
      </c>
      <c r="B681" s="383">
        <v>2025.0</v>
      </c>
      <c r="C681" s="384" t="s">
        <v>711</v>
      </c>
      <c r="D681" s="385" t="s">
        <v>133</v>
      </c>
      <c r="E681" s="386"/>
      <c r="F681" s="384" t="s">
        <v>10</v>
      </c>
      <c r="G681" s="384" t="s">
        <v>1756</v>
      </c>
      <c r="H681" s="387" t="s">
        <v>2582</v>
      </c>
      <c r="I681" s="384" t="s">
        <v>58</v>
      </c>
      <c r="J681" s="384" t="s">
        <v>1757</v>
      </c>
      <c r="K681" s="143" t="s">
        <v>2429</v>
      </c>
      <c r="L681" s="379" t="s">
        <v>1669</v>
      </c>
      <c r="M681" s="143">
        <v>8.0832091E7</v>
      </c>
      <c r="N681" s="143">
        <v>3.214929228E9</v>
      </c>
      <c r="O681" s="367"/>
      <c r="P681" s="367"/>
      <c r="Q681" s="367"/>
      <c r="R681" s="367"/>
      <c r="S681" s="367"/>
      <c r="T681" s="367"/>
      <c r="U681" s="367"/>
      <c r="V681" s="367"/>
      <c r="W681" s="367"/>
      <c r="X681" s="367"/>
      <c r="Y681" s="367"/>
      <c r="Z681" s="367"/>
    </row>
    <row r="682">
      <c r="A682" s="143" t="s">
        <v>2581</v>
      </c>
      <c r="B682" s="383">
        <v>2025.0</v>
      </c>
      <c r="C682" s="384" t="s">
        <v>711</v>
      </c>
      <c r="D682" s="385" t="s">
        <v>133</v>
      </c>
      <c r="E682" s="386"/>
      <c r="F682" s="384" t="s">
        <v>10</v>
      </c>
      <c r="G682" s="384" t="s">
        <v>1756</v>
      </c>
      <c r="H682" s="387" t="s">
        <v>2582</v>
      </c>
      <c r="I682" s="384" t="s">
        <v>58</v>
      </c>
      <c r="J682" s="384" t="s">
        <v>1757</v>
      </c>
      <c r="K682" s="143" t="s">
        <v>2429</v>
      </c>
      <c r="L682" s="379" t="s">
        <v>2607</v>
      </c>
      <c r="M682" s="143">
        <v>5.1919633E7</v>
      </c>
      <c r="N682" s="143">
        <v>3.135098206E9</v>
      </c>
      <c r="O682" s="367"/>
      <c r="P682" s="367"/>
      <c r="Q682" s="367"/>
      <c r="R682" s="367"/>
      <c r="S682" s="367"/>
      <c r="T682" s="367"/>
      <c r="U682" s="367"/>
      <c r="V682" s="367"/>
      <c r="W682" s="367"/>
      <c r="X682" s="367"/>
      <c r="Y682" s="367"/>
      <c r="Z682" s="367"/>
    </row>
    <row r="683">
      <c r="A683" s="143" t="s">
        <v>2581</v>
      </c>
      <c r="B683" s="383">
        <v>2025.0</v>
      </c>
      <c r="C683" s="384" t="s">
        <v>711</v>
      </c>
      <c r="D683" s="385" t="s">
        <v>133</v>
      </c>
      <c r="E683" s="386"/>
      <c r="F683" s="384" t="s">
        <v>10</v>
      </c>
      <c r="G683" s="384" t="s">
        <v>1756</v>
      </c>
      <c r="H683" s="387" t="s">
        <v>2582</v>
      </c>
      <c r="I683" s="384" t="s">
        <v>58</v>
      </c>
      <c r="J683" s="384" t="s">
        <v>1757</v>
      </c>
      <c r="K683" s="143" t="s">
        <v>2429</v>
      </c>
      <c r="L683" s="379" t="s">
        <v>2608</v>
      </c>
      <c r="M683" s="143">
        <v>6.3364228E7</v>
      </c>
      <c r="N683" s="143">
        <v>3.114825709E9</v>
      </c>
      <c r="O683" s="367"/>
      <c r="P683" s="367"/>
      <c r="Q683" s="367"/>
      <c r="R683" s="367"/>
      <c r="S683" s="367"/>
      <c r="T683" s="367"/>
      <c r="U683" s="367"/>
      <c r="V683" s="367"/>
      <c r="W683" s="367"/>
      <c r="X683" s="367"/>
      <c r="Y683" s="367"/>
      <c r="Z683" s="367"/>
    </row>
    <row r="684">
      <c r="A684" s="143" t="s">
        <v>2581</v>
      </c>
      <c r="B684" s="383">
        <v>2025.0</v>
      </c>
      <c r="C684" s="384" t="s">
        <v>711</v>
      </c>
      <c r="D684" s="385" t="s">
        <v>133</v>
      </c>
      <c r="E684" s="386"/>
      <c r="F684" s="384" t="s">
        <v>10</v>
      </c>
      <c r="G684" s="384" t="s">
        <v>1756</v>
      </c>
      <c r="H684" s="387" t="s">
        <v>2582</v>
      </c>
      <c r="I684" s="384" t="s">
        <v>58</v>
      </c>
      <c r="J684" s="384" t="s">
        <v>1757</v>
      </c>
      <c r="K684" s="143" t="s">
        <v>2429</v>
      </c>
      <c r="L684" s="379" t="s">
        <v>2609</v>
      </c>
      <c r="M684" s="143">
        <v>3.8281782E7</v>
      </c>
      <c r="N684" s="143">
        <v>3.132286812E9</v>
      </c>
      <c r="O684" s="367"/>
      <c r="P684" s="367"/>
      <c r="Q684" s="367"/>
      <c r="R684" s="367"/>
      <c r="S684" s="367"/>
      <c r="T684" s="367"/>
      <c r="U684" s="367"/>
      <c r="V684" s="367"/>
      <c r="W684" s="367"/>
      <c r="X684" s="367"/>
      <c r="Y684" s="367"/>
      <c r="Z684" s="367"/>
    </row>
    <row r="685">
      <c r="A685" s="143" t="s">
        <v>2581</v>
      </c>
      <c r="B685" s="383">
        <v>2025.0</v>
      </c>
      <c r="C685" s="384" t="s">
        <v>711</v>
      </c>
      <c r="D685" s="385" t="s">
        <v>133</v>
      </c>
      <c r="E685" s="386"/>
      <c r="F685" s="384" t="s">
        <v>10</v>
      </c>
      <c r="G685" s="384" t="s">
        <v>1756</v>
      </c>
      <c r="H685" s="387" t="s">
        <v>2582</v>
      </c>
      <c r="I685" s="384" t="s">
        <v>58</v>
      </c>
      <c r="J685" s="384" t="s">
        <v>1757</v>
      </c>
      <c r="K685" s="143" t="s">
        <v>2429</v>
      </c>
      <c r="L685" s="379" t="s">
        <v>2610</v>
      </c>
      <c r="M685" s="143">
        <v>5.1741593E7</v>
      </c>
      <c r="N685" s="143">
        <v>3.207985943E9</v>
      </c>
      <c r="O685" s="367"/>
      <c r="P685" s="367"/>
      <c r="Q685" s="367"/>
      <c r="R685" s="367"/>
      <c r="S685" s="367"/>
      <c r="T685" s="367"/>
      <c r="U685" s="367"/>
      <c r="V685" s="367"/>
      <c r="W685" s="367"/>
      <c r="X685" s="367"/>
      <c r="Y685" s="367"/>
      <c r="Z685" s="367"/>
    </row>
    <row r="686">
      <c r="A686" s="143" t="s">
        <v>2581</v>
      </c>
      <c r="B686" s="383">
        <v>2025.0</v>
      </c>
      <c r="C686" s="384" t="s">
        <v>711</v>
      </c>
      <c r="D686" s="385" t="s">
        <v>133</v>
      </c>
      <c r="E686" s="386"/>
      <c r="F686" s="384" t="s">
        <v>10</v>
      </c>
      <c r="G686" s="384" t="s">
        <v>1756</v>
      </c>
      <c r="H686" s="387" t="s">
        <v>2582</v>
      </c>
      <c r="I686" s="384" t="s">
        <v>58</v>
      </c>
      <c r="J686" s="384" t="s">
        <v>1757</v>
      </c>
      <c r="K686" s="143" t="s">
        <v>2429</v>
      </c>
      <c r="L686" s="379" t="s">
        <v>2543</v>
      </c>
      <c r="M686" s="143">
        <v>4.1476967E7</v>
      </c>
      <c r="N686" s="143">
        <v>3.223252008E9</v>
      </c>
      <c r="O686" s="367"/>
      <c r="P686" s="367"/>
      <c r="Q686" s="367"/>
      <c r="R686" s="367"/>
      <c r="S686" s="367"/>
      <c r="T686" s="367"/>
      <c r="U686" s="367"/>
      <c r="V686" s="367"/>
      <c r="W686" s="367"/>
      <c r="X686" s="367"/>
      <c r="Y686" s="367"/>
      <c r="Z686" s="367"/>
    </row>
    <row r="687">
      <c r="A687" s="143" t="s">
        <v>2581</v>
      </c>
      <c r="B687" s="383">
        <v>2025.0</v>
      </c>
      <c r="C687" s="384" t="s">
        <v>711</v>
      </c>
      <c r="D687" s="385" t="s">
        <v>133</v>
      </c>
      <c r="E687" s="386"/>
      <c r="F687" s="384" t="s">
        <v>10</v>
      </c>
      <c r="G687" s="384" t="s">
        <v>1756</v>
      </c>
      <c r="H687" s="387" t="s">
        <v>2582</v>
      </c>
      <c r="I687" s="384" t="s">
        <v>58</v>
      </c>
      <c r="J687" s="384" t="s">
        <v>1757</v>
      </c>
      <c r="K687" s="143" t="s">
        <v>2429</v>
      </c>
      <c r="L687" s="379" t="s">
        <v>2611</v>
      </c>
      <c r="M687" s="143">
        <v>7.144356E7</v>
      </c>
      <c r="N687" s="143">
        <v>3.14725806E9</v>
      </c>
      <c r="O687" s="367"/>
      <c r="P687" s="367"/>
      <c r="Q687" s="367"/>
      <c r="R687" s="367"/>
      <c r="S687" s="367"/>
      <c r="T687" s="367"/>
      <c r="U687" s="367"/>
      <c r="V687" s="367"/>
      <c r="W687" s="367"/>
      <c r="X687" s="367"/>
      <c r="Y687" s="367"/>
      <c r="Z687" s="367"/>
    </row>
    <row r="688">
      <c r="A688" s="143" t="s">
        <v>2581</v>
      </c>
      <c r="B688" s="383">
        <v>2025.0</v>
      </c>
      <c r="C688" s="384" t="s">
        <v>711</v>
      </c>
      <c r="D688" s="385" t="s">
        <v>133</v>
      </c>
      <c r="E688" s="386"/>
      <c r="F688" s="384" t="s">
        <v>10</v>
      </c>
      <c r="G688" s="384" t="s">
        <v>1756</v>
      </c>
      <c r="H688" s="387" t="s">
        <v>2582</v>
      </c>
      <c r="I688" s="384" t="s">
        <v>58</v>
      </c>
      <c r="J688" s="384" t="s">
        <v>1757</v>
      </c>
      <c r="K688" s="143" t="s">
        <v>2429</v>
      </c>
      <c r="L688" s="379" t="s">
        <v>2612</v>
      </c>
      <c r="M688" s="143">
        <v>2.0069249E7</v>
      </c>
      <c r="N688" s="143">
        <v>3.123557422E9</v>
      </c>
      <c r="O688" s="367"/>
      <c r="P688" s="367"/>
      <c r="Q688" s="367"/>
      <c r="R688" s="367"/>
      <c r="S688" s="367"/>
      <c r="T688" s="367"/>
      <c r="U688" s="367"/>
      <c r="V688" s="367"/>
      <c r="W688" s="367"/>
      <c r="X688" s="367"/>
      <c r="Y688" s="367"/>
      <c r="Z688" s="367"/>
    </row>
    <row r="689">
      <c r="A689" s="143" t="s">
        <v>2581</v>
      </c>
      <c r="B689" s="383">
        <v>2025.0</v>
      </c>
      <c r="C689" s="384" t="s">
        <v>711</v>
      </c>
      <c r="D689" s="385" t="s">
        <v>133</v>
      </c>
      <c r="E689" s="386"/>
      <c r="F689" s="384" t="s">
        <v>10</v>
      </c>
      <c r="G689" s="384" t="s">
        <v>1756</v>
      </c>
      <c r="H689" s="387" t="s">
        <v>2582</v>
      </c>
      <c r="I689" s="384" t="s">
        <v>58</v>
      </c>
      <c r="J689" s="384" t="s">
        <v>1757</v>
      </c>
      <c r="K689" s="143" t="s">
        <v>2429</v>
      </c>
      <c r="L689" s="388" t="s">
        <v>2613</v>
      </c>
      <c r="M689" s="387">
        <v>2.0291126E7</v>
      </c>
      <c r="N689" s="387">
        <v>3.14200701E9</v>
      </c>
      <c r="O689" s="382"/>
      <c r="P689" s="382"/>
      <c r="Q689" s="382"/>
      <c r="R689" s="382"/>
      <c r="S689" s="382"/>
      <c r="T689" s="382"/>
      <c r="U689" s="382"/>
      <c r="V689" s="382"/>
      <c r="W689" s="382"/>
      <c r="X689" s="382"/>
      <c r="Y689" s="382"/>
      <c r="Z689" s="382"/>
    </row>
    <row r="690">
      <c r="A690" s="390"/>
      <c r="B690" s="390"/>
      <c r="C690" s="390"/>
      <c r="D690" s="390"/>
      <c r="E690" s="402"/>
      <c r="F690" s="390"/>
      <c r="G690" s="390"/>
      <c r="H690" s="390"/>
      <c r="I690" s="390"/>
      <c r="J690" s="390"/>
      <c r="K690" s="428"/>
      <c r="L690" s="408" t="s">
        <v>2614</v>
      </c>
      <c r="M690" s="408">
        <v>7.9340418E7</v>
      </c>
      <c r="N690" s="408">
        <v>3.144745669E9</v>
      </c>
      <c r="O690" s="416"/>
      <c r="P690" s="390"/>
      <c r="Q690" s="390"/>
      <c r="R690" s="390"/>
      <c r="S690" s="390"/>
      <c r="T690" s="390"/>
      <c r="U690" s="390"/>
      <c r="V690" s="390"/>
      <c r="W690" s="390"/>
      <c r="X690" s="390"/>
      <c r="Y690" s="390"/>
      <c r="Z690" s="390"/>
    </row>
    <row r="691">
      <c r="A691" s="367"/>
      <c r="B691" s="367"/>
      <c r="C691" s="367"/>
      <c r="D691" s="367"/>
      <c r="E691" s="375"/>
      <c r="F691" s="367"/>
      <c r="G691" s="367"/>
      <c r="H691" s="367"/>
      <c r="I691" s="367"/>
      <c r="J691" s="367"/>
      <c r="K691" s="429"/>
      <c r="L691" s="119" t="s">
        <v>2615</v>
      </c>
      <c r="M691" s="119">
        <v>7.9612442E7</v>
      </c>
      <c r="N691" s="119">
        <v>3.01754921E9</v>
      </c>
      <c r="O691" s="417"/>
      <c r="P691" s="367"/>
      <c r="Q691" s="367"/>
      <c r="R691" s="367"/>
      <c r="S691" s="367"/>
      <c r="T691" s="367"/>
      <c r="U691" s="367"/>
      <c r="V691" s="367"/>
      <c r="W691" s="367"/>
      <c r="X691" s="367"/>
      <c r="Y691" s="367"/>
      <c r="Z691" s="367"/>
    </row>
    <row r="692">
      <c r="A692" s="367"/>
      <c r="B692" s="367"/>
      <c r="C692" s="367"/>
      <c r="D692" s="367"/>
      <c r="E692" s="375"/>
      <c r="F692" s="367"/>
      <c r="G692" s="367"/>
      <c r="H692" s="367"/>
      <c r="I692" s="367"/>
      <c r="J692" s="367"/>
      <c r="K692" s="429"/>
      <c r="L692" s="119" t="s">
        <v>2616</v>
      </c>
      <c r="M692" s="119">
        <v>5891947.0</v>
      </c>
      <c r="N692" s="119">
        <v>3.243933359E9</v>
      </c>
      <c r="O692" s="417"/>
      <c r="P692" s="367"/>
      <c r="Q692" s="367"/>
      <c r="R692" s="367"/>
      <c r="S692" s="367"/>
      <c r="T692" s="367"/>
      <c r="U692" s="367"/>
      <c r="V692" s="367"/>
      <c r="W692" s="367"/>
      <c r="X692" s="367"/>
      <c r="Y692" s="367"/>
      <c r="Z692" s="367"/>
    </row>
    <row r="693">
      <c r="A693" s="367"/>
      <c r="B693" s="367"/>
      <c r="C693" s="367"/>
      <c r="D693" s="367"/>
      <c r="E693" s="375"/>
      <c r="F693" s="367"/>
      <c r="G693" s="367"/>
      <c r="H693" s="367"/>
      <c r="I693" s="367"/>
      <c r="J693" s="367"/>
      <c r="K693" s="429"/>
      <c r="L693" s="119" t="s">
        <v>2617</v>
      </c>
      <c r="M693" s="119">
        <v>1260274.0</v>
      </c>
      <c r="N693" s="119">
        <v>3.052011906E9</v>
      </c>
      <c r="O693" s="417"/>
      <c r="P693" s="367"/>
      <c r="Q693" s="367"/>
      <c r="R693" s="367"/>
      <c r="S693" s="367"/>
      <c r="T693" s="367"/>
      <c r="U693" s="367"/>
      <c r="V693" s="367"/>
      <c r="W693" s="367"/>
      <c r="X693" s="367"/>
      <c r="Y693" s="367"/>
      <c r="Z693" s="367"/>
    </row>
    <row r="694">
      <c r="A694" s="367"/>
      <c r="B694" s="367"/>
      <c r="C694" s="367"/>
      <c r="D694" s="367"/>
      <c r="E694" s="375"/>
      <c r="F694" s="367"/>
      <c r="G694" s="367"/>
      <c r="H694" s="367"/>
      <c r="I694" s="367"/>
      <c r="J694" s="367"/>
      <c r="K694" s="429"/>
      <c r="L694" s="119" t="s">
        <v>2618</v>
      </c>
      <c r="M694" s="119">
        <v>2.0811136E7</v>
      </c>
      <c r="N694" s="119">
        <v>3.057708288E9</v>
      </c>
      <c r="O694" s="417"/>
      <c r="P694" s="367"/>
      <c r="Q694" s="367"/>
      <c r="R694" s="367"/>
      <c r="S694" s="367"/>
      <c r="T694" s="367"/>
      <c r="U694" s="367"/>
      <c r="V694" s="367"/>
      <c r="W694" s="367"/>
      <c r="X694" s="367"/>
      <c r="Y694" s="367"/>
      <c r="Z694" s="367"/>
    </row>
    <row r="695">
      <c r="A695" s="367"/>
      <c r="B695" s="367"/>
      <c r="C695" s="367"/>
      <c r="D695" s="367"/>
      <c r="E695" s="375"/>
      <c r="F695" s="367"/>
      <c r="G695" s="367"/>
      <c r="H695" s="367"/>
      <c r="I695" s="367"/>
      <c r="J695" s="367"/>
      <c r="K695" s="429"/>
      <c r="L695" s="119" t="s">
        <v>2619</v>
      </c>
      <c r="M695" s="119">
        <v>1.077876893E9</v>
      </c>
      <c r="N695" s="119">
        <v>3.209824733E9</v>
      </c>
      <c r="O695" s="417"/>
      <c r="P695" s="367"/>
      <c r="Q695" s="367"/>
      <c r="R695" s="367"/>
      <c r="S695" s="367"/>
      <c r="T695" s="367"/>
      <c r="U695" s="367"/>
      <c r="V695" s="367"/>
      <c r="W695" s="367"/>
      <c r="X695" s="367"/>
      <c r="Y695" s="367"/>
      <c r="Z695" s="367"/>
    </row>
    <row r="696">
      <c r="A696" s="367"/>
      <c r="B696" s="367"/>
      <c r="C696" s="367"/>
      <c r="D696" s="367"/>
      <c r="E696" s="375"/>
      <c r="F696" s="367"/>
      <c r="G696" s="367"/>
      <c r="H696" s="367"/>
      <c r="I696" s="367"/>
      <c r="J696" s="367"/>
      <c r="K696" s="367"/>
      <c r="L696" s="425" t="s">
        <v>2620</v>
      </c>
      <c r="M696" s="405">
        <v>2.8741097E7</v>
      </c>
      <c r="N696" s="405">
        <v>3.144795669E9</v>
      </c>
      <c r="O696" s="367"/>
      <c r="P696" s="367"/>
      <c r="Q696" s="367"/>
      <c r="R696" s="367"/>
      <c r="S696" s="367"/>
      <c r="T696" s="367"/>
      <c r="U696" s="367"/>
      <c r="V696" s="367"/>
      <c r="W696" s="367"/>
      <c r="X696" s="367"/>
      <c r="Y696" s="367"/>
      <c r="Z696" s="367"/>
    </row>
    <row r="697">
      <c r="A697" s="367"/>
      <c r="B697" s="367"/>
      <c r="C697" s="367"/>
      <c r="D697" s="367"/>
      <c r="E697" s="375"/>
      <c r="F697" s="367"/>
      <c r="G697" s="367"/>
      <c r="H697" s="367"/>
      <c r="I697" s="367"/>
      <c r="J697" s="367"/>
      <c r="K697" s="367"/>
      <c r="L697" s="379" t="s">
        <v>2621</v>
      </c>
      <c r="M697" s="143">
        <v>1.0142914E7</v>
      </c>
      <c r="N697" s="143">
        <v>3.134031402E9</v>
      </c>
      <c r="O697" s="367"/>
      <c r="P697" s="367"/>
      <c r="Q697" s="367"/>
      <c r="R697" s="367"/>
      <c r="S697" s="367"/>
      <c r="T697" s="367"/>
      <c r="U697" s="367"/>
      <c r="V697" s="367"/>
      <c r="W697" s="367"/>
      <c r="X697" s="367"/>
      <c r="Y697" s="367"/>
      <c r="Z697" s="367"/>
    </row>
    <row r="698">
      <c r="A698" s="367"/>
      <c r="B698" s="367"/>
      <c r="C698" s="367"/>
      <c r="D698" s="367"/>
      <c r="E698" s="375"/>
      <c r="F698" s="367"/>
      <c r="G698" s="367"/>
      <c r="H698" s="367"/>
      <c r="I698" s="367"/>
      <c r="J698" s="367"/>
      <c r="K698" s="367"/>
      <c r="L698" s="379" t="s">
        <v>2622</v>
      </c>
      <c r="M698" s="143">
        <v>5.298336E7</v>
      </c>
      <c r="N698" s="143">
        <v>3.18401864E8</v>
      </c>
      <c r="O698" s="367"/>
      <c r="P698" s="367"/>
      <c r="Q698" s="367"/>
      <c r="R698" s="367"/>
      <c r="S698" s="367"/>
      <c r="T698" s="367"/>
      <c r="U698" s="367"/>
      <c r="V698" s="367"/>
      <c r="W698" s="367"/>
      <c r="X698" s="367"/>
      <c r="Y698" s="367"/>
      <c r="Z698" s="367"/>
    </row>
    <row r="699">
      <c r="A699" s="367"/>
      <c r="B699" s="367"/>
      <c r="C699" s="367"/>
      <c r="D699" s="367"/>
      <c r="E699" s="375"/>
      <c r="F699" s="367"/>
      <c r="G699" s="367"/>
      <c r="H699" s="367"/>
      <c r="I699" s="367"/>
      <c r="J699" s="367"/>
      <c r="K699" s="367"/>
      <c r="L699" s="379" t="s">
        <v>2623</v>
      </c>
      <c r="M699" s="143">
        <v>1.022931913E9</v>
      </c>
      <c r="N699" s="143">
        <v>3.134602483E9</v>
      </c>
      <c r="O699" s="367"/>
      <c r="P699" s="367"/>
      <c r="Q699" s="367"/>
      <c r="R699" s="367"/>
      <c r="S699" s="367"/>
      <c r="T699" s="367"/>
      <c r="U699" s="367"/>
      <c r="V699" s="367"/>
      <c r="W699" s="367"/>
      <c r="X699" s="367"/>
      <c r="Y699" s="367"/>
      <c r="Z699" s="367"/>
    </row>
    <row r="700">
      <c r="A700" s="367"/>
      <c r="B700" s="367"/>
      <c r="C700" s="367"/>
      <c r="D700" s="367"/>
      <c r="E700" s="375"/>
      <c r="F700" s="367"/>
      <c r="G700" s="367"/>
      <c r="H700" s="367"/>
      <c r="I700" s="367"/>
      <c r="J700" s="367"/>
      <c r="K700" s="367"/>
      <c r="L700" s="379" t="s">
        <v>2624</v>
      </c>
      <c r="M700" s="143">
        <v>1.069724886E9</v>
      </c>
      <c r="N700" s="143">
        <v>3.217551673E9</v>
      </c>
      <c r="O700" s="367"/>
      <c r="P700" s="367"/>
      <c r="Q700" s="367"/>
      <c r="R700" s="367"/>
      <c r="S700" s="367"/>
      <c r="T700" s="367"/>
      <c r="U700" s="367"/>
      <c r="V700" s="367"/>
      <c r="W700" s="367"/>
      <c r="X700" s="367"/>
      <c r="Y700" s="367"/>
      <c r="Z700" s="367"/>
    </row>
    <row r="701">
      <c r="A701" s="367"/>
      <c r="B701" s="367"/>
      <c r="C701" s="367"/>
      <c r="D701" s="367"/>
      <c r="E701" s="375"/>
      <c r="F701" s="367"/>
      <c r="G701" s="367"/>
      <c r="H701" s="367"/>
      <c r="I701" s="367"/>
      <c r="J701" s="367"/>
      <c r="K701" s="367"/>
      <c r="L701" s="379" t="s">
        <v>2625</v>
      </c>
      <c r="M701" s="143">
        <v>5.303627E7</v>
      </c>
      <c r="N701" s="143">
        <v>3.204943395E9</v>
      </c>
      <c r="O701" s="367"/>
      <c r="P701" s="367"/>
      <c r="Q701" s="367"/>
      <c r="R701" s="367"/>
      <c r="S701" s="367"/>
      <c r="T701" s="367"/>
      <c r="U701" s="367"/>
      <c r="V701" s="367"/>
      <c r="W701" s="367"/>
      <c r="X701" s="367"/>
      <c r="Y701" s="367"/>
      <c r="Z701" s="367"/>
    </row>
    <row r="702">
      <c r="A702" s="367"/>
      <c r="B702" s="367"/>
      <c r="C702" s="367"/>
      <c r="D702" s="367"/>
      <c r="E702" s="375"/>
      <c r="F702" s="367"/>
      <c r="G702" s="367"/>
      <c r="H702" s="367"/>
      <c r="I702" s="367"/>
      <c r="J702" s="367"/>
      <c r="K702" s="367"/>
      <c r="L702" s="379" t="s">
        <v>2626</v>
      </c>
      <c r="M702" s="143">
        <v>1.020721206E9</v>
      </c>
      <c r="N702" s="143">
        <v>3.12463767E9</v>
      </c>
      <c r="O702" s="367"/>
      <c r="P702" s="367"/>
      <c r="Q702" s="367"/>
      <c r="R702" s="367"/>
      <c r="S702" s="367"/>
      <c r="T702" s="367"/>
      <c r="U702" s="367"/>
      <c r="V702" s="367"/>
      <c r="W702" s="367"/>
      <c r="X702" s="367"/>
      <c r="Y702" s="367"/>
      <c r="Z702" s="367"/>
    </row>
    <row r="703">
      <c r="A703" s="367"/>
      <c r="B703" s="367"/>
      <c r="C703" s="367"/>
      <c r="D703" s="367"/>
      <c r="E703" s="375"/>
      <c r="F703" s="367"/>
      <c r="G703" s="367"/>
      <c r="H703" s="367"/>
      <c r="I703" s="367"/>
      <c r="J703" s="367"/>
      <c r="K703" s="367"/>
      <c r="L703" s="379" t="s">
        <v>2627</v>
      </c>
      <c r="M703" s="143">
        <v>1.140428109E9</v>
      </c>
      <c r="N703" s="143">
        <v>3.103079628E9</v>
      </c>
      <c r="O703" s="367"/>
      <c r="P703" s="367"/>
      <c r="Q703" s="367"/>
      <c r="R703" s="367"/>
      <c r="S703" s="367"/>
      <c r="T703" s="367"/>
      <c r="U703" s="367"/>
      <c r="V703" s="367"/>
      <c r="W703" s="367"/>
      <c r="X703" s="367"/>
      <c r="Y703" s="367"/>
      <c r="Z703" s="367"/>
    </row>
    <row r="704">
      <c r="A704" s="367"/>
      <c r="B704" s="367"/>
      <c r="C704" s="367"/>
      <c r="D704" s="367"/>
      <c r="E704" s="375"/>
      <c r="F704" s="367"/>
      <c r="G704" s="367"/>
      <c r="H704" s="367"/>
      <c r="I704" s="367"/>
      <c r="J704" s="367"/>
      <c r="K704" s="367"/>
      <c r="L704" s="379" t="s">
        <v>2628</v>
      </c>
      <c r="M704" s="143">
        <v>1.030674901E9</v>
      </c>
      <c r="N704" s="143">
        <v>3.143348032E9</v>
      </c>
      <c r="O704" s="367"/>
      <c r="P704" s="367"/>
      <c r="Q704" s="367"/>
      <c r="R704" s="367"/>
      <c r="S704" s="367"/>
      <c r="T704" s="367"/>
      <c r="U704" s="367"/>
      <c r="V704" s="367"/>
      <c r="W704" s="367"/>
      <c r="X704" s="367"/>
      <c r="Y704" s="367"/>
      <c r="Z704" s="367"/>
    </row>
    <row r="705">
      <c r="A705" s="367"/>
      <c r="B705" s="367"/>
      <c r="C705" s="367"/>
      <c r="D705" s="367"/>
      <c r="E705" s="375"/>
      <c r="F705" s="367"/>
      <c r="G705" s="367"/>
      <c r="H705" s="367"/>
      <c r="I705" s="367"/>
      <c r="J705" s="367"/>
      <c r="K705" s="367"/>
      <c r="L705" s="379" t="s">
        <v>2629</v>
      </c>
      <c r="M705" s="143">
        <v>9657652.0</v>
      </c>
      <c r="N705" s="143">
        <v>3.202573318E9</v>
      </c>
      <c r="O705" s="367"/>
      <c r="P705" s="367"/>
      <c r="Q705" s="367"/>
      <c r="R705" s="367"/>
      <c r="S705" s="367"/>
      <c r="T705" s="367"/>
      <c r="U705" s="367"/>
      <c r="V705" s="367"/>
      <c r="W705" s="367"/>
      <c r="X705" s="367"/>
      <c r="Y705" s="367"/>
      <c r="Z705" s="367"/>
    </row>
    <row r="706">
      <c r="A706" s="367"/>
      <c r="B706" s="367"/>
      <c r="C706" s="367"/>
      <c r="D706" s="367"/>
      <c r="E706" s="375"/>
      <c r="F706" s="367"/>
      <c r="G706" s="367"/>
      <c r="H706" s="367"/>
      <c r="I706" s="367"/>
      <c r="J706" s="367"/>
      <c r="K706" s="367"/>
      <c r="L706" s="379" t="s">
        <v>2630</v>
      </c>
      <c r="M706" s="143">
        <v>1.15119188E8</v>
      </c>
      <c r="N706" s="143">
        <v>3.13235251E9</v>
      </c>
      <c r="O706" s="367"/>
      <c r="P706" s="367"/>
      <c r="Q706" s="367"/>
      <c r="R706" s="367"/>
      <c r="S706" s="367"/>
      <c r="T706" s="367"/>
      <c r="U706" s="367"/>
      <c r="V706" s="367"/>
      <c r="W706" s="367"/>
      <c r="X706" s="367"/>
      <c r="Y706" s="367"/>
      <c r="Z706" s="367"/>
    </row>
    <row r="707">
      <c r="A707" s="367"/>
      <c r="B707" s="367"/>
      <c r="C707" s="367"/>
      <c r="D707" s="367"/>
      <c r="E707" s="375"/>
      <c r="F707" s="367"/>
      <c r="G707" s="367"/>
      <c r="H707" s="367"/>
      <c r="I707" s="367"/>
      <c r="J707" s="367"/>
      <c r="K707" s="367"/>
      <c r="L707" s="379" t="s">
        <v>2631</v>
      </c>
      <c r="M707" s="143">
        <v>5.2066403E7</v>
      </c>
      <c r="N707" s="143">
        <v>3.115479027E9</v>
      </c>
      <c r="O707" s="367"/>
      <c r="P707" s="367"/>
      <c r="Q707" s="367"/>
      <c r="R707" s="367"/>
      <c r="S707" s="367"/>
      <c r="T707" s="367"/>
      <c r="U707" s="367"/>
      <c r="V707" s="367"/>
      <c r="W707" s="367"/>
      <c r="X707" s="367"/>
      <c r="Y707" s="367"/>
      <c r="Z707" s="367"/>
    </row>
    <row r="708">
      <c r="A708" s="367"/>
      <c r="B708" s="367"/>
      <c r="C708" s="367"/>
      <c r="D708" s="367"/>
      <c r="E708" s="375"/>
      <c r="F708" s="367"/>
      <c r="G708" s="367"/>
      <c r="H708" s="367"/>
      <c r="I708" s="367"/>
      <c r="J708" s="367"/>
      <c r="K708" s="367"/>
      <c r="L708" s="379" t="s">
        <v>2632</v>
      </c>
      <c r="M708" s="143">
        <v>5.2464974E7</v>
      </c>
      <c r="N708" s="143">
        <v>3.125832648E9</v>
      </c>
      <c r="O708" s="367"/>
      <c r="P708" s="367"/>
      <c r="Q708" s="367"/>
      <c r="R708" s="367"/>
      <c r="S708" s="367"/>
      <c r="T708" s="367"/>
      <c r="U708" s="367"/>
      <c r="V708" s="367"/>
      <c r="W708" s="367"/>
      <c r="X708" s="367"/>
      <c r="Y708" s="367"/>
      <c r="Z708" s="367"/>
    </row>
    <row r="709">
      <c r="A709" s="367"/>
      <c r="B709" s="367"/>
      <c r="C709" s="367"/>
      <c r="D709" s="367"/>
      <c r="E709" s="375"/>
      <c r="F709" s="367"/>
      <c r="G709" s="367"/>
      <c r="H709" s="367"/>
      <c r="I709" s="367"/>
      <c r="J709" s="367"/>
      <c r="K709" s="367"/>
      <c r="L709" s="379" t="s">
        <v>2633</v>
      </c>
      <c r="M709" s="143">
        <v>7.9697337E7</v>
      </c>
      <c r="N709" s="143">
        <v>3.142848439E9</v>
      </c>
      <c r="O709" s="367"/>
      <c r="P709" s="367"/>
      <c r="Q709" s="367"/>
      <c r="R709" s="367"/>
      <c r="S709" s="367"/>
      <c r="T709" s="367"/>
      <c r="U709" s="367"/>
      <c r="V709" s="367"/>
      <c r="W709" s="367"/>
      <c r="X709" s="367"/>
      <c r="Y709" s="367"/>
      <c r="Z709" s="367"/>
    </row>
    <row r="710">
      <c r="A710" s="367"/>
      <c r="B710" s="367"/>
      <c r="C710" s="367"/>
      <c r="D710" s="367"/>
      <c r="E710" s="375"/>
      <c r="F710" s="367"/>
      <c r="G710" s="367"/>
      <c r="H710" s="367"/>
      <c r="I710" s="367"/>
      <c r="J710" s="367"/>
      <c r="K710" s="367"/>
      <c r="L710" s="379" t="s">
        <v>2634</v>
      </c>
      <c r="M710" s="143">
        <v>3.5488928E7</v>
      </c>
      <c r="N710" s="143">
        <v>3.123391909E9</v>
      </c>
      <c r="O710" s="367"/>
      <c r="P710" s="367"/>
      <c r="Q710" s="367"/>
      <c r="R710" s="367"/>
      <c r="S710" s="367"/>
      <c r="T710" s="367"/>
      <c r="U710" s="367"/>
      <c r="V710" s="367"/>
      <c r="W710" s="367"/>
      <c r="X710" s="367"/>
      <c r="Y710" s="367"/>
      <c r="Z710" s="367"/>
    </row>
    <row r="711">
      <c r="A711" s="367"/>
      <c r="B711" s="367"/>
      <c r="C711" s="367"/>
      <c r="D711" s="367"/>
      <c r="E711" s="375"/>
      <c r="F711" s="367"/>
      <c r="G711" s="367"/>
      <c r="H711" s="367"/>
      <c r="I711" s="367"/>
      <c r="J711" s="367"/>
      <c r="K711" s="367"/>
      <c r="L711" s="379" t="s">
        <v>2635</v>
      </c>
      <c r="M711" s="143">
        <v>1.9056627E7</v>
      </c>
      <c r="N711" s="143">
        <v>3.158823511E9</v>
      </c>
      <c r="O711" s="367"/>
      <c r="P711" s="367"/>
      <c r="Q711" s="367"/>
      <c r="R711" s="367"/>
      <c r="S711" s="367"/>
      <c r="T711" s="367"/>
      <c r="U711" s="367"/>
      <c r="V711" s="367"/>
      <c r="W711" s="367"/>
      <c r="X711" s="367"/>
      <c r="Y711" s="367"/>
      <c r="Z711" s="367"/>
    </row>
    <row r="712">
      <c r="A712" s="367"/>
      <c r="B712" s="367"/>
      <c r="C712" s="367"/>
      <c r="D712" s="367"/>
      <c r="E712" s="375"/>
      <c r="F712" s="367"/>
      <c r="G712" s="367"/>
      <c r="H712" s="367"/>
      <c r="I712" s="367"/>
      <c r="J712" s="367"/>
      <c r="K712" s="367"/>
      <c r="L712" s="379" t="s">
        <v>2636</v>
      </c>
      <c r="M712" s="143">
        <v>5.2740383E7</v>
      </c>
      <c r="N712" s="143">
        <v>3.134291571E9</v>
      </c>
      <c r="O712" s="367"/>
      <c r="P712" s="367"/>
      <c r="Q712" s="367"/>
      <c r="R712" s="367"/>
      <c r="S712" s="367"/>
      <c r="T712" s="367"/>
      <c r="U712" s="367"/>
      <c r="V712" s="367"/>
      <c r="W712" s="367"/>
      <c r="X712" s="367"/>
      <c r="Y712" s="367"/>
      <c r="Z712" s="367"/>
    </row>
    <row r="713">
      <c r="A713" s="367"/>
      <c r="B713" s="367"/>
      <c r="C713" s="367"/>
      <c r="D713" s="367"/>
      <c r="E713" s="375"/>
      <c r="F713" s="367"/>
      <c r="G713" s="367"/>
      <c r="H713" s="367"/>
      <c r="I713" s="367"/>
      <c r="J713" s="367"/>
      <c r="K713" s="367"/>
      <c r="L713" s="379" t="s">
        <v>2637</v>
      </c>
      <c r="M713" s="143">
        <v>2.081118E7</v>
      </c>
      <c r="N713" s="143">
        <v>3.004299992E9</v>
      </c>
      <c r="O713" s="367"/>
      <c r="P713" s="367"/>
      <c r="Q713" s="367"/>
      <c r="R713" s="367"/>
      <c r="S713" s="367"/>
      <c r="T713" s="367"/>
      <c r="U713" s="367"/>
      <c r="V713" s="367"/>
      <c r="W713" s="367"/>
      <c r="X713" s="367"/>
      <c r="Y713" s="367"/>
      <c r="Z713" s="367"/>
    </row>
    <row r="714">
      <c r="A714" s="382"/>
      <c r="B714" s="382"/>
      <c r="C714" s="382"/>
      <c r="D714" s="382"/>
      <c r="E714" s="401"/>
      <c r="F714" s="382"/>
      <c r="G714" s="382"/>
      <c r="H714" s="382"/>
      <c r="I714" s="382"/>
      <c r="J714" s="382"/>
      <c r="K714" s="382"/>
      <c r="L714" s="388" t="s">
        <v>2638</v>
      </c>
      <c r="M714" s="387">
        <v>1.0588129E7</v>
      </c>
      <c r="N714" s="387">
        <v>3.017854118E9</v>
      </c>
      <c r="O714" s="382"/>
      <c r="P714" s="382"/>
      <c r="Q714" s="382"/>
      <c r="R714" s="382"/>
      <c r="S714" s="382"/>
      <c r="T714" s="382"/>
      <c r="U714" s="382"/>
      <c r="V714" s="382"/>
      <c r="W714" s="382"/>
      <c r="X714" s="382"/>
      <c r="Y714" s="382"/>
      <c r="Z714" s="382"/>
    </row>
    <row r="715">
      <c r="A715" s="395" t="s">
        <v>2639</v>
      </c>
      <c r="B715" s="412">
        <v>2026.0</v>
      </c>
      <c r="C715" s="413" t="s">
        <v>200</v>
      </c>
      <c r="D715" s="414" t="s">
        <v>55</v>
      </c>
      <c r="E715" s="415"/>
      <c r="F715" s="413" t="s">
        <v>10</v>
      </c>
      <c r="G715" s="413" t="s">
        <v>1756</v>
      </c>
      <c r="H715" s="411" t="s">
        <v>1395</v>
      </c>
      <c r="I715" s="413" t="s">
        <v>58</v>
      </c>
      <c r="J715" s="413" t="s">
        <v>1757</v>
      </c>
      <c r="K715" s="390"/>
      <c r="L715" s="396" t="s">
        <v>2276</v>
      </c>
      <c r="M715" s="395">
        <v>4239012.0</v>
      </c>
      <c r="N715" s="395">
        <v>3.005704933E9</v>
      </c>
      <c r="O715" s="390"/>
      <c r="P715" s="390"/>
      <c r="Q715" s="390"/>
      <c r="R715" s="390"/>
      <c r="S715" s="390"/>
      <c r="T715" s="390"/>
      <c r="U715" s="390"/>
      <c r="V715" s="390"/>
      <c r="W715" s="390"/>
      <c r="X715" s="390"/>
      <c r="Y715" s="390"/>
      <c r="Z715" s="390"/>
    </row>
    <row r="716">
      <c r="A716" s="143" t="s">
        <v>2639</v>
      </c>
      <c r="B716" s="383">
        <v>2026.0</v>
      </c>
      <c r="C716" s="384" t="s">
        <v>200</v>
      </c>
      <c r="D716" s="385" t="s">
        <v>55</v>
      </c>
      <c r="E716" s="386"/>
      <c r="F716" s="384" t="s">
        <v>10</v>
      </c>
      <c r="G716" s="384" t="s">
        <v>1756</v>
      </c>
      <c r="H716" s="387" t="s">
        <v>1395</v>
      </c>
      <c r="I716" s="384" t="s">
        <v>58</v>
      </c>
      <c r="J716" s="384" t="s">
        <v>1757</v>
      </c>
      <c r="K716" s="367"/>
      <c r="L716" s="379" t="s">
        <v>2277</v>
      </c>
      <c r="M716" s="143">
        <v>2.352158E7</v>
      </c>
      <c r="N716" s="143">
        <v>3.005588226E9</v>
      </c>
      <c r="O716" s="367"/>
      <c r="P716" s="367"/>
      <c r="Q716" s="367"/>
      <c r="R716" s="367"/>
      <c r="S716" s="367"/>
      <c r="T716" s="367"/>
      <c r="U716" s="367"/>
      <c r="V716" s="367"/>
      <c r="W716" s="367"/>
      <c r="X716" s="367"/>
      <c r="Y716" s="367"/>
      <c r="Z716" s="367"/>
    </row>
    <row r="717">
      <c r="A717" s="143" t="s">
        <v>2639</v>
      </c>
      <c r="B717" s="383">
        <v>2026.0</v>
      </c>
      <c r="C717" s="384" t="s">
        <v>200</v>
      </c>
      <c r="D717" s="385" t="s">
        <v>55</v>
      </c>
      <c r="E717" s="386"/>
      <c r="F717" s="384" t="s">
        <v>10</v>
      </c>
      <c r="G717" s="384" t="s">
        <v>1756</v>
      </c>
      <c r="H717" s="387" t="s">
        <v>1395</v>
      </c>
      <c r="I717" s="384" t="s">
        <v>58</v>
      </c>
      <c r="J717" s="384" t="s">
        <v>1757</v>
      </c>
      <c r="K717" s="367"/>
      <c r="L717" s="379" t="s">
        <v>2278</v>
      </c>
      <c r="M717" s="143">
        <v>1.022355276E9</v>
      </c>
      <c r="N717" s="143">
        <v>3.005707507E9</v>
      </c>
      <c r="O717" s="367"/>
      <c r="P717" s="367"/>
      <c r="Q717" s="367"/>
      <c r="R717" s="367"/>
      <c r="S717" s="367"/>
      <c r="T717" s="367"/>
      <c r="U717" s="367"/>
      <c r="V717" s="367"/>
      <c r="W717" s="367"/>
      <c r="X717" s="367"/>
      <c r="Y717" s="367"/>
      <c r="Z717" s="367"/>
    </row>
    <row r="718">
      <c r="A718" s="143" t="s">
        <v>2639</v>
      </c>
      <c r="B718" s="383">
        <v>2026.0</v>
      </c>
      <c r="C718" s="384" t="s">
        <v>200</v>
      </c>
      <c r="D718" s="385" t="s">
        <v>55</v>
      </c>
      <c r="E718" s="386"/>
      <c r="F718" s="384" t="s">
        <v>10</v>
      </c>
      <c r="G718" s="384" t="s">
        <v>1756</v>
      </c>
      <c r="H718" s="387" t="s">
        <v>1395</v>
      </c>
      <c r="I718" s="384" t="s">
        <v>58</v>
      </c>
      <c r="J718" s="384" t="s">
        <v>1757</v>
      </c>
      <c r="K718" s="367"/>
      <c r="L718" s="379" t="s">
        <v>2640</v>
      </c>
      <c r="M718" s="143">
        <v>5.2505382E7</v>
      </c>
      <c r="N718" s="143">
        <v>3.241561567E9</v>
      </c>
      <c r="O718" s="367"/>
      <c r="P718" s="367"/>
      <c r="Q718" s="367"/>
      <c r="R718" s="367"/>
      <c r="S718" s="367"/>
      <c r="T718" s="367"/>
      <c r="U718" s="367"/>
      <c r="V718" s="367"/>
      <c r="W718" s="367"/>
      <c r="X718" s="367"/>
      <c r="Y718" s="367"/>
      <c r="Z718" s="367"/>
    </row>
    <row r="719">
      <c r="A719" s="143" t="s">
        <v>2639</v>
      </c>
      <c r="B719" s="383">
        <v>2026.0</v>
      </c>
      <c r="C719" s="384" t="s">
        <v>200</v>
      </c>
      <c r="D719" s="385" t="s">
        <v>55</v>
      </c>
      <c r="E719" s="386"/>
      <c r="F719" s="384" t="s">
        <v>10</v>
      </c>
      <c r="G719" s="384" t="s">
        <v>1756</v>
      </c>
      <c r="H719" s="387" t="s">
        <v>1395</v>
      </c>
      <c r="I719" s="384" t="s">
        <v>58</v>
      </c>
      <c r="J719" s="384" t="s">
        <v>1757</v>
      </c>
      <c r="K719" s="367"/>
      <c r="L719" s="379" t="s">
        <v>2280</v>
      </c>
      <c r="M719" s="143">
        <v>5.2018009E7</v>
      </c>
      <c r="N719" s="143">
        <v>3.222664492E9</v>
      </c>
      <c r="O719" s="367"/>
      <c r="P719" s="367"/>
      <c r="Q719" s="367"/>
      <c r="R719" s="367"/>
      <c r="S719" s="367"/>
      <c r="T719" s="367"/>
      <c r="U719" s="367"/>
      <c r="V719" s="367"/>
      <c r="W719" s="367"/>
      <c r="X719" s="367"/>
      <c r="Y719" s="367"/>
      <c r="Z719" s="367"/>
    </row>
    <row r="720">
      <c r="A720" s="143" t="s">
        <v>2639</v>
      </c>
      <c r="B720" s="383">
        <v>2026.0</v>
      </c>
      <c r="C720" s="384" t="s">
        <v>200</v>
      </c>
      <c r="D720" s="385" t="s">
        <v>55</v>
      </c>
      <c r="E720" s="386"/>
      <c r="F720" s="384" t="s">
        <v>10</v>
      </c>
      <c r="G720" s="384" t="s">
        <v>1756</v>
      </c>
      <c r="H720" s="387" t="s">
        <v>1395</v>
      </c>
      <c r="I720" s="384" t="s">
        <v>58</v>
      </c>
      <c r="J720" s="384" t="s">
        <v>1757</v>
      </c>
      <c r="K720" s="367"/>
      <c r="L720" s="379" t="s">
        <v>2641</v>
      </c>
      <c r="M720" s="143">
        <v>7.5032499E7</v>
      </c>
      <c r="N720" s="143">
        <v>3.234399698E9</v>
      </c>
      <c r="O720" s="367"/>
      <c r="P720" s="367"/>
      <c r="Q720" s="367"/>
      <c r="R720" s="367"/>
      <c r="S720" s="367"/>
      <c r="T720" s="367"/>
      <c r="U720" s="367"/>
      <c r="V720" s="367"/>
      <c r="W720" s="367"/>
      <c r="X720" s="367"/>
      <c r="Y720" s="367"/>
      <c r="Z720" s="367"/>
    </row>
    <row r="721">
      <c r="A721" s="143" t="s">
        <v>2639</v>
      </c>
      <c r="B721" s="383">
        <v>2026.0</v>
      </c>
      <c r="C721" s="384" t="s">
        <v>200</v>
      </c>
      <c r="D721" s="385" t="s">
        <v>55</v>
      </c>
      <c r="E721" s="386"/>
      <c r="F721" s="384" t="s">
        <v>10</v>
      </c>
      <c r="G721" s="384" t="s">
        <v>1756</v>
      </c>
      <c r="H721" s="387" t="s">
        <v>1395</v>
      </c>
      <c r="I721" s="384" t="s">
        <v>58</v>
      </c>
      <c r="J721" s="384" t="s">
        <v>1757</v>
      </c>
      <c r="K721" s="367"/>
      <c r="L721" s="379" t="s">
        <v>2642</v>
      </c>
      <c r="M721" s="143">
        <v>7.5032499E7</v>
      </c>
      <c r="N721" s="143">
        <v>3.218232982E9</v>
      </c>
      <c r="O721" s="367"/>
      <c r="P721" s="367"/>
      <c r="Q721" s="367"/>
      <c r="R721" s="367"/>
      <c r="S721" s="367"/>
      <c r="T721" s="367"/>
      <c r="U721" s="367"/>
      <c r="V721" s="367"/>
      <c r="W721" s="367"/>
      <c r="X721" s="367"/>
      <c r="Y721" s="367"/>
      <c r="Z721" s="367"/>
    </row>
    <row r="722">
      <c r="A722" s="143" t="s">
        <v>2639</v>
      </c>
      <c r="B722" s="383">
        <v>2026.0</v>
      </c>
      <c r="C722" s="384" t="s">
        <v>200</v>
      </c>
      <c r="D722" s="385" t="s">
        <v>55</v>
      </c>
      <c r="E722" s="386"/>
      <c r="F722" s="384" t="s">
        <v>10</v>
      </c>
      <c r="G722" s="384" t="s">
        <v>1756</v>
      </c>
      <c r="H722" s="387" t="s">
        <v>1395</v>
      </c>
      <c r="I722" s="384" t="s">
        <v>58</v>
      </c>
      <c r="J722" s="384" t="s">
        <v>1757</v>
      </c>
      <c r="K722" s="367"/>
      <c r="L722" s="379" t="s">
        <v>2283</v>
      </c>
      <c r="M722" s="143">
        <v>2.3351187E7</v>
      </c>
      <c r="N722" s="143">
        <v>3.142810529E9</v>
      </c>
      <c r="O722" s="367"/>
      <c r="P722" s="367"/>
      <c r="Q722" s="367"/>
      <c r="R722" s="367"/>
      <c r="S722" s="367"/>
      <c r="T722" s="367"/>
      <c r="U722" s="367"/>
      <c r="V722" s="367"/>
      <c r="W722" s="367"/>
      <c r="X722" s="367"/>
      <c r="Y722" s="367"/>
      <c r="Z722" s="367"/>
    </row>
    <row r="723">
      <c r="A723" s="143" t="s">
        <v>2639</v>
      </c>
      <c r="B723" s="383">
        <v>2026.0</v>
      </c>
      <c r="C723" s="384" t="s">
        <v>200</v>
      </c>
      <c r="D723" s="385" t="s">
        <v>55</v>
      </c>
      <c r="E723" s="386"/>
      <c r="F723" s="384" t="s">
        <v>10</v>
      </c>
      <c r="G723" s="384" t="s">
        <v>1756</v>
      </c>
      <c r="H723" s="387" t="s">
        <v>1395</v>
      </c>
      <c r="I723" s="384" t="s">
        <v>58</v>
      </c>
      <c r="J723" s="384" t="s">
        <v>1757</v>
      </c>
      <c r="K723" s="367"/>
      <c r="L723" s="379" t="s">
        <v>2284</v>
      </c>
      <c r="M723" s="143">
        <v>1.07059522E9</v>
      </c>
      <c r="N723" s="143">
        <v>3.206714604E9</v>
      </c>
      <c r="O723" s="367"/>
      <c r="P723" s="367"/>
      <c r="Q723" s="367"/>
      <c r="R723" s="367"/>
      <c r="S723" s="367"/>
      <c r="T723" s="367"/>
      <c r="U723" s="367"/>
      <c r="V723" s="367"/>
      <c r="W723" s="367"/>
      <c r="X723" s="367"/>
      <c r="Y723" s="367"/>
      <c r="Z723" s="367"/>
    </row>
    <row r="724">
      <c r="A724" s="143" t="s">
        <v>2639</v>
      </c>
      <c r="B724" s="383">
        <v>2026.0</v>
      </c>
      <c r="C724" s="384" t="s">
        <v>200</v>
      </c>
      <c r="D724" s="385" t="s">
        <v>55</v>
      </c>
      <c r="E724" s="386"/>
      <c r="F724" s="384" t="s">
        <v>10</v>
      </c>
      <c r="G724" s="384" t="s">
        <v>1756</v>
      </c>
      <c r="H724" s="387" t="s">
        <v>1395</v>
      </c>
      <c r="I724" s="384" t="s">
        <v>58</v>
      </c>
      <c r="J724" s="384" t="s">
        <v>1757</v>
      </c>
      <c r="K724" s="367"/>
      <c r="L724" s="379" t="s">
        <v>2643</v>
      </c>
      <c r="M724" s="143">
        <v>5.2091585E7</v>
      </c>
      <c r="N724" s="143">
        <v>3.103341645E9</v>
      </c>
      <c r="O724" s="367"/>
      <c r="P724" s="367"/>
      <c r="Q724" s="367"/>
      <c r="R724" s="367"/>
      <c r="S724" s="367"/>
      <c r="T724" s="367"/>
      <c r="U724" s="367"/>
      <c r="V724" s="367"/>
      <c r="W724" s="367"/>
      <c r="X724" s="367"/>
      <c r="Y724" s="367"/>
      <c r="Z724" s="367"/>
    </row>
    <row r="725">
      <c r="A725" s="143" t="s">
        <v>2639</v>
      </c>
      <c r="B725" s="383">
        <v>2026.0</v>
      </c>
      <c r="C725" s="384" t="s">
        <v>200</v>
      </c>
      <c r="D725" s="385" t="s">
        <v>55</v>
      </c>
      <c r="E725" s="386"/>
      <c r="F725" s="384" t="s">
        <v>10</v>
      </c>
      <c r="G725" s="384" t="s">
        <v>1756</v>
      </c>
      <c r="H725" s="387" t="s">
        <v>1395</v>
      </c>
      <c r="I725" s="384" t="s">
        <v>58</v>
      </c>
      <c r="J725" s="384" t="s">
        <v>1757</v>
      </c>
      <c r="K725" s="367"/>
      <c r="L725" s="379" t="s">
        <v>2644</v>
      </c>
      <c r="M725" s="143">
        <v>2999144.0</v>
      </c>
      <c r="N725" s="143">
        <v>3.123869896E9</v>
      </c>
      <c r="O725" s="367"/>
      <c r="P725" s="367"/>
      <c r="Q725" s="367"/>
      <c r="R725" s="367"/>
      <c r="S725" s="367"/>
      <c r="T725" s="367"/>
      <c r="U725" s="367"/>
      <c r="V725" s="367"/>
      <c r="W725" s="367"/>
      <c r="X725" s="367"/>
      <c r="Y725" s="367"/>
      <c r="Z725" s="367"/>
    </row>
    <row r="726">
      <c r="A726" s="143" t="s">
        <v>2639</v>
      </c>
      <c r="B726" s="383">
        <v>2026.0</v>
      </c>
      <c r="C726" s="384" t="s">
        <v>200</v>
      </c>
      <c r="D726" s="385" t="s">
        <v>55</v>
      </c>
      <c r="E726" s="386"/>
      <c r="F726" s="384" t="s">
        <v>10</v>
      </c>
      <c r="G726" s="384" t="s">
        <v>1756</v>
      </c>
      <c r="H726" s="387" t="s">
        <v>1395</v>
      </c>
      <c r="I726" s="384" t="s">
        <v>58</v>
      </c>
      <c r="J726" s="384" t="s">
        <v>1757</v>
      </c>
      <c r="K726" s="367"/>
      <c r="L726" s="379" t="s">
        <v>2287</v>
      </c>
      <c r="M726" s="143">
        <v>2.0524525E7</v>
      </c>
      <c r="N726" s="143">
        <v>3.112425999E9</v>
      </c>
      <c r="O726" s="367"/>
      <c r="P726" s="367"/>
      <c r="Q726" s="367"/>
      <c r="R726" s="367"/>
      <c r="S726" s="367"/>
      <c r="T726" s="367"/>
      <c r="U726" s="367"/>
      <c r="V726" s="367"/>
      <c r="W726" s="367"/>
      <c r="X726" s="367"/>
      <c r="Y726" s="367"/>
      <c r="Z726" s="367"/>
    </row>
    <row r="727">
      <c r="A727" s="143" t="s">
        <v>2639</v>
      </c>
      <c r="B727" s="383">
        <v>2026.0</v>
      </c>
      <c r="C727" s="384" t="s">
        <v>200</v>
      </c>
      <c r="D727" s="385" t="s">
        <v>55</v>
      </c>
      <c r="E727" s="386"/>
      <c r="F727" s="384" t="s">
        <v>10</v>
      </c>
      <c r="G727" s="384" t="s">
        <v>1756</v>
      </c>
      <c r="H727" s="387" t="s">
        <v>1395</v>
      </c>
      <c r="I727" s="384" t="s">
        <v>58</v>
      </c>
      <c r="J727" s="384" t="s">
        <v>1757</v>
      </c>
      <c r="K727" s="367"/>
      <c r="L727" s="379" t="s">
        <v>2645</v>
      </c>
      <c r="M727" s="143">
        <v>5.2915548E7</v>
      </c>
      <c r="N727" s="143">
        <v>3.153303384E9</v>
      </c>
      <c r="O727" s="367"/>
      <c r="P727" s="367"/>
      <c r="Q727" s="367"/>
      <c r="R727" s="367"/>
      <c r="S727" s="367"/>
      <c r="T727" s="367"/>
      <c r="U727" s="367"/>
      <c r="V727" s="367"/>
      <c r="W727" s="367"/>
      <c r="X727" s="367"/>
      <c r="Y727" s="367"/>
      <c r="Z727" s="367"/>
    </row>
    <row r="728">
      <c r="A728" s="143" t="s">
        <v>2639</v>
      </c>
      <c r="B728" s="383">
        <v>2026.0</v>
      </c>
      <c r="C728" s="384" t="s">
        <v>200</v>
      </c>
      <c r="D728" s="385" t="s">
        <v>55</v>
      </c>
      <c r="E728" s="386"/>
      <c r="F728" s="384" t="s">
        <v>10</v>
      </c>
      <c r="G728" s="384" t="s">
        <v>1756</v>
      </c>
      <c r="H728" s="387" t="s">
        <v>1395</v>
      </c>
      <c r="I728" s="384" t="s">
        <v>58</v>
      </c>
      <c r="J728" s="384" t="s">
        <v>1757</v>
      </c>
      <c r="K728" s="367"/>
      <c r="L728" s="379" t="s">
        <v>2646</v>
      </c>
      <c r="M728" s="143">
        <v>2.0323245E7</v>
      </c>
      <c r="N728" s="143">
        <v>3.153303384E9</v>
      </c>
      <c r="O728" s="367"/>
      <c r="P728" s="367"/>
      <c r="Q728" s="367"/>
      <c r="R728" s="367"/>
      <c r="S728" s="367"/>
      <c r="T728" s="367"/>
      <c r="U728" s="367"/>
      <c r="V728" s="367"/>
      <c r="W728" s="367"/>
      <c r="X728" s="367"/>
      <c r="Y728" s="367"/>
      <c r="Z728" s="367"/>
    </row>
    <row r="729">
      <c r="A729" s="143" t="s">
        <v>2639</v>
      </c>
      <c r="B729" s="383">
        <v>2026.0</v>
      </c>
      <c r="C729" s="384" t="s">
        <v>200</v>
      </c>
      <c r="D729" s="385" t="s">
        <v>55</v>
      </c>
      <c r="E729" s="386"/>
      <c r="F729" s="384" t="s">
        <v>10</v>
      </c>
      <c r="G729" s="384" t="s">
        <v>1756</v>
      </c>
      <c r="H729" s="387" t="s">
        <v>1395</v>
      </c>
      <c r="I729" s="384" t="s">
        <v>58</v>
      </c>
      <c r="J729" s="384" t="s">
        <v>1757</v>
      </c>
      <c r="K729" s="367"/>
      <c r="L729" s="379" t="s">
        <v>2647</v>
      </c>
      <c r="M729" s="143">
        <v>1.9345547E7</v>
      </c>
      <c r="N729" s="143">
        <v>3.103214169E9</v>
      </c>
      <c r="O729" s="367"/>
      <c r="P729" s="367"/>
      <c r="Q729" s="367"/>
      <c r="R729" s="367"/>
      <c r="S729" s="367"/>
      <c r="T729" s="367"/>
      <c r="U729" s="367"/>
      <c r="V729" s="367"/>
      <c r="W729" s="367"/>
      <c r="X729" s="367"/>
      <c r="Y729" s="367"/>
      <c r="Z729" s="367"/>
    </row>
    <row r="730">
      <c r="A730" s="143" t="s">
        <v>2639</v>
      </c>
      <c r="B730" s="383">
        <v>2026.0</v>
      </c>
      <c r="C730" s="384" t="s">
        <v>200</v>
      </c>
      <c r="D730" s="385" t="s">
        <v>55</v>
      </c>
      <c r="E730" s="386"/>
      <c r="F730" s="384" t="s">
        <v>10</v>
      </c>
      <c r="G730" s="384" t="s">
        <v>1756</v>
      </c>
      <c r="H730" s="387" t="s">
        <v>1395</v>
      </c>
      <c r="I730" s="384" t="s">
        <v>58</v>
      </c>
      <c r="J730" s="384" t="s">
        <v>1757</v>
      </c>
      <c r="K730" s="367"/>
      <c r="L730" s="379" t="s">
        <v>2648</v>
      </c>
      <c r="M730" s="143">
        <v>5.1669551E7</v>
      </c>
      <c r="N730" s="143">
        <v>3.10349342E9</v>
      </c>
      <c r="O730" s="367"/>
      <c r="P730" s="367"/>
      <c r="Q730" s="367"/>
      <c r="R730" s="367"/>
      <c r="S730" s="367"/>
      <c r="T730" s="367"/>
      <c r="U730" s="367"/>
      <c r="V730" s="367"/>
      <c r="W730" s="367"/>
      <c r="X730" s="367"/>
      <c r="Y730" s="367"/>
      <c r="Z730" s="367"/>
    </row>
    <row r="731">
      <c r="A731" s="143" t="s">
        <v>2639</v>
      </c>
      <c r="B731" s="383">
        <v>2026.0</v>
      </c>
      <c r="C731" s="384" t="s">
        <v>200</v>
      </c>
      <c r="D731" s="385" t="s">
        <v>55</v>
      </c>
      <c r="E731" s="386"/>
      <c r="F731" s="384" t="s">
        <v>10</v>
      </c>
      <c r="G731" s="384" t="s">
        <v>1756</v>
      </c>
      <c r="H731" s="387" t="s">
        <v>1395</v>
      </c>
      <c r="I731" s="384" t="s">
        <v>58</v>
      </c>
      <c r="J731" s="384" t="s">
        <v>1757</v>
      </c>
      <c r="K731" s="367"/>
      <c r="L731" s="379" t="s">
        <v>2649</v>
      </c>
      <c r="M731" s="143">
        <v>5.2748569E7</v>
      </c>
      <c r="N731" s="143">
        <v>3.13450681E9</v>
      </c>
      <c r="O731" s="367"/>
      <c r="P731" s="367"/>
      <c r="Q731" s="367"/>
      <c r="R731" s="367"/>
      <c r="S731" s="367"/>
      <c r="T731" s="367"/>
      <c r="U731" s="367"/>
      <c r="V731" s="367"/>
      <c r="W731" s="367"/>
      <c r="X731" s="367"/>
      <c r="Y731" s="367"/>
      <c r="Z731" s="367"/>
    </row>
    <row r="732">
      <c r="A732" s="143" t="s">
        <v>2639</v>
      </c>
      <c r="B732" s="383">
        <v>2026.0</v>
      </c>
      <c r="C732" s="384" t="s">
        <v>200</v>
      </c>
      <c r="D732" s="385" t="s">
        <v>55</v>
      </c>
      <c r="E732" s="386"/>
      <c r="F732" s="384" t="s">
        <v>10</v>
      </c>
      <c r="G732" s="384" t="s">
        <v>1756</v>
      </c>
      <c r="H732" s="387" t="s">
        <v>1395</v>
      </c>
      <c r="I732" s="384" t="s">
        <v>58</v>
      </c>
      <c r="J732" s="384" t="s">
        <v>1757</v>
      </c>
      <c r="K732" s="367"/>
      <c r="L732" s="379" t="s">
        <v>2292</v>
      </c>
      <c r="M732" s="143">
        <v>1.2205228E7</v>
      </c>
      <c r="N732" s="143">
        <v>3.125370531E9</v>
      </c>
      <c r="O732" s="367"/>
      <c r="P732" s="367"/>
      <c r="Q732" s="367"/>
      <c r="R732" s="367"/>
      <c r="S732" s="367"/>
      <c r="T732" s="367"/>
      <c r="U732" s="367"/>
      <c r="V732" s="367"/>
      <c r="W732" s="367"/>
      <c r="X732" s="367"/>
      <c r="Y732" s="367"/>
      <c r="Z732" s="367"/>
    </row>
    <row r="733">
      <c r="A733" s="143" t="s">
        <v>2639</v>
      </c>
      <c r="B733" s="383">
        <v>2026.0</v>
      </c>
      <c r="C733" s="384" t="s">
        <v>200</v>
      </c>
      <c r="D733" s="385" t="s">
        <v>55</v>
      </c>
      <c r="E733" s="386"/>
      <c r="F733" s="384" t="s">
        <v>10</v>
      </c>
      <c r="G733" s="384" t="s">
        <v>1756</v>
      </c>
      <c r="H733" s="387" t="s">
        <v>1395</v>
      </c>
      <c r="I733" s="384" t="s">
        <v>58</v>
      </c>
      <c r="J733" s="384" t="s">
        <v>1757</v>
      </c>
      <c r="K733" s="367"/>
      <c r="L733" s="379" t="s">
        <v>2543</v>
      </c>
      <c r="M733" s="143">
        <v>5.1817219E7</v>
      </c>
      <c r="N733" s="143">
        <v>3.124076422E9</v>
      </c>
      <c r="O733" s="367"/>
      <c r="P733" s="367"/>
      <c r="Q733" s="367"/>
      <c r="R733" s="367"/>
      <c r="S733" s="367"/>
      <c r="T733" s="367"/>
      <c r="U733" s="367"/>
      <c r="V733" s="367"/>
      <c r="W733" s="367"/>
      <c r="X733" s="367"/>
      <c r="Y733" s="367"/>
      <c r="Z733" s="367"/>
    </row>
    <row r="734">
      <c r="A734" s="143" t="s">
        <v>2639</v>
      </c>
      <c r="B734" s="383">
        <v>2026.0</v>
      </c>
      <c r="C734" s="384" t="s">
        <v>200</v>
      </c>
      <c r="D734" s="385" t="s">
        <v>55</v>
      </c>
      <c r="E734" s="386"/>
      <c r="F734" s="384" t="s">
        <v>10</v>
      </c>
      <c r="G734" s="384" t="s">
        <v>1756</v>
      </c>
      <c r="H734" s="387" t="s">
        <v>1395</v>
      </c>
      <c r="I734" s="384" t="s">
        <v>58</v>
      </c>
      <c r="J734" s="384" t="s">
        <v>1757</v>
      </c>
      <c r="K734" s="367"/>
      <c r="L734" s="379" t="s">
        <v>2294</v>
      </c>
      <c r="M734" s="143">
        <v>2.0336615E7</v>
      </c>
      <c r="N734" s="367"/>
      <c r="O734" s="367"/>
      <c r="P734" s="367"/>
      <c r="Q734" s="367"/>
      <c r="R734" s="367"/>
      <c r="S734" s="367"/>
      <c r="T734" s="367"/>
      <c r="U734" s="367"/>
      <c r="V734" s="367"/>
      <c r="W734" s="367"/>
      <c r="X734" s="367"/>
      <c r="Y734" s="367"/>
      <c r="Z734" s="367"/>
    </row>
    <row r="735">
      <c r="A735" s="143" t="s">
        <v>2639</v>
      </c>
      <c r="B735" s="383">
        <v>2026.0</v>
      </c>
      <c r="C735" s="384" t="s">
        <v>200</v>
      </c>
      <c r="D735" s="385" t="s">
        <v>55</v>
      </c>
      <c r="E735" s="386"/>
      <c r="F735" s="384" t="s">
        <v>10</v>
      </c>
      <c r="G735" s="384" t="s">
        <v>1756</v>
      </c>
      <c r="H735" s="387" t="s">
        <v>1395</v>
      </c>
      <c r="I735" s="384" t="s">
        <v>58</v>
      </c>
      <c r="J735" s="384" t="s">
        <v>1757</v>
      </c>
      <c r="K735" s="367"/>
      <c r="L735" s="379" t="s">
        <v>2295</v>
      </c>
      <c r="M735" s="143">
        <v>2.1082475E7</v>
      </c>
      <c r="N735" s="143">
        <v>3.224247577E9</v>
      </c>
      <c r="O735" s="367"/>
      <c r="P735" s="367"/>
      <c r="Q735" s="367"/>
      <c r="R735" s="367"/>
      <c r="S735" s="367"/>
      <c r="T735" s="367"/>
      <c r="U735" s="367"/>
      <c r="V735" s="367"/>
      <c r="W735" s="367"/>
      <c r="X735" s="367"/>
      <c r="Y735" s="367"/>
      <c r="Z735" s="367"/>
    </row>
    <row r="736">
      <c r="A736" s="143" t="s">
        <v>2639</v>
      </c>
      <c r="B736" s="383">
        <v>2026.0</v>
      </c>
      <c r="C736" s="384" t="s">
        <v>200</v>
      </c>
      <c r="D736" s="385" t="s">
        <v>55</v>
      </c>
      <c r="E736" s="386"/>
      <c r="F736" s="384" t="s">
        <v>10</v>
      </c>
      <c r="G736" s="384" t="s">
        <v>1756</v>
      </c>
      <c r="H736" s="387" t="s">
        <v>1395</v>
      </c>
      <c r="I736" s="384" t="s">
        <v>58</v>
      </c>
      <c r="J736" s="384" t="s">
        <v>1757</v>
      </c>
      <c r="K736" s="367"/>
      <c r="L736" s="379" t="s">
        <v>2296</v>
      </c>
      <c r="M736" s="143">
        <v>1.014863733E9</v>
      </c>
      <c r="N736" s="143">
        <v>3.187879334E9</v>
      </c>
      <c r="O736" s="367"/>
      <c r="P736" s="367"/>
      <c r="Q736" s="367"/>
      <c r="R736" s="367"/>
      <c r="S736" s="367"/>
      <c r="T736" s="367"/>
      <c r="U736" s="367"/>
      <c r="V736" s="367"/>
      <c r="W736" s="367"/>
      <c r="X736" s="367"/>
      <c r="Y736" s="367"/>
      <c r="Z736" s="367"/>
    </row>
    <row r="737">
      <c r="A737" s="143" t="s">
        <v>2639</v>
      </c>
      <c r="B737" s="383">
        <v>2026.0</v>
      </c>
      <c r="C737" s="384" t="s">
        <v>200</v>
      </c>
      <c r="D737" s="385" t="s">
        <v>55</v>
      </c>
      <c r="E737" s="386"/>
      <c r="F737" s="384" t="s">
        <v>10</v>
      </c>
      <c r="G737" s="384" t="s">
        <v>1756</v>
      </c>
      <c r="H737" s="387" t="s">
        <v>1395</v>
      </c>
      <c r="I737" s="384" t="s">
        <v>58</v>
      </c>
      <c r="J737" s="384" t="s">
        <v>1757</v>
      </c>
      <c r="K737" s="367"/>
      <c r="L737" s="379" t="s">
        <v>2650</v>
      </c>
      <c r="M737" s="143">
        <v>4.1385581E7</v>
      </c>
      <c r="N737" s="143">
        <v>3.166987554E9</v>
      </c>
      <c r="O737" s="367"/>
      <c r="P737" s="367"/>
      <c r="Q737" s="367"/>
      <c r="R737" s="367"/>
      <c r="S737" s="367"/>
      <c r="T737" s="367"/>
      <c r="U737" s="367"/>
      <c r="V737" s="367"/>
      <c r="W737" s="367"/>
      <c r="X737" s="367"/>
      <c r="Y737" s="367"/>
      <c r="Z737" s="367"/>
    </row>
    <row r="738">
      <c r="A738" s="143" t="s">
        <v>2639</v>
      </c>
      <c r="B738" s="383">
        <v>2026.0</v>
      </c>
      <c r="C738" s="384" t="s">
        <v>200</v>
      </c>
      <c r="D738" s="385" t="s">
        <v>55</v>
      </c>
      <c r="E738" s="386"/>
      <c r="F738" s="384" t="s">
        <v>10</v>
      </c>
      <c r="G738" s="384" t="s">
        <v>1756</v>
      </c>
      <c r="H738" s="387" t="s">
        <v>1395</v>
      </c>
      <c r="I738" s="384" t="s">
        <v>58</v>
      </c>
      <c r="J738" s="384" t="s">
        <v>1757</v>
      </c>
      <c r="K738" s="367"/>
      <c r="L738" s="379" t="s">
        <v>2298</v>
      </c>
      <c r="M738" s="143">
        <v>4.1524302E7</v>
      </c>
      <c r="N738" s="143">
        <v>3.212088468E9</v>
      </c>
      <c r="O738" s="367"/>
      <c r="P738" s="367"/>
      <c r="Q738" s="367"/>
      <c r="R738" s="367"/>
      <c r="S738" s="367"/>
      <c r="T738" s="367"/>
      <c r="U738" s="367"/>
      <c r="V738" s="367"/>
      <c r="W738" s="367"/>
      <c r="X738" s="367"/>
      <c r="Y738" s="367"/>
      <c r="Z738" s="367"/>
    </row>
    <row r="739">
      <c r="A739" s="143" t="s">
        <v>2639</v>
      </c>
      <c r="B739" s="383">
        <v>2026.0</v>
      </c>
      <c r="C739" s="384" t="s">
        <v>200</v>
      </c>
      <c r="D739" s="385" t="s">
        <v>55</v>
      </c>
      <c r="E739" s="386"/>
      <c r="F739" s="384" t="s">
        <v>10</v>
      </c>
      <c r="G739" s="384" t="s">
        <v>1756</v>
      </c>
      <c r="H739" s="387" t="s">
        <v>1395</v>
      </c>
      <c r="I739" s="384" t="s">
        <v>58</v>
      </c>
      <c r="J739" s="384" t="s">
        <v>1757</v>
      </c>
      <c r="K739" s="367"/>
      <c r="L739" s="379" t="s">
        <v>2651</v>
      </c>
      <c r="M739" s="122">
        <v>2.85344246E8</v>
      </c>
      <c r="N739" s="143">
        <v>3.102384246E9</v>
      </c>
      <c r="O739" s="367"/>
      <c r="P739" s="367"/>
      <c r="Q739" s="367"/>
      <c r="R739" s="367"/>
      <c r="S739" s="367"/>
      <c r="T739" s="367"/>
      <c r="U739" s="367"/>
      <c r="V739" s="367"/>
      <c r="W739" s="367"/>
      <c r="X739" s="367"/>
      <c r="Y739" s="367"/>
      <c r="Z739" s="367"/>
    </row>
    <row r="740">
      <c r="A740" s="143" t="s">
        <v>2639</v>
      </c>
      <c r="B740" s="383">
        <v>2026.0</v>
      </c>
      <c r="C740" s="384" t="s">
        <v>200</v>
      </c>
      <c r="D740" s="385" t="s">
        <v>55</v>
      </c>
      <c r="E740" s="386"/>
      <c r="F740" s="384" t="s">
        <v>10</v>
      </c>
      <c r="G740" s="384" t="s">
        <v>1756</v>
      </c>
      <c r="H740" s="387" t="s">
        <v>1395</v>
      </c>
      <c r="I740" s="384" t="s">
        <v>58</v>
      </c>
      <c r="J740" s="384" t="s">
        <v>1757</v>
      </c>
      <c r="K740" s="367"/>
      <c r="L740" s="379" t="s">
        <v>2300</v>
      </c>
      <c r="M740" s="143">
        <v>2.0976083E7</v>
      </c>
      <c r="N740" s="143">
        <v>3.123529717E9</v>
      </c>
      <c r="O740" s="367"/>
      <c r="P740" s="367"/>
      <c r="Q740" s="367"/>
      <c r="R740" s="367"/>
      <c r="S740" s="367"/>
      <c r="T740" s="367"/>
      <c r="U740" s="367"/>
      <c r="V740" s="367"/>
      <c r="W740" s="367"/>
      <c r="X740" s="367"/>
      <c r="Y740" s="367"/>
      <c r="Z740" s="367"/>
    </row>
    <row r="741">
      <c r="A741" s="143" t="s">
        <v>2639</v>
      </c>
      <c r="B741" s="383">
        <v>2026.0</v>
      </c>
      <c r="C741" s="384" t="s">
        <v>200</v>
      </c>
      <c r="D741" s="385" t="s">
        <v>55</v>
      </c>
      <c r="E741" s="386"/>
      <c r="F741" s="384" t="s">
        <v>10</v>
      </c>
      <c r="G741" s="384" t="s">
        <v>1756</v>
      </c>
      <c r="H741" s="387" t="s">
        <v>1395</v>
      </c>
      <c r="I741" s="384" t="s">
        <v>58</v>
      </c>
      <c r="J741" s="384" t="s">
        <v>1757</v>
      </c>
      <c r="K741" s="367"/>
      <c r="L741" s="379" t="s">
        <v>2301</v>
      </c>
      <c r="M741" s="143">
        <v>4.1379952E7</v>
      </c>
      <c r="N741" s="143">
        <v>3.167901887E9</v>
      </c>
      <c r="O741" s="367"/>
      <c r="P741" s="367"/>
      <c r="Q741" s="367"/>
      <c r="R741" s="367"/>
      <c r="S741" s="367"/>
      <c r="T741" s="367"/>
      <c r="U741" s="367"/>
      <c r="V741" s="367"/>
      <c r="W741" s="367"/>
      <c r="X741" s="367"/>
      <c r="Y741" s="367"/>
      <c r="Z741" s="367"/>
    </row>
    <row r="742">
      <c r="A742" s="143" t="s">
        <v>2639</v>
      </c>
      <c r="B742" s="383">
        <v>2026.0</v>
      </c>
      <c r="C742" s="384" t="s">
        <v>200</v>
      </c>
      <c r="D742" s="385" t="s">
        <v>55</v>
      </c>
      <c r="E742" s="386"/>
      <c r="F742" s="384" t="s">
        <v>10</v>
      </c>
      <c r="G742" s="384" t="s">
        <v>1756</v>
      </c>
      <c r="H742" s="387" t="s">
        <v>1395</v>
      </c>
      <c r="I742" s="384" t="s">
        <v>58</v>
      </c>
      <c r="J742" s="384" t="s">
        <v>1757</v>
      </c>
      <c r="K742" s="367"/>
      <c r="L742" s="379" t="s">
        <v>2652</v>
      </c>
      <c r="M742" s="143">
        <v>2.0366776E7</v>
      </c>
      <c r="N742" s="143">
        <v>3.143058747E9</v>
      </c>
      <c r="O742" s="367"/>
      <c r="P742" s="367"/>
      <c r="Q742" s="367"/>
      <c r="R742" s="367"/>
      <c r="S742" s="367"/>
      <c r="T742" s="367"/>
      <c r="U742" s="367"/>
      <c r="V742" s="367"/>
      <c r="W742" s="367"/>
      <c r="X742" s="367"/>
      <c r="Y742" s="367"/>
      <c r="Z742" s="367"/>
    </row>
    <row r="743">
      <c r="A743" s="143" t="s">
        <v>2639</v>
      </c>
      <c r="B743" s="383">
        <v>2026.0</v>
      </c>
      <c r="C743" s="384" t="s">
        <v>200</v>
      </c>
      <c r="D743" s="385" t="s">
        <v>55</v>
      </c>
      <c r="E743" s="386"/>
      <c r="F743" s="384" t="s">
        <v>10</v>
      </c>
      <c r="G743" s="384" t="s">
        <v>1756</v>
      </c>
      <c r="H743" s="387" t="s">
        <v>1395</v>
      </c>
      <c r="I743" s="384" t="s">
        <v>58</v>
      </c>
      <c r="J743" s="384" t="s">
        <v>1757</v>
      </c>
      <c r="K743" s="367"/>
      <c r="L743" s="379" t="s">
        <v>2653</v>
      </c>
      <c r="M743" s="143">
        <v>1.022394273E9</v>
      </c>
      <c r="N743" s="143">
        <v>3.506807371E9</v>
      </c>
      <c r="O743" s="367"/>
      <c r="P743" s="367"/>
      <c r="Q743" s="367"/>
      <c r="R743" s="367"/>
      <c r="S743" s="367"/>
      <c r="T743" s="367"/>
      <c r="U743" s="367"/>
      <c r="V743" s="367"/>
      <c r="W743" s="367"/>
      <c r="X743" s="367"/>
      <c r="Y743" s="367"/>
      <c r="Z743" s="367"/>
    </row>
    <row r="744">
      <c r="A744" s="143" t="s">
        <v>2639</v>
      </c>
      <c r="B744" s="383">
        <v>2026.0</v>
      </c>
      <c r="C744" s="384" t="s">
        <v>200</v>
      </c>
      <c r="D744" s="385" t="s">
        <v>55</v>
      </c>
      <c r="E744" s="386"/>
      <c r="F744" s="384" t="s">
        <v>10</v>
      </c>
      <c r="G744" s="384" t="s">
        <v>1756</v>
      </c>
      <c r="H744" s="387" t="s">
        <v>1395</v>
      </c>
      <c r="I744" s="384" t="s">
        <v>58</v>
      </c>
      <c r="J744" s="384" t="s">
        <v>1757</v>
      </c>
      <c r="K744" s="367"/>
      <c r="L744" s="379" t="s">
        <v>1396</v>
      </c>
      <c r="M744" s="143">
        <v>4.1797588E7</v>
      </c>
      <c r="N744" s="143">
        <v>3.214853867E9</v>
      </c>
      <c r="O744" s="367"/>
      <c r="P744" s="367"/>
      <c r="Q744" s="367"/>
      <c r="R744" s="367"/>
      <c r="S744" s="367"/>
      <c r="T744" s="367"/>
      <c r="U744" s="367"/>
      <c r="V744" s="367"/>
      <c r="W744" s="367"/>
      <c r="X744" s="367"/>
      <c r="Y744" s="367"/>
      <c r="Z744" s="367"/>
    </row>
    <row r="745">
      <c r="A745" s="143" t="s">
        <v>2639</v>
      </c>
      <c r="B745" s="383">
        <v>2026.0</v>
      </c>
      <c r="C745" s="384" t="s">
        <v>200</v>
      </c>
      <c r="D745" s="385" t="s">
        <v>55</v>
      </c>
      <c r="E745" s="386"/>
      <c r="F745" s="384" t="s">
        <v>10</v>
      </c>
      <c r="G745" s="384" t="s">
        <v>1756</v>
      </c>
      <c r="H745" s="387" t="s">
        <v>1395</v>
      </c>
      <c r="I745" s="384" t="s">
        <v>58</v>
      </c>
      <c r="J745" s="384" t="s">
        <v>1757</v>
      </c>
      <c r="K745" s="367"/>
      <c r="L745" s="379" t="s">
        <v>2304</v>
      </c>
      <c r="M745" s="143">
        <v>2.4112753E7</v>
      </c>
      <c r="N745" s="143">
        <v>3.173525792E9</v>
      </c>
      <c r="O745" s="367"/>
      <c r="P745" s="367"/>
      <c r="Q745" s="367"/>
      <c r="R745" s="367"/>
      <c r="S745" s="367"/>
      <c r="T745" s="367"/>
      <c r="U745" s="367"/>
      <c r="V745" s="367"/>
      <c r="W745" s="367"/>
      <c r="X745" s="367"/>
      <c r="Y745" s="367"/>
      <c r="Z745" s="367"/>
    </row>
    <row r="746">
      <c r="A746" s="143" t="s">
        <v>2639</v>
      </c>
      <c r="B746" s="383">
        <v>2026.0</v>
      </c>
      <c r="C746" s="384" t="s">
        <v>200</v>
      </c>
      <c r="D746" s="385" t="s">
        <v>55</v>
      </c>
      <c r="E746" s="386"/>
      <c r="F746" s="384" t="s">
        <v>10</v>
      </c>
      <c r="G746" s="384" t="s">
        <v>1756</v>
      </c>
      <c r="H746" s="387" t="s">
        <v>1395</v>
      </c>
      <c r="I746" s="384" t="s">
        <v>58</v>
      </c>
      <c r="J746" s="384" t="s">
        <v>1757</v>
      </c>
      <c r="K746" s="382"/>
      <c r="L746" s="388" t="s">
        <v>2305</v>
      </c>
      <c r="M746" s="387">
        <v>5.17186E7</v>
      </c>
      <c r="N746" s="387">
        <v>3.142528864E9</v>
      </c>
      <c r="O746" s="382"/>
      <c r="P746" s="382"/>
      <c r="Q746" s="382"/>
      <c r="R746" s="382"/>
      <c r="S746" s="382"/>
      <c r="T746" s="382"/>
      <c r="U746" s="382"/>
      <c r="V746" s="382"/>
      <c r="W746" s="382"/>
      <c r="X746" s="382"/>
      <c r="Y746" s="382"/>
      <c r="Z746" s="382"/>
    </row>
    <row r="747">
      <c r="A747" s="390"/>
      <c r="B747" s="390"/>
      <c r="C747" s="390"/>
      <c r="D747" s="390"/>
      <c r="E747" s="402"/>
      <c r="F747" s="390"/>
      <c r="G747" s="390"/>
      <c r="H747" s="390"/>
      <c r="I747" s="390"/>
      <c r="J747" s="390"/>
      <c r="K747" s="390"/>
      <c r="L747" s="396" t="s">
        <v>2654</v>
      </c>
      <c r="M747" s="395">
        <v>1.032500898E9</v>
      </c>
      <c r="N747" s="395">
        <v>3.197600892E9</v>
      </c>
      <c r="O747" s="390"/>
      <c r="P747" s="390"/>
      <c r="Q747" s="390"/>
      <c r="R747" s="390"/>
      <c r="S747" s="390"/>
      <c r="T747" s="390"/>
      <c r="U747" s="390"/>
      <c r="V747" s="390"/>
      <c r="W747" s="390"/>
      <c r="X747" s="390"/>
      <c r="Y747" s="390"/>
      <c r="Z747" s="390"/>
    </row>
    <row r="748">
      <c r="A748" s="367"/>
      <c r="B748" s="367"/>
      <c r="C748" s="367"/>
      <c r="D748" s="367"/>
      <c r="E748" s="375"/>
      <c r="F748" s="367"/>
      <c r="G748" s="367"/>
      <c r="H748" s="367"/>
      <c r="I748" s="367"/>
      <c r="J748" s="367"/>
      <c r="K748" s="367"/>
      <c r="L748" s="379" t="s">
        <v>2655</v>
      </c>
      <c r="M748" s="143">
        <v>1.001289468E9</v>
      </c>
      <c r="N748" s="143">
        <v>3.175899991E9</v>
      </c>
      <c r="O748" s="367"/>
      <c r="P748" s="367"/>
      <c r="Q748" s="367"/>
      <c r="R748" s="367"/>
      <c r="S748" s="367"/>
      <c r="T748" s="367"/>
      <c r="U748" s="367"/>
      <c r="V748" s="367"/>
      <c r="W748" s="367"/>
      <c r="X748" s="367"/>
      <c r="Y748" s="367"/>
      <c r="Z748" s="367"/>
    </row>
    <row r="749">
      <c r="A749" s="367"/>
      <c r="B749" s="367"/>
      <c r="C749" s="367"/>
      <c r="D749" s="367"/>
      <c r="E749" s="375"/>
      <c r="F749" s="367"/>
      <c r="G749" s="367"/>
      <c r="H749" s="367"/>
      <c r="I749" s="367"/>
      <c r="J749" s="367"/>
      <c r="K749" s="367"/>
      <c r="L749" s="379" t="s">
        <v>2656</v>
      </c>
      <c r="M749" s="143">
        <v>1.000127575E9</v>
      </c>
      <c r="N749" s="143">
        <v>3.02737707E9</v>
      </c>
      <c r="O749" s="367"/>
      <c r="P749" s="367"/>
      <c r="Q749" s="367"/>
      <c r="R749" s="367"/>
      <c r="S749" s="367"/>
      <c r="T749" s="367"/>
      <c r="U749" s="367"/>
      <c r="V749" s="367"/>
      <c r="W749" s="367"/>
      <c r="X749" s="367"/>
      <c r="Y749" s="367"/>
      <c r="Z749" s="367"/>
    </row>
    <row r="750">
      <c r="A750" s="367"/>
      <c r="B750" s="367"/>
      <c r="C750" s="367"/>
      <c r="D750" s="367"/>
      <c r="E750" s="375"/>
      <c r="F750" s="367"/>
      <c r="G750" s="367"/>
      <c r="H750" s="367"/>
      <c r="I750" s="367"/>
      <c r="J750" s="367"/>
      <c r="K750" s="367"/>
      <c r="L750" s="379" t="s">
        <v>2657</v>
      </c>
      <c r="M750" s="143">
        <v>6.5719417E7</v>
      </c>
      <c r="N750" s="143">
        <v>3.145008535E9</v>
      </c>
      <c r="O750" s="367"/>
      <c r="P750" s="367"/>
      <c r="Q750" s="367"/>
      <c r="R750" s="367"/>
      <c r="S750" s="367"/>
      <c r="T750" s="367"/>
      <c r="U750" s="367"/>
      <c r="V750" s="367"/>
      <c r="W750" s="367"/>
      <c r="X750" s="367"/>
      <c r="Y750" s="367"/>
      <c r="Z750" s="367"/>
    </row>
    <row r="751">
      <c r="A751" s="367"/>
      <c r="B751" s="367"/>
      <c r="C751" s="367"/>
      <c r="D751" s="367"/>
      <c r="E751" s="375"/>
      <c r="F751" s="367"/>
      <c r="G751" s="367"/>
      <c r="H751" s="367"/>
      <c r="I751" s="367"/>
      <c r="J751" s="367"/>
      <c r="K751" s="367"/>
      <c r="L751" s="379" t="s">
        <v>2658</v>
      </c>
      <c r="M751" s="143">
        <v>1.00046895E9</v>
      </c>
      <c r="N751" s="143">
        <v>3.138482919E9</v>
      </c>
      <c r="O751" s="367"/>
      <c r="P751" s="367"/>
      <c r="Q751" s="367"/>
      <c r="R751" s="367"/>
      <c r="S751" s="367"/>
      <c r="T751" s="367"/>
      <c r="U751" s="367"/>
      <c r="V751" s="367"/>
      <c r="W751" s="367"/>
      <c r="X751" s="367"/>
      <c r="Y751" s="367"/>
      <c r="Z751" s="367"/>
    </row>
    <row r="752">
      <c r="A752" s="367"/>
      <c r="B752" s="367"/>
      <c r="C752" s="367"/>
      <c r="D752" s="367"/>
      <c r="E752" s="375"/>
      <c r="F752" s="367"/>
      <c r="G752" s="367"/>
      <c r="H752" s="367"/>
      <c r="I752" s="367"/>
      <c r="J752" s="367"/>
      <c r="K752" s="367"/>
      <c r="L752" s="379" t="s">
        <v>2659</v>
      </c>
      <c r="M752" s="143">
        <v>7.985691E7</v>
      </c>
      <c r="N752" s="143">
        <v>3.138482915E9</v>
      </c>
      <c r="O752" s="367"/>
      <c r="P752" s="367"/>
      <c r="Q752" s="367"/>
      <c r="R752" s="367"/>
      <c r="S752" s="367"/>
      <c r="T752" s="367"/>
      <c r="U752" s="367"/>
      <c r="V752" s="367"/>
      <c r="W752" s="367"/>
      <c r="X752" s="367"/>
      <c r="Y752" s="367"/>
      <c r="Z752" s="367"/>
    </row>
    <row r="753">
      <c r="A753" s="367"/>
      <c r="B753" s="367"/>
      <c r="C753" s="367"/>
      <c r="D753" s="367"/>
      <c r="E753" s="375"/>
      <c r="F753" s="367"/>
      <c r="G753" s="367"/>
      <c r="H753" s="367"/>
      <c r="I753" s="367"/>
      <c r="J753" s="367"/>
      <c r="K753" s="367"/>
      <c r="L753" s="379" t="s">
        <v>2660</v>
      </c>
      <c r="M753" s="143">
        <v>5.2868732E7</v>
      </c>
      <c r="N753" s="143">
        <v>3.009432679E9</v>
      </c>
      <c r="O753" s="367"/>
      <c r="P753" s="367"/>
      <c r="Q753" s="367"/>
      <c r="R753" s="367"/>
      <c r="S753" s="367"/>
      <c r="T753" s="367"/>
      <c r="U753" s="367"/>
      <c r="V753" s="367"/>
      <c r="W753" s="367"/>
      <c r="X753" s="367"/>
      <c r="Y753" s="367"/>
      <c r="Z753" s="367"/>
    </row>
    <row r="754">
      <c r="A754" s="367"/>
      <c r="B754" s="367"/>
      <c r="C754" s="367"/>
      <c r="D754" s="367"/>
      <c r="E754" s="375"/>
      <c r="F754" s="367"/>
      <c r="G754" s="367"/>
      <c r="H754" s="367"/>
      <c r="I754" s="367"/>
      <c r="J754" s="367"/>
      <c r="K754" s="367"/>
      <c r="L754" s="379" t="s">
        <v>2661</v>
      </c>
      <c r="M754" s="143">
        <v>5.2474777E7</v>
      </c>
      <c r="N754" s="143">
        <v>3.213311362E9</v>
      </c>
      <c r="O754" s="367"/>
      <c r="P754" s="367"/>
      <c r="Q754" s="367"/>
      <c r="R754" s="367"/>
      <c r="S754" s="367"/>
      <c r="T754" s="367"/>
      <c r="U754" s="367"/>
      <c r="V754" s="367"/>
      <c r="W754" s="367"/>
      <c r="X754" s="367"/>
      <c r="Y754" s="367"/>
      <c r="Z754" s="367"/>
    </row>
    <row r="755">
      <c r="A755" s="367"/>
      <c r="B755" s="367"/>
      <c r="C755" s="367"/>
      <c r="D755" s="367"/>
      <c r="E755" s="375"/>
      <c r="F755" s="367"/>
      <c r="G755" s="367"/>
      <c r="H755" s="367"/>
      <c r="I755" s="367"/>
      <c r="J755" s="367"/>
      <c r="K755" s="367"/>
      <c r="L755" s="379" t="s">
        <v>2662</v>
      </c>
      <c r="M755" s="143">
        <v>8.0003118E7</v>
      </c>
      <c r="N755" s="143">
        <v>3.163635108E9</v>
      </c>
      <c r="O755" s="367"/>
      <c r="P755" s="367"/>
      <c r="Q755" s="367"/>
      <c r="R755" s="367"/>
      <c r="S755" s="367"/>
      <c r="T755" s="367"/>
      <c r="U755" s="367"/>
      <c r="V755" s="367"/>
      <c r="W755" s="367"/>
      <c r="X755" s="367"/>
      <c r="Y755" s="367"/>
      <c r="Z755" s="367"/>
    </row>
    <row r="756">
      <c r="A756" s="367"/>
      <c r="B756" s="367"/>
      <c r="C756" s="367"/>
      <c r="D756" s="367"/>
      <c r="E756" s="375"/>
      <c r="F756" s="367"/>
      <c r="G756" s="367"/>
      <c r="H756" s="367"/>
      <c r="I756" s="367"/>
      <c r="J756" s="367"/>
      <c r="K756" s="367"/>
      <c r="L756" s="379" t="s">
        <v>2663</v>
      </c>
      <c r="M756" s="143">
        <v>5.2839776E7</v>
      </c>
      <c r="N756" s="143">
        <v>3.014176217E9</v>
      </c>
      <c r="O756" s="367"/>
      <c r="P756" s="367"/>
      <c r="Q756" s="367"/>
      <c r="R756" s="367"/>
      <c r="S756" s="367"/>
      <c r="T756" s="367"/>
      <c r="U756" s="367"/>
      <c r="V756" s="367"/>
      <c r="W756" s="367"/>
      <c r="X756" s="367"/>
      <c r="Y756" s="367"/>
      <c r="Z756" s="367"/>
    </row>
    <row r="757">
      <c r="A757" s="367"/>
      <c r="B757" s="367"/>
      <c r="C757" s="367"/>
      <c r="D757" s="367"/>
      <c r="E757" s="375"/>
      <c r="F757" s="367"/>
      <c r="G757" s="367"/>
      <c r="H757" s="367"/>
      <c r="I757" s="367"/>
      <c r="J757" s="367"/>
      <c r="K757" s="367"/>
      <c r="L757" s="379" t="s">
        <v>2664</v>
      </c>
      <c r="M757" s="143">
        <v>1.010760287E9</v>
      </c>
      <c r="N757" s="143">
        <v>3.224117929E9</v>
      </c>
      <c r="O757" s="367"/>
      <c r="P757" s="367"/>
      <c r="Q757" s="367"/>
      <c r="R757" s="367"/>
      <c r="S757" s="367"/>
      <c r="T757" s="367"/>
      <c r="U757" s="367"/>
      <c r="V757" s="367"/>
      <c r="W757" s="367"/>
      <c r="X757" s="367"/>
      <c r="Y757" s="367"/>
      <c r="Z757" s="367"/>
    </row>
    <row r="758">
      <c r="A758" s="367"/>
      <c r="B758" s="367"/>
      <c r="C758" s="367"/>
      <c r="D758" s="367"/>
      <c r="E758" s="375"/>
      <c r="F758" s="367"/>
      <c r="G758" s="367"/>
      <c r="H758" s="367"/>
      <c r="I758" s="367"/>
      <c r="J758" s="367"/>
      <c r="K758" s="367"/>
      <c r="L758" s="379" t="s">
        <v>2665</v>
      </c>
      <c r="M758" s="143">
        <v>3.7706188E7</v>
      </c>
      <c r="N758" s="143">
        <v>3.115486128E9</v>
      </c>
      <c r="O758" s="367"/>
      <c r="P758" s="367"/>
      <c r="Q758" s="367"/>
      <c r="R758" s="367"/>
      <c r="S758" s="367"/>
      <c r="T758" s="367"/>
      <c r="U758" s="367"/>
      <c r="V758" s="367"/>
      <c r="W758" s="367"/>
      <c r="X758" s="367"/>
      <c r="Y758" s="367"/>
      <c r="Z758" s="367"/>
    </row>
    <row r="759">
      <c r="A759" s="367"/>
      <c r="B759" s="367"/>
      <c r="C759" s="367"/>
      <c r="D759" s="367"/>
      <c r="E759" s="375"/>
      <c r="F759" s="367"/>
      <c r="G759" s="367"/>
      <c r="H759" s="367"/>
      <c r="I759" s="367"/>
      <c r="J759" s="367"/>
      <c r="K759" s="367"/>
      <c r="L759" s="379" t="s">
        <v>2666</v>
      </c>
      <c r="M759" s="143">
        <v>1.3992743E7</v>
      </c>
      <c r="N759" s="143">
        <v>3.10291649E9</v>
      </c>
      <c r="O759" s="367"/>
      <c r="P759" s="367"/>
      <c r="Q759" s="367"/>
      <c r="R759" s="367"/>
      <c r="S759" s="367"/>
      <c r="T759" s="367"/>
      <c r="U759" s="367"/>
      <c r="V759" s="367"/>
      <c r="W759" s="367"/>
      <c r="X759" s="367"/>
      <c r="Y759" s="367"/>
      <c r="Z759" s="367"/>
    </row>
    <row r="760">
      <c r="A760" s="367"/>
      <c r="B760" s="367"/>
      <c r="C760" s="367"/>
      <c r="D760" s="367"/>
      <c r="E760" s="375"/>
      <c r="F760" s="367"/>
      <c r="G760" s="367"/>
      <c r="H760" s="367"/>
      <c r="I760" s="367"/>
      <c r="J760" s="367"/>
      <c r="K760" s="367"/>
      <c r="L760" s="379" t="s">
        <v>2667</v>
      </c>
      <c r="M760" s="143">
        <v>6.5789897E7</v>
      </c>
      <c r="N760" s="143">
        <v>3.203655029E9</v>
      </c>
      <c r="O760" s="367"/>
      <c r="P760" s="367"/>
      <c r="Q760" s="367"/>
      <c r="R760" s="367"/>
      <c r="S760" s="367"/>
      <c r="T760" s="367"/>
      <c r="U760" s="367"/>
      <c r="V760" s="367"/>
      <c r="W760" s="367"/>
      <c r="X760" s="367"/>
      <c r="Y760" s="367"/>
      <c r="Z760" s="367"/>
    </row>
    <row r="761">
      <c r="A761" s="367"/>
      <c r="B761" s="367"/>
      <c r="C761" s="367"/>
      <c r="D761" s="367"/>
      <c r="E761" s="375"/>
      <c r="F761" s="367"/>
      <c r="G761" s="367"/>
      <c r="H761" s="367"/>
      <c r="I761" s="367"/>
      <c r="J761" s="367"/>
      <c r="K761" s="367"/>
      <c r="L761" s="379" t="s">
        <v>2668</v>
      </c>
      <c r="M761" s="143">
        <v>1.024493301E9</v>
      </c>
      <c r="N761" s="143">
        <v>3.202244246E9</v>
      </c>
      <c r="O761" s="367"/>
      <c r="P761" s="367"/>
      <c r="Q761" s="367"/>
      <c r="R761" s="367"/>
      <c r="S761" s="367"/>
      <c r="T761" s="367"/>
      <c r="U761" s="367"/>
      <c r="V761" s="367"/>
      <c r="W761" s="367"/>
      <c r="X761" s="367"/>
      <c r="Y761" s="367"/>
      <c r="Z761" s="367"/>
    </row>
    <row r="762">
      <c r="A762" s="367"/>
      <c r="B762" s="367"/>
      <c r="C762" s="367"/>
      <c r="D762" s="367"/>
      <c r="E762" s="375"/>
      <c r="F762" s="367"/>
      <c r="G762" s="367"/>
      <c r="H762" s="367"/>
      <c r="I762" s="367"/>
      <c r="J762" s="367"/>
      <c r="K762" s="367"/>
      <c r="L762" s="379" t="s">
        <v>2669</v>
      </c>
      <c r="M762" s="143">
        <v>1.030124437E9</v>
      </c>
      <c r="N762" s="143">
        <v>3.212899436E9</v>
      </c>
      <c r="O762" s="367"/>
      <c r="P762" s="367"/>
      <c r="Q762" s="367"/>
      <c r="R762" s="367"/>
      <c r="S762" s="367"/>
      <c r="T762" s="367"/>
      <c r="U762" s="367"/>
      <c r="V762" s="367"/>
      <c r="W762" s="367"/>
      <c r="X762" s="367"/>
      <c r="Y762" s="367"/>
      <c r="Z762" s="367"/>
    </row>
    <row r="763">
      <c r="A763" s="367"/>
      <c r="B763" s="367"/>
      <c r="C763" s="367"/>
      <c r="D763" s="367"/>
      <c r="E763" s="375"/>
      <c r="F763" s="367"/>
      <c r="G763" s="367"/>
      <c r="H763" s="367"/>
      <c r="I763" s="367"/>
      <c r="J763" s="367"/>
      <c r="K763" s="367"/>
      <c r="L763" s="379" t="s">
        <v>2670</v>
      </c>
      <c r="M763" s="143">
        <v>3016451.0</v>
      </c>
      <c r="N763" s="143">
        <v>3.125381823E9</v>
      </c>
      <c r="O763" s="367"/>
      <c r="P763" s="367"/>
      <c r="Q763" s="367"/>
      <c r="R763" s="367"/>
      <c r="S763" s="367"/>
      <c r="T763" s="367"/>
      <c r="U763" s="367"/>
      <c r="V763" s="367"/>
      <c r="W763" s="367"/>
      <c r="X763" s="367"/>
      <c r="Y763" s="367"/>
      <c r="Z763" s="367"/>
    </row>
    <row r="764">
      <c r="A764" s="367"/>
      <c r="B764" s="367"/>
      <c r="C764" s="367"/>
      <c r="D764" s="367"/>
      <c r="E764" s="375"/>
      <c r="F764" s="367"/>
      <c r="G764" s="367"/>
      <c r="H764" s="367"/>
      <c r="I764" s="367"/>
      <c r="J764" s="367"/>
      <c r="K764" s="367"/>
      <c r="L764" s="379" t="s">
        <v>2671</v>
      </c>
      <c r="M764" s="143">
        <v>5.180022E7</v>
      </c>
      <c r="N764" s="143">
        <v>3.10275638E9</v>
      </c>
      <c r="O764" s="367"/>
      <c r="P764" s="367"/>
      <c r="Q764" s="367"/>
      <c r="R764" s="367"/>
      <c r="S764" s="367"/>
      <c r="T764" s="367"/>
      <c r="U764" s="367"/>
      <c r="V764" s="367"/>
      <c r="W764" s="367"/>
      <c r="X764" s="367"/>
      <c r="Y764" s="367"/>
      <c r="Z764" s="367"/>
    </row>
    <row r="765">
      <c r="A765" s="367"/>
      <c r="B765" s="367"/>
      <c r="C765" s="367"/>
      <c r="D765" s="367"/>
      <c r="E765" s="375"/>
      <c r="F765" s="367"/>
      <c r="G765" s="367"/>
      <c r="H765" s="367"/>
      <c r="I765" s="367"/>
      <c r="J765" s="367"/>
      <c r="K765" s="367"/>
      <c r="L765" s="379" t="s">
        <v>2672</v>
      </c>
      <c r="M765" s="143">
        <v>7.9448436E7</v>
      </c>
      <c r="N765" s="143">
        <v>3.118892398E9</v>
      </c>
      <c r="O765" s="367"/>
      <c r="P765" s="367"/>
      <c r="Q765" s="367"/>
      <c r="R765" s="367"/>
      <c r="S765" s="367"/>
      <c r="T765" s="367"/>
      <c r="U765" s="367"/>
      <c r="V765" s="367"/>
      <c r="W765" s="367"/>
      <c r="X765" s="367"/>
      <c r="Y765" s="367"/>
      <c r="Z765" s="367"/>
    </row>
    <row r="766">
      <c r="A766" s="367"/>
      <c r="B766" s="367"/>
      <c r="C766" s="367"/>
      <c r="D766" s="367"/>
      <c r="E766" s="375"/>
      <c r="F766" s="367"/>
      <c r="G766" s="367"/>
      <c r="H766" s="367"/>
      <c r="I766" s="367"/>
      <c r="J766" s="367"/>
      <c r="K766" s="367"/>
      <c r="L766" s="379" t="s">
        <v>2673</v>
      </c>
      <c r="M766" s="143">
        <v>1.021313663E9</v>
      </c>
      <c r="N766" s="143">
        <v>3.166603254E9</v>
      </c>
      <c r="O766" s="367"/>
      <c r="P766" s="367"/>
      <c r="Q766" s="367"/>
      <c r="R766" s="367"/>
      <c r="S766" s="367"/>
      <c r="T766" s="367"/>
      <c r="U766" s="367"/>
      <c r="V766" s="367"/>
      <c r="W766" s="367"/>
      <c r="X766" s="367"/>
      <c r="Y766" s="367"/>
      <c r="Z766" s="367"/>
    </row>
    <row r="767">
      <c r="A767" s="367"/>
      <c r="B767" s="367"/>
      <c r="C767" s="367"/>
      <c r="D767" s="367"/>
      <c r="E767" s="375"/>
      <c r="F767" s="367"/>
      <c r="G767" s="367"/>
      <c r="H767" s="367"/>
      <c r="I767" s="367"/>
      <c r="J767" s="367"/>
      <c r="K767" s="367"/>
      <c r="L767" s="379" t="s">
        <v>2674</v>
      </c>
      <c r="M767" s="143">
        <v>1.062959653E9</v>
      </c>
      <c r="N767" s="143">
        <v>3.203371101E9</v>
      </c>
      <c r="O767" s="367"/>
      <c r="P767" s="367"/>
      <c r="Q767" s="367"/>
      <c r="R767" s="367"/>
      <c r="S767" s="367"/>
      <c r="T767" s="367"/>
      <c r="U767" s="367"/>
      <c r="V767" s="367"/>
      <c r="W767" s="367"/>
      <c r="X767" s="367"/>
      <c r="Y767" s="367"/>
      <c r="Z767" s="367"/>
    </row>
    <row r="768">
      <c r="A768" s="367"/>
      <c r="B768" s="367"/>
      <c r="C768" s="367"/>
      <c r="D768" s="367"/>
      <c r="E768" s="375"/>
      <c r="F768" s="367"/>
      <c r="G768" s="367"/>
      <c r="H768" s="367"/>
      <c r="I768" s="367"/>
      <c r="J768" s="367"/>
      <c r="K768" s="367"/>
      <c r="L768" s="379" t="s">
        <v>2675</v>
      </c>
      <c r="M768" s="143">
        <v>5.0911714E7</v>
      </c>
      <c r="N768" s="143">
        <v>3.134900479E9</v>
      </c>
      <c r="O768" s="367"/>
      <c r="P768" s="367"/>
      <c r="Q768" s="367"/>
      <c r="R768" s="367"/>
      <c r="S768" s="367"/>
      <c r="T768" s="367"/>
      <c r="U768" s="367"/>
      <c r="V768" s="367"/>
      <c r="W768" s="367"/>
      <c r="X768" s="367"/>
      <c r="Y768" s="367"/>
      <c r="Z768" s="367"/>
    </row>
    <row r="769">
      <c r="A769" s="367"/>
      <c r="B769" s="367"/>
      <c r="C769" s="367"/>
      <c r="D769" s="367"/>
      <c r="E769" s="375"/>
      <c r="F769" s="367"/>
      <c r="G769" s="367"/>
      <c r="H769" s="367"/>
      <c r="I769" s="367"/>
      <c r="J769" s="367"/>
      <c r="K769" s="367"/>
      <c r="L769" s="379" t="s">
        <v>2676</v>
      </c>
      <c r="M769" s="143">
        <v>1.00000136227E11</v>
      </c>
      <c r="N769" s="143">
        <v>3.046065919E9</v>
      </c>
      <c r="O769" s="367"/>
      <c r="P769" s="367"/>
      <c r="Q769" s="367"/>
      <c r="R769" s="367"/>
      <c r="S769" s="367"/>
      <c r="T769" s="367"/>
      <c r="U769" s="367"/>
      <c r="V769" s="367"/>
      <c r="W769" s="367"/>
      <c r="X769" s="367"/>
      <c r="Y769" s="367"/>
      <c r="Z769" s="367"/>
    </row>
    <row r="770">
      <c r="A770" s="367"/>
      <c r="B770" s="367"/>
      <c r="C770" s="367"/>
      <c r="D770" s="367"/>
      <c r="E770" s="375"/>
      <c r="F770" s="367"/>
      <c r="G770" s="367"/>
      <c r="H770" s="367"/>
      <c r="I770" s="367"/>
      <c r="J770" s="367"/>
      <c r="K770" s="367"/>
      <c r="L770" s="379" t="s">
        <v>2677</v>
      </c>
      <c r="M770" s="143">
        <v>1.030560868E9</v>
      </c>
      <c r="N770" s="143">
        <v>3.151258082E9</v>
      </c>
      <c r="O770" s="367"/>
      <c r="P770" s="367"/>
      <c r="Q770" s="367"/>
      <c r="R770" s="367"/>
      <c r="S770" s="367"/>
      <c r="T770" s="367"/>
      <c r="U770" s="367"/>
      <c r="V770" s="367"/>
      <c r="W770" s="367"/>
      <c r="X770" s="367"/>
      <c r="Y770" s="367"/>
      <c r="Z770" s="367"/>
    </row>
    <row r="771">
      <c r="A771" s="367"/>
      <c r="B771" s="367"/>
      <c r="C771" s="367"/>
      <c r="D771" s="367"/>
      <c r="E771" s="375"/>
      <c r="F771" s="367"/>
      <c r="G771" s="367"/>
      <c r="H771" s="367"/>
      <c r="I771" s="367"/>
      <c r="J771" s="367"/>
      <c r="K771" s="367"/>
      <c r="L771" s="430"/>
      <c r="M771" s="367"/>
      <c r="N771" s="367"/>
      <c r="O771" s="367"/>
      <c r="P771" s="367"/>
      <c r="Q771" s="367"/>
      <c r="R771" s="367"/>
      <c r="S771" s="367"/>
      <c r="T771" s="367"/>
      <c r="U771" s="367"/>
      <c r="V771" s="367"/>
      <c r="W771" s="367"/>
      <c r="X771" s="367"/>
      <c r="Y771" s="367"/>
      <c r="Z771" s="367"/>
    </row>
    <row r="772">
      <c r="A772" s="367"/>
      <c r="B772" s="367"/>
      <c r="C772" s="367"/>
      <c r="D772" s="367"/>
      <c r="E772" s="375"/>
      <c r="F772" s="367"/>
      <c r="G772" s="367"/>
      <c r="H772" s="367"/>
      <c r="I772" s="367"/>
      <c r="J772" s="367"/>
      <c r="K772" s="367"/>
      <c r="L772" s="430"/>
      <c r="M772" s="367"/>
      <c r="N772" s="367"/>
      <c r="O772" s="367"/>
      <c r="P772" s="367"/>
      <c r="Q772" s="367"/>
      <c r="R772" s="367"/>
      <c r="S772" s="367"/>
      <c r="T772" s="367"/>
      <c r="U772" s="367"/>
      <c r="V772" s="367"/>
      <c r="W772" s="367"/>
      <c r="X772" s="367"/>
      <c r="Y772" s="367"/>
      <c r="Z772" s="367"/>
    </row>
    <row r="773">
      <c r="A773" s="367"/>
      <c r="B773" s="367"/>
      <c r="C773" s="367"/>
      <c r="D773" s="367"/>
      <c r="E773" s="375"/>
      <c r="F773" s="367"/>
      <c r="G773" s="367"/>
      <c r="H773" s="367"/>
      <c r="I773" s="367"/>
      <c r="J773" s="367"/>
      <c r="K773" s="367"/>
      <c r="L773" s="430"/>
      <c r="M773" s="367"/>
      <c r="N773" s="367"/>
      <c r="O773" s="367"/>
      <c r="P773" s="367"/>
      <c r="Q773" s="367"/>
      <c r="R773" s="367"/>
      <c r="S773" s="367"/>
      <c r="T773" s="367"/>
      <c r="U773" s="367"/>
      <c r="V773" s="367"/>
      <c r="W773" s="367"/>
      <c r="X773" s="367"/>
      <c r="Y773" s="367"/>
      <c r="Z773" s="367"/>
    </row>
    <row r="774">
      <c r="A774" s="367"/>
      <c r="B774" s="367"/>
      <c r="C774" s="367"/>
      <c r="D774" s="367"/>
      <c r="E774" s="375"/>
      <c r="F774" s="367"/>
      <c r="G774" s="367"/>
      <c r="H774" s="367"/>
      <c r="I774" s="367"/>
      <c r="J774" s="367"/>
      <c r="K774" s="367"/>
      <c r="L774" s="430"/>
      <c r="M774" s="367"/>
      <c r="N774" s="367"/>
      <c r="O774" s="367"/>
      <c r="P774" s="367"/>
      <c r="Q774" s="367"/>
      <c r="R774" s="367"/>
      <c r="S774" s="367"/>
      <c r="T774" s="367"/>
      <c r="U774" s="367"/>
      <c r="V774" s="367"/>
      <c r="W774" s="367"/>
      <c r="X774" s="367"/>
      <c r="Y774" s="367"/>
      <c r="Z774" s="367"/>
    </row>
    <row r="775">
      <c r="A775" s="367"/>
      <c r="B775" s="367"/>
      <c r="C775" s="367"/>
      <c r="D775" s="367"/>
      <c r="E775" s="375"/>
      <c r="F775" s="367"/>
      <c r="G775" s="367"/>
      <c r="H775" s="367"/>
      <c r="I775" s="367"/>
      <c r="J775" s="367"/>
      <c r="K775" s="367"/>
      <c r="L775" s="430"/>
      <c r="M775" s="367"/>
      <c r="N775" s="367"/>
      <c r="O775" s="367"/>
      <c r="P775" s="367"/>
      <c r="Q775" s="367"/>
      <c r="R775" s="367"/>
      <c r="S775" s="367"/>
      <c r="T775" s="367"/>
      <c r="U775" s="367"/>
      <c r="V775" s="367"/>
      <c r="W775" s="367"/>
      <c r="X775" s="367"/>
      <c r="Y775" s="367"/>
      <c r="Z775" s="367"/>
    </row>
    <row r="776">
      <c r="A776" s="367"/>
      <c r="B776" s="367"/>
      <c r="C776" s="367"/>
      <c r="D776" s="367"/>
      <c r="E776" s="375"/>
      <c r="F776" s="367"/>
      <c r="G776" s="367"/>
      <c r="H776" s="367"/>
      <c r="I776" s="367"/>
      <c r="J776" s="367"/>
      <c r="K776" s="367"/>
      <c r="L776" s="430"/>
      <c r="M776" s="367"/>
      <c r="N776" s="367"/>
      <c r="O776" s="367"/>
      <c r="P776" s="367"/>
      <c r="Q776" s="367"/>
      <c r="R776" s="367"/>
      <c r="S776" s="367"/>
      <c r="T776" s="367"/>
      <c r="U776" s="367"/>
      <c r="V776" s="367"/>
      <c r="W776" s="367"/>
      <c r="X776" s="367"/>
      <c r="Y776" s="367"/>
      <c r="Z776" s="367"/>
    </row>
    <row r="777">
      <c r="A777" s="367"/>
      <c r="B777" s="367"/>
      <c r="C777" s="367"/>
      <c r="D777" s="367"/>
      <c r="E777" s="375"/>
      <c r="F777" s="367"/>
      <c r="G777" s="367"/>
      <c r="H777" s="367"/>
      <c r="I777" s="367"/>
      <c r="J777" s="367"/>
      <c r="K777" s="367"/>
      <c r="L777" s="430"/>
      <c r="M777" s="367"/>
      <c r="N777" s="367"/>
      <c r="O777" s="367"/>
      <c r="P777" s="367"/>
      <c r="Q777" s="367"/>
      <c r="R777" s="367"/>
      <c r="S777" s="367"/>
      <c r="T777" s="367"/>
      <c r="U777" s="367"/>
      <c r="V777" s="367"/>
      <c r="W777" s="367"/>
      <c r="X777" s="367"/>
      <c r="Y777" s="367"/>
      <c r="Z777" s="367"/>
    </row>
    <row r="778">
      <c r="A778" s="367"/>
      <c r="B778" s="367"/>
      <c r="C778" s="367"/>
      <c r="D778" s="367"/>
      <c r="E778" s="375"/>
      <c r="F778" s="367"/>
      <c r="G778" s="367"/>
      <c r="H778" s="367"/>
      <c r="I778" s="367"/>
      <c r="J778" s="367"/>
      <c r="K778" s="367"/>
      <c r="L778" s="430"/>
      <c r="M778" s="367"/>
      <c r="N778" s="367"/>
      <c r="O778" s="367"/>
      <c r="P778" s="367"/>
      <c r="Q778" s="367"/>
      <c r="R778" s="367"/>
      <c r="S778" s="367"/>
      <c r="T778" s="367"/>
      <c r="U778" s="367"/>
      <c r="V778" s="367"/>
      <c r="W778" s="367"/>
      <c r="X778" s="367"/>
      <c r="Y778" s="367"/>
      <c r="Z778" s="367"/>
    </row>
    <row r="779">
      <c r="A779" s="367"/>
      <c r="B779" s="367"/>
      <c r="C779" s="367"/>
      <c r="D779" s="367"/>
      <c r="E779" s="375"/>
      <c r="F779" s="367"/>
      <c r="G779" s="367"/>
      <c r="H779" s="367"/>
      <c r="I779" s="367"/>
      <c r="J779" s="367"/>
      <c r="K779" s="367"/>
      <c r="L779" s="430"/>
      <c r="M779" s="367"/>
      <c r="N779" s="367"/>
      <c r="O779" s="367"/>
      <c r="P779" s="367"/>
      <c r="Q779" s="367"/>
      <c r="R779" s="367"/>
      <c r="S779" s="367"/>
      <c r="T779" s="367"/>
      <c r="U779" s="367"/>
      <c r="V779" s="367"/>
      <c r="W779" s="367"/>
      <c r="X779" s="367"/>
      <c r="Y779" s="367"/>
      <c r="Z779" s="367"/>
    </row>
    <row r="780">
      <c r="A780" s="367"/>
      <c r="B780" s="367"/>
      <c r="C780" s="367"/>
      <c r="D780" s="367"/>
      <c r="E780" s="375"/>
      <c r="F780" s="367"/>
      <c r="G780" s="367"/>
      <c r="H780" s="367"/>
      <c r="I780" s="367"/>
      <c r="J780" s="367"/>
      <c r="K780" s="367"/>
      <c r="L780" s="430"/>
      <c r="M780" s="367"/>
      <c r="N780" s="367"/>
      <c r="O780" s="367"/>
      <c r="P780" s="367"/>
      <c r="Q780" s="367"/>
      <c r="R780" s="367"/>
      <c r="S780" s="367"/>
      <c r="T780" s="367"/>
      <c r="U780" s="367"/>
      <c r="V780" s="367"/>
      <c r="W780" s="367"/>
      <c r="X780" s="367"/>
      <c r="Y780" s="367"/>
      <c r="Z780" s="367"/>
    </row>
    <row r="781">
      <c r="A781" s="367"/>
      <c r="B781" s="367"/>
      <c r="C781" s="367"/>
      <c r="D781" s="367"/>
      <c r="E781" s="375"/>
      <c r="F781" s="367"/>
      <c r="G781" s="367"/>
      <c r="H781" s="367"/>
      <c r="I781" s="367"/>
      <c r="J781" s="367"/>
      <c r="K781" s="367"/>
      <c r="L781" s="430"/>
      <c r="M781" s="367"/>
      <c r="N781" s="367"/>
      <c r="O781" s="367"/>
      <c r="P781" s="367"/>
      <c r="Q781" s="367"/>
      <c r="R781" s="367"/>
      <c r="S781" s="367"/>
      <c r="T781" s="367"/>
      <c r="U781" s="367"/>
      <c r="V781" s="367"/>
      <c r="W781" s="367"/>
      <c r="X781" s="367"/>
      <c r="Y781" s="367"/>
      <c r="Z781" s="367"/>
    </row>
    <row r="782">
      <c r="A782" s="367"/>
      <c r="B782" s="367"/>
      <c r="C782" s="367"/>
      <c r="D782" s="367"/>
      <c r="E782" s="375"/>
      <c r="F782" s="367"/>
      <c r="G782" s="367"/>
      <c r="H782" s="367"/>
      <c r="I782" s="367"/>
      <c r="J782" s="367"/>
      <c r="K782" s="367"/>
      <c r="L782" s="430"/>
      <c r="M782" s="367"/>
      <c r="N782" s="367"/>
      <c r="O782" s="367"/>
      <c r="P782" s="367"/>
      <c r="Q782" s="367"/>
      <c r="R782" s="367"/>
      <c r="S782" s="367"/>
      <c r="T782" s="367"/>
      <c r="U782" s="367"/>
      <c r="V782" s="367"/>
      <c r="W782" s="367"/>
      <c r="X782" s="367"/>
      <c r="Y782" s="367"/>
      <c r="Z782" s="367"/>
    </row>
    <row r="783">
      <c r="A783" s="367"/>
      <c r="B783" s="367"/>
      <c r="C783" s="367"/>
      <c r="D783" s="367"/>
      <c r="E783" s="375"/>
      <c r="F783" s="367"/>
      <c r="G783" s="367"/>
      <c r="H783" s="367"/>
      <c r="I783" s="367"/>
      <c r="J783" s="367"/>
      <c r="K783" s="367"/>
      <c r="L783" s="430"/>
      <c r="M783" s="367"/>
      <c r="N783" s="367"/>
      <c r="O783" s="367"/>
      <c r="P783" s="367"/>
      <c r="Q783" s="367"/>
      <c r="R783" s="367"/>
      <c r="S783" s="367"/>
      <c r="T783" s="367"/>
      <c r="U783" s="367"/>
      <c r="V783" s="367"/>
      <c r="W783" s="367"/>
      <c r="X783" s="367"/>
      <c r="Y783" s="367"/>
      <c r="Z783" s="367"/>
    </row>
    <row r="784">
      <c r="A784" s="367"/>
      <c r="B784" s="367"/>
      <c r="C784" s="367"/>
      <c r="D784" s="367"/>
      <c r="E784" s="375"/>
      <c r="F784" s="367"/>
      <c r="G784" s="367"/>
      <c r="H784" s="367"/>
      <c r="I784" s="367"/>
      <c r="J784" s="367"/>
      <c r="K784" s="367"/>
      <c r="L784" s="430"/>
      <c r="M784" s="367"/>
      <c r="N784" s="367"/>
      <c r="O784" s="367"/>
      <c r="P784" s="367"/>
      <c r="Q784" s="367"/>
      <c r="R784" s="367"/>
      <c r="S784" s="367"/>
      <c r="T784" s="367"/>
      <c r="U784" s="367"/>
      <c r="V784" s="367"/>
      <c r="W784" s="367"/>
      <c r="X784" s="367"/>
      <c r="Y784" s="367"/>
      <c r="Z784" s="367"/>
    </row>
    <row r="785">
      <c r="A785" s="367"/>
      <c r="B785" s="367"/>
      <c r="C785" s="367"/>
      <c r="D785" s="367"/>
      <c r="E785" s="375"/>
      <c r="F785" s="367"/>
      <c r="G785" s="367"/>
      <c r="H785" s="367"/>
      <c r="I785" s="367"/>
      <c r="J785" s="367"/>
      <c r="K785" s="367"/>
      <c r="L785" s="430"/>
      <c r="M785" s="367"/>
      <c r="N785" s="367"/>
      <c r="O785" s="367"/>
      <c r="P785" s="367"/>
      <c r="Q785" s="367"/>
      <c r="R785" s="367"/>
      <c r="S785" s="367"/>
      <c r="T785" s="367"/>
      <c r="U785" s="367"/>
      <c r="V785" s="367"/>
      <c r="W785" s="367"/>
      <c r="X785" s="367"/>
      <c r="Y785" s="367"/>
      <c r="Z785" s="367"/>
    </row>
    <row r="786">
      <c r="A786" s="367"/>
      <c r="B786" s="367"/>
      <c r="C786" s="367"/>
      <c r="D786" s="367"/>
      <c r="E786" s="375"/>
      <c r="F786" s="367"/>
      <c r="G786" s="367"/>
      <c r="H786" s="367"/>
      <c r="I786" s="367"/>
      <c r="J786" s="367"/>
      <c r="K786" s="367"/>
      <c r="L786" s="430"/>
      <c r="M786" s="367"/>
      <c r="N786" s="367"/>
      <c r="O786" s="367"/>
      <c r="P786" s="367"/>
      <c r="Q786" s="367"/>
      <c r="R786" s="367"/>
      <c r="S786" s="367"/>
      <c r="T786" s="367"/>
      <c r="U786" s="367"/>
      <c r="V786" s="367"/>
      <c r="W786" s="367"/>
      <c r="X786" s="367"/>
      <c r="Y786" s="367"/>
      <c r="Z786" s="367"/>
    </row>
    <row r="787">
      <c r="A787" s="367"/>
      <c r="B787" s="367"/>
      <c r="C787" s="367"/>
      <c r="D787" s="367"/>
      <c r="E787" s="375"/>
      <c r="F787" s="367"/>
      <c r="G787" s="367"/>
      <c r="H787" s="367"/>
      <c r="I787" s="367"/>
      <c r="J787" s="367"/>
      <c r="K787" s="367"/>
      <c r="L787" s="430"/>
      <c r="M787" s="367"/>
      <c r="N787" s="367"/>
      <c r="O787" s="367"/>
      <c r="P787" s="367"/>
      <c r="Q787" s="367"/>
      <c r="R787" s="367"/>
      <c r="S787" s="367"/>
      <c r="T787" s="367"/>
      <c r="U787" s="367"/>
      <c r="V787" s="367"/>
      <c r="W787" s="367"/>
      <c r="X787" s="367"/>
      <c r="Y787" s="367"/>
      <c r="Z787" s="367"/>
    </row>
    <row r="788">
      <c r="A788" s="367"/>
      <c r="B788" s="367"/>
      <c r="C788" s="367"/>
      <c r="D788" s="367"/>
      <c r="E788" s="375"/>
      <c r="F788" s="367"/>
      <c r="G788" s="367"/>
      <c r="H788" s="367"/>
      <c r="I788" s="367"/>
      <c r="J788" s="367"/>
      <c r="K788" s="367"/>
      <c r="L788" s="430"/>
      <c r="M788" s="367"/>
      <c r="N788" s="367"/>
      <c r="O788" s="367"/>
      <c r="P788" s="367"/>
      <c r="Q788" s="367"/>
      <c r="R788" s="367"/>
      <c r="S788" s="367"/>
      <c r="T788" s="367"/>
      <c r="U788" s="367"/>
      <c r="V788" s="367"/>
      <c r="W788" s="367"/>
      <c r="X788" s="367"/>
      <c r="Y788" s="367"/>
      <c r="Z788" s="367"/>
    </row>
    <row r="789">
      <c r="A789" s="367"/>
      <c r="B789" s="367"/>
      <c r="C789" s="367"/>
      <c r="D789" s="367"/>
      <c r="E789" s="375"/>
      <c r="F789" s="367"/>
      <c r="G789" s="367"/>
      <c r="H789" s="367"/>
      <c r="I789" s="367"/>
      <c r="J789" s="367"/>
      <c r="K789" s="367"/>
      <c r="L789" s="430"/>
      <c r="M789" s="367"/>
      <c r="N789" s="367"/>
      <c r="O789" s="367"/>
      <c r="P789" s="367"/>
      <c r="Q789" s="367"/>
      <c r="R789" s="367"/>
      <c r="S789" s="367"/>
      <c r="T789" s="367"/>
      <c r="U789" s="367"/>
      <c r="V789" s="367"/>
      <c r="W789" s="367"/>
      <c r="X789" s="367"/>
      <c r="Y789" s="367"/>
      <c r="Z789" s="367"/>
    </row>
    <row r="790">
      <c r="A790" s="367"/>
      <c r="B790" s="367"/>
      <c r="C790" s="367"/>
      <c r="D790" s="367"/>
      <c r="E790" s="375"/>
      <c r="F790" s="367"/>
      <c r="G790" s="367"/>
      <c r="H790" s="367"/>
      <c r="I790" s="367"/>
      <c r="J790" s="367"/>
      <c r="K790" s="367"/>
      <c r="L790" s="430"/>
      <c r="M790" s="367"/>
      <c r="N790" s="367"/>
      <c r="O790" s="367"/>
      <c r="P790" s="367"/>
      <c r="Q790" s="367"/>
      <c r="R790" s="367"/>
      <c r="S790" s="367"/>
      <c r="T790" s="367"/>
      <c r="U790" s="367"/>
      <c r="V790" s="367"/>
      <c r="W790" s="367"/>
      <c r="X790" s="367"/>
      <c r="Y790" s="367"/>
      <c r="Z790" s="367"/>
    </row>
    <row r="791">
      <c r="A791" s="367"/>
      <c r="B791" s="367"/>
      <c r="C791" s="367"/>
      <c r="D791" s="367"/>
      <c r="E791" s="375"/>
      <c r="F791" s="367"/>
      <c r="G791" s="367"/>
      <c r="H791" s="367"/>
      <c r="I791" s="367"/>
      <c r="J791" s="367"/>
      <c r="K791" s="367"/>
      <c r="L791" s="430"/>
      <c r="M791" s="367"/>
      <c r="N791" s="367"/>
      <c r="O791" s="367"/>
      <c r="P791" s="367"/>
      <c r="Q791" s="367"/>
      <c r="R791" s="367"/>
      <c r="S791" s="367"/>
      <c r="T791" s="367"/>
      <c r="U791" s="367"/>
      <c r="V791" s="367"/>
      <c r="W791" s="367"/>
      <c r="X791" s="367"/>
      <c r="Y791" s="367"/>
      <c r="Z791" s="367"/>
    </row>
    <row r="792">
      <c r="A792" s="367"/>
      <c r="B792" s="367"/>
      <c r="C792" s="367"/>
      <c r="D792" s="367"/>
      <c r="E792" s="375"/>
      <c r="F792" s="367"/>
      <c r="G792" s="367"/>
      <c r="H792" s="367"/>
      <c r="I792" s="367"/>
      <c r="J792" s="367"/>
      <c r="K792" s="367"/>
      <c r="L792" s="430"/>
      <c r="M792" s="367"/>
      <c r="N792" s="367"/>
      <c r="O792" s="367"/>
      <c r="P792" s="367"/>
      <c r="Q792" s="367"/>
      <c r="R792" s="367"/>
      <c r="S792" s="367"/>
      <c r="T792" s="367"/>
      <c r="U792" s="367"/>
      <c r="V792" s="367"/>
      <c r="W792" s="367"/>
      <c r="X792" s="367"/>
      <c r="Y792" s="367"/>
      <c r="Z792" s="367"/>
    </row>
    <row r="793">
      <c r="A793" s="367"/>
      <c r="B793" s="367"/>
      <c r="C793" s="367"/>
      <c r="D793" s="367"/>
      <c r="E793" s="375"/>
      <c r="F793" s="367"/>
      <c r="G793" s="367"/>
      <c r="H793" s="367"/>
      <c r="I793" s="367"/>
      <c r="J793" s="367"/>
      <c r="K793" s="367"/>
      <c r="L793" s="430"/>
      <c r="M793" s="367"/>
      <c r="N793" s="367"/>
      <c r="O793" s="367"/>
      <c r="P793" s="367"/>
      <c r="Q793" s="367"/>
      <c r="R793" s="367"/>
      <c r="S793" s="367"/>
      <c r="T793" s="367"/>
      <c r="U793" s="367"/>
      <c r="V793" s="367"/>
      <c r="W793" s="367"/>
      <c r="X793" s="367"/>
      <c r="Y793" s="367"/>
      <c r="Z793" s="367"/>
    </row>
    <row r="794">
      <c r="A794" s="367"/>
      <c r="B794" s="367"/>
      <c r="C794" s="367"/>
      <c r="D794" s="367"/>
      <c r="E794" s="375"/>
      <c r="F794" s="367"/>
      <c r="G794" s="367"/>
      <c r="H794" s="367"/>
      <c r="I794" s="367"/>
      <c r="J794" s="367"/>
      <c r="K794" s="367"/>
      <c r="L794" s="430"/>
      <c r="M794" s="367"/>
      <c r="N794" s="367"/>
      <c r="O794" s="367"/>
      <c r="P794" s="367"/>
      <c r="Q794" s="367"/>
      <c r="R794" s="367"/>
      <c r="S794" s="367"/>
      <c r="T794" s="367"/>
      <c r="U794" s="367"/>
      <c r="V794" s="367"/>
      <c r="W794" s="367"/>
      <c r="X794" s="367"/>
      <c r="Y794" s="367"/>
      <c r="Z794" s="367"/>
    </row>
    <row r="795">
      <c r="A795" s="367"/>
      <c r="B795" s="367"/>
      <c r="C795" s="367"/>
      <c r="D795" s="367"/>
      <c r="E795" s="375"/>
      <c r="F795" s="367"/>
      <c r="G795" s="367"/>
      <c r="H795" s="367"/>
      <c r="I795" s="367"/>
      <c r="J795" s="367"/>
      <c r="K795" s="367"/>
      <c r="L795" s="430"/>
      <c r="M795" s="367"/>
      <c r="N795" s="367"/>
      <c r="O795" s="367"/>
      <c r="P795" s="367"/>
      <c r="Q795" s="367"/>
      <c r="R795" s="367"/>
      <c r="S795" s="367"/>
      <c r="T795" s="367"/>
      <c r="U795" s="367"/>
      <c r="V795" s="367"/>
      <c r="W795" s="367"/>
      <c r="X795" s="367"/>
      <c r="Y795" s="367"/>
      <c r="Z795" s="367"/>
    </row>
    <row r="796">
      <c r="A796" s="367"/>
      <c r="B796" s="367"/>
      <c r="C796" s="367"/>
      <c r="D796" s="367"/>
      <c r="E796" s="375"/>
      <c r="F796" s="367"/>
      <c r="G796" s="367"/>
      <c r="H796" s="367"/>
      <c r="I796" s="367"/>
      <c r="J796" s="367"/>
      <c r="K796" s="367"/>
      <c r="L796" s="430"/>
      <c r="M796" s="367"/>
      <c r="N796" s="367"/>
      <c r="O796" s="367"/>
      <c r="P796" s="367"/>
      <c r="Q796" s="367"/>
      <c r="R796" s="367"/>
      <c r="S796" s="367"/>
      <c r="T796" s="367"/>
      <c r="U796" s="367"/>
      <c r="V796" s="367"/>
      <c r="W796" s="367"/>
      <c r="X796" s="367"/>
      <c r="Y796" s="367"/>
      <c r="Z796" s="367"/>
    </row>
    <row r="797">
      <c r="A797" s="367"/>
      <c r="B797" s="367"/>
      <c r="C797" s="367"/>
      <c r="D797" s="367"/>
      <c r="E797" s="375"/>
      <c r="F797" s="367"/>
      <c r="G797" s="367"/>
      <c r="H797" s="367"/>
      <c r="I797" s="367"/>
      <c r="J797" s="367"/>
      <c r="K797" s="367"/>
      <c r="L797" s="430"/>
      <c r="M797" s="367"/>
      <c r="N797" s="367"/>
      <c r="O797" s="367"/>
      <c r="P797" s="367"/>
      <c r="Q797" s="367"/>
      <c r="R797" s="367"/>
      <c r="S797" s="367"/>
      <c r="T797" s="367"/>
      <c r="U797" s="367"/>
      <c r="V797" s="367"/>
      <c r="W797" s="367"/>
      <c r="X797" s="367"/>
      <c r="Y797" s="367"/>
      <c r="Z797" s="367"/>
    </row>
    <row r="798">
      <c r="A798" s="367"/>
      <c r="B798" s="367"/>
      <c r="C798" s="367"/>
      <c r="D798" s="367"/>
      <c r="E798" s="375"/>
      <c r="F798" s="367"/>
      <c r="G798" s="367"/>
      <c r="H798" s="367"/>
      <c r="I798" s="367"/>
      <c r="J798" s="367"/>
      <c r="K798" s="367"/>
      <c r="L798" s="430"/>
      <c r="M798" s="367"/>
      <c r="N798" s="367"/>
      <c r="O798" s="367"/>
      <c r="P798" s="367"/>
      <c r="Q798" s="367"/>
      <c r="R798" s="367"/>
      <c r="S798" s="367"/>
      <c r="T798" s="367"/>
      <c r="U798" s="367"/>
      <c r="V798" s="367"/>
      <c r="W798" s="367"/>
      <c r="X798" s="367"/>
      <c r="Y798" s="367"/>
      <c r="Z798" s="367"/>
    </row>
    <row r="799">
      <c r="A799" s="367"/>
      <c r="B799" s="367"/>
      <c r="C799" s="367"/>
      <c r="D799" s="367"/>
      <c r="E799" s="375"/>
      <c r="F799" s="367"/>
      <c r="G799" s="367"/>
      <c r="H799" s="367"/>
      <c r="I799" s="367"/>
      <c r="J799" s="367"/>
      <c r="K799" s="367"/>
      <c r="L799" s="430"/>
      <c r="M799" s="367"/>
      <c r="N799" s="367"/>
      <c r="O799" s="367"/>
      <c r="P799" s="367"/>
      <c r="Q799" s="367"/>
      <c r="R799" s="367"/>
      <c r="S799" s="367"/>
      <c r="T799" s="367"/>
      <c r="U799" s="367"/>
      <c r="V799" s="367"/>
      <c r="W799" s="367"/>
      <c r="X799" s="367"/>
      <c r="Y799" s="367"/>
      <c r="Z799" s="367"/>
    </row>
    <row r="800">
      <c r="A800" s="367"/>
      <c r="B800" s="367"/>
      <c r="C800" s="367"/>
      <c r="D800" s="367"/>
      <c r="E800" s="375"/>
      <c r="F800" s="367"/>
      <c r="G800" s="367"/>
      <c r="H800" s="367"/>
      <c r="I800" s="367"/>
      <c r="J800" s="367"/>
      <c r="K800" s="367"/>
      <c r="L800" s="430"/>
      <c r="M800" s="367"/>
      <c r="N800" s="367"/>
      <c r="O800" s="367"/>
      <c r="P800" s="367"/>
      <c r="Q800" s="367"/>
      <c r="R800" s="367"/>
      <c r="S800" s="367"/>
      <c r="T800" s="367"/>
      <c r="U800" s="367"/>
      <c r="V800" s="367"/>
      <c r="W800" s="367"/>
      <c r="X800" s="367"/>
      <c r="Y800" s="367"/>
      <c r="Z800" s="367"/>
    </row>
    <row r="801">
      <c r="A801" s="367"/>
      <c r="B801" s="367"/>
      <c r="C801" s="367"/>
      <c r="D801" s="367"/>
      <c r="E801" s="375"/>
      <c r="F801" s="367"/>
      <c r="G801" s="367"/>
      <c r="H801" s="367"/>
      <c r="I801" s="367"/>
      <c r="J801" s="367"/>
      <c r="K801" s="367"/>
      <c r="L801" s="430"/>
      <c r="M801" s="367"/>
      <c r="N801" s="367"/>
      <c r="O801" s="367"/>
      <c r="P801" s="367"/>
      <c r="Q801" s="367"/>
      <c r="R801" s="367"/>
      <c r="S801" s="367"/>
      <c r="T801" s="367"/>
      <c r="U801" s="367"/>
      <c r="V801" s="367"/>
      <c r="W801" s="367"/>
      <c r="X801" s="367"/>
      <c r="Y801" s="367"/>
      <c r="Z801" s="367"/>
    </row>
    <row r="802">
      <c r="A802" s="367"/>
      <c r="B802" s="367"/>
      <c r="C802" s="367"/>
      <c r="D802" s="367"/>
      <c r="E802" s="375"/>
      <c r="F802" s="367"/>
      <c r="G802" s="367"/>
      <c r="H802" s="367"/>
      <c r="I802" s="367"/>
      <c r="J802" s="367"/>
      <c r="K802" s="367"/>
      <c r="L802" s="430"/>
      <c r="M802" s="367"/>
      <c r="N802" s="367"/>
      <c r="O802" s="367"/>
      <c r="P802" s="367"/>
      <c r="Q802" s="367"/>
      <c r="R802" s="367"/>
      <c r="S802" s="367"/>
      <c r="T802" s="367"/>
      <c r="U802" s="367"/>
      <c r="V802" s="367"/>
      <c r="W802" s="367"/>
      <c r="X802" s="367"/>
      <c r="Y802" s="367"/>
      <c r="Z802" s="367"/>
    </row>
    <row r="803">
      <c r="A803" s="367"/>
      <c r="B803" s="367"/>
      <c r="C803" s="367"/>
      <c r="D803" s="367"/>
      <c r="E803" s="375"/>
      <c r="F803" s="367"/>
      <c r="G803" s="367"/>
      <c r="H803" s="367"/>
      <c r="I803" s="367"/>
      <c r="J803" s="367"/>
      <c r="K803" s="367"/>
      <c r="L803" s="430"/>
      <c r="M803" s="367"/>
      <c r="N803" s="367"/>
      <c r="O803" s="367"/>
      <c r="P803" s="367"/>
      <c r="Q803" s="367"/>
      <c r="R803" s="367"/>
      <c r="S803" s="367"/>
      <c r="T803" s="367"/>
      <c r="U803" s="367"/>
      <c r="V803" s="367"/>
      <c r="W803" s="367"/>
      <c r="X803" s="367"/>
      <c r="Y803" s="367"/>
      <c r="Z803" s="367"/>
    </row>
    <row r="804">
      <c r="A804" s="367"/>
      <c r="B804" s="367"/>
      <c r="C804" s="367"/>
      <c r="D804" s="367"/>
      <c r="E804" s="375"/>
      <c r="F804" s="367"/>
      <c r="G804" s="367"/>
      <c r="H804" s="367"/>
      <c r="I804" s="367"/>
      <c r="J804" s="367"/>
      <c r="K804" s="367"/>
      <c r="L804" s="430"/>
      <c r="M804" s="367"/>
      <c r="N804" s="367"/>
      <c r="O804" s="367"/>
      <c r="P804" s="367"/>
      <c r="Q804" s="367"/>
      <c r="R804" s="367"/>
      <c r="S804" s="367"/>
      <c r="T804" s="367"/>
      <c r="U804" s="367"/>
      <c r="V804" s="367"/>
      <c r="W804" s="367"/>
      <c r="X804" s="367"/>
      <c r="Y804" s="367"/>
      <c r="Z804" s="367"/>
    </row>
    <row r="805">
      <c r="A805" s="367"/>
      <c r="B805" s="367"/>
      <c r="C805" s="367"/>
      <c r="D805" s="367"/>
      <c r="E805" s="375"/>
      <c r="F805" s="367"/>
      <c r="G805" s="367"/>
      <c r="H805" s="367"/>
      <c r="I805" s="367"/>
      <c r="J805" s="367"/>
      <c r="K805" s="367"/>
      <c r="L805" s="430"/>
      <c r="M805" s="367"/>
      <c r="N805" s="367"/>
      <c r="O805" s="367"/>
      <c r="P805" s="367"/>
      <c r="Q805" s="367"/>
      <c r="R805" s="367"/>
      <c r="S805" s="367"/>
      <c r="T805" s="367"/>
      <c r="U805" s="367"/>
      <c r="V805" s="367"/>
      <c r="W805" s="367"/>
      <c r="X805" s="367"/>
      <c r="Y805" s="367"/>
      <c r="Z805" s="367"/>
    </row>
    <row r="806">
      <c r="A806" s="367"/>
      <c r="B806" s="367"/>
      <c r="C806" s="367"/>
      <c r="D806" s="367"/>
      <c r="E806" s="375"/>
      <c r="F806" s="367"/>
      <c r="G806" s="367"/>
      <c r="H806" s="367"/>
      <c r="I806" s="367"/>
      <c r="J806" s="367"/>
      <c r="K806" s="367"/>
      <c r="L806" s="430"/>
      <c r="M806" s="367"/>
      <c r="N806" s="367"/>
      <c r="O806" s="367"/>
      <c r="P806" s="367"/>
      <c r="Q806" s="367"/>
      <c r="R806" s="367"/>
      <c r="S806" s="367"/>
      <c r="T806" s="367"/>
      <c r="U806" s="367"/>
      <c r="V806" s="367"/>
      <c r="W806" s="367"/>
      <c r="X806" s="367"/>
      <c r="Y806" s="367"/>
      <c r="Z806" s="367"/>
    </row>
    <row r="807">
      <c r="A807" s="367"/>
      <c r="B807" s="367"/>
      <c r="C807" s="367"/>
      <c r="D807" s="367"/>
      <c r="E807" s="375"/>
      <c r="F807" s="367"/>
      <c r="G807" s="367"/>
      <c r="H807" s="367"/>
      <c r="I807" s="367"/>
      <c r="J807" s="367"/>
      <c r="K807" s="367"/>
      <c r="L807" s="430"/>
      <c r="M807" s="367"/>
      <c r="N807" s="367"/>
      <c r="O807" s="367"/>
      <c r="P807" s="367"/>
      <c r="Q807" s="367"/>
      <c r="R807" s="367"/>
      <c r="S807" s="367"/>
      <c r="T807" s="367"/>
      <c r="U807" s="367"/>
      <c r="V807" s="367"/>
      <c r="W807" s="367"/>
      <c r="X807" s="367"/>
      <c r="Y807" s="367"/>
      <c r="Z807" s="367"/>
    </row>
    <row r="808">
      <c r="A808" s="367"/>
      <c r="B808" s="367"/>
      <c r="C808" s="367"/>
      <c r="D808" s="367"/>
      <c r="E808" s="375"/>
      <c r="F808" s="367"/>
      <c r="G808" s="367"/>
      <c r="H808" s="367"/>
      <c r="I808" s="367"/>
      <c r="J808" s="367"/>
      <c r="K808" s="367"/>
      <c r="L808" s="430"/>
      <c r="M808" s="367"/>
      <c r="N808" s="367"/>
      <c r="O808" s="367"/>
      <c r="P808" s="367"/>
      <c r="Q808" s="367"/>
      <c r="R808" s="367"/>
      <c r="S808" s="367"/>
      <c r="T808" s="367"/>
      <c r="U808" s="367"/>
      <c r="V808" s="367"/>
      <c r="W808" s="367"/>
      <c r="X808" s="367"/>
      <c r="Y808" s="367"/>
      <c r="Z808" s="367"/>
    </row>
    <row r="809">
      <c r="A809" s="367"/>
      <c r="B809" s="367"/>
      <c r="C809" s="367"/>
      <c r="D809" s="367"/>
      <c r="E809" s="375"/>
      <c r="F809" s="367"/>
      <c r="G809" s="367"/>
      <c r="H809" s="367"/>
      <c r="I809" s="367"/>
      <c r="J809" s="367"/>
      <c r="K809" s="367"/>
      <c r="L809" s="430"/>
      <c r="M809" s="367"/>
      <c r="N809" s="367"/>
      <c r="O809" s="367"/>
      <c r="P809" s="367"/>
      <c r="Q809" s="367"/>
      <c r="R809" s="367"/>
      <c r="S809" s="367"/>
      <c r="T809" s="367"/>
      <c r="U809" s="367"/>
      <c r="V809" s="367"/>
      <c r="W809" s="367"/>
      <c r="X809" s="367"/>
      <c r="Y809" s="367"/>
      <c r="Z809" s="367"/>
    </row>
    <row r="810">
      <c r="A810" s="367"/>
      <c r="B810" s="367"/>
      <c r="C810" s="367"/>
      <c r="D810" s="367"/>
      <c r="E810" s="375"/>
      <c r="F810" s="367"/>
      <c r="G810" s="367"/>
      <c r="H810" s="367"/>
      <c r="I810" s="367"/>
      <c r="J810" s="367"/>
      <c r="K810" s="367"/>
      <c r="L810" s="430"/>
      <c r="M810" s="367"/>
      <c r="N810" s="367"/>
      <c r="O810" s="367"/>
      <c r="P810" s="367"/>
      <c r="Q810" s="367"/>
      <c r="R810" s="367"/>
      <c r="S810" s="367"/>
      <c r="T810" s="367"/>
      <c r="U810" s="367"/>
      <c r="V810" s="367"/>
      <c r="W810" s="367"/>
      <c r="X810" s="367"/>
      <c r="Y810" s="367"/>
      <c r="Z810" s="367"/>
    </row>
    <row r="811">
      <c r="A811" s="367"/>
      <c r="B811" s="367"/>
      <c r="C811" s="367"/>
      <c r="D811" s="367"/>
      <c r="E811" s="375"/>
      <c r="F811" s="367"/>
      <c r="G811" s="367"/>
      <c r="H811" s="367"/>
      <c r="I811" s="367"/>
      <c r="J811" s="367"/>
      <c r="K811" s="367"/>
      <c r="L811" s="430"/>
      <c r="M811" s="367"/>
      <c r="N811" s="367"/>
      <c r="O811" s="367"/>
      <c r="P811" s="367"/>
      <c r="Q811" s="367"/>
      <c r="R811" s="367"/>
      <c r="S811" s="367"/>
      <c r="T811" s="367"/>
      <c r="U811" s="367"/>
      <c r="V811" s="367"/>
      <c r="W811" s="367"/>
      <c r="X811" s="367"/>
      <c r="Y811" s="367"/>
      <c r="Z811" s="367"/>
    </row>
    <row r="812">
      <c r="A812" s="367"/>
      <c r="B812" s="367"/>
      <c r="C812" s="367"/>
      <c r="D812" s="367"/>
      <c r="E812" s="375"/>
      <c r="F812" s="367"/>
      <c r="G812" s="367"/>
      <c r="H812" s="367"/>
      <c r="I812" s="367"/>
      <c r="J812" s="367"/>
      <c r="K812" s="367"/>
      <c r="L812" s="430"/>
      <c r="M812" s="367"/>
      <c r="N812" s="367"/>
      <c r="O812" s="367"/>
      <c r="P812" s="367"/>
      <c r="Q812" s="367"/>
      <c r="R812" s="367"/>
      <c r="S812" s="367"/>
      <c r="T812" s="367"/>
      <c r="U812" s="367"/>
      <c r="V812" s="367"/>
      <c r="W812" s="367"/>
      <c r="X812" s="367"/>
      <c r="Y812" s="367"/>
      <c r="Z812" s="367"/>
    </row>
    <row r="813">
      <c r="A813" s="367"/>
      <c r="B813" s="367"/>
      <c r="C813" s="367"/>
      <c r="D813" s="367"/>
      <c r="E813" s="375"/>
      <c r="F813" s="367"/>
      <c r="G813" s="367"/>
      <c r="H813" s="367"/>
      <c r="I813" s="367"/>
      <c r="J813" s="367"/>
      <c r="K813" s="367"/>
      <c r="L813" s="430"/>
      <c r="M813" s="367"/>
      <c r="N813" s="367"/>
      <c r="O813" s="367"/>
      <c r="P813" s="367"/>
      <c r="Q813" s="367"/>
      <c r="R813" s="367"/>
      <c r="S813" s="367"/>
      <c r="T813" s="367"/>
      <c r="U813" s="367"/>
      <c r="V813" s="367"/>
      <c r="W813" s="367"/>
      <c r="X813" s="367"/>
      <c r="Y813" s="367"/>
      <c r="Z813" s="367"/>
    </row>
    <row r="814">
      <c r="A814" s="367"/>
      <c r="B814" s="367"/>
      <c r="C814" s="367"/>
      <c r="D814" s="367"/>
      <c r="E814" s="375"/>
      <c r="F814" s="367"/>
      <c r="G814" s="367"/>
      <c r="H814" s="367"/>
      <c r="I814" s="367"/>
      <c r="J814" s="367"/>
      <c r="K814" s="367"/>
      <c r="L814" s="430"/>
      <c r="M814" s="367"/>
      <c r="N814" s="367"/>
      <c r="O814" s="367"/>
      <c r="P814" s="367"/>
      <c r="Q814" s="367"/>
      <c r="R814" s="367"/>
      <c r="S814" s="367"/>
      <c r="T814" s="367"/>
      <c r="U814" s="367"/>
      <c r="V814" s="367"/>
      <c r="W814" s="367"/>
      <c r="X814" s="367"/>
      <c r="Y814" s="367"/>
      <c r="Z814" s="367"/>
    </row>
    <row r="815">
      <c r="A815" s="367"/>
      <c r="B815" s="367"/>
      <c r="C815" s="367"/>
      <c r="D815" s="367"/>
      <c r="E815" s="375"/>
      <c r="F815" s="367"/>
      <c r="G815" s="367"/>
      <c r="H815" s="367"/>
      <c r="I815" s="367"/>
      <c r="J815" s="367"/>
      <c r="K815" s="367"/>
      <c r="L815" s="430"/>
      <c r="M815" s="367"/>
      <c r="N815" s="367"/>
      <c r="O815" s="367"/>
      <c r="P815" s="367"/>
      <c r="Q815" s="367"/>
      <c r="R815" s="367"/>
      <c r="S815" s="367"/>
      <c r="T815" s="367"/>
      <c r="U815" s="367"/>
      <c r="V815" s="367"/>
      <c r="W815" s="367"/>
      <c r="X815" s="367"/>
      <c r="Y815" s="367"/>
      <c r="Z815" s="367"/>
    </row>
    <row r="816">
      <c r="A816" s="367"/>
      <c r="B816" s="367"/>
      <c r="C816" s="367"/>
      <c r="D816" s="367"/>
      <c r="E816" s="375"/>
      <c r="F816" s="367"/>
      <c r="G816" s="367"/>
      <c r="H816" s="367"/>
      <c r="I816" s="367"/>
      <c r="J816" s="367"/>
      <c r="K816" s="367"/>
      <c r="L816" s="430"/>
      <c r="M816" s="367"/>
      <c r="N816" s="367"/>
      <c r="O816" s="367"/>
      <c r="P816" s="367"/>
      <c r="Q816" s="367"/>
      <c r="R816" s="367"/>
      <c r="S816" s="367"/>
      <c r="T816" s="367"/>
      <c r="U816" s="367"/>
      <c r="V816" s="367"/>
      <c r="W816" s="367"/>
      <c r="X816" s="367"/>
      <c r="Y816" s="367"/>
      <c r="Z816" s="367"/>
    </row>
    <row r="817">
      <c r="A817" s="367"/>
      <c r="B817" s="367"/>
      <c r="C817" s="367"/>
      <c r="D817" s="367"/>
      <c r="E817" s="375"/>
      <c r="F817" s="367"/>
      <c r="G817" s="367"/>
      <c r="H817" s="367"/>
      <c r="I817" s="367"/>
      <c r="J817" s="367"/>
      <c r="K817" s="367"/>
      <c r="L817" s="430"/>
      <c r="M817" s="367"/>
      <c r="N817" s="367"/>
      <c r="O817" s="367"/>
      <c r="P817" s="367"/>
      <c r="Q817" s="367"/>
      <c r="R817" s="367"/>
      <c r="S817" s="367"/>
      <c r="T817" s="367"/>
      <c r="U817" s="367"/>
      <c r="V817" s="367"/>
      <c r="W817" s="367"/>
      <c r="X817" s="367"/>
      <c r="Y817" s="367"/>
      <c r="Z817" s="367"/>
    </row>
    <row r="818">
      <c r="A818" s="367"/>
      <c r="B818" s="367"/>
      <c r="C818" s="367"/>
      <c r="D818" s="367"/>
      <c r="E818" s="375"/>
      <c r="F818" s="367"/>
      <c r="G818" s="367"/>
      <c r="H818" s="367"/>
      <c r="I818" s="367"/>
      <c r="J818" s="367"/>
      <c r="K818" s="367"/>
      <c r="L818" s="430"/>
      <c r="M818" s="367"/>
      <c r="N818" s="367"/>
      <c r="O818" s="367"/>
      <c r="P818" s="367"/>
      <c r="Q818" s="367"/>
      <c r="R818" s="367"/>
      <c r="S818" s="367"/>
      <c r="T818" s="367"/>
      <c r="U818" s="367"/>
      <c r="V818" s="367"/>
      <c r="W818" s="367"/>
      <c r="X818" s="367"/>
      <c r="Y818" s="367"/>
      <c r="Z818" s="367"/>
    </row>
    <row r="819">
      <c r="A819" s="367"/>
      <c r="B819" s="367"/>
      <c r="C819" s="367"/>
      <c r="D819" s="367"/>
      <c r="E819" s="375"/>
      <c r="F819" s="367"/>
      <c r="G819" s="367"/>
      <c r="H819" s="367"/>
      <c r="I819" s="367"/>
      <c r="J819" s="367"/>
      <c r="K819" s="367"/>
      <c r="L819" s="430"/>
      <c r="M819" s="367"/>
      <c r="N819" s="367"/>
      <c r="O819" s="367"/>
      <c r="P819" s="367"/>
      <c r="Q819" s="367"/>
      <c r="R819" s="367"/>
      <c r="S819" s="367"/>
      <c r="T819" s="367"/>
      <c r="U819" s="367"/>
      <c r="V819" s="367"/>
      <c r="W819" s="367"/>
      <c r="X819" s="367"/>
      <c r="Y819" s="367"/>
      <c r="Z819" s="367"/>
    </row>
    <row r="820">
      <c r="A820" s="367"/>
      <c r="B820" s="367"/>
      <c r="C820" s="367"/>
      <c r="D820" s="367"/>
      <c r="E820" s="375"/>
      <c r="F820" s="367"/>
      <c r="G820" s="367"/>
      <c r="H820" s="367"/>
      <c r="I820" s="367"/>
      <c r="J820" s="367"/>
      <c r="K820" s="367"/>
      <c r="L820" s="430"/>
      <c r="M820" s="367"/>
      <c r="N820" s="367"/>
      <c r="O820" s="367"/>
      <c r="P820" s="367"/>
      <c r="Q820" s="367"/>
      <c r="R820" s="367"/>
      <c r="S820" s="367"/>
      <c r="T820" s="367"/>
      <c r="U820" s="367"/>
      <c r="V820" s="367"/>
      <c r="W820" s="367"/>
      <c r="X820" s="367"/>
      <c r="Y820" s="367"/>
      <c r="Z820" s="367"/>
    </row>
    <row r="821">
      <c r="A821" s="367"/>
      <c r="B821" s="367"/>
      <c r="C821" s="367"/>
      <c r="D821" s="367"/>
      <c r="E821" s="375"/>
      <c r="F821" s="367"/>
      <c r="G821" s="367"/>
      <c r="H821" s="367"/>
      <c r="I821" s="367"/>
      <c r="J821" s="367"/>
      <c r="K821" s="367"/>
      <c r="L821" s="430"/>
      <c r="M821" s="367"/>
      <c r="N821" s="367"/>
      <c r="O821" s="367"/>
      <c r="P821" s="367"/>
      <c r="Q821" s="367"/>
      <c r="R821" s="367"/>
      <c r="S821" s="367"/>
      <c r="T821" s="367"/>
      <c r="U821" s="367"/>
      <c r="V821" s="367"/>
      <c r="W821" s="367"/>
      <c r="X821" s="367"/>
      <c r="Y821" s="367"/>
      <c r="Z821" s="367"/>
    </row>
    <row r="822">
      <c r="A822" s="367"/>
      <c r="B822" s="367"/>
      <c r="C822" s="367"/>
      <c r="D822" s="367"/>
      <c r="E822" s="375"/>
      <c r="F822" s="367"/>
      <c r="G822" s="367"/>
      <c r="H822" s="367"/>
      <c r="I822" s="367"/>
      <c r="J822" s="367"/>
      <c r="K822" s="367"/>
      <c r="L822" s="430"/>
      <c r="M822" s="367"/>
      <c r="N822" s="367"/>
      <c r="O822" s="367"/>
      <c r="P822" s="367"/>
      <c r="Q822" s="367"/>
      <c r="R822" s="367"/>
      <c r="S822" s="367"/>
      <c r="T822" s="367"/>
      <c r="U822" s="367"/>
      <c r="V822" s="367"/>
      <c r="W822" s="367"/>
      <c r="X822" s="367"/>
      <c r="Y822" s="367"/>
      <c r="Z822" s="367"/>
    </row>
    <row r="823">
      <c r="A823" s="367"/>
      <c r="B823" s="367"/>
      <c r="C823" s="367"/>
      <c r="D823" s="367"/>
      <c r="E823" s="375"/>
      <c r="F823" s="367"/>
      <c r="G823" s="367"/>
      <c r="H823" s="367"/>
      <c r="I823" s="367"/>
      <c r="J823" s="367"/>
      <c r="K823" s="367"/>
      <c r="L823" s="430"/>
      <c r="M823" s="367"/>
      <c r="N823" s="367"/>
      <c r="O823" s="367"/>
      <c r="P823" s="367"/>
      <c r="Q823" s="367"/>
      <c r="R823" s="367"/>
      <c r="S823" s="367"/>
      <c r="T823" s="367"/>
      <c r="U823" s="367"/>
      <c r="V823" s="367"/>
      <c r="W823" s="367"/>
      <c r="X823" s="367"/>
      <c r="Y823" s="367"/>
      <c r="Z823" s="367"/>
    </row>
    <row r="824">
      <c r="A824" s="367"/>
      <c r="B824" s="367"/>
      <c r="C824" s="367"/>
      <c r="D824" s="367"/>
      <c r="E824" s="375"/>
      <c r="F824" s="367"/>
      <c r="G824" s="367"/>
      <c r="H824" s="367"/>
      <c r="I824" s="367"/>
      <c r="J824" s="367"/>
      <c r="K824" s="367"/>
      <c r="L824" s="430"/>
      <c r="M824" s="367"/>
      <c r="N824" s="367"/>
      <c r="O824" s="367"/>
      <c r="P824" s="367"/>
      <c r="Q824" s="367"/>
      <c r="R824" s="367"/>
      <c r="S824" s="367"/>
      <c r="T824" s="367"/>
      <c r="U824" s="367"/>
      <c r="V824" s="367"/>
      <c r="W824" s="367"/>
      <c r="X824" s="367"/>
      <c r="Y824" s="367"/>
      <c r="Z824" s="367"/>
    </row>
    <row r="825">
      <c r="A825" s="367"/>
      <c r="B825" s="367"/>
      <c r="C825" s="367"/>
      <c r="D825" s="367"/>
      <c r="E825" s="375"/>
      <c r="F825" s="367"/>
      <c r="G825" s="367"/>
      <c r="H825" s="367"/>
      <c r="I825" s="367"/>
      <c r="J825" s="367"/>
      <c r="K825" s="367"/>
      <c r="L825" s="430"/>
      <c r="M825" s="367"/>
      <c r="N825" s="367"/>
      <c r="O825" s="367"/>
      <c r="P825" s="367"/>
      <c r="Q825" s="367"/>
      <c r="R825" s="367"/>
      <c r="S825" s="367"/>
      <c r="T825" s="367"/>
      <c r="U825" s="367"/>
      <c r="V825" s="367"/>
      <c r="W825" s="367"/>
      <c r="X825" s="367"/>
      <c r="Y825" s="367"/>
      <c r="Z825" s="367"/>
    </row>
    <row r="826">
      <c r="A826" s="367"/>
      <c r="B826" s="367"/>
      <c r="C826" s="367"/>
      <c r="D826" s="367"/>
      <c r="E826" s="375"/>
      <c r="F826" s="367"/>
      <c r="G826" s="367"/>
      <c r="H826" s="367"/>
      <c r="I826" s="367"/>
      <c r="J826" s="367"/>
      <c r="K826" s="367"/>
      <c r="L826" s="430"/>
      <c r="M826" s="367"/>
      <c r="N826" s="367"/>
      <c r="O826" s="367"/>
      <c r="P826" s="367"/>
      <c r="Q826" s="367"/>
      <c r="R826" s="367"/>
      <c r="S826" s="367"/>
      <c r="T826" s="367"/>
      <c r="U826" s="367"/>
      <c r="V826" s="367"/>
      <c r="W826" s="367"/>
      <c r="X826" s="367"/>
      <c r="Y826" s="367"/>
      <c r="Z826" s="367"/>
    </row>
    <row r="827">
      <c r="A827" s="367"/>
      <c r="B827" s="367"/>
      <c r="C827" s="367"/>
      <c r="D827" s="367"/>
      <c r="E827" s="375"/>
      <c r="F827" s="367"/>
      <c r="G827" s="367"/>
      <c r="H827" s="367"/>
      <c r="I827" s="367"/>
      <c r="J827" s="367"/>
      <c r="K827" s="367"/>
      <c r="L827" s="430"/>
      <c r="M827" s="367"/>
      <c r="N827" s="367"/>
      <c r="O827" s="367"/>
      <c r="P827" s="367"/>
      <c r="Q827" s="367"/>
      <c r="R827" s="367"/>
      <c r="S827" s="367"/>
      <c r="T827" s="367"/>
      <c r="U827" s="367"/>
      <c r="V827" s="367"/>
      <c r="W827" s="367"/>
      <c r="X827" s="367"/>
      <c r="Y827" s="367"/>
      <c r="Z827" s="367"/>
    </row>
    <row r="828">
      <c r="A828" s="367"/>
      <c r="B828" s="367"/>
      <c r="C828" s="367"/>
      <c r="D828" s="367"/>
      <c r="E828" s="375"/>
      <c r="F828" s="367"/>
      <c r="G828" s="367"/>
      <c r="H828" s="367"/>
      <c r="I828" s="367"/>
      <c r="J828" s="367"/>
      <c r="K828" s="367"/>
      <c r="L828" s="430"/>
      <c r="M828" s="367"/>
      <c r="N828" s="367"/>
      <c r="O828" s="367"/>
      <c r="P828" s="367"/>
      <c r="Q828" s="367"/>
      <c r="R828" s="367"/>
      <c r="S828" s="367"/>
      <c r="T828" s="367"/>
      <c r="U828" s="367"/>
      <c r="V828" s="367"/>
      <c r="W828" s="367"/>
      <c r="X828" s="367"/>
      <c r="Y828" s="367"/>
      <c r="Z828" s="367"/>
    </row>
    <row r="829">
      <c r="A829" s="367"/>
      <c r="B829" s="367"/>
      <c r="C829" s="367"/>
      <c r="D829" s="367"/>
      <c r="E829" s="375"/>
      <c r="F829" s="367"/>
      <c r="G829" s="367"/>
      <c r="H829" s="367"/>
      <c r="I829" s="367"/>
      <c r="J829" s="367"/>
      <c r="K829" s="367"/>
      <c r="L829" s="430"/>
      <c r="M829" s="367"/>
      <c r="N829" s="367"/>
      <c r="O829" s="367"/>
      <c r="P829" s="367"/>
      <c r="Q829" s="367"/>
      <c r="R829" s="367"/>
      <c r="S829" s="367"/>
      <c r="T829" s="367"/>
      <c r="U829" s="367"/>
      <c r="V829" s="367"/>
      <c r="W829" s="367"/>
      <c r="X829" s="367"/>
      <c r="Y829" s="367"/>
      <c r="Z829" s="367"/>
    </row>
    <row r="830">
      <c r="A830" s="367"/>
      <c r="B830" s="367"/>
      <c r="C830" s="367"/>
      <c r="D830" s="367"/>
      <c r="E830" s="375"/>
      <c r="F830" s="367"/>
      <c r="G830" s="367"/>
      <c r="H830" s="367"/>
      <c r="I830" s="367"/>
      <c r="J830" s="367"/>
      <c r="K830" s="367"/>
      <c r="L830" s="430"/>
      <c r="M830" s="367"/>
      <c r="N830" s="367"/>
      <c r="O830" s="367"/>
      <c r="P830" s="367"/>
      <c r="Q830" s="367"/>
      <c r="R830" s="367"/>
      <c r="S830" s="367"/>
      <c r="T830" s="367"/>
      <c r="U830" s="367"/>
      <c r="V830" s="367"/>
      <c r="W830" s="367"/>
      <c r="X830" s="367"/>
      <c r="Y830" s="367"/>
      <c r="Z830" s="367"/>
    </row>
    <row r="831">
      <c r="A831" s="367"/>
      <c r="B831" s="367"/>
      <c r="C831" s="367"/>
      <c r="D831" s="367"/>
      <c r="E831" s="375"/>
      <c r="F831" s="367"/>
      <c r="G831" s="367"/>
      <c r="H831" s="367"/>
      <c r="I831" s="367"/>
      <c r="J831" s="367"/>
      <c r="K831" s="367"/>
      <c r="L831" s="430"/>
      <c r="M831" s="367"/>
      <c r="N831" s="367"/>
      <c r="O831" s="367"/>
      <c r="P831" s="367"/>
      <c r="Q831" s="367"/>
      <c r="R831" s="367"/>
      <c r="S831" s="367"/>
      <c r="T831" s="367"/>
      <c r="U831" s="367"/>
      <c r="V831" s="367"/>
      <c r="W831" s="367"/>
      <c r="X831" s="367"/>
      <c r="Y831" s="367"/>
      <c r="Z831" s="367"/>
    </row>
    <row r="832">
      <c r="A832" s="367"/>
      <c r="B832" s="367"/>
      <c r="C832" s="367"/>
      <c r="D832" s="367"/>
      <c r="E832" s="375"/>
      <c r="F832" s="367"/>
      <c r="G832" s="367"/>
      <c r="H832" s="367"/>
      <c r="I832" s="367"/>
      <c r="J832" s="367"/>
      <c r="K832" s="367"/>
      <c r="L832" s="430"/>
      <c r="M832" s="367"/>
      <c r="N832" s="367"/>
      <c r="O832" s="367"/>
      <c r="P832" s="367"/>
      <c r="Q832" s="367"/>
      <c r="R832" s="367"/>
      <c r="S832" s="367"/>
      <c r="T832" s="367"/>
      <c r="U832" s="367"/>
      <c r="V832" s="367"/>
      <c r="W832" s="367"/>
      <c r="X832" s="367"/>
      <c r="Y832" s="367"/>
      <c r="Z832" s="367"/>
    </row>
    <row r="833">
      <c r="A833" s="367"/>
      <c r="B833" s="367"/>
      <c r="C833" s="367"/>
      <c r="D833" s="367"/>
      <c r="E833" s="375"/>
      <c r="F833" s="367"/>
      <c r="G833" s="367"/>
      <c r="H833" s="367"/>
      <c r="I833" s="367"/>
      <c r="J833" s="367"/>
      <c r="K833" s="367"/>
      <c r="L833" s="430"/>
      <c r="M833" s="367"/>
      <c r="N833" s="367"/>
      <c r="O833" s="367"/>
      <c r="P833" s="367"/>
      <c r="Q833" s="367"/>
      <c r="R833" s="367"/>
      <c r="S833" s="367"/>
      <c r="T833" s="367"/>
      <c r="U833" s="367"/>
      <c r="V833" s="367"/>
      <c r="W833" s="367"/>
      <c r="X833" s="367"/>
      <c r="Y833" s="367"/>
      <c r="Z833" s="367"/>
    </row>
    <row r="834">
      <c r="A834" s="367"/>
      <c r="B834" s="367"/>
      <c r="C834" s="367"/>
      <c r="D834" s="367"/>
      <c r="E834" s="375"/>
      <c r="F834" s="367"/>
      <c r="G834" s="367"/>
      <c r="H834" s="367"/>
      <c r="I834" s="367"/>
      <c r="J834" s="367"/>
      <c r="K834" s="367"/>
      <c r="L834" s="430"/>
      <c r="M834" s="367"/>
      <c r="N834" s="367"/>
      <c r="O834" s="367"/>
      <c r="P834" s="367"/>
      <c r="Q834" s="367"/>
      <c r="R834" s="367"/>
      <c r="S834" s="367"/>
      <c r="T834" s="367"/>
      <c r="U834" s="367"/>
      <c r="V834" s="367"/>
      <c r="W834" s="367"/>
      <c r="X834" s="367"/>
      <c r="Y834" s="367"/>
      <c r="Z834" s="367"/>
    </row>
    <row r="835">
      <c r="A835" s="367"/>
      <c r="B835" s="367"/>
      <c r="C835" s="367"/>
      <c r="D835" s="367"/>
      <c r="E835" s="375"/>
      <c r="F835" s="367"/>
      <c r="G835" s="367"/>
      <c r="H835" s="367"/>
      <c r="I835" s="367"/>
      <c r="J835" s="367"/>
      <c r="K835" s="367"/>
      <c r="L835" s="430"/>
      <c r="M835" s="367"/>
      <c r="N835" s="367"/>
      <c r="O835" s="367"/>
      <c r="P835" s="367"/>
      <c r="Q835" s="367"/>
      <c r="R835" s="367"/>
      <c r="S835" s="367"/>
      <c r="T835" s="367"/>
      <c r="U835" s="367"/>
      <c r="V835" s="367"/>
      <c r="W835" s="367"/>
      <c r="X835" s="367"/>
      <c r="Y835" s="367"/>
      <c r="Z835" s="367"/>
    </row>
    <row r="836">
      <c r="A836" s="367"/>
      <c r="B836" s="367"/>
      <c r="C836" s="367"/>
      <c r="D836" s="367"/>
      <c r="E836" s="375"/>
      <c r="F836" s="367"/>
      <c r="G836" s="367"/>
      <c r="H836" s="367"/>
      <c r="I836" s="367"/>
      <c r="J836" s="367"/>
      <c r="K836" s="367"/>
      <c r="L836" s="430"/>
      <c r="M836" s="367"/>
      <c r="N836" s="367"/>
      <c r="O836" s="367"/>
      <c r="P836" s="367"/>
      <c r="Q836" s="367"/>
      <c r="R836" s="367"/>
      <c r="S836" s="367"/>
      <c r="T836" s="367"/>
      <c r="U836" s="367"/>
      <c r="V836" s="367"/>
      <c r="W836" s="367"/>
      <c r="X836" s="367"/>
      <c r="Y836" s="367"/>
      <c r="Z836" s="367"/>
    </row>
    <row r="837">
      <c r="A837" s="367"/>
      <c r="B837" s="367"/>
      <c r="C837" s="367"/>
      <c r="D837" s="367"/>
      <c r="E837" s="375"/>
      <c r="F837" s="367"/>
      <c r="G837" s="367"/>
      <c r="H837" s="367"/>
      <c r="I837" s="367"/>
      <c r="J837" s="367"/>
      <c r="K837" s="367"/>
      <c r="L837" s="430"/>
      <c r="M837" s="367"/>
      <c r="N837" s="367"/>
      <c r="O837" s="367"/>
      <c r="P837" s="367"/>
      <c r="Q837" s="367"/>
      <c r="R837" s="367"/>
      <c r="S837" s="367"/>
      <c r="T837" s="367"/>
      <c r="U837" s="367"/>
      <c r="V837" s="367"/>
      <c r="W837" s="367"/>
      <c r="X837" s="367"/>
      <c r="Y837" s="367"/>
      <c r="Z837" s="367"/>
    </row>
    <row r="838">
      <c r="A838" s="367"/>
      <c r="B838" s="367"/>
      <c r="C838" s="367"/>
      <c r="D838" s="367"/>
      <c r="E838" s="375"/>
      <c r="F838" s="367"/>
      <c r="G838" s="367"/>
      <c r="H838" s="367"/>
      <c r="I838" s="367"/>
      <c r="J838" s="367"/>
      <c r="K838" s="367"/>
      <c r="L838" s="430"/>
      <c r="M838" s="367"/>
      <c r="N838" s="367"/>
      <c r="O838" s="367"/>
      <c r="P838" s="367"/>
      <c r="Q838" s="367"/>
      <c r="R838" s="367"/>
      <c r="S838" s="367"/>
      <c r="T838" s="367"/>
      <c r="U838" s="367"/>
      <c r="V838" s="367"/>
      <c r="W838" s="367"/>
      <c r="X838" s="367"/>
      <c r="Y838" s="367"/>
      <c r="Z838" s="367"/>
    </row>
    <row r="839">
      <c r="A839" s="367"/>
      <c r="B839" s="367"/>
      <c r="C839" s="367"/>
      <c r="D839" s="367"/>
      <c r="E839" s="375"/>
      <c r="F839" s="367"/>
      <c r="G839" s="367"/>
      <c r="H839" s="367"/>
      <c r="I839" s="367"/>
      <c r="J839" s="367"/>
      <c r="K839" s="367"/>
      <c r="L839" s="430"/>
      <c r="M839" s="367"/>
      <c r="N839" s="367"/>
      <c r="O839" s="367"/>
      <c r="P839" s="367"/>
      <c r="Q839" s="367"/>
      <c r="R839" s="367"/>
      <c r="S839" s="367"/>
      <c r="T839" s="367"/>
      <c r="U839" s="367"/>
      <c r="V839" s="367"/>
      <c r="W839" s="367"/>
      <c r="X839" s="367"/>
      <c r="Y839" s="367"/>
      <c r="Z839" s="367"/>
    </row>
    <row r="840">
      <c r="A840" s="367"/>
      <c r="B840" s="367"/>
      <c r="C840" s="367"/>
      <c r="D840" s="367"/>
      <c r="E840" s="375"/>
      <c r="F840" s="367"/>
      <c r="G840" s="367"/>
      <c r="H840" s="367"/>
      <c r="I840" s="367"/>
      <c r="J840" s="367"/>
      <c r="K840" s="367"/>
      <c r="L840" s="430"/>
      <c r="M840" s="367"/>
      <c r="N840" s="367"/>
      <c r="O840" s="367"/>
      <c r="P840" s="367"/>
      <c r="Q840" s="367"/>
      <c r="R840" s="367"/>
      <c r="S840" s="367"/>
      <c r="T840" s="367"/>
      <c r="U840" s="367"/>
      <c r="V840" s="367"/>
      <c r="W840" s="367"/>
      <c r="X840" s="367"/>
      <c r="Y840" s="367"/>
      <c r="Z840" s="367"/>
    </row>
    <row r="841">
      <c r="A841" s="367"/>
      <c r="B841" s="367"/>
      <c r="C841" s="367"/>
      <c r="D841" s="367"/>
      <c r="E841" s="375"/>
      <c r="F841" s="367"/>
      <c r="G841" s="367"/>
      <c r="H841" s="367"/>
      <c r="I841" s="367"/>
      <c r="J841" s="367"/>
      <c r="K841" s="367"/>
      <c r="L841" s="430"/>
      <c r="M841" s="367"/>
      <c r="N841" s="367"/>
      <c r="O841" s="367"/>
      <c r="P841" s="367"/>
      <c r="Q841" s="367"/>
      <c r="R841" s="367"/>
      <c r="S841" s="367"/>
      <c r="T841" s="367"/>
      <c r="U841" s="367"/>
      <c r="V841" s="367"/>
      <c r="W841" s="367"/>
      <c r="X841" s="367"/>
      <c r="Y841" s="367"/>
      <c r="Z841" s="367"/>
    </row>
    <row r="842">
      <c r="A842" s="367"/>
      <c r="B842" s="367"/>
      <c r="C842" s="367"/>
      <c r="D842" s="367"/>
      <c r="E842" s="375"/>
      <c r="F842" s="367"/>
      <c r="G842" s="367"/>
      <c r="H842" s="367"/>
      <c r="I842" s="367"/>
      <c r="J842" s="367"/>
      <c r="K842" s="367"/>
      <c r="L842" s="430"/>
      <c r="M842" s="367"/>
      <c r="N842" s="367"/>
      <c r="O842" s="367"/>
      <c r="P842" s="367"/>
      <c r="Q842" s="367"/>
      <c r="R842" s="367"/>
      <c r="S842" s="367"/>
      <c r="T842" s="367"/>
      <c r="U842" s="367"/>
      <c r="V842" s="367"/>
      <c r="W842" s="367"/>
      <c r="X842" s="367"/>
      <c r="Y842" s="367"/>
      <c r="Z842" s="367"/>
    </row>
    <row r="843">
      <c r="A843" s="367"/>
      <c r="B843" s="367"/>
      <c r="C843" s="367"/>
      <c r="D843" s="367"/>
      <c r="E843" s="375"/>
      <c r="F843" s="367"/>
      <c r="G843" s="367"/>
      <c r="H843" s="367"/>
      <c r="I843" s="367"/>
      <c r="J843" s="367"/>
      <c r="K843" s="367"/>
      <c r="L843" s="430"/>
      <c r="M843" s="367"/>
      <c r="N843" s="367"/>
      <c r="O843" s="367"/>
      <c r="P843" s="367"/>
      <c r="Q843" s="367"/>
      <c r="R843" s="367"/>
      <c r="S843" s="367"/>
      <c r="T843" s="367"/>
      <c r="U843" s="367"/>
      <c r="V843" s="367"/>
      <c r="W843" s="367"/>
      <c r="X843" s="367"/>
      <c r="Y843" s="367"/>
      <c r="Z843" s="367"/>
    </row>
    <row r="844">
      <c r="A844" s="367"/>
      <c r="B844" s="367"/>
      <c r="C844" s="367"/>
      <c r="D844" s="367"/>
      <c r="E844" s="375"/>
      <c r="F844" s="367"/>
      <c r="G844" s="367"/>
      <c r="H844" s="367"/>
      <c r="I844" s="367"/>
      <c r="J844" s="367"/>
      <c r="K844" s="367"/>
      <c r="L844" s="430"/>
      <c r="M844" s="367"/>
      <c r="N844" s="367"/>
      <c r="O844" s="367"/>
      <c r="P844" s="367"/>
      <c r="Q844" s="367"/>
      <c r="R844" s="367"/>
      <c r="S844" s="367"/>
      <c r="T844" s="367"/>
      <c r="U844" s="367"/>
      <c r="V844" s="367"/>
      <c r="W844" s="367"/>
      <c r="X844" s="367"/>
      <c r="Y844" s="367"/>
      <c r="Z844" s="367"/>
    </row>
    <row r="845">
      <c r="A845" s="367"/>
      <c r="B845" s="367"/>
      <c r="C845" s="367"/>
      <c r="D845" s="367"/>
      <c r="E845" s="375"/>
      <c r="F845" s="367"/>
      <c r="G845" s="367"/>
      <c r="H845" s="367"/>
      <c r="I845" s="367"/>
      <c r="J845" s="367"/>
      <c r="K845" s="367"/>
      <c r="L845" s="430"/>
      <c r="M845" s="367"/>
      <c r="N845" s="367"/>
      <c r="O845" s="367"/>
      <c r="P845" s="367"/>
      <c r="Q845" s="367"/>
      <c r="R845" s="367"/>
      <c r="S845" s="367"/>
      <c r="T845" s="367"/>
      <c r="U845" s="367"/>
      <c r="V845" s="367"/>
      <c r="W845" s="367"/>
      <c r="X845" s="367"/>
      <c r="Y845" s="367"/>
      <c r="Z845" s="367"/>
    </row>
    <row r="846">
      <c r="A846" s="367"/>
      <c r="B846" s="367"/>
      <c r="C846" s="367"/>
      <c r="D846" s="367"/>
      <c r="E846" s="375"/>
      <c r="F846" s="367"/>
      <c r="G846" s="367"/>
      <c r="H846" s="367"/>
      <c r="I846" s="367"/>
      <c r="J846" s="367"/>
      <c r="K846" s="367"/>
      <c r="L846" s="430"/>
      <c r="M846" s="367"/>
      <c r="N846" s="367"/>
      <c r="O846" s="367"/>
      <c r="P846" s="367"/>
      <c r="Q846" s="367"/>
      <c r="R846" s="367"/>
      <c r="S846" s="367"/>
      <c r="T846" s="367"/>
      <c r="U846" s="367"/>
      <c r="V846" s="367"/>
      <c r="W846" s="367"/>
      <c r="X846" s="367"/>
      <c r="Y846" s="367"/>
      <c r="Z846" s="367"/>
    </row>
    <row r="847">
      <c r="A847" s="367"/>
      <c r="B847" s="367"/>
      <c r="C847" s="367"/>
      <c r="D847" s="367"/>
      <c r="E847" s="375"/>
      <c r="F847" s="367"/>
      <c r="G847" s="367"/>
      <c r="H847" s="367"/>
      <c r="I847" s="367"/>
      <c r="J847" s="367"/>
      <c r="K847" s="367"/>
      <c r="L847" s="430"/>
      <c r="M847" s="367"/>
      <c r="N847" s="367"/>
      <c r="O847" s="367"/>
      <c r="P847" s="367"/>
      <c r="Q847" s="367"/>
      <c r="R847" s="367"/>
      <c r="S847" s="367"/>
      <c r="T847" s="367"/>
      <c r="U847" s="367"/>
      <c r="V847" s="367"/>
      <c r="W847" s="367"/>
      <c r="X847" s="367"/>
      <c r="Y847" s="367"/>
      <c r="Z847" s="367"/>
    </row>
    <row r="848">
      <c r="A848" s="367"/>
      <c r="B848" s="367"/>
      <c r="C848" s="367"/>
      <c r="D848" s="367"/>
      <c r="E848" s="375"/>
      <c r="F848" s="367"/>
      <c r="G848" s="367"/>
      <c r="H848" s="367"/>
      <c r="I848" s="367"/>
      <c r="J848" s="367"/>
      <c r="K848" s="367"/>
      <c r="L848" s="430"/>
      <c r="M848" s="367"/>
      <c r="N848" s="367"/>
      <c r="O848" s="367"/>
      <c r="P848" s="367"/>
      <c r="Q848" s="367"/>
      <c r="R848" s="367"/>
      <c r="S848" s="367"/>
      <c r="T848" s="367"/>
      <c r="U848" s="367"/>
      <c r="V848" s="367"/>
      <c r="W848" s="367"/>
      <c r="X848" s="367"/>
      <c r="Y848" s="367"/>
      <c r="Z848" s="367"/>
    </row>
    <row r="849">
      <c r="A849" s="367"/>
      <c r="B849" s="367"/>
      <c r="C849" s="367"/>
      <c r="D849" s="367"/>
      <c r="E849" s="375"/>
      <c r="F849" s="367"/>
      <c r="G849" s="367"/>
      <c r="H849" s="367"/>
      <c r="I849" s="367"/>
      <c r="J849" s="367"/>
      <c r="K849" s="367"/>
      <c r="L849" s="430"/>
      <c r="M849" s="367"/>
      <c r="N849" s="367"/>
      <c r="O849" s="367"/>
      <c r="P849" s="367"/>
      <c r="Q849" s="367"/>
      <c r="R849" s="367"/>
      <c r="S849" s="367"/>
      <c r="T849" s="367"/>
      <c r="U849" s="367"/>
      <c r="V849" s="367"/>
      <c r="W849" s="367"/>
      <c r="X849" s="367"/>
      <c r="Y849" s="367"/>
      <c r="Z849" s="367"/>
    </row>
    <row r="850">
      <c r="A850" s="367"/>
      <c r="B850" s="367"/>
      <c r="C850" s="367"/>
      <c r="D850" s="367"/>
      <c r="E850" s="375"/>
      <c r="F850" s="367"/>
      <c r="G850" s="367"/>
      <c r="H850" s="367"/>
      <c r="I850" s="367"/>
      <c r="J850" s="367"/>
      <c r="K850" s="367"/>
      <c r="L850" s="430"/>
      <c r="M850" s="367"/>
      <c r="N850" s="367"/>
      <c r="O850" s="367"/>
      <c r="P850" s="367"/>
      <c r="Q850" s="367"/>
      <c r="R850" s="367"/>
      <c r="S850" s="367"/>
      <c r="T850" s="367"/>
      <c r="U850" s="367"/>
      <c r="V850" s="367"/>
      <c r="W850" s="367"/>
      <c r="X850" s="367"/>
      <c r="Y850" s="367"/>
      <c r="Z850" s="367"/>
    </row>
    <row r="851">
      <c r="A851" s="367"/>
      <c r="B851" s="367"/>
      <c r="C851" s="367"/>
      <c r="D851" s="367"/>
      <c r="E851" s="375"/>
      <c r="F851" s="367"/>
      <c r="G851" s="367"/>
      <c r="H851" s="367"/>
      <c r="I851" s="367"/>
      <c r="J851" s="367"/>
      <c r="K851" s="367"/>
      <c r="L851" s="430"/>
      <c r="M851" s="367"/>
      <c r="N851" s="367"/>
      <c r="O851" s="367"/>
      <c r="P851" s="367"/>
      <c r="Q851" s="367"/>
      <c r="R851" s="367"/>
      <c r="S851" s="367"/>
      <c r="T851" s="367"/>
      <c r="U851" s="367"/>
      <c r="V851" s="367"/>
      <c r="W851" s="367"/>
      <c r="X851" s="367"/>
      <c r="Y851" s="367"/>
      <c r="Z851" s="367"/>
    </row>
    <row r="852">
      <c r="A852" s="367"/>
      <c r="B852" s="367"/>
      <c r="C852" s="367"/>
      <c r="D852" s="367"/>
      <c r="E852" s="375"/>
      <c r="F852" s="367"/>
      <c r="G852" s="367"/>
      <c r="H852" s="367"/>
      <c r="I852" s="367"/>
      <c r="J852" s="367"/>
      <c r="K852" s="367"/>
      <c r="L852" s="430"/>
      <c r="M852" s="367"/>
      <c r="N852" s="367"/>
      <c r="O852" s="367"/>
      <c r="P852" s="367"/>
      <c r="Q852" s="367"/>
      <c r="R852" s="367"/>
      <c r="S852" s="367"/>
      <c r="T852" s="367"/>
      <c r="U852" s="367"/>
      <c r="V852" s="367"/>
      <c r="W852" s="367"/>
      <c r="X852" s="367"/>
      <c r="Y852" s="367"/>
      <c r="Z852" s="367"/>
    </row>
    <row r="853">
      <c r="A853" s="367"/>
      <c r="B853" s="367"/>
      <c r="C853" s="367"/>
      <c r="D853" s="367"/>
      <c r="E853" s="375"/>
      <c r="F853" s="367"/>
      <c r="G853" s="367"/>
      <c r="H853" s="367"/>
      <c r="I853" s="367"/>
      <c r="J853" s="367"/>
      <c r="K853" s="367"/>
      <c r="L853" s="430"/>
      <c r="M853" s="367"/>
      <c r="N853" s="367"/>
      <c r="O853" s="367"/>
      <c r="P853" s="367"/>
      <c r="Q853" s="367"/>
      <c r="R853" s="367"/>
      <c r="S853" s="367"/>
      <c r="T853" s="367"/>
      <c r="U853" s="367"/>
      <c r="V853" s="367"/>
      <c r="W853" s="367"/>
      <c r="X853" s="367"/>
      <c r="Y853" s="367"/>
      <c r="Z853" s="367"/>
    </row>
    <row r="854">
      <c r="A854" s="367"/>
      <c r="B854" s="367"/>
      <c r="C854" s="367"/>
      <c r="D854" s="367"/>
      <c r="E854" s="375"/>
      <c r="F854" s="367"/>
      <c r="G854" s="367"/>
      <c r="H854" s="367"/>
      <c r="I854" s="367"/>
      <c r="J854" s="367"/>
      <c r="K854" s="367"/>
      <c r="L854" s="430"/>
      <c r="M854" s="367"/>
      <c r="N854" s="367"/>
      <c r="O854" s="367"/>
      <c r="P854" s="367"/>
      <c r="Q854" s="367"/>
      <c r="R854" s="367"/>
      <c r="S854" s="367"/>
      <c r="T854" s="367"/>
      <c r="U854" s="367"/>
      <c r="V854" s="367"/>
      <c r="W854" s="367"/>
      <c r="X854" s="367"/>
      <c r="Y854" s="367"/>
      <c r="Z854" s="367"/>
    </row>
    <row r="855">
      <c r="A855" s="367"/>
      <c r="B855" s="367"/>
      <c r="C855" s="367"/>
      <c r="D855" s="367"/>
      <c r="E855" s="375"/>
      <c r="F855" s="367"/>
      <c r="G855" s="367"/>
      <c r="H855" s="367"/>
      <c r="I855" s="367"/>
      <c r="J855" s="367"/>
      <c r="K855" s="367"/>
      <c r="L855" s="430"/>
      <c r="M855" s="367"/>
      <c r="N855" s="367"/>
      <c r="O855" s="367"/>
      <c r="P855" s="367"/>
      <c r="Q855" s="367"/>
      <c r="R855" s="367"/>
      <c r="S855" s="367"/>
      <c r="T855" s="367"/>
      <c r="U855" s="367"/>
      <c r="V855" s="367"/>
      <c r="W855" s="367"/>
      <c r="X855" s="367"/>
      <c r="Y855" s="367"/>
      <c r="Z855" s="367"/>
    </row>
    <row r="856">
      <c r="A856" s="367"/>
      <c r="B856" s="367"/>
      <c r="C856" s="367"/>
      <c r="D856" s="367"/>
      <c r="E856" s="375"/>
      <c r="F856" s="367"/>
      <c r="G856" s="367"/>
      <c r="H856" s="367"/>
      <c r="I856" s="367"/>
      <c r="J856" s="367"/>
      <c r="K856" s="367"/>
      <c r="L856" s="430"/>
      <c r="M856" s="367"/>
      <c r="N856" s="367"/>
      <c r="O856" s="367"/>
      <c r="P856" s="367"/>
      <c r="Q856" s="367"/>
      <c r="R856" s="367"/>
      <c r="S856" s="367"/>
      <c r="T856" s="367"/>
      <c r="U856" s="367"/>
      <c r="V856" s="367"/>
      <c r="W856" s="367"/>
      <c r="X856" s="367"/>
      <c r="Y856" s="367"/>
      <c r="Z856" s="367"/>
    </row>
    <row r="857">
      <c r="A857" s="367"/>
      <c r="B857" s="367"/>
      <c r="C857" s="367"/>
      <c r="D857" s="367"/>
      <c r="E857" s="375"/>
      <c r="F857" s="367"/>
      <c r="G857" s="367"/>
      <c r="H857" s="367"/>
      <c r="I857" s="367"/>
      <c r="J857" s="367"/>
      <c r="K857" s="367"/>
      <c r="L857" s="430"/>
      <c r="M857" s="367"/>
      <c r="N857" s="367"/>
      <c r="O857" s="367"/>
      <c r="P857" s="367"/>
      <c r="Q857" s="367"/>
      <c r="R857" s="367"/>
      <c r="S857" s="367"/>
      <c r="T857" s="367"/>
      <c r="U857" s="367"/>
      <c r="V857" s="367"/>
      <c r="W857" s="367"/>
      <c r="X857" s="367"/>
      <c r="Y857" s="367"/>
      <c r="Z857" s="367"/>
    </row>
    <row r="858">
      <c r="A858" s="367"/>
      <c r="B858" s="367"/>
      <c r="C858" s="367"/>
      <c r="D858" s="367"/>
      <c r="E858" s="375"/>
      <c r="F858" s="367"/>
      <c r="G858" s="367"/>
      <c r="H858" s="367"/>
      <c r="I858" s="367"/>
      <c r="J858" s="367"/>
      <c r="K858" s="367"/>
      <c r="L858" s="430"/>
      <c r="M858" s="367"/>
      <c r="N858" s="367"/>
      <c r="O858" s="367"/>
      <c r="P858" s="367"/>
      <c r="Q858" s="367"/>
      <c r="R858" s="367"/>
      <c r="S858" s="367"/>
      <c r="T858" s="367"/>
      <c r="U858" s="367"/>
      <c r="V858" s="367"/>
      <c r="W858" s="367"/>
      <c r="X858" s="367"/>
      <c r="Y858" s="367"/>
      <c r="Z858" s="367"/>
    </row>
    <row r="859">
      <c r="A859" s="367"/>
      <c r="B859" s="367"/>
      <c r="C859" s="367"/>
      <c r="D859" s="367"/>
      <c r="E859" s="375"/>
      <c r="F859" s="367"/>
      <c r="G859" s="367"/>
      <c r="H859" s="367"/>
      <c r="I859" s="367"/>
      <c r="J859" s="367"/>
      <c r="K859" s="367"/>
      <c r="L859" s="430"/>
      <c r="M859" s="367"/>
      <c r="N859" s="367"/>
      <c r="O859" s="367"/>
      <c r="P859" s="367"/>
      <c r="Q859" s="367"/>
      <c r="R859" s="367"/>
      <c r="S859" s="367"/>
      <c r="T859" s="367"/>
      <c r="U859" s="367"/>
      <c r="V859" s="367"/>
      <c r="W859" s="367"/>
      <c r="X859" s="367"/>
      <c r="Y859" s="367"/>
      <c r="Z859" s="367"/>
    </row>
    <row r="860">
      <c r="A860" s="367"/>
      <c r="B860" s="367"/>
      <c r="C860" s="367"/>
      <c r="D860" s="367"/>
      <c r="E860" s="375"/>
      <c r="F860" s="367"/>
      <c r="G860" s="367"/>
      <c r="H860" s="367"/>
      <c r="I860" s="367"/>
      <c r="J860" s="367"/>
      <c r="K860" s="367"/>
      <c r="L860" s="430"/>
      <c r="M860" s="367"/>
      <c r="N860" s="367"/>
      <c r="O860" s="367"/>
      <c r="P860" s="367"/>
      <c r="Q860" s="367"/>
      <c r="R860" s="367"/>
      <c r="S860" s="367"/>
      <c r="T860" s="367"/>
      <c r="U860" s="367"/>
      <c r="V860" s="367"/>
      <c r="W860" s="367"/>
      <c r="X860" s="367"/>
      <c r="Y860" s="367"/>
      <c r="Z860" s="367"/>
    </row>
    <row r="861">
      <c r="A861" s="367"/>
      <c r="B861" s="367"/>
      <c r="C861" s="367"/>
      <c r="D861" s="367"/>
      <c r="E861" s="375"/>
      <c r="F861" s="367"/>
      <c r="G861" s="367"/>
      <c r="H861" s="367"/>
      <c r="I861" s="367"/>
      <c r="J861" s="367"/>
      <c r="K861" s="367"/>
      <c r="L861" s="430"/>
      <c r="M861" s="367"/>
      <c r="N861" s="367"/>
      <c r="O861" s="367"/>
      <c r="P861" s="367"/>
      <c r="Q861" s="367"/>
      <c r="R861" s="367"/>
      <c r="S861" s="367"/>
      <c r="T861" s="367"/>
      <c r="U861" s="367"/>
      <c r="V861" s="367"/>
      <c r="W861" s="367"/>
      <c r="X861" s="367"/>
      <c r="Y861" s="367"/>
      <c r="Z861" s="367"/>
    </row>
    <row r="862">
      <c r="A862" s="367"/>
      <c r="B862" s="367"/>
      <c r="C862" s="367"/>
      <c r="D862" s="367"/>
      <c r="E862" s="375"/>
      <c r="F862" s="367"/>
      <c r="G862" s="367"/>
      <c r="H862" s="367"/>
      <c r="I862" s="367"/>
      <c r="J862" s="367"/>
      <c r="K862" s="367"/>
      <c r="L862" s="430"/>
      <c r="M862" s="367"/>
      <c r="N862" s="367"/>
      <c r="O862" s="367"/>
      <c r="P862" s="367"/>
      <c r="Q862" s="367"/>
      <c r="R862" s="367"/>
      <c r="S862" s="367"/>
      <c r="T862" s="367"/>
      <c r="U862" s="367"/>
      <c r="V862" s="367"/>
      <c r="W862" s="367"/>
      <c r="X862" s="367"/>
      <c r="Y862" s="367"/>
      <c r="Z862" s="367"/>
    </row>
    <row r="863">
      <c r="A863" s="367"/>
      <c r="B863" s="367"/>
      <c r="C863" s="367"/>
      <c r="D863" s="367"/>
      <c r="E863" s="375"/>
      <c r="F863" s="367"/>
      <c r="G863" s="367"/>
      <c r="H863" s="367"/>
      <c r="I863" s="367"/>
      <c r="J863" s="367"/>
      <c r="K863" s="367"/>
      <c r="L863" s="430"/>
      <c r="M863" s="367"/>
      <c r="N863" s="367"/>
      <c r="O863" s="367"/>
      <c r="P863" s="367"/>
      <c r="Q863" s="367"/>
      <c r="R863" s="367"/>
      <c r="S863" s="367"/>
      <c r="T863" s="367"/>
      <c r="U863" s="367"/>
      <c r="V863" s="367"/>
      <c r="W863" s="367"/>
      <c r="X863" s="367"/>
      <c r="Y863" s="367"/>
      <c r="Z863" s="367"/>
    </row>
    <row r="864">
      <c r="A864" s="367"/>
      <c r="B864" s="367"/>
      <c r="C864" s="367"/>
      <c r="D864" s="367"/>
      <c r="E864" s="375"/>
      <c r="F864" s="367"/>
      <c r="G864" s="367"/>
      <c r="H864" s="367"/>
      <c r="I864" s="367"/>
      <c r="J864" s="367"/>
      <c r="K864" s="367"/>
      <c r="L864" s="430"/>
      <c r="M864" s="367"/>
      <c r="N864" s="367"/>
      <c r="O864" s="367"/>
      <c r="P864" s="367"/>
      <c r="Q864" s="367"/>
      <c r="R864" s="367"/>
      <c r="S864" s="367"/>
      <c r="T864" s="367"/>
      <c r="U864" s="367"/>
      <c r="V864" s="367"/>
      <c r="W864" s="367"/>
      <c r="X864" s="367"/>
      <c r="Y864" s="367"/>
      <c r="Z864" s="367"/>
    </row>
    <row r="865">
      <c r="A865" s="367"/>
      <c r="B865" s="367"/>
      <c r="C865" s="367"/>
      <c r="D865" s="367"/>
      <c r="E865" s="375"/>
      <c r="F865" s="367"/>
      <c r="G865" s="367"/>
      <c r="H865" s="367"/>
      <c r="I865" s="367"/>
      <c r="J865" s="367"/>
      <c r="K865" s="367"/>
      <c r="L865" s="430"/>
      <c r="M865" s="367"/>
      <c r="N865" s="367"/>
      <c r="O865" s="367"/>
      <c r="P865" s="367"/>
      <c r="Q865" s="367"/>
      <c r="R865" s="367"/>
      <c r="S865" s="367"/>
      <c r="T865" s="367"/>
      <c r="U865" s="367"/>
      <c r="V865" s="367"/>
      <c r="W865" s="367"/>
      <c r="X865" s="367"/>
      <c r="Y865" s="367"/>
      <c r="Z865" s="367"/>
    </row>
    <row r="866">
      <c r="A866" s="367"/>
      <c r="B866" s="367"/>
      <c r="C866" s="367"/>
      <c r="D866" s="367"/>
      <c r="E866" s="375"/>
      <c r="F866" s="367"/>
      <c r="G866" s="367"/>
      <c r="H866" s="367"/>
      <c r="I866" s="367"/>
      <c r="J866" s="367"/>
      <c r="K866" s="367"/>
      <c r="L866" s="430"/>
      <c r="M866" s="367"/>
      <c r="N866" s="367"/>
      <c r="O866" s="367"/>
      <c r="P866" s="367"/>
      <c r="Q866" s="367"/>
      <c r="R866" s="367"/>
      <c r="S866" s="367"/>
      <c r="T866" s="367"/>
      <c r="U866" s="367"/>
      <c r="V866" s="367"/>
      <c r="W866" s="367"/>
      <c r="X866" s="367"/>
      <c r="Y866" s="367"/>
      <c r="Z866" s="367"/>
    </row>
    <row r="867">
      <c r="A867" s="367"/>
      <c r="B867" s="367"/>
      <c r="C867" s="367"/>
      <c r="D867" s="367"/>
      <c r="E867" s="375"/>
      <c r="F867" s="367"/>
      <c r="G867" s="367"/>
      <c r="H867" s="367"/>
      <c r="I867" s="367"/>
      <c r="J867" s="367"/>
      <c r="K867" s="367"/>
      <c r="L867" s="430"/>
      <c r="M867" s="367"/>
      <c r="N867" s="367"/>
      <c r="O867" s="367"/>
      <c r="P867" s="367"/>
      <c r="Q867" s="367"/>
      <c r="R867" s="367"/>
      <c r="S867" s="367"/>
      <c r="T867" s="367"/>
      <c r="U867" s="367"/>
      <c r="V867" s="367"/>
      <c r="W867" s="367"/>
      <c r="X867" s="367"/>
      <c r="Y867" s="367"/>
      <c r="Z867" s="367"/>
    </row>
    <row r="868">
      <c r="A868" s="367"/>
      <c r="B868" s="367"/>
      <c r="C868" s="367"/>
      <c r="D868" s="367"/>
      <c r="E868" s="375"/>
      <c r="F868" s="367"/>
      <c r="G868" s="367"/>
      <c r="H868" s="367"/>
      <c r="I868" s="367"/>
      <c r="J868" s="367"/>
      <c r="K868" s="367"/>
      <c r="L868" s="430"/>
      <c r="M868" s="367"/>
      <c r="N868" s="367"/>
      <c r="O868" s="367"/>
      <c r="P868" s="367"/>
      <c r="Q868" s="367"/>
      <c r="R868" s="367"/>
      <c r="S868" s="367"/>
      <c r="T868" s="367"/>
      <c r="U868" s="367"/>
      <c r="V868" s="367"/>
      <c r="W868" s="367"/>
      <c r="X868" s="367"/>
      <c r="Y868" s="367"/>
      <c r="Z868" s="367"/>
    </row>
    <row r="869">
      <c r="A869" s="367"/>
      <c r="B869" s="367"/>
      <c r="C869" s="367"/>
      <c r="D869" s="367"/>
      <c r="E869" s="375"/>
      <c r="F869" s="367"/>
      <c r="G869" s="367"/>
      <c r="H869" s="367"/>
      <c r="I869" s="367"/>
      <c r="J869" s="367"/>
      <c r="K869" s="367"/>
      <c r="L869" s="430"/>
      <c r="M869" s="367"/>
      <c r="N869" s="367"/>
      <c r="O869" s="367"/>
      <c r="P869" s="367"/>
      <c r="Q869" s="367"/>
      <c r="R869" s="367"/>
      <c r="S869" s="367"/>
      <c r="T869" s="367"/>
      <c r="U869" s="367"/>
      <c r="V869" s="367"/>
      <c r="W869" s="367"/>
      <c r="X869" s="367"/>
      <c r="Y869" s="367"/>
      <c r="Z869" s="367"/>
    </row>
    <row r="870">
      <c r="A870" s="367"/>
      <c r="B870" s="367"/>
      <c r="C870" s="367"/>
      <c r="D870" s="367"/>
      <c r="E870" s="375"/>
      <c r="F870" s="367"/>
      <c r="G870" s="367"/>
      <c r="H870" s="367"/>
      <c r="I870" s="367"/>
      <c r="J870" s="367"/>
      <c r="K870" s="367"/>
      <c r="L870" s="430"/>
      <c r="M870" s="367"/>
      <c r="N870" s="367"/>
      <c r="O870" s="367"/>
      <c r="P870" s="367"/>
      <c r="Q870" s="367"/>
      <c r="R870" s="367"/>
      <c r="S870" s="367"/>
      <c r="T870" s="367"/>
      <c r="U870" s="367"/>
      <c r="V870" s="367"/>
      <c r="W870" s="367"/>
      <c r="X870" s="367"/>
      <c r="Y870" s="367"/>
      <c r="Z870" s="367"/>
    </row>
    <row r="871">
      <c r="A871" s="367"/>
      <c r="B871" s="367"/>
      <c r="C871" s="367"/>
      <c r="D871" s="367"/>
      <c r="E871" s="375"/>
      <c r="F871" s="367"/>
      <c r="G871" s="367"/>
      <c r="H871" s="367"/>
      <c r="I871" s="367"/>
      <c r="J871" s="367"/>
      <c r="K871" s="367"/>
      <c r="L871" s="430"/>
      <c r="M871" s="367"/>
      <c r="N871" s="367"/>
      <c r="O871" s="367"/>
      <c r="P871" s="367"/>
      <c r="Q871" s="367"/>
      <c r="R871" s="367"/>
      <c r="S871" s="367"/>
      <c r="T871" s="367"/>
      <c r="U871" s="367"/>
      <c r="V871" s="367"/>
      <c r="W871" s="367"/>
      <c r="X871" s="367"/>
      <c r="Y871" s="367"/>
      <c r="Z871" s="367"/>
    </row>
    <row r="872">
      <c r="A872" s="367"/>
      <c r="B872" s="367"/>
      <c r="C872" s="367"/>
      <c r="D872" s="367"/>
      <c r="E872" s="375"/>
      <c r="F872" s="367"/>
      <c r="G872" s="367"/>
      <c r="H872" s="367"/>
      <c r="I872" s="367"/>
      <c r="J872" s="367"/>
      <c r="K872" s="367"/>
      <c r="L872" s="430"/>
      <c r="M872" s="367"/>
      <c r="N872" s="367"/>
      <c r="O872" s="367"/>
      <c r="P872" s="367"/>
      <c r="Q872" s="367"/>
      <c r="R872" s="367"/>
      <c r="S872" s="367"/>
      <c r="T872" s="367"/>
      <c r="U872" s="367"/>
      <c r="V872" s="367"/>
      <c r="W872" s="367"/>
      <c r="X872" s="367"/>
      <c r="Y872" s="367"/>
      <c r="Z872" s="367"/>
    </row>
    <row r="873">
      <c r="A873" s="367"/>
      <c r="B873" s="367"/>
      <c r="C873" s="367"/>
      <c r="D873" s="367"/>
      <c r="E873" s="375"/>
      <c r="F873" s="367"/>
      <c r="G873" s="367"/>
      <c r="H873" s="367"/>
      <c r="I873" s="367"/>
      <c r="J873" s="367"/>
      <c r="K873" s="367"/>
      <c r="L873" s="430"/>
      <c r="M873" s="367"/>
      <c r="N873" s="367"/>
      <c r="O873" s="367"/>
      <c r="P873" s="367"/>
      <c r="Q873" s="367"/>
      <c r="R873" s="367"/>
      <c r="S873" s="367"/>
      <c r="T873" s="367"/>
      <c r="U873" s="367"/>
      <c r="V873" s="367"/>
      <c r="W873" s="367"/>
      <c r="X873" s="367"/>
      <c r="Y873" s="367"/>
      <c r="Z873" s="367"/>
    </row>
    <row r="874">
      <c r="A874" s="367"/>
      <c r="B874" s="367"/>
      <c r="C874" s="367"/>
      <c r="D874" s="367"/>
      <c r="E874" s="375"/>
      <c r="F874" s="367"/>
      <c r="G874" s="367"/>
      <c r="H874" s="367"/>
      <c r="I874" s="367"/>
      <c r="J874" s="367"/>
      <c r="K874" s="367"/>
      <c r="L874" s="430"/>
      <c r="M874" s="367"/>
      <c r="N874" s="367"/>
      <c r="O874" s="367"/>
      <c r="P874" s="367"/>
      <c r="Q874" s="367"/>
      <c r="R874" s="367"/>
      <c r="S874" s="367"/>
      <c r="T874" s="367"/>
      <c r="U874" s="367"/>
      <c r="V874" s="367"/>
      <c r="W874" s="367"/>
      <c r="X874" s="367"/>
      <c r="Y874" s="367"/>
      <c r="Z874" s="367"/>
    </row>
    <row r="875">
      <c r="A875" s="367"/>
      <c r="B875" s="367"/>
      <c r="C875" s="367"/>
      <c r="D875" s="367"/>
      <c r="E875" s="375"/>
      <c r="F875" s="367"/>
      <c r="G875" s="367"/>
      <c r="H875" s="367"/>
      <c r="I875" s="367"/>
      <c r="J875" s="367"/>
      <c r="K875" s="367"/>
      <c r="L875" s="430"/>
      <c r="M875" s="367"/>
      <c r="N875" s="367"/>
      <c r="O875" s="367"/>
      <c r="P875" s="367"/>
      <c r="Q875" s="367"/>
      <c r="R875" s="367"/>
      <c r="S875" s="367"/>
      <c r="T875" s="367"/>
      <c r="U875" s="367"/>
      <c r="V875" s="367"/>
      <c r="W875" s="367"/>
      <c r="X875" s="367"/>
      <c r="Y875" s="367"/>
      <c r="Z875" s="367"/>
    </row>
    <row r="876">
      <c r="A876" s="367"/>
      <c r="B876" s="367"/>
      <c r="C876" s="367"/>
      <c r="D876" s="367"/>
      <c r="E876" s="375"/>
      <c r="F876" s="367"/>
      <c r="G876" s="367"/>
      <c r="H876" s="367"/>
      <c r="I876" s="367"/>
      <c r="J876" s="367"/>
      <c r="K876" s="367"/>
      <c r="L876" s="430"/>
      <c r="M876" s="367"/>
      <c r="N876" s="367"/>
      <c r="O876" s="367"/>
      <c r="P876" s="367"/>
      <c r="Q876" s="367"/>
      <c r="R876" s="367"/>
      <c r="S876" s="367"/>
      <c r="T876" s="367"/>
      <c r="U876" s="367"/>
      <c r="V876" s="367"/>
      <c r="W876" s="367"/>
      <c r="X876" s="367"/>
      <c r="Y876" s="367"/>
      <c r="Z876" s="367"/>
    </row>
    <row r="877">
      <c r="A877" s="367"/>
      <c r="B877" s="367"/>
      <c r="C877" s="367"/>
      <c r="D877" s="367"/>
      <c r="E877" s="375"/>
      <c r="F877" s="367"/>
      <c r="G877" s="367"/>
      <c r="H877" s="367"/>
      <c r="I877" s="367"/>
      <c r="J877" s="367"/>
      <c r="K877" s="367"/>
      <c r="L877" s="430"/>
      <c r="M877" s="367"/>
      <c r="N877" s="367"/>
      <c r="O877" s="367"/>
      <c r="P877" s="367"/>
      <c r="Q877" s="367"/>
      <c r="R877" s="367"/>
      <c r="S877" s="367"/>
      <c r="T877" s="367"/>
      <c r="U877" s="367"/>
      <c r="V877" s="367"/>
      <c r="W877" s="367"/>
      <c r="X877" s="367"/>
      <c r="Y877" s="367"/>
      <c r="Z877" s="367"/>
    </row>
    <row r="878">
      <c r="A878" s="367"/>
      <c r="B878" s="367"/>
      <c r="C878" s="367"/>
      <c r="D878" s="367"/>
      <c r="E878" s="375"/>
      <c r="F878" s="367"/>
      <c r="G878" s="367"/>
      <c r="H878" s="367"/>
      <c r="I878" s="367"/>
      <c r="J878" s="367"/>
      <c r="K878" s="367"/>
      <c r="L878" s="430"/>
      <c r="M878" s="367"/>
      <c r="N878" s="367"/>
      <c r="O878" s="367"/>
      <c r="P878" s="367"/>
      <c r="Q878" s="367"/>
      <c r="R878" s="367"/>
      <c r="S878" s="367"/>
      <c r="T878" s="367"/>
      <c r="U878" s="367"/>
      <c r="V878" s="367"/>
      <c r="W878" s="367"/>
      <c r="X878" s="367"/>
      <c r="Y878" s="367"/>
      <c r="Z878" s="367"/>
    </row>
    <row r="879">
      <c r="A879" s="367"/>
      <c r="B879" s="367"/>
      <c r="C879" s="367"/>
      <c r="D879" s="367"/>
      <c r="E879" s="375"/>
      <c r="F879" s="367"/>
      <c r="G879" s="367"/>
      <c r="H879" s="367"/>
      <c r="I879" s="367"/>
      <c r="J879" s="367"/>
      <c r="K879" s="367"/>
      <c r="L879" s="430"/>
      <c r="M879" s="367"/>
      <c r="N879" s="367"/>
      <c r="O879" s="367"/>
      <c r="P879" s="367"/>
      <c r="Q879" s="367"/>
      <c r="R879" s="367"/>
      <c r="S879" s="367"/>
      <c r="T879" s="367"/>
      <c r="U879" s="367"/>
      <c r="V879" s="367"/>
      <c r="W879" s="367"/>
      <c r="X879" s="367"/>
      <c r="Y879" s="367"/>
      <c r="Z879" s="367"/>
    </row>
    <row r="880">
      <c r="A880" s="367"/>
      <c r="B880" s="367"/>
      <c r="C880" s="367"/>
      <c r="D880" s="367"/>
      <c r="E880" s="375"/>
      <c r="F880" s="367"/>
      <c r="G880" s="367"/>
      <c r="H880" s="367"/>
      <c r="I880" s="367"/>
      <c r="J880" s="367"/>
      <c r="K880" s="367"/>
      <c r="L880" s="430"/>
      <c r="M880" s="367"/>
      <c r="N880" s="367"/>
      <c r="O880" s="367"/>
      <c r="P880" s="367"/>
      <c r="Q880" s="367"/>
      <c r="R880" s="367"/>
      <c r="S880" s="367"/>
      <c r="T880" s="367"/>
      <c r="U880" s="367"/>
      <c r="V880" s="367"/>
      <c r="W880" s="367"/>
      <c r="X880" s="367"/>
      <c r="Y880" s="367"/>
      <c r="Z880" s="367"/>
    </row>
    <row r="881">
      <c r="A881" s="367"/>
      <c r="B881" s="367"/>
      <c r="C881" s="367"/>
      <c r="D881" s="367"/>
      <c r="E881" s="375"/>
      <c r="F881" s="367"/>
      <c r="G881" s="367"/>
      <c r="H881" s="367"/>
      <c r="I881" s="367"/>
      <c r="J881" s="367"/>
      <c r="K881" s="367"/>
      <c r="L881" s="430"/>
      <c r="M881" s="367"/>
      <c r="N881" s="367"/>
      <c r="O881" s="367"/>
      <c r="P881" s="367"/>
      <c r="Q881" s="367"/>
      <c r="R881" s="367"/>
      <c r="S881" s="367"/>
      <c r="T881" s="367"/>
      <c r="U881" s="367"/>
      <c r="V881" s="367"/>
      <c r="W881" s="367"/>
      <c r="X881" s="367"/>
      <c r="Y881" s="367"/>
      <c r="Z881" s="367"/>
    </row>
    <row r="882">
      <c r="A882" s="367"/>
      <c r="B882" s="367"/>
      <c r="C882" s="367"/>
      <c r="D882" s="367"/>
      <c r="E882" s="375"/>
      <c r="F882" s="367"/>
      <c r="G882" s="367"/>
      <c r="H882" s="367"/>
      <c r="I882" s="367"/>
      <c r="J882" s="367"/>
      <c r="K882" s="367"/>
      <c r="L882" s="430"/>
      <c r="M882" s="367"/>
      <c r="N882" s="367"/>
      <c r="O882" s="367"/>
      <c r="P882" s="367"/>
      <c r="Q882" s="367"/>
      <c r="R882" s="367"/>
      <c r="S882" s="367"/>
      <c r="T882" s="367"/>
      <c r="U882" s="367"/>
      <c r="V882" s="367"/>
      <c r="W882" s="367"/>
      <c r="X882" s="367"/>
      <c r="Y882" s="367"/>
      <c r="Z882" s="367"/>
    </row>
    <row r="883">
      <c r="A883" s="367"/>
      <c r="B883" s="367"/>
      <c r="C883" s="367"/>
      <c r="D883" s="367"/>
      <c r="E883" s="375"/>
      <c r="F883" s="367"/>
      <c r="G883" s="367"/>
      <c r="H883" s="367"/>
      <c r="I883" s="367"/>
      <c r="J883" s="367"/>
      <c r="K883" s="367"/>
      <c r="L883" s="430"/>
      <c r="M883" s="367"/>
      <c r="N883" s="367"/>
      <c r="O883" s="367"/>
      <c r="P883" s="367"/>
      <c r="Q883" s="367"/>
      <c r="R883" s="367"/>
      <c r="S883" s="367"/>
      <c r="T883" s="367"/>
      <c r="U883" s="367"/>
      <c r="V883" s="367"/>
      <c r="W883" s="367"/>
      <c r="X883" s="367"/>
      <c r="Y883" s="367"/>
      <c r="Z883" s="367"/>
    </row>
    <row r="884">
      <c r="A884" s="367"/>
      <c r="B884" s="367"/>
      <c r="C884" s="367"/>
      <c r="D884" s="367"/>
      <c r="E884" s="375"/>
      <c r="F884" s="367"/>
      <c r="G884" s="367"/>
      <c r="H884" s="367"/>
      <c r="I884" s="367"/>
      <c r="J884" s="367"/>
      <c r="K884" s="367"/>
      <c r="L884" s="430"/>
      <c r="M884" s="367"/>
      <c r="N884" s="367"/>
      <c r="O884" s="367"/>
      <c r="P884" s="367"/>
      <c r="Q884" s="367"/>
      <c r="R884" s="367"/>
      <c r="S884" s="367"/>
      <c r="T884" s="367"/>
      <c r="U884" s="367"/>
      <c r="V884" s="367"/>
      <c r="W884" s="367"/>
      <c r="X884" s="367"/>
      <c r="Y884" s="367"/>
      <c r="Z884" s="367"/>
    </row>
    <row r="885">
      <c r="A885" s="367"/>
      <c r="B885" s="367"/>
      <c r="C885" s="367"/>
      <c r="D885" s="367"/>
      <c r="E885" s="375"/>
      <c r="F885" s="367"/>
      <c r="G885" s="367"/>
      <c r="H885" s="367"/>
      <c r="I885" s="367"/>
      <c r="J885" s="367"/>
      <c r="K885" s="367"/>
      <c r="L885" s="430"/>
      <c r="M885" s="367"/>
      <c r="N885" s="367"/>
      <c r="O885" s="367"/>
      <c r="P885" s="367"/>
      <c r="Q885" s="367"/>
      <c r="R885" s="367"/>
      <c r="S885" s="367"/>
      <c r="T885" s="367"/>
      <c r="U885" s="367"/>
      <c r="V885" s="367"/>
      <c r="W885" s="367"/>
      <c r="X885" s="367"/>
      <c r="Y885" s="367"/>
      <c r="Z885" s="367"/>
    </row>
    <row r="886">
      <c r="A886" s="367"/>
      <c r="B886" s="367"/>
      <c r="C886" s="367"/>
      <c r="D886" s="367"/>
      <c r="E886" s="375"/>
      <c r="F886" s="367"/>
      <c r="G886" s="367"/>
      <c r="H886" s="367"/>
      <c r="I886" s="367"/>
      <c r="J886" s="367"/>
      <c r="K886" s="367"/>
      <c r="L886" s="430"/>
      <c r="M886" s="367"/>
      <c r="N886" s="367"/>
      <c r="O886" s="367"/>
      <c r="P886" s="367"/>
      <c r="Q886" s="367"/>
      <c r="R886" s="367"/>
      <c r="S886" s="367"/>
      <c r="T886" s="367"/>
      <c r="U886" s="367"/>
      <c r="V886" s="367"/>
      <c r="W886" s="367"/>
      <c r="X886" s="367"/>
      <c r="Y886" s="367"/>
      <c r="Z886" s="367"/>
    </row>
    <row r="887">
      <c r="A887" s="367"/>
      <c r="B887" s="367"/>
      <c r="C887" s="367"/>
      <c r="D887" s="367"/>
      <c r="E887" s="375"/>
      <c r="F887" s="367"/>
      <c r="G887" s="367"/>
      <c r="H887" s="367"/>
      <c r="I887" s="367"/>
      <c r="J887" s="367"/>
      <c r="K887" s="367"/>
      <c r="L887" s="430"/>
      <c r="M887" s="367"/>
      <c r="N887" s="367"/>
      <c r="O887" s="367"/>
      <c r="P887" s="367"/>
      <c r="Q887" s="367"/>
      <c r="R887" s="367"/>
      <c r="S887" s="367"/>
      <c r="T887" s="367"/>
      <c r="U887" s="367"/>
      <c r="V887" s="367"/>
      <c r="W887" s="367"/>
      <c r="X887" s="367"/>
      <c r="Y887" s="367"/>
      <c r="Z887" s="367"/>
    </row>
    <row r="888">
      <c r="A888" s="367"/>
      <c r="B888" s="367"/>
      <c r="C888" s="367"/>
      <c r="D888" s="367"/>
      <c r="E888" s="375"/>
      <c r="F888" s="367"/>
      <c r="G888" s="367"/>
      <c r="H888" s="367"/>
      <c r="I888" s="367"/>
      <c r="J888" s="367"/>
      <c r="K888" s="367"/>
      <c r="L888" s="430"/>
      <c r="M888" s="367"/>
      <c r="N888" s="367"/>
      <c r="O888" s="367"/>
      <c r="P888" s="367"/>
      <c r="Q888" s="367"/>
      <c r="R888" s="367"/>
      <c r="S888" s="367"/>
      <c r="T888" s="367"/>
      <c r="U888" s="367"/>
      <c r="V888" s="367"/>
      <c r="W888" s="367"/>
      <c r="X888" s="367"/>
      <c r="Y888" s="367"/>
      <c r="Z888" s="367"/>
    </row>
    <row r="889">
      <c r="A889" s="367"/>
      <c r="B889" s="367"/>
      <c r="C889" s="367"/>
      <c r="D889" s="367"/>
      <c r="E889" s="375"/>
      <c r="F889" s="367"/>
      <c r="G889" s="367"/>
      <c r="H889" s="367"/>
      <c r="I889" s="367"/>
      <c r="J889" s="367"/>
      <c r="K889" s="367"/>
      <c r="L889" s="430"/>
      <c r="M889" s="367"/>
      <c r="N889" s="367"/>
      <c r="O889" s="367"/>
      <c r="P889" s="367"/>
      <c r="Q889" s="367"/>
      <c r="R889" s="367"/>
      <c r="S889" s="367"/>
      <c r="T889" s="367"/>
      <c r="U889" s="367"/>
      <c r="V889" s="367"/>
      <c r="W889" s="367"/>
      <c r="X889" s="367"/>
      <c r="Y889" s="367"/>
      <c r="Z889" s="367"/>
    </row>
    <row r="890">
      <c r="A890" s="367"/>
      <c r="B890" s="367"/>
      <c r="C890" s="367"/>
      <c r="D890" s="367"/>
      <c r="E890" s="375"/>
      <c r="F890" s="367"/>
      <c r="G890" s="367"/>
      <c r="H890" s="367"/>
      <c r="I890" s="367"/>
      <c r="J890" s="367"/>
      <c r="K890" s="367"/>
      <c r="L890" s="430"/>
      <c r="M890" s="367"/>
      <c r="N890" s="367"/>
      <c r="O890" s="367"/>
      <c r="P890" s="367"/>
      <c r="Q890" s="367"/>
      <c r="R890" s="367"/>
      <c r="S890" s="367"/>
      <c r="T890" s="367"/>
      <c r="U890" s="367"/>
      <c r="V890" s="367"/>
      <c r="W890" s="367"/>
      <c r="X890" s="367"/>
      <c r="Y890" s="367"/>
      <c r="Z890" s="367"/>
    </row>
    <row r="891">
      <c r="A891" s="367"/>
      <c r="B891" s="367"/>
      <c r="C891" s="367"/>
      <c r="D891" s="367"/>
      <c r="E891" s="375"/>
      <c r="F891" s="367"/>
      <c r="G891" s="367"/>
      <c r="H891" s="367"/>
      <c r="I891" s="367"/>
      <c r="J891" s="367"/>
      <c r="K891" s="367"/>
      <c r="L891" s="430"/>
      <c r="M891" s="367"/>
      <c r="N891" s="367"/>
      <c r="O891" s="367"/>
      <c r="P891" s="367"/>
      <c r="Q891" s="367"/>
      <c r="R891" s="367"/>
      <c r="S891" s="367"/>
      <c r="T891" s="367"/>
      <c r="U891" s="367"/>
      <c r="V891" s="367"/>
      <c r="W891" s="367"/>
      <c r="X891" s="367"/>
      <c r="Y891" s="367"/>
      <c r="Z891" s="367"/>
    </row>
    <row r="892">
      <c r="A892" s="367"/>
      <c r="B892" s="367"/>
      <c r="C892" s="367"/>
      <c r="D892" s="367"/>
      <c r="E892" s="375"/>
      <c r="F892" s="367"/>
      <c r="G892" s="367"/>
      <c r="H892" s="367"/>
      <c r="I892" s="367"/>
      <c r="J892" s="367"/>
      <c r="K892" s="367"/>
      <c r="L892" s="430"/>
      <c r="M892" s="367"/>
      <c r="N892" s="367"/>
      <c r="O892" s="367"/>
      <c r="P892" s="367"/>
      <c r="Q892" s="367"/>
      <c r="R892" s="367"/>
      <c r="S892" s="367"/>
      <c r="T892" s="367"/>
      <c r="U892" s="367"/>
      <c r="V892" s="367"/>
      <c r="W892" s="367"/>
      <c r="X892" s="367"/>
      <c r="Y892" s="367"/>
      <c r="Z892" s="367"/>
    </row>
    <row r="893">
      <c r="A893" s="367"/>
      <c r="B893" s="367"/>
      <c r="C893" s="367"/>
      <c r="D893" s="367"/>
      <c r="E893" s="375"/>
      <c r="F893" s="367"/>
      <c r="G893" s="367"/>
      <c r="H893" s="367"/>
      <c r="I893" s="367"/>
      <c r="J893" s="367"/>
      <c r="K893" s="367"/>
      <c r="L893" s="430"/>
      <c r="M893" s="367"/>
      <c r="N893" s="367"/>
      <c r="O893" s="367"/>
      <c r="P893" s="367"/>
      <c r="Q893" s="367"/>
      <c r="R893" s="367"/>
      <c r="S893" s="367"/>
      <c r="T893" s="367"/>
      <c r="U893" s="367"/>
      <c r="V893" s="367"/>
      <c r="W893" s="367"/>
      <c r="X893" s="367"/>
      <c r="Y893" s="367"/>
      <c r="Z893" s="367"/>
    </row>
    <row r="894">
      <c r="A894" s="367"/>
      <c r="B894" s="367"/>
      <c r="C894" s="367"/>
      <c r="D894" s="367"/>
      <c r="E894" s="375"/>
      <c r="F894" s="367"/>
      <c r="G894" s="367"/>
      <c r="H894" s="367"/>
      <c r="I894" s="367"/>
      <c r="J894" s="367"/>
      <c r="K894" s="367"/>
      <c r="L894" s="430"/>
      <c r="M894" s="367"/>
      <c r="N894" s="367"/>
      <c r="O894" s="367"/>
      <c r="P894" s="367"/>
      <c r="Q894" s="367"/>
      <c r="R894" s="367"/>
      <c r="S894" s="367"/>
      <c r="T894" s="367"/>
      <c r="U894" s="367"/>
      <c r="V894" s="367"/>
      <c r="W894" s="367"/>
      <c r="X894" s="367"/>
      <c r="Y894" s="367"/>
      <c r="Z894" s="367"/>
    </row>
    <row r="895">
      <c r="A895" s="367"/>
      <c r="B895" s="367"/>
      <c r="C895" s="367"/>
      <c r="D895" s="367"/>
      <c r="E895" s="375"/>
      <c r="F895" s="367"/>
      <c r="G895" s="367"/>
      <c r="H895" s="367"/>
      <c r="I895" s="367"/>
      <c r="J895" s="367"/>
      <c r="K895" s="367"/>
      <c r="L895" s="430"/>
      <c r="M895" s="367"/>
      <c r="N895" s="367"/>
      <c r="O895" s="367"/>
      <c r="P895" s="367"/>
      <c r="Q895" s="367"/>
      <c r="R895" s="367"/>
      <c r="S895" s="367"/>
      <c r="T895" s="367"/>
      <c r="U895" s="367"/>
      <c r="V895" s="367"/>
      <c r="W895" s="367"/>
      <c r="X895" s="367"/>
      <c r="Y895" s="367"/>
      <c r="Z895" s="367"/>
    </row>
    <row r="896">
      <c r="A896" s="367"/>
      <c r="B896" s="367"/>
      <c r="C896" s="367"/>
      <c r="D896" s="367"/>
      <c r="E896" s="375"/>
      <c r="F896" s="367"/>
      <c r="G896" s="367"/>
      <c r="H896" s="367"/>
      <c r="I896" s="367"/>
      <c r="J896" s="367"/>
      <c r="K896" s="367"/>
      <c r="L896" s="430"/>
      <c r="M896" s="367"/>
      <c r="N896" s="367"/>
      <c r="O896" s="367"/>
      <c r="P896" s="367"/>
      <c r="Q896" s="367"/>
      <c r="R896" s="367"/>
      <c r="S896" s="367"/>
      <c r="T896" s="367"/>
      <c r="U896" s="367"/>
      <c r="V896" s="367"/>
      <c r="W896" s="367"/>
      <c r="X896" s="367"/>
      <c r="Y896" s="367"/>
      <c r="Z896" s="367"/>
    </row>
    <row r="897">
      <c r="A897" s="367"/>
      <c r="B897" s="367"/>
      <c r="C897" s="367"/>
      <c r="D897" s="367"/>
      <c r="E897" s="375"/>
      <c r="F897" s="367"/>
      <c r="G897" s="367"/>
      <c r="H897" s="367"/>
      <c r="I897" s="367"/>
      <c r="J897" s="367"/>
      <c r="K897" s="367"/>
      <c r="L897" s="430"/>
      <c r="M897" s="367"/>
      <c r="N897" s="367"/>
      <c r="O897" s="367"/>
      <c r="P897" s="367"/>
      <c r="Q897" s="367"/>
      <c r="R897" s="367"/>
      <c r="S897" s="367"/>
      <c r="T897" s="367"/>
      <c r="U897" s="367"/>
      <c r="V897" s="367"/>
      <c r="W897" s="367"/>
      <c r="X897" s="367"/>
      <c r="Y897" s="367"/>
      <c r="Z897" s="367"/>
    </row>
    <row r="898">
      <c r="A898" s="367"/>
      <c r="B898" s="367"/>
      <c r="C898" s="367"/>
      <c r="D898" s="367"/>
      <c r="E898" s="375"/>
      <c r="F898" s="367"/>
      <c r="G898" s="367"/>
      <c r="H898" s="367"/>
      <c r="I898" s="367"/>
      <c r="J898" s="367"/>
      <c r="K898" s="367"/>
      <c r="L898" s="430"/>
      <c r="M898" s="367"/>
      <c r="N898" s="367"/>
      <c r="O898" s="367"/>
      <c r="P898" s="367"/>
      <c r="Q898" s="367"/>
      <c r="R898" s="367"/>
      <c r="S898" s="367"/>
      <c r="T898" s="367"/>
      <c r="U898" s="367"/>
      <c r="V898" s="367"/>
      <c r="W898" s="367"/>
      <c r="X898" s="367"/>
      <c r="Y898" s="367"/>
      <c r="Z898" s="367"/>
    </row>
    <row r="899">
      <c r="A899" s="367"/>
      <c r="B899" s="367"/>
      <c r="C899" s="367"/>
      <c r="D899" s="367"/>
      <c r="E899" s="375"/>
      <c r="F899" s="367"/>
      <c r="G899" s="367"/>
      <c r="H899" s="367"/>
      <c r="I899" s="367"/>
      <c r="J899" s="367"/>
      <c r="K899" s="367"/>
      <c r="L899" s="430"/>
      <c r="M899" s="367"/>
      <c r="N899" s="367"/>
      <c r="O899" s="367"/>
      <c r="P899" s="367"/>
      <c r="Q899" s="367"/>
      <c r="R899" s="367"/>
      <c r="S899" s="367"/>
      <c r="T899" s="367"/>
      <c r="U899" s="367"/>
      <c r="V899" s="367"/>
      <c r="W899" s="367"/>
      <c r="X899" s="367"/>
      <c r="Y899" s="367"/>
      <c r="Z899" s="367"/>
    </row>
    <row r="900">
      <c r="A900" s="367"/>
      <c r="B900" s="367"/>
      <c r="C900" s="367"/>
      <c r="D900" s="367"/>
      <c r="E900" s="375"/>
      <c r="F900" s="367"/>
      <c r="G900" s="367"/>
      <c r="H900" s="367"/>
      <c r="I900" s="367"/>
      <c r="J900" s="367"/>
      <c r="K900" s="367"/>
      <c r="L900" s="430"/>
      <c r="M900" s="367"/>
      <c r="N900" s="367"/>
      <c r="O900" s="367"/>
      <c r="P900" s="367"/>
      <c r="Q900" s="367"/>
      <c r="R900" s="367"/>
      <c r="S900" s="367"/>
      <c r="T900" s="367"/>
      <c r="U900" s="367"/>
      <c r="V900" s="367"/>
      <c r="W900" s="367"/>
      <c r="X900" s="367"/>
      <c r="Y900" s="367"/>
      <c r="Z900" s="367"/>
    </row>
    <row r="901">
      <c r="A901" s="367"/>
      <c r="B901" s="367"/>
      <c r="C901" s="367"/>
      <c r="D901" s="367"/>
      <c r="E901" s="375"/>
      <c r="F901" s="367"/>
      <c r="G901" s="367"/>
      <c r="H901" s="367"/>
      <c r="I901" s="367"/>
      <c r="J901" s="367"/>
      <c r="K901" s="367"/>
      <c r="L901" s="430"/>
      <c r="M901" s="367"/>
      <c r="N901" s="367"/>
      <c r="O901" s="367"/>
      <c r="P901" s="367"/>
      <c r="Q901" s="367"/>
      <c r="R901" s="367"/>
      <c r="S901" s="367"/>
      <c r="T901" s="367"/>
      <c r="U901" s="367"/>
      <c r="V901" s="367"/>
      <c r="W901" s="367"/>
      <c r="X901" s="367"/>
      <c r="Y901" s="367"/>
      <c r="Z901" s="367"/>
    </row>
    <row r="902">
      <c r="A902" s="367"/>
      <c r="B902" s="367"/>
      <c r="C902" s="367"/>
      <c r="D902" s="367"/>
      <c r="E902" s="375"/>
      <c r="F902" s="367"/>
      <c r="G902" s="367"/>
      <c r="H902" s="367"/>
      <c r="I902" s="367"/>
      <c r="J902" s="367"/>
      <c r="K902" s="367"/>
      <c r="L902" s="430"/>
      <c r="M902" s="367"/>
      <c r="N902" s="367"/>
      <c r="O902" s="367"/>
      <c r="P902" s="367"/>
      <c r="Q902" s="367"/>
      <c r="R902" s="367"/>
      <c r="S902" s="367"/>
      <c r="T902" s="367"/>
      <c r="U902" s="367"/>
      <c r="V902" s="367"/>
      <c r="W902" s="367"/>
      <c r="X902" s="367"/>
      <c r="Y902" s="367"/>
      <c r="Z902" s="367"/>
    </row>
    <row r="903">
      <c r="A903" s="367"/>
      <c r="B903" s="367"/>
      <c r="C903" s="367"/>
      <c r="D903" s="367"/>
      <c r="E903" s="375"/>
      <c r="F903" s="367"/>
      <c r="G903" s="367"/>
      <c r="H903" s="367"/>
      <c r="I903" s="367"/>
      <c r="J903" s="367"/>
      <c r="K903" s="367"/>
      <c r="L903" s="430"/>
      <c r="M903" s="367"/>
      <c r="N903" s="367"/>
      <c r="O903" s="367"/>
      <c r="P903" s="367"/>
      <c r="Q903" s="367"/>
      <c r="R903" s="367"/>
      <c r="S903" s="367"/>
      <c r="T903" s="367"/>
      <c r="U903" s="367"/>
      <c r="V903" s="367"/>
      <c r="W903" s="367"/>
      <c r="X903" s="367"/>
      <c r="Y903" s="367"/>
      <c r="Z903" s="367"/>
    </row>
    <row r="904">
      <c r="A904" s="367"/>
      <c r="B904" s="367"/>
      <c r="C904" s="367"/>
      <c r="D904" s="367"/>
      <c r="E904" s="375"/>
      <c r="F904" s="367"/>
      <c r="G904" s="367"/>
      <c r="H904" s="367"/>
      <c r="I904" s="367"/>
      <c r="J904" s="367"/>
      <c r="K904" s="367"/>
      <c r="L904" s="430"/>
      <c r="M904" s="367"/>
      <c r="N904" s="367"/>
      <c r="O904" s="367"/>
      <c r="P904" s="367"/>
      <c r="Q904" s="367"/>
      <c r="R904" s="367"/>
      <c r="S904" s="367"/>
      <c r="T904" s="367"/>
      <c r="U904" s="367"/>
      <c r="V904" s="367"/>
      <c r="W904" s="367"/>
      <c r="X904" s="367"/>
      <c r="Y904" s="367"/>
      <c r="Z904" s="367"/>
    </row>
    <row r="905">
      <c r="A905" s="367"/>
      <c r="B905" s="367"/>
      <c r="C905" s="367"/>
      <c r="D905" s="367"/>
      <c r="E905" s="375"/>
      <c r="F905" s="367"/>
      <c r="G905" s="367"/>
      <c r="H905" s="367"/>
      <c r="I905" s="367"/>
      <c r="J905" s="367"/>
      <c r="K905" s="367"/>
      <c r="L905" s="430"/>
      <c r="M905" s="367"/>
      <c r="N905" s="367"/>
      <c r="O905" s="367"/>
      <c r="P905" s="367"/>
      <c r="Q905" s="367"/>
      <c r="R905" s="367"/>
      <c r="S905" s="367"/>
      <c r="T905" s="367"/>
      <c r="U905" s="367"/>
      <c r="V905" s="367"/>
      <c r="W905" s="367"/>
      <c r="X905" s="367"/>
      <c r="Y905" s="367"/>
      <c r="Z905" s="367"/>
    </row>
    <row r="906">
      <c r="A906" s="367"/>
      <c r="B906" s="367"/>
      <c r="C906" s="367"/>
      <c r="D906" s="367"/>
      <c r="E906" s="375"/>
      <c r="F906" s="367"/>
      <c r="G906" s="367"/>
      <c r="H906" s="367"/>
      <c r="I906" s="367"/>
      <c r="J906" s="367"/>
      <c r="K906" s="367"/>
      <c r="L906" s="430"/>
      <c r="M906" s="367"/>
      <c r="N906" s="367"/>
      <c r="O906" s="367"/>
      <c r="P906" s="367"/>
      <c r="Q906" s="367"/>
      <c r="R906" s="367"/>
      <c r="S906" s="367"/>
      <c r="T906" s="367"/>
      <c r="U906" s="367"/>
      <c r="V906" s="367"/>
      <c r="W906" s="367"/>
      <c r="X906" s="367"/>
      <c r="Y906" s="367"/>
      <c r="Z906" s="367"/>
    </row>
    <row r="907">
      <c r="A907" s="367"/>
      <c r="B907" s="367"/>
      <c r="C907" s="367"/>
      <c r="D907" s="367"/>
      <c r="E907" s="375"/>
      <c r="F907" s="367"/>
      <c r="G907" s="367"/>
      <c r="H907" s="367"/>
      <c r="I907" s="367"/>
      <c r="J907" s="367"/>
      <c r="K907" s="367"/>
      <c r="L907" s="430"/>
      <c r="M907" s="367"/>
      <c r="N907" s="367"/>
      <c r="O907" s="367"/>
      <c r="P907" s="367"/>
      <c r="Q907" s="367"/>
      <c r="R907" s="367"/>
      <c r="S907" s="367"/>
      <c r="T907" s="367"/>
      <c r="U907" s="367"/>
      <c r="V907" s="367"/>
      <c r="W907" s="367"/>
      <c r="X907" s="367"/>
      <c r="Y907" s="367"/>
      <c r="Z907" s="367"/>
    </row>
    <row r="908">
      <c r="A908" s="367"/>
      <c r="B908" s="367"/>
      <c r="C908" s="367"/>
      <c r="D908" s="367"/>
      <c r="E908" s="375"/>
      <c r="F908" s="367"/>
      <c r="G908" s="367"/>
      <c r="H908" s="367"/>
      <c r="I908" s="367"/>
      <c r="J908" s="367"/>
      <c r="K908" s="367"/>
      <c r="L908" s="430"/>
      <c r="M908" s="367"/>
      <c r="N908" s="367"/>
      <c r="O908" s="367"/>
      <c r="P908" s="367"/>
      <c r="Q908" s="367"/>
      <c r="R908" s="367"/>
      <c r="S908" s="367"/>
      <c r="T908" s="367"/>
      <c r="U908" s="367"/>
      <c r="V908" s="367"/>
      <c r="W908" s="367"/>
      <c r="X908" s="367"/>
      <c r="Y908" s="367"/>
      <c r="Z908" s="367"/>
    </row>
    <row r="909">
      <c r="A909" s="367"/>
      <c r="B909" s="367"/>
      <c r="C909" s="367"/>
      <c r="D909" s="367"/>
      <c r="E909" s="375"/>
      <c r="F909" s="367"/>
      <c r="G909" s="367"/>
      <c r="H909" s="367"/>
      <c r="I909" s="367"/>
      <c r="J909" s="367"/>
      <c r="K909" s="367"/>
      <c r="L909" s="430"/>
      <c r="M909" s="367"/>
      <c r="N909" s="367"/>
      <c r="O909" s="367"/>
      <c r="P909" s="367"/>
      <c r="Q909" s="367"/>
      <c r="R909" s="367"/>
      <c r="S909" s="367"/>
      <c r="T909" s="367"/>
      <c r="U909" s="367"/>
      <c r="V909" s="367"/>
      <c r="W909" s="367"/>
      <c r="X909" s="367"/>
      <c r="Y909" s="367"/>
      <c r="Z909" s="367"/>
    </row>
    <row r="910">
      <c r="A910" s="367"/>
      <c r="B910" s="367"/>
      <c r="C910" s="367"/>
      <c r="D910" s="367"/>
      <c r="E910" s="375"/>
      <c r="F910" s="367"/>
      <c r="G910" s="367"/>
      <c r="H910" s="367"/>
      <c r="I910" s="367"/>
      <c r="J910" s="367"/>
      <c r="K910" s="367"/>
      <c r="L910" s="430"/>
      <c r="M910" s="367"/>
      <c r="N910" s="367"/>
      <c r="O910" s="367"/>
      <c r="P910" s="367"/>
      <c r="Q910" s="367"/>
      <c r="R910" s="367"/>
      <c r="S910" s="367"/>
      <c r="T910" s="367"/>
      <c r="U910" s="367"/>
      <c r="V910" s="367"/>
      <c r="W910" s="367"/>
      <c r="X910" s="367"/>
      <c r="Y910" s="367"/>
      <c r="Z910" s="367"/>
    </row>
    <row r="911">
      <c r="A911" s="367"/>
      <c r="B911" s="367"/>
      <c r="C911" s="367"/>
      <c r="D911" s="367"/>
      <c r="E911" s="375"/>
      <c r="F911" s="367"/>
      <c r="G911" s="367"/>
      <c r="H911" s="367"/>
      <c r="I911" s="367"/>
      <c r="J911" s="367"/>
      <c r="K911" s="367"/>
      <c r="L911" s="430"/>
      <c r="M911" s="367"/>
      <c r="N911" s="367"/>
      <c r="O911" s="367"/>
      <c r="P911" s="367"/>
      <c r="Q911" s="367"/>
      <c r="R911" s="367"/>
      <c r="S911" s="367"/>
      <c r="T911" s="367"/>
      <c r="U911" s="367"/>
      <c r="V911" s="367"/>
      <c r="W911" s="367"/>
      <c r="X911" s="367"/>
      <c r="Y911" s="367"/>
      <c r="Z911" s="367"/>
    </row>
    <row r="912">
      <c r="A912" s="367"/>
      <c r="B912" s="367"/>
      <c r="C912" s="367"/>
      <c r="D912" s="367"/>
      <c r="E912" s="375"/>
      <c r="F912" s="367"/>
      <c r="G912" s="367"/>
      <c r="H912" s="367"/>
      <c r="I912" s="367"/>
      <c r="J912" s="367"/>
      <c r="K912" s="367"/>
      <c r="L912" s="430"/>
      <c r="M912" s="367"/>
      <c r="N912" s="367"/>
      <c r="O912" s="367"/>
      <c r="P912" s="367"/>
      <c r="Q912" s="367"/>
      <c r="R912" s="367"/>
      <c r="S912" s="367"/>
      <c r="T912" s="367"/>
      <c r="U912" s="367"/>
      <c r="V912" s="367"/>
      <c r="W912" s="367"/>
      <c r="X912" s="367"/>
      <c r="Y912" s="367"/>
      <c r="Z912" s="367"/>
    </row>
    <row r="913">
      <c r="A913" s="367"/>
      <c r="B913" s="367"/>
      <c r="C913" s="367"/>
      <c r="D913" s="367"/>
      <c r="E913" s="375"/>
      <c r="F913" s="367"/>
      <c r="G913" s="367"/>
      <c r="H913" s="367"/>
      <c r="I913" s="367"/>
      <c r="J913" s="367"/>
      <c r="K913" s="367"/>
      <c r="L913" s="430"/>
      <c r="M913" s="367"/>
      <c r="N913" s="367"/>
      <c r="O913" s="367"/>
      <c r="P913" s="367"/>
      <c r="Q913" s="367"/>
      <c r="R913" s="367"/>
      <c r="S913" s="367"/>
      <c r="T913" s="367"/>
      <c r="U913" s="367"/>
      <c r="V913" s="367"/>
      <c r="W913" s="367"/>
      <c r="X913" s="367"/>
      <c r="Y913" s="367"/>
      <c r="Z913" s="367"/>
    </row>
    <row r="914">
      <c r="A914" s="367"/>
      <c r="B914" s="367"/>
      <c r="C914" s="367"/>
      <c r="D914" s="367"/>
      <c r="E914" s="375"/>
      <c r="F914" s="367"/>
      <c r="G914" s="367"/>
      <c r="H914" s="367"/>
      <c r="I914" s="367"/>
      <c r="J914" s="367"/>
      <c r="K914" s="367"/>
      <c r="L914" s="430"/>
      <c r="M914" s="367"/>
      <c r="N914" s="367"/>
      <c r="O914" s="367"/>
      <c r="P914" s="367"/>
      <c r="Q914" s="367"/>
      <c r="R914" s="367"/>
      <c r="S914" s="367"/>
      <c r="T914" s="367"/>
      <c r="U914" s="367"/>
      <c r="V914" s="367"/>
      <c r="W914" s="367"/>
      <c r="X914" s="367"/>
      <c r="Y914" s="367"/>
      <c r="Z914" s="367"/>
    </row>
    <row r="915">
      <c r="A915" s="367"/>
      <c r="B915" s="367"/>
      <c r="C915" s="367"/>
      <c r="D915" s="367"/>
      <c r="E915" s="375"/>
      <c r="F915" s="367"/>
      <c r="G915" s="367"/>
      <c r="H915" s="367"/>
      <c r="I915" s="367"/>
      <c r="J915" s="367"/>
      <c r="K915" s="367"/>
      <c r="L915" s="430"/>
      <c r="M915" s="367"/>
      <c r="N915" s="367"/>
      <c r="O915" s="367"/>
      <c r="P915" s="367"/>
      <c r="Q915" s="367"/>
      <c r="R915" s="367"/>
      <c r="S915" s="367"/>
      <c r="T915" s="367"/>
      <c r="U915" s="367"/>
      <c r="V915" s="367"/>
      <c r="W915" s="367"/>
      <c r="X915" s="367"/>
      <c r="Y915" s="367"/>
      <c r="Z915" s="367"/>
    </row>
    <row r="916">
      <c r="A916" s="367"/>
      <c r="B916" s="367"/>
      <c r="C916" s="367"/>
      <c r="D916" s="367"/>
      <c r="E916" s="375"/>
      <c r="F916" s="367"/>
      <c r="G916" s="367"/>
      <c r="H916" s="367"/>
      <c r="I916" s="367"/>
      <c r="J916" s="367"/>
      <c r="K916" s="367"/>
      <c r="L916" s="430"/>
      <c r="M916" s="367"/>
      <c r="N916" s="367"/>
      <c r="O916" s="367"/>
      <c r="P916" s="367"/>
      <c r="Q916" s="367"/>
      <c r="R916" s="367"/>
      <c r="S916" s="367"/>
      <c r="T916" s="367"/>
      <c r="U916" s="367"/>
      <c r="V916" s="367"/>
      <c r="W916" s="367"/>
      <c r="X916" s="367"/>
      <c r="Y916" s="367"/>
      <c r="Z916" s="367"/>
    </row>
    <row r="917">
      <c r="A917" s="367"/>
      <c r="B917" s="367"/>
      <c r="C917" s="367"/>
      <c r="D917" s="367"/>
      <c r="E917" s="375"/>
      <c r="F917" s="367"/>
      <c r="G917" s="367"/>
      <c r="H917" s="367"/>
      <c r="I917" s="367"/>
      <c r="J917" s="367"/>
      <c r="K917" s="367"/>
      <c r="L917" s="430"/>
      <c r="M917" s="367"/>
      <c r="N917" s="367"/>
      <c r="O917" s="367"/>
      <c r="P917" s="367"/>
      <c r="Q917" s="367"/>
      <c r="R917" s="367"/>
      <c r="S917" s="367"/>
      <c r="T917" s="367"/>
      <c r="U917" s="367"/>
      <c r="V917" s="367"/>
      <c r="W917" s="367"/>
      <c r="X917" s="367"/>
      <c r="Y917" s="367"/>
      <c r="Z917" s="367"/>
    </row>
    <row r="918">
      <c r="A918" s="367"/>
      <c r="B918" s="367"/>
      <c r="C918" s="367"/>
      <c r="D918" s="367"/>
      <c r="E918" s="375"/>
      <c r="F918" s="367"/>
      <c r="G918" s="367"/>
      <c r="H918" s="367"/>
      <c r="I918" s="367"/>
      <c r="J918" s="367"/>
      <c r="K918" s="367"/>
      <c r="L918" s="430"/>
      <c r="M918" s="367"/>
      <c r="N918" s="367"/>
      <c r="O918" s="367"/>
      <c r="P918" s="367"/>
      <c r="Q918" s="367"/>
      <c r="R918" s="367"/>
      <c r="S918" s="367"/>
      <c r="T918" s="367"/>
      <c r="U918" s="367"/>
      <c r="V918" s="367"/>
      <c r="W918" s="367"/>
      <c r="X918" s="367"/>
      <c r="Y918" s="367"/>
      <c r="Z918" s="367"/>
    </row>
    <row r="919">
      <c r="A919" s="367"/>
      <c r="B919" s="367"/>
      <c r="C919" s="367"/>
      <c r="D919" s="367"/>
      <c r="E919" s="375"/>
      <c r="F919" s="367"/>
      <c r="G919" s="367"/>
      <c r="H919" s="367"/>
      <c r="I919" s="367"/>
      <c r="J919" s="367"/>
      <c r="K919" s="367"/>
      <c r="L919" s="430"/>
      <c r="M919" s="367"/>
      <c r="N919" s="367"/>
      <c r="O919" s="367"/>
      <c r="P919" s="367"/>
      <c r="Q919" s="367"/>
      <c r="R919" s="367"/>
      <c r="S919" s="367"/>
      <c r="T919" s="367"/>
      <c r="U919" s="367"/>
      <c r="V919" s="367"/>
      <c r="W919" s="367"/>
      <c r="X919" s="367"/>
      <c r="Y919" s="367"/>
      <c r="Z919" s="367"/>
    </row>
    <row r="920">
      <c r="A920" s="367"/>
      <c r="B920" s="367"/>
      <c r="C920" s="367"/>
      <c r="D920" s="367"/>
      <c r="E920" s="375"/>
      <c r="F920" s="367"/>
      <c r="G920" s="367"/>
      <c r="H920" s="367"/>
      <c r="I920" s="367"/>
      <c r="J920" s="367"/>
      <c r="K920" s="367"/>
      <c r="L920" s="430"/>
      <c r="M920" s="367"/>
      <c r="N920" s="367"/>
      <c r="O920" s="367"/>
      <c r="P920" s="367"/>
      <c r="Q920" s="367"/>
      <c r="R920" s="367"/>
      <c r="S920" s="367"/>
      <c r="T920" s="367"/>
      <c r="U920" s="367"/>
      <c r="V920" s="367"/>
      <c r="W920" s="367"/>
      <c r="X920" s="367"/>
      <c r="Y920" s="367"/>
      <c r="Z920" s="367"/>
    </row>
    <row r="921">
      <c r="A921" s="367"/>
      <c r="B921" s="367"/>
      <c r="C921" s="367"/>
      <c r="D921" s="367"/>
      <c r="E921" s="375"/>
      <c r="F921" s="367"/>
      <c r="G921" s="367"/>
      <c r="H921" s="367"/>
      <c r="I921" s="367"/>
      <c r="J921" s="367"/>
      <c r="K921" s="367"/>
      <c r="L921" s="430"/>
      <c r="M921" s="367"/>
      <c r="N921" s="367"/>
      <c r="O921" s="367"/>
      <c r="P921" s="367"/>
      <c r="Q921" s="367"/>
      <c r="R921" s="367"/>
      <c r="S921" s="367"/>
      <c r="T921" s="367"/>
      <c r="U921" s="367"/>
      <c r="V921" s="367"/>
      <c r="W921" s="367"/>
      <c r="X921" s="367"/>
      <c r="Y921" s="367"/>
      <c r="Z921" s="367"/>
    </row>
    <row r="922">
      <c r="A922" s="367"/>
      <c r="B922" s="367"/>
      <c r="C922" s="367"/>
      <c r="D922" s="367"/>
      <c r="E922" s="375"/>
      <c r="F922" s="367"/>
      <c r="G922" s="367"/>
      <c r="H922" s="367"/>
      <c r="I922" s="367"/>
      <c r="J922" s="367"/>
      <c r="K922" s="367"/>
      <c r="L922" s="430"/>
      <c r="M922" s="367"/>
      <c r="N922" s="367"/>
      <c r="O922" s="367"/>
      <c r="P922" s="367"/>
      <c r="Q922" s="367"/>
      <c r="R922" s="367"/>
      <c r="S922" s="367"/>
      <c r="T922" s="367"/>
      <c r="U922" s="367"/>
      <c r="V922" s="367"/>
      <c r="W922" s="367"/>
      <c r="X922" s="367"/>
      <c r="Y922" s="367"/>
      <c r="Z922" s="367"/>
    </row>
    <row r="923">
      <c r="A923" s="367"/>
      <c r="B923" s="367"/>
      <c r="C923" s="367"/>
      <c r="D923" s="367"/>
      <c r="E923" s="375"/>
      <c r="F923" s="367"/>
      <c r="G923" s="367"/>
      <c r="H923" s="367"/>
      <c r="I923" s="367"/>
      <c r="J923" s="367"/>
      <c r="K923" s="367"/>
      <c r="L923" s="430"/>
      <c r="M923" s="367"/>
      <c r="N923" s="367"/>
      <c r="O923" s="367"/>
      <c r="P923" s="367"/>
      <c r="Q923" s="367"/>
      <c r="R923" s="367"/>
      <c r="S923" s="367"/>
      <c r="T923" s="367"/>
      <c r="U923" s="367"/>
      <c r="V923" s="367"/>
      <c r="W923" s="367"/>
      <c r="X923" s="367"/>
      <c r="Y923" s="367"/>
      <c r="Z923" s="367"/>
    </row>
    <row r="924">
      <c r="A924" s="367"/>
      <c r="B924" s="367"/>
      <c r="C924" s="367"/>
      <c r="D924" s="367"/>
      <c r="E924" s="375"/>
      <c r="F924" s="367"/>
      <c r="G924" s="367"/>
      <c r="H924" s="367"/>
      <c r="I924" s="367"/>
      <c r="J924" s="367"/>
      <c r="K924" s="367"/>
      <c r="L924" s="430"/>
      <c r="M924" s="367"/>
      <c r="N924" s="367"/>
      <c r="O924" s="367"/>
      <c r="P924" s="367"/>
      <c r="Q924" s="367"/>
      <c r="R924" s="367"/>
      <c r="S924" s="367"/>
      <c r="T924" s="367"/>
      <c r="U924" s="367"/>
      <c r="V924" s="367"/>
      <c r="W924" s="367"/>
      <c r="X924" s="367"/>
      <c r="Y924" s="367"/>
      <c r="Z924" s="367"/>
    </row>
    <row r="925">
      <c r="A925" s="367"/>
      <c r="B925" s="367"/>
      <c r="C925" s="367"/>
      <c r="D925" s="367"/>
      <c r="E925" s="375"/>
      <c r="F925" s="367"/>
      <c r="G925" s="367"/>
      <c r="H925" s="367"/>
      <c r="I925" s="367"/>
      <c r="J925" s="367"/>
      <c r="K925" s="367"/>
      <c r="L925" s="430"/>
      <c r="M925" s="367"/>
      <c r="N925" s="367"/>
      <c r="O925" s="367"/>
      <c r="P925" s="367"/>
      <c r="Q925" s="367"/>
      <c r="R925" s="367"/>
      <c r="S925" s="367"/>
      <c r="T925" s="367"/>
      <c r="U925" s="367"/>
      <c r="V925" s="367"/>
      <c r="W925" s="367"/>
      <c r="X925" s="367"/>
      <c r="Y925" s="367"/>
      <c r="Z925" s="367"/>
    </row>
    <row r="926">
      <c r="A926" s="367"/>
      <c r="B926" s="367"/>
      <c r="C926" s="367"/>
      <c r="D926" s="367"/>
      <c r="E926" s="375"/>
      <c r="F926" s="367"/>
      <c r="G926" s="367"/>
      <c r="H926" s="367"/>
      <c r="I926" s="367"/>
      <c r="J926" s="367"/>
      <c r="K926" s="367"/>
      <c r="L926" s="430"/>
      <c r="M926" s="367"/>
      <c r="N926" s="367"/>
      <c r="O926" s="367"/>
      <c r="P926" s="367"/>
      <c r="Q926" s="367"/>
      <c r="R926" s="367"/>
      <c r="S926" s="367"/>
      <c r="T926" s="367"/>
      <c r="U926" s="367"/>
      <c r="V926" s="367"/>
      <c r="W926" s="367"/>
      <c r="X926" s="367"/>
      <c r="Y926" s="367"/>
      <c r="Z926" s="367"/>
    </row>
    <row r="927">
      <c r="A927" s="367"/>
      <c r="B927" s="367"/>
      <c r="C927" s="367"/>
      <c r="D927" s="367"/>
      <c r="E927" s="375"/>
      <c r="F927" s="367"/>
      <c r="G927" s="367"/>
      <c r="H927" s="367"/>
      <c r="I927" s="367"/>
      <c r="J927" s="367"/>
      <c r="K927" s="367"/>
      <c r="L927" s="430"/>
      <c r="M927" s="367"/>
      <c r="N927" s="367"/>
      <c r="O927" s="367"/>
      <c r="P927" s="367"/>
      <c r="Q927" s="367"/>
      <c r="R927" s="367"/>
      <c r="S927" s="367"/>
      <c r="T927" s="367"/>
      <c r="U927" s="367"/>
      <c r="V927" s="367"/>
      <c r="W927" s="367"/>
      <c r="X927" s="367"/>
      <c r="Y927" s="367"/>
      <c r="Z927" s="367"/>
    </row>
    <row r="928">
      <c r="A928" s="367"/>
      <c r="B928" s="367"/>
      <c r="C928" s="367"/>
      <c r="D928" s="367"/>
      <c r="E928" s="375"/>
      <c r="F928" s="367"/>
      <c r="G928" s="367"/>
      <c r="H928" s="367"/>
      <c r="I928" s="367"/>
      <c r="J928" s="367"/>
      <c r="K928" s="367"/>
      <c r="L928" s="430"/>
      <c r="M928" s="367"/>
      <c r="N928" s="367"/>
      <c r="O928" s="367"/>
      <c r="P928" s="367"/>
      <c r="Q928" s="367"/>
      <c r="R928" s="367"/>
      <c r="S928" s="367"/>
      <c r="T928" s="367"/>
      <c r="U928" s="367"/>
      <c r="V928" s="367"/>
      <c r="W928" s="367"/>
      <c r="X928" s="367"/>
      <c r="Y928" s="367"/>
      <c r="Z928" s="367"/>
    </row>
    <row r="929">
      <c r="A929" s="367"/>
      <c r="B929" s="367"/>
      <c r="C929" s="367"/>
      <c r="D929" s="367"/>
      <c r="E929" s="375"/>
      <c r="F929" s="367"/>
      <c r="G929" s="367"/>
      <c r="H929" s="367"/>
      <c r="I929" s="367"/>
      <c r="J929" s="367"/>
      <c r="K929" s="367"/>
      <c r="L929" s="430"/>
      <c r="M929" s="367"/>
      <c r="N929" s="367"/>
      <c r="O929" s="367"/>
      <c r="P929" s="367"/>
      <c r="Q929" s="367"/>
      <c r="R929" s="367"/>
      <c r="S929" s="367"/>
      <c r="T929" s="367"/>
      <c r="U929" s="367"/>
      <c r="V929" s="367"/>
      <c r="W929" s="367"/>
      <c r="X929" s="367"/>
      <c r="Y929" s="367"/>
      <c r="Z929" s="367"/>
    </row>
    <row r="930">
      <c r="A930" s="367"/>
      <c r="B930" s="367"/>
      <c r="C930" s="367"/>
      <c r="D930" s="367"/>
      <c r="E930" s="375"/>
      <c r="F930" s="367"/>
      <c r="G930" s="367"/>
      <c r="H930" s="367"/>
      <c r="I930" s="367"/>
      <c r="J930" s="367"/>
      <c r="K930" s="367"/>
      <c r="L930" s="430"/>
      <c r="M930" s="367"/>
      <c r="N930" s="367"/>
      <c r="O930" s="367"/>
      <c r="P930" s="367"/>
      <c r="Q930" s="367"/>
      <c r="R930" s="367"/>
      <c r="S930" s="367"/>
      <c r="T930" s="367"/>
      <c r="U930" s="367"/>
      <c r="V930" s="367"/>
      <c r="W930" s="367"/>
      <c r="X930" s="367"/>
      <c r="Y930" s="367"/>
      <c r="Z930" s="367"/>
    </row>
    <row r="931">
      <c r="A931" s="367"/>
      <c r="B931" s="367"/>
      <c r="C931" s="367"/>
      <c r="D931" s="367"/>
      <c r="E931" s="375"/>
      <c r="F931" s="367"/>
      <c r="G931" s="367"/>
      <c r="H931" s="367"/>
      <c r="I931" s="367"/>
      <c r="J931" s="367"/>
      <c r="K931" s="367"/>
      <c r="L931" s="430"/>
      <c r="M931" s="367"/>
      <c r="N931" s="367"/>
      <c r="O931" s="367"/>
      <c r="P931" s="367"/>
      <c r="Q931" s="367"/>
      <c r="R931" s="367"/>
      <c r="S931" s="367"/>
      <c r="T931" s="367"/>
      <c r="U931" s="367"/>
      <c r="V931" s="367"/>
      <c r="W931" s="367"/>
      <c r="X931" s="367"/>
      <c r="Y931" s="367"/>
      <c r="Z931" s="367"/>
    </row>
    <row r="932">
      <c r="A932" s="367"/>
      <c r="B932" s="367"/>
      <c r="C932" s="367"/>
      <c r="D932" s="367"/>
      <c r="E932" s="375"/>
      <c r="F932" s="367"/>
      <c r="G932" s="367"/>
      <c r="H932" s="367"/>
      <c r="I932" s="367"/>
      <c r="J932" s="367"/>
      <c r="K932" s="367"/>
      <c r="L932" s="430"/>
      <c r="M932" s="367"/>
      <c r="N932" s="367"/>
      <c r="O932" s="367"/>
      <c r="P932" s="367"/>
      <c r="Q932" s="367"/>
      <c r="R932" s="367"/>
      <c r="S932" s="367"/>
      <c r="T932" s="367"/>
      <c r="U932" s="367"/>
      <c r="V932" s="367"/>
      <c r="W932" s="367"/>
      <c r="X932" s="367"/>
      <c r="Y932" s="367"/>
      <c r="Z932" s="367"/>
    </row>
    <row r="933">
      <c r="A933" s="367"/>
      <c r="B933" s="367"/>
      <c r="C933" s="367"/>
      <c r="D933" s="367"/>
      <c r="E933" s="375"/>
      <c r="F933" s="367"/>
      <c r="G933" s="367"/>
      <c r="H933" s="367"/>
      <c r="I933" s="367"/>
      <c r="J933" s="367"/>
      <c r="K933" s="367"/>
      <c r="L933" s="430"/>
      <c r="M933" s="367"/>
      <c r="N933" s="367"/>
      <c r="O933" s="367"/>
      <c r="P933" s="367"/>
      <c r="Q933" s="367"/>
      <c r="R933" s="367"/>
      <c r="S933" s="367"/>
      <c r="T933" s="367"/>
      <c r="U933" s="367"/>
      <c r="V933" s="367"/>
      <c r="W933" s="367"/>
      <c r="X933" s="367"/>
      <c r="Y933" s="367"/>
      <c r="Z933" s="367"/>
    </row>
    <row r="934">
      <c r="A934" s="367"/>
      <c r="B934" s="367"/>
      <c r="C934" s="367"/>
      <c r="D934" s="367"/>
      <c r="E934" s="375"/>
      <c r="F934" s="367"/>
      <c r="G934" s="367"/>
      <c r="H934" s="367"/>
      <c r="I934" s="367"/>
      <c r="J934" s="367"/>
      <c r="K934" s="367"/>
      <c r="L934" s="430"/>
      <c r="M934" s="367"/>
      <c r="N934" s="367"/>
      <c r="O934" s="367"/>
      <c r="P934" s="367"/>
      <c r="Q934" s="367"/>
      <c r="R934" s="367"/>
      <c r="S934" s="367"/>
      <c r="T934" s="367"/>
      <c r="U934" s="367"/>
      <c r="V934" s="367"/>
      <c r="W934" s="367"/>
      <c r="X934" s="367"/>
      <c r="Y934" s="367"/>
      <c r="Z934" s="367"/>
    </row>
    <row r="935">
      <c r="A935" s="367"/>
      <c r="B935" s="367"/>
      <c r="C935" s="367"/>
      <c r="D935" s="367"/>
      <c r="E935" s="375"/>
      <c r="F935" s="367"/>
      <c r="G935" s="367"/>
      <c r="H935" s="367"/>
      <c r="I935" s="367"/>
      <c r="J935" s="367"/>
      <c r="K935" s="367"/>
      <c r="L935" s="430"/>
      <c r="M935" s="367"/>
      <c r="N935" s="367"/>
      <c r="O935" s="367"/>
      <c r="P935" s="367"/>
      <c r="Q935" s="367"/>
      <c r="R935" s="367"/>
      <c r="S935" s="367"/>
      <c r="T935" s="367"/>
      <c r="U935" s="367"/>
      <c r="V935" s="367"/>
      <c r="W935" s="367"/>
      <c r="X935" s="367"/>
      <c r="Y935" s="367"/>
      <c r="Z935" s="367"/>
    </row>
    <row r="936">
      <c r="A936" s="367"/>
      <c r="B936" s="367"/>
      <c r="C936" s="367"/>
      <c r="D936" s="367"/>
      <c r="E936" s="375"/>
      <c r="F936" s="367"/>
      <c r="G936" s="367"/>
      <c r="H936" s="367"/>
      <c r="I936" s="367"/>
      <c r="J936" s="367"/>
      <c r="K936" s="367"/>
      <c r="L936" s="430"/>
      <c r="M936" s="367"/>
      <c r="N936" s="367"/>
      <c r="O936" s="367"/>
      <c r="P936" s="367"/>
      <c r="Q936" s="367"/>
      <c r="R936" s="367"/>
      <c r="S936" s="367"/>
      <c r="T936" s="367"/>
      <c r="U936" s="367"/>
      <c r="V936" s="367"/>
      <c r="W936" s="367"/>
      <c r="X936" s="367"/>
      <c r="Y936" s="367"/>
      <c r="Z936" s="367"/>
    </row>
    <row r="937">
      <c r="A937" s="367"/>
      <c r="B937" s="367"/>
      <c r="C937" s="367"/>
      <c r="D937" s="367"/>
      <c r="E937" s="375"/>
      <c r="F937" s="367"/>
      <c r="G937" s="367"/>
      <c r="H937" s="367"/>
      <c r="I937" s="367"/>
      <c r="J937" s="367"/>
      <c r="K937" s="367"/>
      <c r="L937" s="430"/>
      <c r="M937" s="367"/>
      <c r="N937" s="367"/>
      <c r="O937" s="367"/>
      <c r="P937" s="367"/>
      <c r="Q937" s="367"/>
      <c r="R937" s="367"/>
      <c r="S937" s="367"/>
      <c r="T937" s="367"/>
      <c r="U937" s="367"/>
      <c r="V937" s="367"/>
      <c r="W937" s="367"/>
      <c r="X937" s="367"/>
      <c r="Y937" s="367"/>
      <c r="Z937" s="367"/>
    </row>
    <row r="938">
      <c r="A938" s="367"/>
      <c r="B938" s="367"/>
      <c r="C938" s="367"/>
      <c r="D938" s="367"/>
      <c r="E938" s="375"/>
      <c r="F938" s="367"/>
      <c r="G938" s="367"/>
      <c r="H938" s="367"/>
      <c r="I938" s="367"/>
      <c r="J938" s="367"/>
      <c r="K938" s="367"/>
      <c r="L938" s="430"/>
      <c r="M938" s="367"/>
      <c r="N938" s="367"/>
      <c r="O938" s="367"/>
      <c r="P938" s="367"/>
      <c r="Q938" s="367"/>
      <c r="R938" s="367"/>
      <c r="S938" s="367"/>
      <c r="T938" s="367"/>
      <c r="U938" s="367"/>
      <c r="V938" s="367"/>
      <c r="W938" s="367"/>
      <c r="X938" s="367"/>
      <c r="Y938" s="367"/>
      <c r="Z938" s="367"/>
    </row>
    <row r="939">
      <c r="A939" s="367"/>
      <c r="B939" s="367"/>
      <c r="C939" s="367"/>
      <c r="D939" s="367"/>
      <c r="E939" s="375"/>
      <c r="F939" s="367"/>
      <c r="G939" s="367"/>
      <c r="H939" s="367"/>
      <c r="I939" s="367"/>
      <c r="J939" s="367"/>
      <c r="K939" s="367"/>
      <c r="L939" s="430"/>
      <c r="M939" s="367"/>
      <c r="N939" s="367"/>
      <c r="O939" s="367"/>
      <c r="P939" s="367"/>
      <c r="Q939" s="367"/>
      <c r="R939" s="367"/>
      <c r="S939" s="367"/>
      <c r="T939" s="367"/>
      <c r="U939" s="367"/>
      <c r="V939" s="367"/>
      <c r="W939" s="367"/>
      <c r="X939" s="367"/>
      <c r="Y939" s="367"/>
      <c r="Z939" s="367"/>
    </row>
    <row r="940">
      <c r="A940" s="367"/>
      <c r="B940" s="367"/>
      <c r="C940" s="367"/>
      <c r="D940" s="367"/>
      <c r="E940" s="375"/>
      <c r="F940" s="367"/>
      <c r="G940" s="367"/>
      <c r="H940" s="367"/>
      <c r="I940" s="367"/>
      <c r="J940" s="367"/>
      <c r="K940" s="367"/>
      <c r="L940" s="430"/>
      <c r="M940" s="367"/>
      <c r="N940" s="367"/>
      <c r="O940" s="367"/>
      <c r="P940" s="367"/>
      <c r="Q940" s="367"/>
      <c r="R940" s="367"/>
      <c r="S940" s="367"/>
      <c r="T940" s="367"/>
      <c r="U940" s="367"/>
      <c r="V940" s="367"/>
      <c r="W940" s="367"/>
      <c r="X940" s="367"/>
      <c r="Y940" s="367"/>
      <c r="Z940" s="367"/>
    </row>
    <row r="941">
      <c r="A941" s="367"/>
      <c r="B941" s="367"/>
      <c r="C941" s="367"/>
      <c r="D941" s="367"/>
      <c r="E941" s="375"/>
      <c r="F941" s="367"/>
      <c r="G941" s="367"/>
      <c r="H941" s="367"/>
      <c r="I941" s="367"/>
      <c r="J941" s="367"/>
      <c r="K941" s="367"/>
      <c r="L941" s="430"/>
      <c r="M941" s="367"/>
      <c r="N941" s="367"/>
      <c r="O941" s="367"/>
      <c r="P941" s="367"/>
      <c r="Q941" s="367"/>
      <c r="R941" s="367"/>
      <c r="S941" s="367"/>
      <c r="T941" s="367"/>
      <c r="U941" s="367"/>
      <c r="V941" s="367"/>
      <c r="W941" s="367"/>
      <c r="X941" s="367"/>
      <c r="Y941" s="367"/>
      <c r="Z941" s="367"/>
    </row>
    <row r="942">
      <c r="A942" s="367"/>
      <c r="B942" s="367"/>
      <c r="C942" s="367"/>
      <c r="D942" s="367"/>
      <c r="E942" s="375"/>
      <c r="F942" s="367"/>
      <c r="G942" s="367"/>
      <c r="H942" s="367"/>
      <c r="I942" s="367"/>
      <c r="J942" s="367"/>
      <c r="K942" s="367"/>
      <c r="L942" s="430"/>
      <c r="M942" s="367"/>
      <c r="N942" s="367"/>
      <c r="O942" s="367"/>
      <c r="P942" s="367"/>
      <c r="Q942" s="367"/>
      <c r="R942" s="367"/>
      <c r="S942" s="367"/>
      <c r="T942" s="367"/>
      <c r="U942" s="367"/>
      <c r="V942" s="367"/>
      <c r="W942" s="367"/>
      <c r="X942" s="367"/>
      <c r="Y942" s="367"/>
      <c r="Z942" s="367"/>
    </row>
    <row r="943">
      <c r="A943" s="367"/>
      <c r="B943" s="367"/>
      <c r="C943" s="367"/>
      <c r="D943" s="367"/>
      <c r="E943" s="375"/>
      <c r="F943" s="367"/>
      <c r="G943" s="367"/>
      <c r="H943" s="367"/>
      <c r="I943" s="367"/>
      <c r="J943" s="367"/>
      <c r="K943" s="367"/>
      <c r="L943" s="430"/>
      <c r="M943" s="367"/>
      <c r="N943" s="367"/>
      <c r="O943" s="367"/>
      <c r="P943" s="367"/>
      <c r="Q943" s="367"/>
      <c r="R943" s="367"/>
      <c r="S943" s="367"/>
      <c r="T943" s="367"/>
      <c r="U943" s="367"/>
      <c r="V943" s="367"/>
      <c r="W943" s="367"/>
      <c r="X943" s="367"/>
      <c r="Y943" s="367"/>
      <c r="Z943" s="367"/>
    </row>
    <row r="944">
      <c r="A944" s="367"/>
      <c r="B944" s="367"/>
      <c r="C944" s="367"/>
      <c r="D944" s="367"/>
      <c r="E944" s="375"/>
      <c r="F944" s="367"/>
      <c r="G944" s="367"/>
      <c r="H944" s="367"/>
      <c r="I944" s="367"/>
      <c r="J944" s="367"/>
      <c r="K944" s="367"/>
      <c r="L944" s="430"/>
      <c r="M944" s="367"/>
      <c r="N944" s="367"/>
      <c r="O944" s="367"/>
      <c r="P944" s="367"/>
      <c r="Q944" s="367"/>
      <c r="R944" s="367"/>
      <c r="S944" s="367"/>
      <c r="T944" s="367"/>
      <c r="U944" s="367"/>
      <c r="V944" s="367"/>
      <c r="W944" s="367"/>
      <c r="X944" s="367"/>
      <c r="Y944" s="367"/>
      <c r="Z944" s="367"/>
    </row>
    <row r="945">
      <c r="A945" s="367"/>
      <c r="B945" s="367"/>
      <c r="C945" s="367"/>
      <c r="D945" s="367"/>
      <c r="E945" s="375"/>
      <c r="F945" s="367"/>
      <c r="G945" s="367"/>
      <c r="H945" s="367"/>
      <c r="I945" s="367"/>
      <c r="J945" s="367"/>
      <c r="K945" s="367"/>
      <c r="L945" s="430"/>
      <c r="M945" s="367"/>
      <c r="N945" s="367"/>
      <c r="O945" s="367"/>
      <c r="P945" s="367"/>
      <c r="Q945" s="367"/>
      <c r="R945" s="367"/>
      <c r="S945" s="367"/>
      <c r="T945" s="367"/>
      <c r="U945" s="367"/>
      <c r="V945" s="367"/>
      <c r="W945" s="367"/>
      <c r="X945" s="367"/>
      <c r="Y945" s="367"/>
      <c r="Z945" s="367"/>
    </row>
    <row r="946">
      <c r="A946" s="367"/>
      <c r="B946" s="367"/>
      <c r="C946" s="367"/>
      <c r="D946" s="367"/>
      <c r="E946" s="375"/>
      <c r="F946" s="367"/>
      <c r="G946" s="367"/>
      <c r="H946" s="367"/>
      <c r="I946" s="367"/>
      <c r="J946" s="367"/>
      <c r="K946" s="367"/>
      <c r="L946" s="430"/>
      <c r="M946" s="367"/>
      <c r="N946" s="367"/>
      <c r="O946" s="367"/>
      <c r="P946" s="367"/>
      <c r="Q946" s="367"/>
      <c r="R946" s="367"/>
      <c r="S946" s="367"/>
      <c r="T946" s="367"/>
      <c r="U946" s="367"/>
      <c r="V946" s="367"/>
      <c r="W946" s="367"/>
      <c r="X946" s="367"/>
      <c r="Y946" s="367"/>
      <c r="Z946" s="367"/>
    </row>
    <row r="947">
      <c r="A947" s="367"/>
      <c r="B947" s="367"/>
      <c r="C947" s="367"/>
      <c r="D947" s="367"/>
      <c r="E947" s="375"/>
      <c r="F947" s="367"/>
      <c r="G947" s="367"/>
      <c r="H947" s="367"/>
      <c r="I947" s="367"/>
      <c r="J947" s="367"/>
      <c r="K947" s="367"/>
      <c r="L947" s="430"/>
      <c r="M947" s="367"/>
      <c r="N947" s="367"/>
      <c r="O947" s="367"/>
      <c r="P947" s="367"/>
      <c r="Q947" s="367"/>
      <c r="R947" s="367"/>
      <c r="S947" s="367"/>
      <c r="T947" s="367"/>
      <c r="U947" s="367"/>
      <c r="V947" s="367"/>
      <c r="W947" s="367"/>
      <c r="X947" s="367"/>
      <c r="Y947" s="367"/>
      <c r="Z947" s="367"/>
    </row>
    <row r="948">
      <c r="A948" s="367"/>
      <c r="B948" s="367"/>
      <c r="C948" s="367"/>
      <c r="D948" s="367"/>
      <c r="E948" s="375"/>
      <c r="F948" s="367"/>
      <c r="G948" s="367"/>
      <c r="H948" s="367"/>
      <c r="I948" s="367"/>
      <c r="J948" s="367"/>
      <c r="K948" s="367"/>
      <c r="L948" s="430"/>
      <c r="M948" s="367"/>
      <c r="N948" s="367"/>
      <c r="O948" s="367"/>
      <c r="P948" s="367"/>
      <c r="Q948" s="367"/>
      <c r="R948" s="367"/>
      <c r="S948" s="367"/>
      <c r="T948" s="367"/>
      <c r="U948" s="367"/>
      <c r="V948" s="367"/>
      <c r="W948" s="367"/>
      <c r="X948" s="367"/>
      <c r="Y948" s="367"/>
      <c r="Z948" s="367"/>
    </row>
    <row r="949">
      <c r="A949" s="367"/>
      <c r="B949" s="367"/>
      <c r="C949" s="367"/>
      <c r="D949" s="367"/>
      <c r="E949" s="375"/>
      <c r="F949" s="367"/>
      <c r="G949" s="367"/>
      <c r="H949" s="367"/>
      <c r="I949" s="367"/>
      <c r="J949" s="367"/>
      <c r="K949" s="367"/>
      <c r="L949" s="430"/>
      <c r="M949" s="367"/>
      <c r="N949" s="367"/>
      <c r="O949" s="367"/>
      <c r="P949" s="367"/>
      <c r="Q949" s="367"/>
      <c r="R949" s="367"/>
      <c r="S949" s="367"/>
      <c r="T949" s="367"/>
      <c r="U949" s="367"/>
      <c r="V949" s="367"/>
      <c r="W949" s="367"/>
      <c r="X949" s="367"/>
      <c r="Y949" s="367"/>
      <c r="Z949" s="367"/>
    </row>
    <row r="950">
      <c r="A950" s="367"/>
      <c r="B950" s="367"/>
      <c r="C950" s="367"/>
      <c r="D950" s="367"/>
      <c r="E950" s="375"/>
      <c r="F950" s="367"/>
      <c r="G950" s="367"/>
      <c r="H950" s="367"/>
      <c r="I950" s="367"/>
      <c r="J950" s="367"/>
      <c r="K950" s="367"/>
      <c r="L950" s="430"/>
      <c r="M950" s="367"/>
      <c r="N950" s="367"/>
      <c r="O950" s="367"/>
      <c r="P950" s="367"/>
      <c r="Q950" s="367"/>
      <c r="R950" s="367"/>
      <c r="S950" s="367"/>
      <c r="T950" s="367"/>
      <c r="U950" s="367"/>
      <c r="V950" s="367"/>
      <c r="W950" s="367"/>
      <c r="X950" s="367"/>
      <c r="Y950" s="367"/>
      <c r="Z950" s="367"/>
    </row>
    <row r="951">
      <c r="A951" s="367"/>
      <c r="B951" s="367"/>
      <c r="C951" s="367"/>
      <c r="D951" s="367"/>
      <c r="E951" s="375"/>
      <c r="F951" s="367"/>
      <c r="G951" s="367"/>
      <c r="H951" s="367"/>
      <c r="I951" s="367"/>
      <c r="J951" s="367"/>
      <c r="K951" s="367"/>
      <c r="L951" s="430"/>
      <c r="M951" s="367"/>
      <c r="N951" s="367"/>
      <c r="O951" s="367"/>
      <c r="P951" s="367"/>
      <c r="Q951" s="367"/>
      <c r="R951" s="367"/>
      <c r="S951" s="367"/>
      <c r="T951" s="367"/>
      <c r="U951" s="367"/>
      <c r="V951" s="367"/>
      <c r="W951" s="367"/>
      <c r="X951" s="367"/>
      <c r="Y951" s="367"/>
      <c r="Z951" s="367"/>
    </row>
    <row r="952">
      <c r="A952" s="367"/>
      <c r="B952" s="367"/>
      <c r="C952" s="367"/>
      <c r="D952" s="367"/>
      <c r="E952" s="375"/>
      <c r="F952" s="367"/>
      <c r="G952" s="367"/>
      <c r="H952" s="367"/>
      <c r="I952" s="367"/>
      <c r="J952" s="367"/>
      <c r="K952" s="367"/>
      <c r="L952" s="430"/>
      <c r="M952" s="367"/>
      <c r="N952" s="367"/>
      <c r="O952" s="367"/>
      <c r="P952" s="367"/>
      <c r="Q952" s="367"/>
      <c r="R952" s="367"/>
      <c r="S952" s="367"/>
      <c r="T952" s="367"/>
      <c r="U952" s="367"/>
      <c r="V952" s="367"/>
      <c r="W952" s="367"/>
      <c r="X952" s="367"/>
      <c r="Y952" s="367"/>
      <c r="Z952" s="367"/>
    </row>
    <row r="953">
      <c r="A953" s="367"/>
      <c r="B953" s="367"/>
      <c r="C953" s="367"/>
      <c r="D953" s="367"/>
      <c r="E953" s="375"/>
      <c r="F953" s="367"/>
      <c r="G953" s="367"/>
      <c r="H953" s="367"/>
      <c r="I953" s="367"/>
      <c r="J953" s="367"/>
      <c r="K953" s="367"/>
      <c r="L953" s="430"/>
      <c r="M953" s="367"/>
      <c r="N953" s="367"/>
      <c r="O953" s="367"/>
      <c r="P953" s="367"/>
      <c r="Q953" s="367"/>
      <c r="R953" s="367"/>
      <c r="S953" s="367"/>
      <c r="T953" s="367"/>
      <c r="U953" s="367"/>
      <c r="V953" s="367"/>
      <c r="W953" s="367"/>
      <c r="X953" s="367"/>
      <c r="Y953" s="367"/>
      <c r="Z953" s="367"/>
    </row>
    <row r="954">
      <c r="A954" s="367"/>
      <c r="B954" s="367"/>
      <c r="C954" s="367"/>
      <c r="D954" s="367"/>
      <c r="E954" s="375"/>
      <c r="F954" s="367"/>
      <c r="G954" s="367"/>
      <c r="H954" s="367"/>
      <c r="I954" s="367"/>
      <c r="J954" s="367"/>
      <c r="K954" s="367"/>
      <c r="L954" s="430"/>
      <c r="M954" s="367"/>
      <c r="N954" s="367"/>
      <c r="O954" s="367"/>
      <c r="P954" s="367"/>
      <c r="Q954" s="367"/>
      <c r="R954" s="367"/>
      <c r="S954" s="367"/>
      <c r="T954" s="367"/>
      <c r="U954" s="367"/>
      <c r="V954" s="367"/>
      <c r="W954" s="367"/>
      <c r="X954" s="367"/>
      <c r="Y954" s="367"/>
      <c r="Z954" s="367"/>
    </row>
    <row r="955">
      <c r="A955" s="367"/>
      <c r="B955" s="367"/>
      <c r="C955" s="367"/>
      <c r="D955" s="367"/>
      <c r="E955" s="375"/>
      <c r="F955" s="367"/>
      <c r="G955" s="367"/>
      <c r="H955" s="367"/>
      <c r="I955" s="367"/>
      <c r="J955" s="367"/>
      <c r="K955" s="367"/>
      <c r="L955" s="430"/>
      <c r="M955" s="367"/>
      <c r="N955" s="367"/>
      <c r="O955" s="367"/>
      <c r="P955" s="367"/>
      <c r="Q955" s="367"/>
      <c r="R955" s="367"/>
      <c r="S955" s="367"/>
      <c r="T955" s="367"/>
      <c r="U955" s="367"/>
      <c r="V955" s="367"/>
      <c r="W955" s="367"/>
      <c r="X955" s="367"/>
      <c r="Y955" s="367"/>
      <c r="Z955" s="367"/>
    </row>
    <row r="956">
      <c r="A956" s="367"/>
      <c r="B956" s="367"/>
      <c r="C956" s="367"/>
      <c r="D956" s="367"/>
      <c r="E956" s="375"/>
      <c r="F956" s="367"/>
      <c r="G956" s="367"/>
      <c r="H956" s="367"/>
      <c r="I956" s="367"/>
      <c r="J956" s="367"/>
      <c r="K956" s="367"/>
      <c r="L956" s="430"/>
      <c r="M956" s="367"/>
      <c r="N956" s="367"/>
      <c r="O956" s="367"/>
      <c r="P956" s="367"/>
      <c r="Q956" s="367"/>
      <c r="R956" s="367"/>
      <c r="S956" s="367"/>
      <c r="T956" s="367"/>
      <c r="U956" s="367"/>
      <c r="V956" s="367"/>
      <c r="W956" s="367"/>
      <c r="X956" s="367"/>
      <c r="Y956" s="367"/>
      <c r="Z956" s="367"/>
    </row>
    <row r="957">
      <c r="A957" s="367"/>
      <c r="B957" s="367"/>
      <c r="C957" s="367"/>
      <c r="D957" s="367"/>
      <c r="E957" s="375"/>
      <c r="F957" s="367"/>
      <c r="G957" s="367"/>
      <c r="H957" s="367"/>
      <c r="I957" s="367"/>
      <c r="J957" s="367"/>
      <c r="K957" s="367"/>
      <c r="L957" s="430"/>
      <c r="M957" s="367"/>
      <c r="N957" s="367"/>
      <c r="O957" s="367"/>
      <c r="P957" s="367"/>
      <c r="Q957" s="367"/>
      <c r="R957" s="367"/>
      <c r="S957" s="367"/>
      <c r="T957" s="367"/>
      <c r="U957" s="367"/>
      <c r="V957" s="367"/>
      <c r="W957" s="367"/>
      <c r="X957" s="367"/>
      <c r="Y957" s="367"/>
      <c r="Z957" s="367"/>
    </row>
    <row r="958">
      <c r="A958" s="367"/>
      <c r="B958" s="367"/>
      <c r="C958" s="367"/>
      <c r="D958" s="367"/>
      <c r="E958" s="375"/>
      <c r="F958" s="367"/>
      <c r="G958" s="367"/>
      <c r="H958" s="367"/>
      <c r="I958" s="367"/>
      <c r="J958" s="367"/>
      <c r="K958" s="367"/>
      <c r="L958" s="430"/>
      <c r="M958" s="367"/>
      <c r="N958" s="367"/>
      <c r="O958" s="367"/>
      <c r="P958" s="367"/>
      <c r="Q958" s="367"/>
      <c r="R958" s="367"/>
      <c r="S958" s="367"/>
      <c r="T958" s="367"/>
      <c r="U958" s="367"/>
      <c r="V958" s="367"/>
      <c r="W958" s="367"/>
      <c r="X958" s="367"/>
      <c r="Y958" s="367"/>
      <c r="Z958" s="367"/>
    </row>
    <row r="959">
      <c r="A959" s="367"/>
      <c r="B959" s="367"/>
      <c r="C959" s="367"/>
      <c r="D959" s="367"/>
      <c r="E959" s="375"/>
      <c r="F959" s="367"/>
      <c r="G959" s="367"/>
      <c r="H959" s="367"/>
      <c r="I959" s="367"/>
      <c r="J959" s="367"/>
      <c r="K959" s="367"/>
      <c r="L959" s="430"/>
      <c r="M959" s="367"/>
      <c r="N959" s="367"/>
      <c r="O959" s="367"/>
      <c r="P959" s="367"/>
      <c r="Q959" s="367"/>
      <c r="R959" s="367"/>
      <c r="S959" s="367"/>
      <c r="T959" s="367"/>
      <c r="U959" s="367"/>
      <c r="V959" s="367"/>
      <c r="W959" s="367"/>
      <c r="X959" s="367"/>
      <c r="Y959" s="367"/>
      <c r="Z959" s="367"/>
    </row>
    <row r="960">
      <c r="A960" s="367"/>
      <c r="B960" s="367"/>
      <c r="C960" s="367"/>
      <c r="D960" s="367"/>
      <c r="E960" s="375"/>
      <c r="F960" s="367"/>
      <c r="G960" s="367"/>
      <c r="H960" s="367"/>
      <c r="I960" s="367"/>
      <c r="J960" s="367"/>
      <c r="K960" s="367"/>
      <c r="L960" s="430"/>
      <c r="M960" s="367"/>
      <c r="N960" s="367"/>
      <c r="O960" s="367"/>
      <c r="P960" s="367"/>
      <c r="Q960" s="367"/>
      <c r="R960" s="367"/>
      <c r="S960" s="367"/>
      <c r="T960" s="367"/>
      <c r="U960" s="367"/>
      <c r="V960" s="367"/>
      <c r="W960" s="367"/>
      <c r="X960" s="367"/>
      <c r="Y960" s="367"/>
      <c r="Z960" s="367"/>
    </row>
    <row r="961">
      <c r="A961" s="367"/>
      <c r="B961" s="367"/>
      <c r="C961" s="367"/>
      <c r="D961" s="367"/>
      <c r="E961" s="375"/>
      <c r="F961" s="367"/>
      <c r="G961" s="367"/>
      <c r="H961" s="367"/>
      <c r="I961" s="367"/>
      <c r="J961" s="367"/>
      <c r="K961" s="367"/>
      <c r="L961" s="430"/>
      <c r="M961" s="367"/>
      <c r="N961" s="367"/>
      <c r="O961" s="367"/>
      <c r="P961" s="367"/>
      <c r="Q961" s="367"/>
      <c r="R961" s="367"/>
      <c r="S961" s="367"/>
      <c r="T961" s="367"/>
      <c r="U961" s="367"/>
      <c r="V961" s="367"/>
      <c r="W961" s="367"/>
      <c r="X961" s="367"/>
      <c r="Y961" s="367"/>
      <c r="Z961" s="367"/>
    </row>
    <row r="962">
      <c r="A962" s="367"/>
      <c r="B962" s="367"/>
      <c r="C962" s="367"/>
      <c r="D962" s="367"/>
      <c r="E962" s="375"/>
      <c r="F962" s="367"/>
      <c r="G962" s="367"/>
      <c r="H962" s="367"/>
      <c r="I962" s="367"/>
      <c r="J962" s="367"/>
      <c r="K962" s="367"/>
      <c r="L962" s="430"/>
      <c r="M962" s="367"/>
      <c r="N962" s="367"/>
      <c r="O962" s="367"/>
      <c r="P962" s="367"/>
      <c r="Q962" s="367"/>
      <c r="R962" s="367"/>
      <c r="S962" s="367"/>
      <c r="T962" s="367"/>
      <c r="U962" s="367"/>
      <c r="V962" s="367"/>
      <c r="W962" s="367"/>
      <c r="X962" s="367"/>
      <c r="Y962" s="367"/>
      <c r="Z962" s="367"/>
    </row>
    <row r="963">
      <c r="A963" s="367"/>
      <c r="B963" s="367"/>
      <c r="C963" s="367"/>
      <c r="D963" s="367"/>
      <c r="E963" s="375"/>
      <c r="F963" s="367"/>
      <c r="G963" s="367"/>
      <c r="H963" s="367"/>
      <c r="I963" s="367"/>
      <c r="J963" s="367"/>
      <c r="K963" s="367"/>
      <c r="L963" s="430"/>
      <c r="M963" s="367"/>
      <c r="N963" s="367"/>
      <c r="O963" s="367"/>
      <c r="P963" s="367"/>
      <c r="Q963" s="367"/>
      <c r="R963" s="367"/>
      <c r="S963" s="367"/>
      <c r="T963" s="367"/>
      <c r="U963" s="367"/>
      <c r="V963" s="367"/>
      <c r="W963" s="367"/>
      <c r="X963" s="367"/>
      <c r="Y963" s="367"/>
      <c r="Z963" s="367"/>
    </row>
    <row r="964">
      <c r="A964" s="367"/>
      <c r="B964" s="367"/>
      <c r="C964" s="367"/>
      <c r="D964" s="367"/>
      <c r="E964" s="375"/>
      <c r="F964" s="367"/>
      <c r="G964" s="367"/>
      <c r="H964" s="367"/>
      <c r="I964" s="367"/>
      <c r="J964" s="367"/>
      <c r="K964" s="367"/>
      <c r="L964" s="430"/>
      <c r="M964" s="367"/>
      <c r="N964" s="367"/>
      <c r="O964" s="367"/>
      <c r="P964" s="367"/>
      <c r="Q964" s="367"/>
      <c r="R964" s="367"/>
      <c r="S964" s="367"/>
      <c r="T964" s="367"/>
      <c r="U964" s="367"/>
      <c r="V964" s="367"/>
      <c r="W964" s="367"/>
      <c r="X964" s="367"/>
      <c r="Y964" s="367"/>
      <c r="Z964" s="367"/>
    </row>
    <row r="965">
      <c r="A965" s="367"/>
      <c r="B965" s="367"/>
      <c r="C965" s="367"/>
      <c r="D965" s="367"/>
      <c r="E965" s="375"/>
      <c r="F965" s="367"/>
      <c r="G965" s="367"/>
      <c r="H965" s="367"/>
      <c r="I965" s="367"/>
      <c r="J965" s="367"/>
      <c r="K965" s="367"/>
      <c r="L965" s="430"/>
      <c r="M965" s="367"/>
      <c r="N965" s="367"/>
      <c r="O965" s="367"/>
      <c r="P965" s="367"/>
      <c r="Q965" s="367"/>
      <c r="R965" s="367"/>
      <c r="S965" s="367"/>
      <c r="T965" s="367"/>
      <c r="U965" s="367"/>
      <c r="V965" s="367"/>
      <c r="W965" s="367"/>
      <c r="X965" s="367"/>
      <c r="Y965" s="367"/>
      <c r="Z965" s="367"/>
    </row>
    <row r="966">
      <c r="A966" s="367"/>
      <c r="B966" s="367"/>
      <c r="C966" s="367"/>
      <c r="D966" s="367"/>
      <c r="E966" s="375"/>
      <c r="F966" s="367"/>
      <c r="G966" s="367"/>
      <c r="H966" s="367"/>
      <c r="I966" s="367"/>
      <c r="J966" s="367"/>
      <c r="K966" s="367"/>
      <c r="L966" s="430"/>
      <c r="M966" s="367"/>
      <c r="N966" s="367"/>
      <c r="O966" s="367"/>
      <c r="P966" s="367"/>
      <c r="Q966" s="367"/>
      <c r="R966" s="367"/>
      <c r="S966" s="367"/>
      <c r="T966" s="367"/>
      <c r="U966" s="367"/>
      <c r="V966" s="367"/>
      <c r="W966" s="367"/>
      <c r="X966" s="367"/>
      <c r="Y966" s="367"/>
      <c r="Z966" s="367"/>
    </row>
    <row r="967">
      <c r="A967" s="367"/>
      <c r="B967" s="367"/>
      <c r="C967" s="367"/>
      <c r="D967" s="367"/>
      <c r="E967" s="375"/>
      <c r="F967" s="367"/>
      <c r="G967" s="367"/>
      <c r="H967" s="367"/>
      <c r="I967" s="367"/>
      <c r="J967" s="367"/>
      <c r="K967" s="367"/>
      <c r="L967" s="430"/>
      <c r="M967" s="367"/>
      <c r="N967" s="367"/>
      <c r="O967" s="367"/>
      <c r="P967" s="367"/>
      <c r="Q967" s="367"/>
      <c r="R967" s="367"/>
      <c r="S967" s="367"/>
      <c r="T967" s="367"/>
      <c r="U967" s="367"/>
      <c r="V967" s="367"/>
      <c r="W967" s="367"/>
      <c r="X967" s="367"/>
      <c r="Y967" s="367"/>
      <c r="Z967" s="367"/>
    </row>
    <row r="968">
      <c r="A968" s="367"/>
      <c r="B968" s="367"/>
      <c r="C968" s="367"/>
      <c r="D968" s="367"/>
      <c r="E968" s="375"/>
      <c r="F968" s="367"/>
      <c r="G968" s="367"/>
      <c r="H968" s="367"/>
      <c r="I968" s="367"/>
      <c r="J968" s="367"/>
      <c r="K968" s="367"/>
      <c r="L968" s="430"/>
      <c r="M968" s="367"/>
      <c r="N968" s="367"/>
      <c r="O968" s="367"/>
      <c r="P968" s="367"/>
      <c r="Q968" s="367"/>
      <c r="R968" s="367"/>
      <c r="S968" s="367"/>
      <c r="T968" s="367"/>
      <c r="U968" s="367"/>
      <c r="V968" s="367"/>
      <c r="W968" s="367"/>
      <c r="X968" s="367"/>
      <c r="Y968" s="367"/>
      <c r="Z968" s="367"/>
    </row>
    <row r="969">
      <c r="A969" s="367"/>
      <c r="B969" s="367"/>
      <c r="C969" s="367"/>
      <c r="D969" s="367"/>
      <c r="E969" s="375"/>
      <c r="F969" s="367"/>
      <c r="G969" s="367"/>
      <c r="H969" s="367"/>
      <c r="I969" s="367"/>
      <c r="J969" s="367"/>
      <c r="K969" s="367"/>
      <c r="L969" s="430"/>
      <c r="M969" s="367"/>
      <c r="N969" s="367"/>
      <c r="O969" s="367"/>
      <c r="P969" s="367"/>
      <c r="Q969" s="367"/>
      <c r="R969" s="367"/>
      <c r="S969" s="367"/>
      <c r="T969" s="367"/>
      <c r="U969" s="367"/>
      <c r="V969" s="367"/>
      <c r="W969" s="367"/>
      <c r="X969" s="367"/>
      <c r="Y969" s="367"/>
      <c r="Z969" s="367"/>
    </row>
    <row r="970">
      <c r="A970" s="367"/>
      <c r="B970" s="367"/>
      <c r="C970" s="367"/>
      <c r="D970" s="367"/>
      <c r="E970" s="375"/>
      <c r="F970" s="367"/>
      <c r="G970" s="367"/>
      <c r="H970" s="367"/>
      <c r="I970" s="367"/>
      <c r="J970" s="367"/>
      <c r="K970" s="367"/>
      <c r="L970" s="430"/>
      <c r="M970" s="367"/>
      <c r="N970" s="367"/>
      <c r="O970" s="367"/>
      <c r="P970" s="367"/>
      <c r="Q970" s="367"/>
      <c r="R970" s="367"/>
      <c r="S970" s="367"/>
      <c r="T970" s="367"/>
      <c r="U970" s="367"/>
      <c r="V970" s="367"/>
      <c r="W970" s="367"/>
      <c r="X970" s="367"/>
      <c r="Y970" s="367"/>
      <c r="Z970" s="367"/>
    </row>
    <row r="971">
      <c r="A971" s="367"/>
      <c r="B971" s="367"/>
      <c r="C971" s="367"/>
      <c r="D971" s="367"/>
      <c r="E971" s="375"/>
      <c r="F971" s="367"/>
      <c r="G971" s="367"/>
      <c r="H971" s="367"/>
      <c r="I971" s="367"/>
      <c r="J971" s="367"/>
      <c r="K971" s="367"/>
      <c r="L971" s="430"/>
      <c r="M971" s="367"/>
      <c r="N971" s="367"/>
      <c r="O971" s="367"/>
      <c r="P971" s="367"/>
      <c r="Q971" s="367"/>
      <c r="R971" s="367"/>
      <c r="S971" s="367"/>
      <c r="T971" s="367"/>
      <c r="U971" s="367"/>
      <c r="V971" s="367"/>
      <c r="W971" s="367"/>
      <c r="X971" s="367"/>
      <c r="Y971" s="367"/>
      <c r="Z971" s="367"/>
    </row>
    <row r="972">
      <c r="A972" s="367"/>
      <c r="B972" s="367"/>
      <c r="C972" s="367"/>
      <c r="D972" s="367"/>
      <c r="E972" s="375"/>
      <c r="F972" s="367"/>
      <c r="G972" s="367"/>
      <c r="H972" s="367"/>
      <c r="I972" s="367"/>
      <c r="J972" s="367"/>
      <c r="K972" s="367"/>
      <c r="L972" s="430"/>
      <c r="M972" s="367"/>
      <c r="N972" s="367"/>
      <c r="O972" s="367"/>
      <c r="P972" s="367"/>
      <c r="Q972" s="367"/>
      <c r="R972" s="367"/>
      <c r="S972" s="367"/>
      <c r="T972" s="367"/>
      <c r="U972" s="367"/>
      <c r="V972" s="367"/>
      <c r="W972" s="367"/>
      <c r="X972" s="367"/>
      <c r="Y972" s="367"/>
      <c r="Z972" s="367"/>
    </row>
    <row r="973">
      <c r="A973" s="367"/>
      <c r="B973" s="367"/>
      <c r="C973" s="367"/>
      <c r="D973" s="367"/>
      <c r="E973" s="375"/>
      <c r="F973" s="367"/>
      <c r="G973" s="367"/>
      <c r="H973" s="367"/>
      <c r="I973" s="367"/>
      <c r="J973" s="367"/>
      <c r="K973" s="367"/>
      <c r="L973" s="430"/>
      <c r="M973" s="367"/>
      <c r="N973" s="367"/>
      <c r="O973" s="367"/>
      <c r="P973" s="367"/>
      <c r="Q973" s="367"/>
      <c r="R973" s="367"/>
      <c r="S973" s="367"/>
      <c r="T973" s="367"/>
      <c r="U973" s="367"/>
      <c r="V973" s="367"/>
      <c r="W973" s="367"/>
      <c r="X973" s="367"/>
      <c r="Y973" s="367"/>
      <c r="Z973" s="367"/>
    </row>
    <row r="974">
      <c r="A974" s="367"/>
      <c r="B974" s="367"/>
      <c r="C974" s="367"/>
      <c r="D974" s="367"/>
      <c r="E974" s="375"/>
      <c r="F974" s="367"/>
      <c r="G974" s="367"/>
      <c r="H974" s="367"/>
      <c r="I974" s="367"/>
      <c r="J974" s="367"/>
      <c r="K974" s="367"/>
      <c r="L974" s="430"/>
      <c r="M974" s="367"/>
      <c r="N974" s="367"/>
      <c r="O974" s="367"/>
      <c r="P974" s="367"/>
      <c r="Q974" s="367"/>
      <c r="R974" s="367"/>
      <c r="S974" s="367"/>
      <c r="T974" s="367"/>
      <c r="U974" s="367"/>
      <c r="V974" s="367"/>
      <c r="W974" s="367"/>
      <c r="X974" s="367"/>
      <c r="Y974" s="367"/>
      <c r="Z974" s="367"/>
    </row>
    <row r="975">
      <c r="A975" s="367"/>
      <c r="B975" s="367"/>
      <c r="C975" s="367"/>
      <c r="D975" s="367"/>
      <c r="E975" s="375"/>
      <c r="F975" s="367"/>
      <c r="G975" s="367"/>
      <c r="H975" s="367"/>
      <c r="I975" s="367"/>
      <c r="J975" s="367"/>
      <c r="K975" s="367"/>
      <c r="L975" s="430"/>
      <c r="M975" s="367"/>
      <c r="N975" s="367"/>
      <c r="O975" s="367"/>
      <c r="P975" s="367"/>
      <c r="Q975" s="367"/>
      <c r="R975" s="367"/>
      <c r="S975" s="367"/>
      <c r="T975" s="367"/>
      <c r="U975" s="367"/>
      <c r="V975" s="367"/>
      <c r="W975" s="367"/>
      <c r="X975" s="367"/>
      <c r="Y975" s="367"/>
      <c r="Z975" s="367"/>
    </row>
    <row r="976">
      <c r="A976" s="367"/>
      <c r="B976" s="367"/>
      <c r="C976" s="367"/>
      <c r="D976" s="367"/>
      <c r="E976" s="375"/>
      <c r="F976" s="367"/>
      <c r="G976" s="367"/>
      <c r="H976" s="367"/>
      <c r="I976" s="367"/>
      <c r="J976" s="367"/>
      <c r="K976" s="367"/>
      <c r="L976" s="430"/>
      <c r="M976" s="367"/>
      <c r="N976" s="367"/>
      <c r="O976" s="367"/>
      <c r="P976" s="367"/>
      <c r="Q976" s="367"/>
      <c r="R976" s="367"/>
      <c r="S976" s="367"/>
      <c r="T976" s="367"/>
      <c r="U976" s="367"/>
      <c r="V976" s="367"/>
      <c r="W976" s="367"/>
      <c r="X976" s="367"/>
      <c r="Y976" s="367"/>
      <c r="Z976" s="367"/>
    </row>
    <row r="977">
      <c r="A977" s="367"/>
      <c r="B977" s="367"/>
      <c r="C977" s="367"/>
      <c r="D977" s="367"/>
      <c r="E977" s="375"/>
      <c r="F977" s="367"/>
      <c r="G977" s="367"/>
      <c r="H977" s="367"/>
      <c r="I977" s="367"/>
      <c r="J977" s="367"/>
      <c r="K977" s="367"/>
      <c r="L977" s="430"/>
      <c r="M977" s="367"/>
      <c r="N977" s="367"/>
      <c r="O977" s="367"/>
      <c r="P977" s="367"/>
      <c r="Q977" s="367"/>
      <c r="R977" s="367"/>
      <c r="S977" s="367"/>
      <c r="T977" s="367"/>
      <c r="U977" s="367"/>
      <c r="V977" s="367"/>
      <c r="W977" s="367"/>
      <c r="X977" s="367"/>
      <c r="Y977" s="367"/>
      <c r="Z977" s="367"/>
    </row>
    <row r="978">
      <c r="A978" s="367"/>
      <c r="B978" s="367"/>
      <c r="C978" s="367"/>
      <c r="D978" s="367"/>
      <c r="E978" s="375"/>
      <c r="F978" s="367"/>
      <c r="G978" s="367"/>
      <c r="H978" s="367"/>
      <c r="I978" s="367"/>
      <c r="J978" s="367"/>
      <c r="K978" s="367"/>
      <c r="L978" s="430"/>
      <c r="M978" s="367"/>
      <c r="N978" s="367"/>
      <c r="O978" s="367"/>
      <c r="P978" s="367"/>
      <c r="Q978" s="367"/>
      <c r="R978" s="367"/>
      <c r="S978" s="367"/>
      <c r="T978" s="367"/>
      <c r="U978" s="367"/>
      <c r="V978" s="367"/>
      <c r="W978" s="367"/>
      <c r="X978" s="367"/>
      <c r="Y978" s="367"/>
      <c r="Z978" s="367"/>
    </row>
    <row r="979">
      <c r="A979" s="367"/>
      <c r="B979" s="367"/>
      <c r="C979" s="367"/>
      <c r="D979" s="367"/>
      <c r="E979" s="375"/>
      <c r="F979" s="367"/>
      <c r="G979" s="367"/>
      <c r="H979" s="367"/>
      <c r="I979" s="367"/>
      <c r="J979" s="367"/>
      <c r="K979" s="367"/>
      <c r="L979" s="430"/>
      <c r="M979" s="367"/>
      <c r="N979" s="367"/>
      <c r="O979" s="367"/>
      <c r="P979" s="367"/>
      <c r="Q979" s="367"/>
      <c r="R979" s="367"/>
      <c r="S979" s="367"/>
      <c r="T979" s="367"/>
      <c r="U979" s="367"/>
      <c r="V979" s="367"/>
      <c r="W979" s="367"/>
      <c r="X979" s="367"/>
      <c r="Y979" s="367"/>
      <c r="Z979" s="367"/>
    </row>
    <row r="980">
      <c r="A980" s="367"/>
      <c r="B980" s="367"/>
      <c r="C980" s="367"/>
      <c r="D980" s="367"/>
      <c r="E980" s="375"/>
      <c r="F980" s="367"/>
      <c r="G980" s="367"/>
      <c r="H980" s="367"/>
      <c r="I980" s="367"/>
      <c r="J980" s="367"/>
      <c r="K980" s="367"/>
      <c r="L980" s="430"/>
      <c r="M980" s="367"/>
      <c r="N980" s="367"/>
      <c r="O980" s="367"/>
      <c r="P980" s="367"/>
      <c r="Q980" s="367"/>
      <c r="R980" s="367"/>
      <c r="S980" s="367"/>
      <c r="T980" s="367"/>
      <c r="U980" s="367"/>
      <c r="V980" s="367"/>
      <c r="W980" s="367"/>
      <c r="X980" s="367"/>
      <c r="Y980" s="367"/>
      <c r="Z980" s="367"/>
    </row>
    <row r="981">
      <c r="A981" s="367"/>
      <c r="B981" s="367"/>
      <c r="C981" s="367"/>
      <c r="D981" s="367"/>
      <c r="E981" s="375"/>
      <c r="F981" s="367"/>
      <c r="G981" s="367"/>
      <c r="H981" s="367"/>
      <c r="I981" s="367"/>
      <c r="J981" s="367"/>
      <c r="K981" s="367"/>
      <c r="L981" s="430"/>
      <c r="M981" s="367"/>
      <c r="N981" s="367"/>
      <c r="O981" s="367"/>
      <c r="P981" s="367"/>
      <c r="Q981" s="367"/>
      <c r="R981" s="367"/>
      <c r="S981" s="367"/>
      <c r="T981" s="367"/>
      <c r="U981" s="367"/>
      <c r="V981" s="367"/>
      <c r="W981" s="367"/>
      <c r="X981" s="367"/>
      <c r="Y981" s="367"/>
      <c r="Z981" s="367"/>
    </row>
    <row r="982">
      <c r="A982" s="367"/>
      <c r="B982" s="367"/>
      <c r="C982" s="367"/>
      <c r="D982" s="367"/>
      <c r="E982" s="375"/>
      <c r="F982" s="367"/>
      <c r="G982" s="367"/>
      <c r="H982" s="367"/>
      <c r="I982" s="367"/>
      <c r="J982" s="367"/>
      <c r="K982" s="367"/>
      <c r="L982" s="430"/>
      <c r="M982" s="367"/>
      <c r="N982" s="367"/>
      <c r="O982" s="367"/>
      <c r="P982" s="367"/>
      <c r="Q982" s="367"/>
      <c r="R982" s="367"/>
      <c r="S982" s="367"/>
      <c r="T982" s="367"/>
      <c r="U982" s="367"/>
      <c r="V982" s="367"/>
      <c r="W982" s="367"/>
      <c r="X982" s="367"/>
      <c r="Y982" s="367"/>
      <c r="Z982" s="367"/>
    </row>
    <row r="983">
      <c r="A983" s="367"/>
      <c r="B983" s="367"/>
      <c r="C983" s="367"/>
      <c r="D983" s="367"/>
      <c r="E983" s="375"/>
      <c r="F983" s="367"/>
      <c r="G983" s="367"/>
      <c r="H983" s="367"/>
      <c r="I983" s="367"/>
      <c r="J983" s="367"/>
      <c r="K983" s="367"/>
      <c r="L983" s="430"/>
      <c r="M983" s="367"/>
      <c r="N983" s="367"/>
      <c r="O983" s="367"/>
      <c r="P983" s="367"/>
      <c r="Q983" s="367"/>
      <c r="R983" s="367"/>
      <c r="S983" s="367"/>
      <c r="T983" s="367"/>
      <c r="U983" s="367"/>
      <c r="V983" s="367"/>
      <c r="W983" s="367"/>
      <c r="X983" s="367"/>
      <c r="Y983" s="367"/>
      <c r="Z983" s="367"/>
    </row>
    <row r="984">
      <c r="A984" s="367"/>
      <c r="B984" s="367"/>
      <c r="C984" s="367"/>
      <c r="D984" s="367"/>
      <c r="E984" s="375"/>
      <c r="F984" s="367"/>
      <c r="G984" s="367"/>
      <c r="H984" s="367"/>
      <c r="I984" s="367"/>
      <c r="J984" s="367"/>
      <c r="K984" s="367"/>
      <c r="L984" s="430"/>
      <c r="M984" s="367"/>
      <c r="N984" s="367"/>
      <c r="O984" s="367"/>
      <c r="P984" s="367"/>
      <c r="Q984" s="367"/>
      <c r="R984" s="367"/>
      <c r="S984" s="367"/>
      <c r="T984" s="367"/>
      <c r="U984" s="367"/>
      <c r="V984" s="367"/>
      <c r="W984" s="367"/>
      <c r="X984" s="367"/>
      <c r="Y984" s="367"/>
      <c r="Z984" s="367"/>
    </row>
    <row r="985">
      <c r="A985" s="367"/>
      <c r="B985" s="367"/>
      <c r="C985" s="367"/>
      <c r="D985" s="367"/>
      <c r="E985" s="375"/>
      <c r="F985" s="367"/>
      <c r="G985" s="367"/>
      <c r="H985" s="367"/>
      <c r="I985" s="367"/>
      <c r="J985" s="367"/>
      <c r="K985" s="367"/>
      <c r="L985" s="430"/>
      <c r="M985" s="367"/>
      <c r="N985" s="367"/>
      <c r="O985" s="367"/>
      <c r="P985" s="367"/>
      <c r="Q985" s="367"/>
      <c r="R985" s="367"/>
      <c r="S985" s="367"/>
      <c r="T985" s="367"/>
      <c r="U985" s="367"/>
      <c r="V985" s="367"/>
      <c r="W985" s="367"/>
      <c r="X985" s="367"/>
      <c r="Y985" s="367"/>
      <c r="Z985" s="367"/>
    </row>
    <row r="986">
      <c r="A986" s="367"/>
      <c r="B986" s="367"/>
      <c r="C986" s="367"/>
      <c r="D986" s="367"/>
      <c r="E986" s="375"/>
      <c r="F986" s="367"/>
      <c r="G986" s="367"/>
      <c r="H986" s="367"/>
      <c r="I986" s="367"/>
      <c r="J986" s="367"/>
      <c r="K986" s="367"/>
      <c r="L986" s="430"/>
      <c r="M986" s="367"/>
      <c r="N986" s="367"/>
      <c r="O986" s="367"/>
      <c r="P986" s="367"/>
      <c r="Q986" s="367"/>
      <c r="R986" s="367"/>
      <c r="S986" s="367"/>
      <c r="T986" s="367"/>
      <c r="U986" s="367"/>
      <c r="V986" s="367"/>
      <c r="W986" s="367"/>
      <c r="X986" s="367"/>
      <c r="Y986" s="367"/>
      <c r="Z986" s="367"/>
    </row>
    <row r="987">
      <c r="A987" s="367"/>
      <c r="B987" s="367"/>
      <c r="C987" s="367"/>
      <c r="D987" s="367"/>
      <c r="E987" s="375"/>
      <c r="F987" s="367"/>
      <c r="G987" s="367"/>
      <c r="H987" s="367"/>
      <c r="I987" s="367"/>
      <c r="J987" s="367"/>
      <c r="K987" s="367"/>
      <c r="L987" s="430"/>
      <c r="M987" s="367"/>
      <c r="N987" s="367"/>
      <c r="O987" s="367"/>
      <c r="P987" s="367"/>
      <c r="Q987" s="367"/>
      <c r="R987" s="367"/>
      <c r="S987" s="367"/>
      <c r="T987" s="367"/>
      <c r="U987" s="367"/>
      <c r="V987" s="367"/>
      <c r="W987" s="367"/>
      <c r="X987" s="367"/>
      <c r="Y987" s="367"/>
      <c r="Z987" s="367"/>
    </row>
    <row r="988">
      <c r="A988" s="367"/>
      <c r="B988" s="367"/>
      <c r="C988" s="367"/>
      <c r="D988" s="367"/>
      <c r="E988" s="375"/>
      <c r="F988" s="367"/>
      <c r="G988" s="367"/>
      <c r="H988" s="367"/>
      <c r="I988" s="367"/>
      <c r="J988" s="367"/>
      <c r="K988" s="367"/>
      <c r="L988" s="430"/>
      <c r="M988" s="367"/>
      <c r="N988" s="367"/>
      <c r="O988" s="367"/>
      <c r="P988" s="367"/>
      <c r="Q988" s="367"/>
      <c r="R988" s="367"/>
      <c r="S988" s="367"/>
      <c r="T988" s="367"/>
      <c r="U988" s="367"/>
      <c r="V988" s="367"/>
      <c r="W988" s="367"/>
      <c r="X988" s="367"/>
      <c r="Y988" s="367"/>
      <c r="Z988" s="367"/>
    </row>
    <row r="989">
      <c r="A989" s="367"/>
      <c r="B989" s="367"/>
      <c r="C989" s="367"/>
      <c r="D989" s="367"/>
      <c r="E989" s="375"/>
      <c r="F989" s="367"/>
      <c r="G989" s="367"/>
      <c r="H989" s="367"/>
      <c r="I989" s="367"/>
      <c r="J989" s="367"/>
      <c r="K989" s="367"/>
      <c r="L989" s="430"/>
      <c r="M989" s="367"/>
      <c r="N989" s="367"/>
      <c r="O989" s="367"/>
      <c r="P989" s="367"/>
      <c r="Q989" s="367"/>
      <c r="R989" s="367"/>
      <c r="S989" s="367"/>
      <c r="T989" s="367"/>
      <c r="U989" s="367"/>
      <c r="V989" s="367"/>
      <c r="W989" s="367"/>
      <c r="X989" s="367"/>
      <c r="Y989" s="367"/>
      <c r="Z989" s="367"/>
    </row>
    <row r="990">
      <c r="A990" s="367"/>
      <c r="B990" s="367"/>
      <c r="C990" s="367"/>
      <c r="D990" s="367"/>
      <c r="E990" s="375"/>
      <c r="F990" s="367"/>
      <c r="G990" s="367"/>
      <c r="H990" s="367"/>
      <c r="I990" s="367"/>
      <c r="J990" s="367"/>
      <c r="K990" s="367"/>
      <c r="L990" s="430"/>
      <c r="M990" s="367"/>
      <c r="N990" s="367"/>
      <c r="O990" s="367"/>
      <c r="P990" s="367"/>
      <c r="Q990" s="367"/>
      <c r="R990" s="367"/>
      <c r="S990" s="367"/>
      <c r="T990" s="367"/>
      <c r="U990" s="367"/>
      <c r="V990" s="367"/>
      <c r="W990" s="367"/>
      <c r="X990" s="367"/>
      <c r="Y990" s="367"/>
      <c r="Z990" s="367"/>
    </row>
    <row r="991">
      <c r="A991" s="367"/>
      <c r="B991" s="367"/>
      <c r="C991" s="367"/>
      <c r="D991" s="367"/>
      <c r="E991" s="375"/>
      <c r="F991" s="367"/>
      <c r="G991" s="367"/>
      <c r="H991" s="367"/>
      <c r="I991" s="367"/>
      <c r="J991" s="367"/>
      <c r="K991" s="367"/>
      <c r="L991" s="430"/>
      <c r="M991" s="367"/>
      <c r="N991" s="367"/>
      <c r="O991" s="367"/>
      <c r="P991" s="367"/>
      <c r="Q991" s="367"/>
      <c r="R991" s="367"/>
      <c r="S991" s="367"/>
      <c r="T991" s="367"/>
      <c r="U991" s="367"/>
      <c r="V991" s="367"/>
      <c r="W991" s="367"/>
      <c r="X991" s="367"/>
      <c r="Y991" s="367"/>
      <c r="Z991" s="367"/>
    </row>
    <row r="992">
      <c r="A992" s="367"/>
      <c r="B992" s="367"/>
      <c r="C992" s="367"/>
      <c r="D992" s="367"/>
      <c r="E992" s="375"/>
      <c r="F992" s="367"/>
      <c r="G992" s="367"/>
      <c r="H992" s="367"/>
      <c r="I992" s="367"/>
      <c r="J992" s="367"/>
      <c r="K992" s="367"/>
      <c r="L992" s="430"/>
      <c r="M992" s="367"/>
      <c r="N992" s="367"/>
      <c r="O992" s="367"/>
      <c r="P992" s="367"/>
      <c r="Q992" s="367"/>
      <c r="R992" s="367"/>
      <c r="S992" s="367"/>
      <c r="T992" s="367"/>
      <c r="U992" s="367"/>
      <c r="V992" s="367"/>
      <c r="W992" s="367"/>
      <c r="X992" s="367"/>
      <c r="Y992" s="367"/>
      <c r="Z992" s="367"/>
    </row>
    <row r="993">
      <c r="A993" s="367"/>
      <c r="B993" s="367"/>
      <c r="C993" s="367"/>
      <c r="D993" s="367"/>
      <c r="E993" s="375"/>
      <c r="F993" s="367"/>
      <c r="G993" s="367"/>
      <c r="H993" s="367"/>
      <c r="I993" s="367"/>
      <c r="J993" s="367"/>
      <c r="K993" s="367"/>
      <c r="L993" s="430"/>
      <c r="M993" s="367"/>
      <c r="N993" s="367"/>
      <c r="O993" s="367"/>
      <c r="P993" s="367"/>
      <c r="Q993" s="367"/>
      <c r="R993" s="367"/>
      <c r="S993" s="367"/>
      <c r="T993" s="367"/>
      <c r="U993" s="367"/>
      <c r="V993" s="367"/>
      <c r="W993" s="367"/>
      <c r="X993" s="367"/>
      <c r="Y993" s="367"/>
      <c r="Z993" s="367"/>
    </row>
    <row r="994">
      <c r="A994" s="367"/>
      <c r="B994" s="367"/>
      <c r="C994" s="367"/>
      <c r="D994" s="367"/>
      <c r="E994" s="375"/>
      <c r="F994" s="367"/>
      <c r="G994" s="367"/>
      <c r="H994" s="367"/>
      <c r="I994" s="367"/>
      <c r="J994" s="367"/>
      <c r="K994" s="367"/>
      <c r="L994" s="430"/>
      <c r="M994" s="367"/>
      <c r="N994" s="367"/>
      <c r="O994" s="367"/>
      <c r="P994" s="367"/>
      <c r="Q994" s="367"/>
      <c r="R994" s="367"/>
      <c r="S994" s="367"/>
      <c r="T994" s="367"/>
      <c r="U994" s="367"/>
      <c r="V994" s="367"/>
      <c r="W994" s="367"/>
      <c r="X994" s="367"/>
      <c r="Y994" s="367"/>
      <c r="Z994" s="367"/>
    </row>
    <row r="995">
      <c r="A995" s="367"/>
      <c r="B995" s="367"/>
      <c r="C995" s="367"/>
      <c r="D995" s="367"/>
      <c r="E995" s="375"/>
      <c r="F995" s="367"/>
      <c r="G995" s="367"/>
      <c r="H995" s="367"/>
      <c r="I995" s="367"/>
      <c r="J995" s="367"/>
      <c r="K995" s="367"/>
      <c r="L995" s="430"/>
      <c r="M995" s="367"/>
      <c r="N995" s="367"/>
      <c r="O995" s="367"/>
      <c r="P995" s="367"/>
      <c r="Q995" s="367"/>
      <c r="R995" s="367"/>
      <c r="S995" s="367"/>
      <c r="T995" s="367"/>
      <c r="U995" s="367"/>
      <c r="V995" s="367"/>
      <c r="W995" s="367"/>
      <c r="X995" s="367"/>
      <c r="Y995" s="367"/>
      <c r="Z995" s="367"/>
    </row>
    <row r="996">
      <c r="A996" s="367"/>
      <c r="B996" s="367"/>
      <c r="C996" s="367"/>
      <c r="D996" s="367"/>
      <c r="E996" s="375"/>
      <c r="F996" s="367"/>
      <c r="G996" s="367"/>
      <c r="H996" s="367"/>
      <c r="I996" s="367"/>
      <c r="J996" s="367"/>
      <c r="K996" s="367"/>
      <c r="L996" s="430"/>
      <c r="M996" s="367"/>
      <c r="N996" s="367"/>
      <c r="O996" s="367"/>
      <c r="P996" s="367"/>
      <c r="Q996" s="367"/>
      <c r="R996" s="367"/>
      <c r="S996" s="367"/>
      <c r="T996" s="367"/>
      <c r="U996" s="367"/>
      <c r="V996" s="367"/>
      <c r="W996" s="367"/>
      <c r="X996" s="367"/>
      <c r="Y996" s="367"/>
      <c r="Z996" s="367"/>
    </row>
    <row r="997">
      <c r="A997" s="367"/>
      <c r="B997" s="367"/>
      <c r="C997" s="367"/>
      <c r="D997" s="367"/>
      <c r="E997" s="375"/>
      <c r="F997" s="367"/>
      <c r="G997" s="367"/>
      <c r="H997" s="367"/>
      <c r="I997" s="367"/>
      <c r="J997" s="367"/>
      <c r="K997" s="367"/>
      <c r="L997" s="430"/>
      <c r="M997" s="367"/>
      <c r="N997" s="367"/>
      <c r="O997" s="367"/>
      <c r="P997" s="367"/>
      <c r="Q997" s="367"/>
      <c r="R997" s="367"/>
      <c r="S997" s="367"/>
      <c r="T997" s="367"/>
      <c r="U997" s="367"/>
      <c r="V997" s="367"/>
      <c r="W997" s="367"/>
      <c r="X997" s="367"/>
      <c r="Y997" s="367"/>
      <c r="Z997" s="367"/>
    </row>
    <row r="998">
      <c r="A998" s="367"/>
      <c r="B998" s="367"/>
      <c r="C998" s="367"/>
      <c r="D998" s="367"/>
      <c r="E998" s="375"/>
      <c r="F998" s="367"/>
      <c r="G998" s="367"/>
      <c r="H998" s="367"/>
      <c r="I998" s="367"/>
      <c r="J998" s="367"/>
      <c r="K998" s="367"/>
      <c r="L998" s="430"/>
      <c r="M998" s="367"/>
      <c r="N998" s="367"/>
      <c r="O998" s="367"/>
      <c r="P998" s="367"/>
      <c r="Q998" s="367"/>
      <c r="R998" s="367"/>
      <c r="S998" s="367"/>
      <c r="T998" s="367"/>
      <c r="U998" s="367"/>
      <c r="V998" s="367"/>
      <c r="W998" s="367"/>
      <c r="X998" s="367"/>
      <c r="Y998" s="367"/>
      <c r="Z998" s="367"/>
    </row>
    <row r="999">
      <c r="A999" s="367"/>
      <c r="B999" s="367"/>
      <c r="C999" s="367"/>
      <c r="D999" s="367"/>
      <c r="E999" s="375"/>
      <c r="F999" s="367"/>
      <c r="G999" s="367"/>
      <c r="H999" s="367"/>
      <c r="I999" s="367"/>
      <c r="J999" s="367"/>
      <c r="K999" s="367"/>
      <c r="L999" s="430"/>
      <c r="M999" s="367"/>
      <c r="N999" s="367"/>
      <c r="O999" s="367"/>
      <c r="P999" s="367"/>
      <c r="Q999" s="367"/>
      <c r="R999" s="367"/>
      <c r="S999" s="367"/>
      <c r="T999" s="367"/>
      <c r="U999" s="367"/>
      <c r="V999" s="367"/>
      <c r="W999" s="367"/>
      <c r="X999" s="367"/>
      <c r="Y999" s="367"/>
      <c r="Z999" s="367"/>
    </row>
    <row r="1000">
      <c r="A1000" s="367"/>
      <c r="B1000" s="367"/>
      <c r="C1000" s="367"/>
      <c r="D1000" s="367"/>
      <c r="E1000" s="375"/>
      <c r="F1000" s="367"/>
      <c r="G1000" s="367"/>
      <c r="H1000" s="367"/>
      <c r="I1000" s="367"/>
      <c r="J1000" s="367"/>
      <c r="K1000" s="367"/>
      <c r="L1000" s="430"/>
      <c r="M1000" s="367"/>
      <c r="N1000" s="367"/>
      <c r="O1000" s="367"/>
      <c r="P1000" s="367"/>
      <c r="Q1000" s="367"/>
      <c r="R1000" s="367"/>
      <c r="S1000" s="367"/>
      <c r="T1000" s="367"/>
      <c r="U1000" s="367"/>
      <c r="V1000" s="367"/>
      <c r="W1000" s="367"/>
      <c r="X1000" s="367"/>
      <c r="Y1000" s="367"/>
      <c r="Z1000" s="367"/>
    </row>
  </sheetData>
  <autoFilter ref="$A$1:$R$252"/>
  <dataValidations>
    <dataValidation type="list" allowBlank="1" showErrorMessage="1" sqref="D2:D300 D363:D689 D715:D746">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I2:I98 I100:I300 I363:I689 I715:I746">
      <formula1>"Norte,Sur,N/A"</formula1>
    </dataValidation>
    <dataValidation type="list" allowBlank="1" showErrorMessage="1" sqref="O2:O300">
      <formula1>"Hombre,Mujer,N/A"</formula1>
    </dataValidation>
    <dataValidation type="list" allowBlank="1" showErrorMessage="1" sqref="G2:G300 G363:G689 G715:G746">
      <formula1>"01.Usaquén,02.Chapinero,03.Santa Fe,04.San Cristóbal,05.Usme,06.Tunjuelito,07.Bosa,08.Kenedy,09.Fontibón,10.Engativá,11.Suba,12.Barrios Unidos,13.Teusaquillo,14.Los Mártires,15.Antonio Nariño,16.Puente Aranda,17.La Candelaria,18.Rafael Uribe Uribe,19.Ciud"&amp;"ad Bolívar,20.sumapaz,N/A"</formula1>
    </dataValidation>
    <dataValidation type="list" allowBlank="1" sqref="B2:B300 B363:B689 B715:B746">
      <formula1>"2024,2025,2026,2027 "</formula1>
    </dataValidation>
    <dataValidation type="list" allowBlank="1" showErrorMessage="1" sqref="R2:R69">
      <formula1>"Pendiente,Positivo,Negativo,N/A"</formula1>
    </dataValidation>
    <dataValidation type="list" allowBlank="1" showErrorMessage="1" sqref="J2:J300 J363:J689 J715:J746">
      <formula1>"Emir Lopez,Israel Salcedo,Julian Cortes,Lorena Garzón,Fabian Puentes,Samir Bedoya"</formula1>
    </dataValidation>
    <dataValidation type="list" allowBlank="1" showErrorMessage="1" sqref="F2:F300 F363:F689 F715:F746">
      <formula1>"Apoyo Bancada,Apoyo Ciudadano,Derecho de petición,Gestión Comunidades,Invitaciones Institucionales,Mesas técnicas,Mesas de trabajo,Relacionamiento Público"</formula1>
    </dataValidation>
    <dataValidation type="list" allowBlank="1" showErrorMessage="1" sqref="C2:C300 C363:C689 C715:C746">
      <formula1>"Enero,Febrero,Marzo,Abril,Mayo,Junio,Julio,Agosto,Septiembre,Octubre,Diciembre,Noviembre ,N/A"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38"/>
    <col customWidth="1" min="4" max="5" width="19.38"/>
    <col customWidth="1" min="6" max="7" width="36.38"/>
    <col customWidth="1" min="8" max="8" width="20.25"/>
    <col customWidth="1" min="10" max="10" width="21.88"/>
    <col customWidth="1" min="11" max="11" width="30.13"/>
    <col customWidth="1" min="12" max="12" width="22.0"/>
    <col customWidth="1" min="13" max="13" width="17.88"/>
    <col customWidth="1" min="14" max="14" width="29.13"/>
    <col customWidth="1" min="16" max="16" width="22.25"/>
    <col customWidth="1" min="17" max="17" width="14.25"/>
  </cols>
  <sheetData>
    <row r="1" ht="48.75" customHeight="1">
      <c r="A1" s="260" t="s">
        <v>1140</v>
      </c>
      <c r="B1" s="260" t="s">
        <v>1141</v>
      </c>
      <c r="C1" s="431" t="s">
        <v>2678</v>
      </c>
      <c r="D1" s="431" t="s">
        <v>1726</v>
      </c>
      <c r="E1" s="431" t="s">
        <v>2679</v>
      </c>
      <c r="F1" s="431" t="s">
        <v>1145</v>
      </c>
      <c r="G1" s="431" t="s">
        <v>2680</v>
      </c>
      <c r="H1" s="431" t="s">
        <v>2681</v>
      </c>
      <c r="I1" s="431" t="s">
        <v>2682</v>
      </c>
      <c r="J1" s="431" t="s">
        <v>24</v>
      </c>
      <c r="K1" s="431" t="s">
        <v>2683</v>
      </c>
      <c r="L1" s="431" t="s">
        <v>2684</v>
      </c>
      <c r="M1" s="431" t="s">
        <v>37</v>
      </c>
      <c r="N1" s="431" t="s">
        <v>2685</v>
      </c>
      <c r="O1" s="431" t="s">
        <v>2686</v>
      </c>
      <c r="P1" s="431" t="s">
        <v>1151</v>
      </c>
      <c r="Q1" s="431" t="s">
        <v>2687</v>
      </c>
      <c r="R1" s="432"/>
      <c r="S1" s="432"/>
      <c r="T1" s="432"/>
      <c r="U1" s="432"/>
      <c r="V1" s="432"/>
      <c r="W1" s="432"/>
      <c r="X1" s="432"/>
      <c r="Y1" s="432"/>
      <c r="Z1" s="432"/>
      <c r="AA1" s="432"/>
      <c r="AB1" s="432"/>
      <c r="AC1" s="432"/>
      <c r="AD1" s="432"/>
    </row>
    <row r="2" ht="27.75" customHeight="1">
      <c r="A2" s="433">
        <v>2024.0</v>
      </c>
      <c r="B2" s="433" t="s">
        <v>54</v>
      </c>
      <c r="C2" s="434" t="s">
        <v>2688</v>
      </c>
      <c r="D2" s="435">
        <v>45300.0</v>
      </c>
      <c r="E2" s="435"/>
      <c r="F2" s="29" t="s">
        <v>2689</v>
      </c>
      <c r="G2" s="436" t="s">
        <v>2690</v>
      </c>
      <c r="H2" s="437" t="s">
        <v>57</v>
      </c>
      <c r="I2" s="437" t="s">
        <v>57</v>
      </c>
      <c r="J2" s="437" t="s">
        <v>57</v>
      </c>
      <c r="K2" s="438" t="s">
        <v>2691</v>
      </c>
      <c r="L2" s="437" t="s">
        <v>57</v>
      </c>
      <c r="M2" s="29" t="s">
        <v>63</v>
      </c>
      <c r="N2" s="439"/>
      <c r="O2" s="49" t="s">
        <v>57</v>
      </c>
      <c r="P2" s="49" t="s">
        <v>66</v>
      </c>
      <c r="Q2" s="114" t="s">
        <v>2692</v>
      </c>
      <c r="R2" s="432"/>
      <c r="S2" s="432"/>
      <c r="T2" s="432"/>
      <c r="U2" s="432"/>
      <c r="V2" s="432"/>
      <c r="W2" s="432"/>
      <c r="X2" s="432"/>
      <c r="Y2" s="432"/>
      <c r="Z2" s="432"/>
      <c r="AA2" s="432"/>
      <c r="AB2" s="432"/>
      <c r="AC2" s="432"/>
      <c r="AD2" s="432"/>
    </row>
    <row r="3" ht="27.75" customHeight="1">
      <c r="A3" s="433">
        <v>2024.0</v>
      </c>
      <c r="B3" s="433" t="s">
        <v>54</v>
      </c>
      <c r="C3" s="434" t="s">
        <v>2688</v>
      </c>
      <c r="D3" s="440">
        <v>45301.0</v>
      </c>
      <c r="E3" s="440"/>
      <c r="F3" s="29" t="s">
        <v>2689</v>
      </c>
      <c r="G3" s="4" t="s">
        <v>2693</v>
      </c>
      <c r="H3" s="437" t="s">
        <v>57</v>
      </c>
      <c r="I3" s="437" t="s">
        <v>57</v>
      </c>
      <c r="J3" s="437" t="s">
        <v>57</v>
      </c>
      <c r="K3" s="437" t="s">
        <v>57</v>
      </c>
      <c r="L3" s="437" t="s">
        <v>57</v>
      </c>
      <c r="M3" s="29" t="s">
        <v>63</v>
      </c>
      <c r="N3" s="441"/>
      <c r="O3" s="49" t="s">
        <v>57</v>
      </c>
      <c r="P3" s="49" t="s">
        <v>66</v>
      </c>
      <c r="Q3" s="114" t="s">
        <v>2694</v>
      </c>
      <c r="R3" s="432"/>
      <c r="S3" s="432"/>
      <c r="T3" s="432"/>
      <c r="U3" s="432"/>
      <c r="V3" s="432"/>
      <c r="W3" s="432"/>
      <c r="X3" s="432"/>
      <c r="Y3" s="432"/>
      <c r="Z3" s="432"/>
      <c r="AA3" s="432"/>
      <c r="AB3" s="432"/>
      <c r="AC3" s="432"/>
      <c r="AD3" s="432"/>
    </row>
    <row r="4" ht="27.75" customHeight="1">
      <c r="A4" s="433">
        <v>2024.0</v>
      </c>
      <c r="B4" s="433" t="s">
        <v>54</v>
      </c>
      <c r="C4" s="434" t="s">
        <v>2688</v>
      </c>
      <c r="D4" s="440">
        <v>45302.0</v>
      </c>
      <c r="E4" s="440"/>
      <c r="F4" s="29" t="s">
        <v>2689</v>
      </c>
      <c r="G4" s="4" t="s">
        <v>2695</v>
      </c>
      <c r="H4" s="437" t="s">
        <v>57</v>
      </c>
      <c r="I4" s="437" t="s">
        <v>57</v>
      </c>
      <c r="J4" s="437" t="s">
        <v>57</v>
      </c>
      <c r="K4" s="437" t="s">
        <v>57</v>
      </c>
      <c r="L4" s="437" t="s">
        <v>57</v>
      </c>
      <c r="M4" s="29" t="s">
        <v>63</v>
      </c>
      <c r="N4" s="439"/>
      <c r="O4" s="49" t="s">
        <v>57</v>
      </c>
      <c r="P4" s="49" t="s">
        <v>66</v>
      </c>
      <c r="Q4" s="114" t="s">
        <v>2694</v>
      </c>
      <c r="R4" s="442" t="s">
        <v>2696</v>
      </c>
      <c r="S4" s="443" t="s">
        <v>2696</v>
      </c>
      <c r="T4" s="432"/>
      <c r="U4" s="432"/>
      <c r="V4" s="432"/>
      <c r="W4" s="432"/>
      <c r="X4" s="432"/>
      <c r="Y4" s="432"/>
      <c r="Z4" s="432"/>
      <c r="AA4" s="432"/>
      <c r="AB4" s="432"/>
      <c r="AC4" s="432"/>
      <c r="AD4" s="432"/>
    </row>
    <row r="5" ht="26.25" customHeight="1">
      <c r="A5" s="433">
        <v>2024.0</v>
      </c>
      <c r="B5" s="433" t="s">
        <v>54</v>
      </c>
      <c r="C5" s="434" t="s">
        <v>2688</v>
      </c>
      <c r="D5" s="440">
        <v>45303.0</v>
      </c>
      <c r="E5" s="440"/>
      <c r="F5" s="29" t="s">
        <v>2689</v>
      </c>
      <c r="G5" s="4" t="s">
        <v>2697</v>
      </c>
      <c r="H5" s="437" t="s">
        <v>57</v>
      </c>
      <c r="I5" s="437" t="s">
        <v>57</v>
      </c>
      <c r="J5" s="437" t="s">
        <v>57</v>
      </c>
      <c r="K5" s="438" t="s">
        <v>2698</v>
      </c>
      <c r="L5" s="437" t="s">
        <v>57</v>
      </c>
      <c r="M5" s="29" t="s">
        <v>63</v>
      </c>
      <c r="N5" s="439"/>
      <c r="O5" s="49" t="s">
        <v>57</v>
      </c>
      <c r="P5" s="49" t="s">
        <v>66</v>
      </c>
      <c r="Q5" s="114" t="s">
        <v>2694</v>
      </c>
      <c r="R5" s="442" t="s">
        <v>2696</v>
      </c>
      <c r="S5" s="443" t="s">
        <v>2696</v>
      </c>
      <c r="T5" s="432"/>
      <c r="U5" s="432"/>
      <c r="V5" s="432"/>
      <c r="W5" s="432"/>
      <c r="X5" s="432"/>
      <c r="Y5" s="432"/>
      <c r="Z5" s="432"/>
      <c r="AA5" s="432"/>
      <c r="AB5" s="432"/>
      <c r="AC5" s="432"/>
      <c r="AD5" s="432"/>
    </row>
    <row r="6" ht="24.75" customHeight="1">
      <c r="A6" s="433">
        <v>2024.0</v>
      </c>
      <c r="B6" s="433" t="s">
        <v>54</v>
      </c>
      <c r="C6" s="434" t="s">
        <v>2688</v>
      </c>
      <c r="D6" s="440">
        <v>45304.0</v>
      </c>
      <c r="E6" s="440"/>
      <c r="F6" s="29" t="s">
        <v>2689</v>
      </c>
      <c r="G6" s="4" t="s">
        <v>2699</v>
      </c>
      <c r="H6" s="437" t="s">
        <v>57</v>
      </c>
      <c r="I6" s="437" t="s">
        <v>57</v>
      </c>
      <c r="J6" s="437" t="s">
        <v>57</v>
      </c>
      <c r="K6" s="437" t="s">
        <v>57</v>
      </c>
      <c r="L6" s="437" t="s">
        <v>57</v>
      </c>
      <c r="M6" s="29" t="s">
        <v>63</v>
      </c>
      <c r="N6" s="439"/>
      <c r="O6" s="49" t="s">
        <v>57</v>
      </c>
      <c r="P6" s="49" t="s">
        <v>66</v>
      </c>
      <c r="Q6" s="114" t="s">
        <v>2694</v>
      </c>
      <c r="R6" s="432"/>
      <c r="S6" s="432"/>
      <c r="T6" s="432"/>
      <c r="U6" s="432"/>
      <c r="V6" s="432"/>
      <c r="W6" s="432"/>
      <c r="X6" s="432"/>
      <c r="Y6" s="432"/>
      <c r="Z6" s="432"/>
      <c r="AA6" s="432"/>
      <c r="AB6" s="432"/>
      <c r="AC6" s="432"/>
      <c r="AD6" s="432"/>
    </row>
    <row r="7" ht="27.0" customHeight="1">
      <c r="A7" s="433">
        <v>2024.0</v>
      </c>
      <c r="B7" s="433" t="s">
        <v>54</v>
      </c>
      <c r="C7" s="434" t="s">
        <v>2688</v>
      </c>
      <c r="D7" s="440">
        <v>45305.0</v>
      </c>
      <c r="E7" s="440"/>
      <c r="F7" s="29" t="s">
        <v>2689</v>
      </c>
      <c r="G7" s="4" t="s">
        <v>2699</v>
      </c>
      <c r="H7" s="437" t="s">
        <v>57</v>
      </c>
      <c r="I7" s="437" t="s">
        <v>57</v>
      </c>
      <c r="J7" s="437" t="s">
        <v>57</v>
      </c>
      <c r="K7" s="437" t="s">
        <v>57</v>
      </c>
      <c r="L7" s="437" t="s">
        <v>57</v>
      </c>
      <c r="M7" s="29" t="s">
        <v>63</v>
      </c>
      <c r="N7" s="439"/>
      <c r="O7" s="49" t="s">
        <v>57</v>
      </c>
      <c r="P7" s="49" t="s">
        <v>66</v>
      </c>
      <c r="Q7" s="114" t="s">
        <v>2694</v>
      </c>
      <c r="R7" s="432"/>
      <c r="S7" s="432"/>
      <c r="T7" s="432"/>
      <c r="U7" s="432"/>
      <c r="V7" s="432"/>
      <c r="W7" s="432"/>
      <c r="X7" s="432"/>
      <c r="Y7" s="432"/>
      <c r="Z7" s="432"/>
      <c r="AA7" s="432"/>
      <c r="AB7" s="432"/>
      <c r="AC7" s="432"/>
      <c r="AD7" s="432"/>
    </row>
    <row r="8" ht="30.0" customHeight="1">
      <c r="A8" s="433">
        <v>2024.0</v>
      </c>
      <c r="B8" s="433" t="s">
        <v>54</v>
      </c>
      <c r="C8" s="434" t="s">
        <v>2688</v>
      </c>
      <c r="D8" s="440">
        <v>45306.0</v>
      </c>
      <c r="E8" s="440"/>
      <c r="F8" s="29" t="s">
        <v>2689</v>
      </c>
      <c r="G8" s="444" t="s">
        <v>2700</v>
      </c>
      <c r="H8" s="437" t="s">
        <v>57</v>
      </c>
      <c r="I8" s="437" t="s">
        <v>57</v>
      </c>
      <c r="J8" s="437" t="s">
        <v>57</v>
      </c>
      <c r="K8" s="438" t="s">
        <v>2701</v>
      </c>
      <c r="L8" s="437" t="s">
        <v>57</v>
      </c>
      <c r="M8" s="29" t="s">
        <v>63</v>
      </c>
      <c r="N8" s="445"/>
      <c r="O8" s="29" t="s">
        <v>57</v>
      </c>
      <c r="P8" s="49" t="s">
        <v>66</v>
      </c>
      <c r="Q8" s="114" t="s">
        <v>2694</v>
      </c>
      <c r="R8" s="432"/>
      <c r="S8" s="432"/>
      <c r="T8" s="432"/>
      <c r="U8" s="432"/>
      <c r="V8" s="432"/>
      <c r="W8" s="432"/>
      <c r="X8" s="432"/>
      <c r="Y8" s="432"/>
      <c r="Z8" s="432"/>
      <c r="AA8" s="432"/>
      <c r="AB8" s="432"/>
      <c r="AC8" s="432"/>
      <c r="AD8" s="432"/>
    </row>
    <row r="9">
      <c r="A9" s="433">
        <v>2024.0</v>
      </c>
      <c r="B9" s="433" t="s">
        <v>54</v>
      </c>
      <c r="C9" s="434" t="s">
        <v>2688</v>
      </c>
      <c r="D9" s="440">
        <v>45307.0</v>
      </c>
      <c r="E9" s="440"/>
      <c r="F9" s="29" t="s">
        <v>2689</v>
      </c>
      <c r="G9" s="444" t="s">
        <v>2702</v>
      </c>
      <c r="H9" s="437" t="s">
        <v>57</v>
      </c>
      <c r="I9" s="437" t="s">
        <v>57</v>
      </c>
      <c r="J9" s="437" t="s">
        <v>57</v>
      </c>
      <c r="K9" s="446" t="s">
        <v>2703</v>
      </c>
      <c r="L9" s="437" t="s">
        <v>57</v>
      </c>
      <c r="M9" s="29" t="s">
        <v>63</v>
      </c>
      <c r="N9" s="447"/>
      <c r="O9" s="29" t="s">
        <v>57</v>
      </c>
      <c r="P9" s="49" t="s">
        <v>66</v>
      </c>
      <c r="Q9" s="448" t="s">
        <v>2694</v>
      </c>
      <c r="R9" s="449"/>
      <c r="S9" s="449"/>
      <c r="T9" s="449"/>
      <c r="U9" s="449"/>
      <c r="V9" s="449"/>
      <c r="W9" s="449"/>
      <c r="X9" s="449"/>
      <c r="Y9" s="449"/>
      <c r="Z9" s="449"/>
      <c r="AA9" s="449"/>
      <c r="AB9" s="449"/>
      <c r="AC9" s="449"/>
      <c r="AD9" s="449"/>
    </row>
    <row r="10">
      <c r="A10" s="433">
        <v>2024.0</v>
      </c>
      <c r="B10" s="433" t="s">
        <v>54</v>
      </c>
      <c r="C10" s="434" t="s">
        <v>2688</v>
      </c>
      <c r="D10" s="440">
        <v>44213.0</v>
      </c>
      <c r="E10" s="440"/>
      <c r="F10" s="29" t="s">
        <v>2689</v>
      </c>
      <c r="G10" s="450" t="s">
        <v>2704</v>
      </c>
      <c r="H10" s="437" t="s">
        <v>57</v>
      </c>
      <c r="I10" s="437" t="s">
        <v>57</v>
      </c>
      <c r="J10" s="437" t="s">
        <v>57</v>
      </c>
      <c r="K10" s="437" t="s">
        <v>57</v>
      </c>
      <c r="L10" s="437" t="s">
        <v>57</v>
      </c>
      <c r="M10" s="29" t="s">
        <v>63</v>
      </c>
      <c r="N10" s="283"/>
      <c r="O10" s="29" t="s">
        <v>57</v>
      </c>
      <c r="P10" s="49" t="s">
        <v>66</v>
      </c>
      <c r="Q10" s="114" t="s">
        <v>2694</v>
      </c>
      <c r="R10" s="432"/>
      <c r="S10" s="432"/>
      <c r="T10" s="432"/>
      <c r="U10" s="432"/>
      <c r="V10" s="432"/>
      <c r="W10" s="432"/>
      <c r="X10" s="432"/>
      <c r="Y10" s="432"/>
      <c r="Z10" s="432"/>
      <c r="AA10" s="432"/>
      <c r="AB10" s="432"/>
      <c r="AC10" s="432"/>
      <c r="AD10" s="432"/>
    </row>
    <row r="11">
      <c r="A11" s="433">
        <v>2024.0</v>
      </c>
      <c r="B11" s="433" t="s">
        <v>54</v>
      </c>
      <c r="C11" s="434" t="s">
        <v>2688</v>
      </c>
      <c r="D11" s="440">
        <v>45313.0</v>
      </c>
      <c r="E11" s="440"/>
      <c r="F11" s="29" t="s">
        <v>2689</v>
      </c>
      <c r="G11" s="4" t="s">
        <v>2705</v>
      </c>
      <c r="H11" s="437" t="s">
        <v>57</v>
      </c>
      <c r="I11" s="437" t="s">
        <v>57</v>
      </c>
      <c r="J11" s="437" t="s">
        <v>57</v>
      </c>
      <c r="K11" s="438" t="s">
        <v>2706</v>
      </c>
      <c r="L11" s="437" t="s">
        <v>57</v>
      </c>
      <c r="M11" s="29" t="s">
        <v>63</v>
      </c>
      <c r="N11" s="283"/>
      <c r="O11" s="29" t="s">
        <v>57</v>
      </c>
      <c r="P11" s="49" t="s">
        <v>66</v>
      </c>
      <c r="Q11" s="114" t="s">
        <v>2692</v>
      </c>
      <c r="R11" s="432"/>
      <c r="S11" s="432"/>
      <c r="T11" s="432"/>
      <c r="U11" s="432"/>
      <c r="V11" s="432"/>
      <c r="W11" s="432"/>
      <c r="X11" s="432"/>
      <c r="Y11" s="432"/>
      <c r="Z11" s="432"/>
      <c r="AA11" s="432"/>
      <c r="AB11" s="432"/>
      <c r="AC11" s="432"/>
      <c r="AD11" s="432"/>
    </row>
    <row r="12">
      <c r="A12" s="433">
        <v>2024.0</v>
      </c>
      <c r="B12" s="433" t="s">
        <v>54</v>
      </c>
      <c r="C12" s="434" t="s">
        <v>2688</v>
      </c>
      <c r="D12" s="440">
        <v>45315.0</v>
      </c>
      <c r="E12" s="440"/>
      <c r="F12" s="29" t="s">
        <v>2689</v>
      </c>
      <c r="G12" s="4" t="s">
        <v>2707</v>
      </c>
      <c r="H12" s="437" t="s">
        <v>57</v>
      </c>
      <c r="I12" s="437" t="s">
        <v>57</v>
      </c>
      <c r="J12" s="437" t="s">
        <v>57</v>
      </c>
      <c r="K12" s="437" t="s">
        <v>57</v>
      </c>
      <c r="L12" s="437" t="s">
        <v>57</v>
      </c>
      <c r="M12" s="29" t="s">
        <v>63</v>
      </c>
      <c r="N12" s="283"/>
      <c r="O12" s="29" t="s">
        <v>57</v>
      </c>
      <c r="P12" s="49" t="s">
        <v>66</v>
      </c>
      <c r="Q12" s="114" t="s">
        <v>2694</v>
      </c>
      <c r="R12" s="432"/>
      <c r="S12" s="432"/>
      <c r="T12" s="432"/>
      <c r="U12" s="432"/>
      <c r="V12" s="432"/>
      <c r="W12" s="432"/>
      <c r="X12" s="432"/>
      <c r="Y12" s="432"/>
      <c r="Z12" s="432"/>
      <c r="AA12" s="432"/>
      <c r="AB12" s="432"/>
      <c r="AC12" s="432"/>
      <c r="AD12" s="432"/>
    </row>
    <row r="13">
      <c r="A13" s="433">
        <v>2024.0</v>
      </c>
      <c r="B13" s="433" t="s">
        <v>54</v>
      </c>
      <c r="C13" s="434" t="s">
        <v>2688</v>
      </c>
      <c r="D13" s="440">
        <v>45316.0</v>
      </c>
      <c r="E13" s="440"/>
      <c r="F13" s="29" t="s">
        <v>2689</v>
      </c>
      <c r="G13" s="4" t="s">
        <v>2708</v>
      </c>
      <c r="H13" s="437" t="s">
        <v>57</v>
      </c>
      <c r="I13" s="437" t="s">
        <v>57</v>
      </c>
      <c r="J13" s="437" t="s">
        <v>57</v>
      </c>
      <c r="K13" s="438" t="s">
        <v>2709</v>
      </c>
      <c r="L13" s="437" t="s">
        <v>57</v>
      </c>
      <c r="M13" s="29" t="s">
        <v>1122</v>
      </c>
      <c r="N13" s="283"/>
      <c r="O13" s="29" t="s">
        <v>57</v>
      </c>
      <c r="P13" s="49" t="s">
        <v>66</v>
      </c>
      <c r="Q13" s="114" t="s">
        <v>2710</v>
      </c>
      <c r="R13" s="432"/>
      <c r="S13" s="432"/>
      <c r="T13" s="432"/>
      <c r="U13" s="432"/>
      <c r="V13" s="432"/>
      <c r="W13" s="432"/>
      <c r="X13" s="432"/>
      <c r="Y13" s="432"/>
      <c r="Z13" s="432"/>
      <c r="AA13" s="432"/>
      <c r="AB13" s="432"/>
      <c r="AC13" s="432"/>
      <c r="AD13" s="432"/>
    </row>
    <row r="14" ht="30.0" customHeight="1">
      <c r="A14" s="433">
        <v>2024.0</v>
      </c>
      <c r="B14" s="433" t="s">
        <v>179</v>
      </c>
      <c r="C14" s="434" t="s">
        <v>2688</v>
      </c>
      <c r="D14" s="440">
        <v>45352.0</v>
      </c>
      <c r="E14" s="440"/>
      <c r="F14" s="29" t="s">
        <v>2689</v>
      </c>
      <c r="G14" s="4" t="s">
        <v>2711</v>
      </c>
      <c r="H14" s="437" t="s">
        <v>57</v>
      </c>
      <c r="I14" s="437" t="s">
        <v>57</v>
      </c>
      <c r="J14" s="437" t="s">
        <v>57</v>
      </c>
      <c r="K14" s="438" t="s">
        <v>2712</v>
      </c>
      <c r="L14" s="437" t="s">
        <v>57</v>
      </c>
      <c r="M14" s="29" t="s">
        <v>63</v>
      </c>
      <c r="N14" s="283"/>
      <c r="O14" s="29" t="s">
        <v>57</v>
      </c>
      <c r="P14" s="49" t="s">
        <v>66</v>
      </c>
      <c r="Q14" s="114" t="s">
        <v>2692</v>
      </c>
      <c r="R14" s="432"/>
      <c r="S14" s="432"/>
      <c r="T14" s="432"/>
      <c r="U14" s="432"/>
      <c r="V14" s="432"/>
      <c r="W14" s="432"/>
      <c r="X14" s="432"/>
      <c r="Y14" s="432"/>
      <c r="Z14" s="432"/>
      <c r="AA14" s="432"/>
      <c r="AB14" s="432"/>
      <c r="AC14" s="432"/>
      <c r="AD14" s="432"/>
    </row>
    <row r="15">
      <c r="A15" s="433">
        <v>2024.0</v>
      </c>
      <c r="B15" s="433" t="s">
        <v>179</v>
      </c>
      <c r="C15" s="434" t="s">
        <v>2688</v>
      </c>
      <c r="D15" s="440">
        <v>45353.0</v>
      </c>
      <c r="E15" s="440"/>
      <c r="F15" s="29" t="s">
        <v>72</v>
      </c>
      <c r="G15" s="4" t="s">
        <v>2713</v>
      </c>
      <c r="H15" s="437" t="s">
        <v>57</v>
      </c>
      <c r="I15" s="437" t="s">
        <v>57</v>
      </c>
      <c r="J15" s="437" t="s">
        <v>57</v>
      </c>
      <c r="K15" s="438" t="s">
        <v>2714</v>
      </c>
      <c r="L15" s="437" t="s">
        <v>57</v>
      </c>
      <c r="M15" s="29" t="s">
        <v>63</v>
      </c>
      <c r="N15" s="283"/>
      <c r="O15" s="29" t="s">
        <v>57</v>
      </c>
      <c r="P15" s="49" t="s">
        <v>66</v>
      </c>
      <c r="Q15" s="114" t="s">
        <v>2694</v>
      </c>
      <c r="R15" s="432"/>
      <c r="S15" s="432"/>
      <c r="T15" s="432"/>
      <c r="U15" s="432"/>
      <c r="V15" s="432"/>
      <c r="W15" s="432"/>
      <c r="X15" s="432"/>
      <c r="Y15" s="432"/>
      <c r="Z15" s="432"/>
      <c r="AA15" s="432"/>
      <c r="AB15" s="432"/>
      <c r="AC15" s="432"/>
      <c r="AD15" s="432"/>
    </row>
    <row r="16">
      <c r="A16" s="433">
        <v>2024.0</v>
      </c>
      <c r="B16" s="433" t="s">
        <v>179</v>
      </c>
      <c r="C16" s="434" t="s">
        <v>2688</v>
      </c>
      <c r="D16" s="440">
        <v>45354.0</v>
      </c>
      <c r="E16" s="440"/>
      <c r="F16" s="29" t="s">
        <v>2689</v>
      </c>
      <c r="G16" s="4" t="s">
        <v>2715</v>
      </c>
      <c r="H16" s="437" t="s">
        <v>57</v>
      </c>
      <c r="I16" s="437" t="s">
        <v>57</v>
      </c>
      <c r="J16" s="437" t="s">
        <v>57</v>
      </c>
      <c r="K16" s="438" t="s">
        <v>2714</v>
      </c>
      <c r="L16" s="437" t="s">
        <v>57</v>
      </c>
      <c r="M16" s="29" t="s">
        <v>63</v>
      </c>
      <c r="N16" s="283"/>
      <c r="O16" s="29" t="s">
        <v>57</v>
      </c>
      <c r="P16" s="49" t="s">
        <v>66</v>
      </c>
      <c r="Q16" s="114" t="s">
        <v>2694</v>
      </c>
      <c r="R16" s="432"/>
      <c r="S16" s="432"/>
      <c r="T16" s="432"/>
      <c r="U16" s="432"/>
      <c r="V16" s="432"/>
      <c r="W16" s="432"/>
      <c r="X16" s="432"/>
      <c r="Y16" s="432"/>
      <c r="Z16" s="432"/>
      <c r="AA16" s="432"/>
      <c r="AB16" s="432"/>
      <c r="AC16" s="432"/>
      <c r="AD16" s="432"/>
    </row>
    <row r="17" ht="22.5" customHeight="1">
      <c r="A17" s="433">
        <v>2024.0</v>
      </c>
      <c r="B17" s="433" t="s">
        <v>179</v>
      </c>
      <c r="C17" s="434" t="s">
        <v>2688</v>
      </c>
      <c r="D17" s="440">
        <v>45355.0</v>
      </c>
      <c r="E17" s="440"/>
      <c r="F17" s="29" t="s">
        <v>124</v>
      </c>
      <c r="G17" s="4" t="s">
        <v>2716</v>
      </c>
      <c r="H17" s="437" t="s">
        <v>57</v>
      </c>
      <c r="I17" s="437" t="s">
        <v>57</v>
      </c>
      <c r="J17" s="437" t="s">
        <v>57</v>
      </c>
      <c r="K17" s="438" t="s">
        <v>2714</v>
      </c>
      <c r="L17" s="437" t="s">
        <v>57</v>
      </c>
      <c r="M17" s="29" t="s">
        <v>63</v>
      </c>
      <c r="N17" s="283"/>
      <c r="O17" s="29" t="s">
        <v>57</v>
      </c>
      <c r="P17" s="49" t="s">
        <v>66</v>
      </c>
      <c r="Q17" s="114" t="s">
        <v>2692</v>
      </c>
      <c r="R17" s="432"/>
      <c r="S17" s="432"/>
      <c r="T17" s="432"/>
      <c r="U17" s="432"/>
      <c r="V17" s="432"/>
      <c r="W17" s="432"/>
      <c r="X17" s="432"/>
      <c r="Y17" s="432"/>
      <c r="Z17" s="432"/>
      <c r="AA17" s="432"/>
      <c r="AB17" s="432"/>
      <c r="AC17" s="432"/>
      <c r="AD17" s="432"/>
    </row>
    <row r="18" ht="30.75" customHeight="1">
      <c r="A18" s="433">
        <v>2024.0</v>
      </c>
      <c r="B18" s="433" t="s">
        <v>179</v>
      </c>
      <c r="C18" s="434" t="s">
        <v>2688</v>
      </c>
      <c r="D18" s="440">
        <v>45356.0</v>
      </c>
      <c r="E18" s="440"/>
      <c r="F18" s="29" t="s">
        <v>2689</v>
      </c>
      <c r="G18" s="4" t="s">
        <v>2717</v>
      </c>
      <c r="H18" s="437" t="s">
        <v>57</v>
      </c>
      <c r="I18" s="438" t="s">
        <v>2718</v>
      </c>
      <c r="J18" s="438" t="s">
        <v>2719</v>
      </c>
      <c r="K18" s="437" t="s">
        <v>57</v>
      </c>
      <c r="L18" s="437" t="s">
        <v>57</v>
      </c>
      <c r="M18" s="29" t="s">
        <v>63</v>
      </c>
      <c r="N18" s="283"/>
      <c r="O18" s="29" t="s">
        <v>57</v>
      </c>
      <c r="P18" s="49" t="s">
        <v>66</v>
      </c>
      <c r="Q18" s="114" t="s">
        <v>2692</v>
      </c>
      <c r="R18" s="432"/>
      <c r="S18" s="432"/>
      <c r="T18" s="432"/>
      <c r="U18" s="432"/>
      <c r="V18" s="432"/>
      <c r="W18" s="432"/>
      <c r="X18" s="432"/>
      <c r="Y18" s="432"/>
      <c r="Z18" s="432"/>
      <c r="AA18" s="432"/>
      <c r="AB18" s="432"/>
      <c r="AC18" s="432"/>
      <c r="AD18" s="432"/>
    </row>
    <row r="19">
      <c r="A19" s="433">
        <v>2024.0</v>
      </c>
      <c r="B19" s="433" t="s">
        <v>179</v>
      </c>
      <c r="C19" s="434" t="s">
        <v>2688</v>
      </c>
      <c r="D19" s="440">
        <v>45357.0</v>
      </c>
      <c r="E19" s="440"/>
      <c r="F19" s="29" t="s">
        <v>2720</v>
      </c>
      <c r="G19" s="4" t="s">
        <v>2721</v>
      </c>
      <c r="H19" s="437" t="s">
        <v>57</v>
      </c>
      <c r="I19" s="437" t="s">
        <v>57</v>
      </c>
      <c r="J19" s="437" t="s">
        <v>57</v>
      </c>
      <c r="K19" s="437" t="s">
        <v>57</v>
      </c>
      <c r="L19" s="437" t="s">
        <v>57</v>
      </c>
      <c r="M19" s="29" t="s">
        <v>63</v>
      </c>
      <c r="N19" s="283"/>
      <c r="O19" s="29" t="s">
        <v>57</v>
      </c>
      <c r="P19" s="49" t="s">
        <v>66</v>
      </c>
      <c r="Q19" s="114" t="s">
        <v>2694</v>
      </c>
      <c r="R19" s="432"/>
      <c r="S19" s="432"/>
      <c r="T19" s="432"/>
      <c r="U19" s="432"/>
      <c r="V19" s="432"/>
      <c r="W19" s="432"/>
      <c r="X19" s="432"/>
      <c r="Y19" s="432"/>
      <c r="Z19" s="432"/>
      <c r="AA19" s="432"/>
      <c r="AB19" s="432"/>
      <c r="AC19" s="432"/>
      <c r="AD19" s="432"/>
    </row>
    <row r="20">
      <c r="A20" s="433">
        <v>2024.0</v>
      </c>
      <c r="B20" s="433" t="s">
        <v>179</v>
      </c>
      <c r="C20" s="434" t="s">
        <v>2688</v>
      </c>
      <c r="D20" s="440">
        <v>45358.0</v>
      </c>
      <c r="E20" s="440"/>
      <c r="F20" s="29"/>
      <c r="G20" s="4" t="s">
        <v>2722</v>
      </c>
      <c r="H20" s="437" t="s">
        <v>57</v>
      </c>
      <c r="I20" s="437" t="s">
        <v>57</v>
      </c>
      <c r="J20" s="438" t="s">
        <v>2723</v>
      </c>
      <c r="K20" s="437" t="s">
        <v>57</v>
      </c>
      <c r="L20" s="437" t="s">
        <v>57</v>
      </c>
      <c r="M20" s="29" t="s">
        <v>63</v>
      </c>
      <c r="N20" s="283"/>
      <c r="O20" s="29" t="s">
        <v>57</v>
      </c>
      <c r="P20" s="49" t="s">
        <v>66</v>
      </c>
      <c r="Q20" s="114" t="s">
        <v>2694</v>
      </c>
      <c r="R20" s="432"/>
      <c r="S20" s="432"/>
      <c r="T20" s="432"/>
      <c r="U20" s="432"/>
      <c r="V20" s="432"/>
      <c r="W20" s="432"/>
      <c r="X20" s="432"/>
      <c r="Y20" s="432"/>
      <c r="Z20" s="432"/>
      <c r="AA20" s="432"/>
      <c r="AB20" s="432"/>
      <c r="AC20" s="432"/>
      <c r="AD20" s="432"/>
    </row>
    <row r="21" ht="27.0" customHeight="1">
      <c r="A21" s="433">
        <v>2024.0</v>
      </c>
      <c r="B21" s="433" t="s">
        <v>179</v>
      </c>
      <c r="C21" s="434" t="s">
        <v>2688</v>
      </c>
      <c r="D21" s="440">
        <v>45359.0</v>
      </c>
      <c r="E21" s="440"/>
      <c r="F21" s="29" t="s">
        <v>2689</v>
      </c>
      <c r="G21" s="4" t="s">
        <v>2724</v>
      </c>
      <c r="H21" s="437" t="s">
        <v>57</v>
      </c>
      <c r="I21" s="437" t="s">
        <v>57</v>
      </c>
      <c r="J21" s="437" t="s">
        <v>57</v>
      </c>
      <c r="K21" s="438" t="s">
        <v>2725</v>
      </c>
      <c r="L21" s="437" t="s">
        <v>57</v>
      </c>
      <c r="M21" s="29" t="s">
        <v>63</v>
      </c>
      <c r="N21" s="283"/>
      <c r="O21" s="29" t="s">
        <v>57</v>
      </c>
      <c r="P21" s="49" t="s">
        <v>66</v>
      </c>
      <c r="Q21" s="114" t="s">
        <v>2692</v>
      </c>
      <c r="R21" s="432"/>
      <c r="S21" s="432"/>
      <c r="T21" s="432"/>
      <c r="U21" s="432"/>
      <c r="V21" s="432"/>
      <c r="W21" s="432"/>
      <c r="X21" s="432"/>
      <c r="Y21" s="432"/>
      <c r="Z21" s="432"/>
      <c r="AA21" s="432"/>
      <c r="AB21" s="432"/>
      <c r="AC21" s="432"/>
      <c r="AD21" s="432"/>
    </row>
    <row r="22">
      <c r="A22" s="433">
        <v>2024.0</v>
      </c>
      <c r="B22" s="433" t="s">
        <v>179</v>
      </c>
      <c r="C22" s="434" t="s">
        <v>2688</v>
      </c>
      <c r="D22" s="440">
        <v>45360.0</v>
      </c>
      <c r="E22" s="440"/>
      <c r="F22" s="29" t="s">
        <v>2689</v>
      </c>
      <c r="G22" s="4" t="s">
        <v>2715</v>
      </c>
      <c r="H22" s="437" t="s">
        <v>57</v>
      </c>
      <c r="I22" s="437" t="s">
        <v>57</v>
      </c>
      <c r="J22" s="437" t="s">
        <v>57</v>
      </c>
      <c r="K22" s="438" t="s">
        <v>2714</v>
      </c>
      <c r="L22" s="437" t="s">
        <v>57</v>
      </c>
      <c r="M22" s="29" t="s">
        <v>63</v>
      </c>
      <c r="N22" s="283"/>
      <c r="O22" s="29" t="s">
        <v>57</v>
      </c>
      <c r="P22" s="49" t="s">
        <v>66</v>
      </c>
      <c r="Q22" s="114" t="s">
        <v>2694</v>
      </c>
      <c r="R22" s="432"/>
      <c r="S22" s="432"/>
      <c r="T22" s="432"/>
      <c r="U22" s="432"/>
      <c r="V22" s="432"/>
      <c r="W22" s="432"/>
      <c r="X22" s="432"/>
      <c r="Y22" s="432"/>
      <c r="Z22" s="432"/>
      <c r="AA22" s="432"/>
      <c r="AB22" s="432"/>
      <c r="AC22" s="432"/>
      <c r="AD22" s="432"/>
    </row>
    <row r="23" ht="22.5" customHeight="1">
      <c r="A23" s="433">
        <v>2024.0</v>
      </c>
      <c r="B23" s="433" t="s">
        <v>179</v>
      </c>
      <c r="C23" s="434" t="s">
        <v>2688</v>
      </c>
      <c r="D23" s="440">
        <v>45361.0</v>
      </c>
      <c r="E23" s="440"/>
      <c r="F23" s="29" t="s">
        <v>2689</v>
      </c>
      <c r="G23" s="4" t="s">
        <v>2715</v>
      </c>
      <c r="H23" s="437" t="s">
        <v>57</v>
      </c>
      <c r="I23" s="437" t="s">
        <v>57</v>
      </c>
      <c r="J23" s="437" t="s">
        <v>57</v>
      </c>
      <c r="K23" s="438" t="s">
        <v>2726</v>
      </c>
      <c r="L23" s="437" t="s">
        <v>57</v>
      </c>
      <c r="M23" s="29" t="s">
        <v>63</v>
      </c>
      <c r="N23" s="283"/>
      <c r="O23" s="29" t="s">
        <v>57</v>
      </c>
      <c r="P23" s="49" t="s">
        <v>66</v>
      </c>
      <c r="Q23" s="114" t="s">
        <v>2727</v>
      </c>
      <c r="R23" s="432"/>
      <c r="S23" s="432"/>
      <c r="T23" s="432"/>
      <c r="U23" s="432"/>
      <c r="V23" s="432"/>
      <c r="W23" s="432"/>
      <c r="X23" s="432"/>
      <c r="Y23" s="432"/>
      <c r="Z23" s="432"/>
      <c r="AA23" s="432"/>
      <c r="AB23" s="432"/>
      <c r="AC23" s="432"/>
      <c r="AD23" s="432"/>
    </row>
    <row r="24" ht="21.75" customHeight="1">
      <c r="A24" s="433">
        <v>2024.0</v>
      </c>
      <c r="B24" s="433" t="s">
        <v>179</v>
      </c>
      <c r="C24" s="434" t="s">
        <v>2688</v>
      </c>
      <c r="D24" s="440">
        <v>45362.0</v>
      </c>
      <c r="E24" s="440"/>
      <c r="F24" s="29"/>
      <c r="G24" s="4" t="s">
        <v>2728</v>
      </c>
      <c r="H24" s="437" t="s">
        <v>57</v>
      </c>
      <c r="I24" s="437" t="s">
        <v>57</v>
      </c>
      <c r="J24" s="437" t="s">
        <v>57</v>
      </c>
      <c r="K24" s="438" t="s">
        <v>2729</v>
      </c>
      <c r="L24" s="437" t="s">
        <v>57</v>
      </c>
      <c r="M24" s="29" t="s">
        <v>63</v>
      </c>
      <c r="N24" s="283"/>
      <c r="O24" s="29" t="s">
        <v>57</v>
      </c>
      <c r="P24" s="49" t="s">
        <v>66</v>
      </c>
      <c r="Q24" s="114" t="s">
        <v>2727</v>
      </c>
      <c r="R24" s="432"/>
      <c r="S24" s="432"/>
      <c r="T24" s="432"/>
      <c r="U24" s="432"/>
      <c r="V24" s="432"/>
      <c r="W24" s="432"/>
      <c r="X24" s="432"/>
      <c r="Y24" s="432"/>
      <c r="Z24" s="432"/>
      <c r="AA24" s="432"/>
      <c r="AB24" s="432"/>
      <c r="AC24" s="432"/>
      <c r="AD24" s="432"/>
    </row>
    <row r="25" ht="23.25" customHeight="1">
      <c r="A25" s="433">
        <v>2024.0</v>
      </c>
      <c r="B25" s="433" t="s">
        <v>179</v>
      </c>
      <c r="C25" s="434" t="s">
        <v>2688</v>
      </c>
      <c r="D25" s="440">
        <v>45363.0</v>
      </c>
      <c r="E25" s="440"/>
      <c r="F25" s="29" t="s">
        <v>358</v>
      </c>
      <c r="G25" s="4" t="s">
        <v>2730</v>
      </c>
      <c r="H25" s="437" t="s">
        <v>57</v>
      </c>
      <c r="I25" s="437" t="s">
        <v>57</v>
      </c>
      <c r="J25" s="437" t="s">
        <v>57</v>
      </c>
      <c r="K25" s="438" t="s">
        <v>2731</v>
      </c>
      <c r="L25" s="437" t="s">
        <v>57</v>
      </c>
      <c r="M25" s="29" t="s">
        <v>63</v>
      </c>
      <c r="N25" s="283"/>
      <c r="O25" s="29" t="s">
        <v>57</v>
      </c>
      <c r="P25" s="49" t="s">
        <v>66</v>
      </c>
      <c r="Q25" s="114" t="s">
        <v>2732</v>
      </c>
      <c r="R25" s="432"/>
      <c r="S25" s="432"/>
      <c r="T25" s="432"/>
      <c r="U25" s="432"/>
      <c r="V25" s="432"/>
      <c r="W25" s="432"/>
      <c r="X25" s="432"/>
      <c r="Y25" s="432"/>
      <c r="Z25" s="432"/>
      <c r="AA25" s="432"/>
      <c r="AB25" s="432"/>
      <c r="AC25" s="432"/>
      <c r="AD25" s="432"/>
    </row>
    <row r="26">
      <c r="A26" s="433">
        <v>2024.0</v>
      </c>
      <c r="B26" s="433" t="s">
        <v>179</v>
      </c>
      <c r="C26" s="434" t="s">
        <v>2688</v>
      </c>
      <c r="D26" s="440">
        <v>45364.0</v>
      </c>
      <c r="E26" s="440"/>
      <c r="F26" s="29" t="s">
        <v>381</v>
      </c>
      <c r="G26" s="4" t="s">
        <v>2733</v>
      </c>
      <c r="H26" s="437" t="s">
        <v>57</v>
      </c>
      <c r="I26" s="437" t="s">
        <v>57</v>
      </c>
      <c r="J26" s="437" t="s">
        <v>57</v>
      </c>
      <c r="K26" s="437" t="s">
        <v>57</v>
      </c>
      <c r="L26" s="437" t="s">
        <v>57</v>
      </c>
      <c r="M26" s="29" t="s">
        <v>63</v>
      </c>
      <c r="N26" s="283"/>
      <c r="O26" s="29" t="s">
        <v>57</v>
      </c>
      <c r="P26" s="49" t="s">
        <v>66</v>
      </c>
      <c r="Q26" s="114" t="s">
        <v>2692</v>
      </c>
      <c r="R26" s="432"/>
      <c r="S26" s="432"/>
      <c r="T26" s="432"/>
      <c r="U26" s="432"/>
      <c r="V26" s="432"/>
      <c r="W26" s="432"/>
      <c r="X26" s="432"/>
      <c r="Y26" s="432"/>
      <c r="Z26" s="432"/>
      <c r="AA26" s="432"/>
      <c r="AB26" s="432"/>
      <c r="AC26" s="432"/>
      <c r="AD26" s="432"/>
    </row>
    <row r="27">
      <c r="A27" s="433">
        <v>2024.0</v>
      </c>
      <c r="B27" s="433" t="s">
        <v>179</v>
      </c>
      <c r="C27" s="434" t="s">
        <v>2688</v>
      </c>
      <c r="D27" s="440">
        <v>45365.0</v>
      </c>
      <c r="E27" s="440"/>
      <c r="F27" s="29" t="s">
        <v>259</v>
      </c>
      <c r="G27" s="7" t="s">
        <v>2734</v>
      </c>
      <c r="H27" s="437" t="s">
        <v>57</v>
      </c>
      <c r="I27" s="437" t="s">
        <v>57</v>
      </c>
      <c r="J27" s="437" t="s">
        <v>57</v>
      </c>
      <c r="K27" s="437" t="s">
        <v>57</v>
      </c>
      <c r="L27" s="437" t="s">
        <v>57</v>
      </c>
      <c r="M27" s="29" t="s">
        <v>63</v>
      </c>
      <c r="N27" s="283"/>
      <c r="O27" s="29" t="s">
        <v>57</v>
      </c>
      <c r="P27" s="49" t="s">
        <v>66</v>
      </c>
      <c r="Q27" s="114" t="s">
        <v>2694</v>
      </c>
      <c r="R27" s="432"/>
      <c r="S27" s="432"/>
      <c r="T27" s="432"/>
      <c r="U27" s="432"/>
      <c r="V27" s="432"/>
      <c r="W27" s="432"/>
      <c r="X27" s="432"/>
      <c r="Y27" s="432"/>
      <c r="Z27" s="432"/>
      <c r="AA27" s="432"/>
      <c r="AB27" s="432"/>
      <c r="AC27" s="432"/>
      <c r="AD27" s="432"/>
    </row>
    <row r="28">
      <c r="A28" s="433">
        <v>2024.0</v>
      </c>
      <c r="B28" s="433" t="s">
        <v>179</v>
      </c>
      <c r="C28" s="434" t="s">
        <v>2688</v>
      </c>
      <c r="D28" s="440">
        <v>45366.0</v>
      </c>
      <c r="E28" s="440"/>
      <c r="F28" s="29" t="s">
        <v>259</v>
      </c>
      <c r="G28" s="7" t="s">
        <v>2734</v>
      </c>
      <c r="H28" s="437" t="s">
        <v>57</v>
      </c>
      <c r="I28" s="437" t="s">
        <v>57</v>
      </c>
      <c r="J28" s="437" t="s">
        <v>57</v>
      </c>
      <c r="K28" s="437" t="s">
        <v>57</v>
      </c>
      <c r="L28" s="437" t="s">
        <v>57</v>
      </c>
      <c r="M28" s="29" t="s">
        <v>63</v>
      </c>
      <c r="N28" s="283"/>
      <c r="O28" s="29" t="s">
        <v>57</v>
      </c>
      <c r="P28" s="49" t="s">
        <v>66</v>
      </c>
      <c r="Q28" s="114" t="s">
        <v>2694</v>
      </c>
      <c r="R28" s="432"/>
      <c r="S28" s="432"/>
      <c r="T28" s="432"/>
      <c r="U28" s="432"/>
      <c r="V28" s="432"/>
      <c r="W28" s="432"/>
      <c r="X28" s="432"/>
      <c r="Y28" s="432"/>
      <c r="Z28" s="432"/>
      <c r="AA28" s="432"/>
      <c r="AB28" s="432"/>
      <c r="AC28" s="432"/>
      <c r="AD28" s="432"/>
    </row>
    <row r="29">
      <c r="A29" s="433">
        <v>2024.0</v>
      </c>
      <c r="B29" s="433" t="s">
        <v>179</v>
      </c>
      <c r="C29" s="434" t="s">
        <v>2688</v>
      </c>
      <c r="D29" s="440">
        <v>45367.0</v>
      </c>
      <c r="E29" s="440"/>
      <c r="F29" s="29" t="s">
        <v>259</v>
      </c>
      <c r="G29" s="7" t="s">
        <v>2734</v>
      </c>
      <c r="H29" s="437" t="s">
        <v>57</v>
      </c>
      <c r="I29" s="437" t="s">
        <v>57</v>
      </c>
      <c r="J29" s="437" t="s">
        <v>57</v>
      </c>
      <c r="K29" s="437" t="s">
        <v>57</v>
      </c>
      <c r="L29" s="437" t="s">
        <v>57</v>
      </c>
      <c r="M29" s="29" t="s">
        <v>63</v>
      </c>
      <c r="N29" s="283"/>
      <c r="O29" s="29" t="s">
        <v>57</v>
      </c>
      <c r="P29" s="49" t="s">
        <v>66</v>
      </c>
      <c r="Q29" s="114" t="s">
        <v>2694</v>
      </c>
      <c r="R29" s="432"/>
      <c r="S29" s="432"/>
      <c r="T29" s="432"/>
      <c r="U29" s="432"/>
      <c r="V29" s="432"/>
      <c r="W29" s="432"/>
      <c r="X29" s="432"/>
      <c r="Y29" s="432"/>
      <c r="Z29" s="432"/>
      <c r="AA29" s="432"/>
      <c r="AB29" s="432"/>
      <c r="AC29" s="432"/>
      <c r="AD29" s="432"/>
    </row>
    <row r="30">
      <c r="A30" s="433">
        <v>2024.0</v>
      </c>
      <c r="B30" s="433" t="s">
        <v>179</v>
      </c>
      <c r="C30" s="434" t="s">
        <v>2688</v>
      </c>
      <c r="D30" s="440">
        <v>45368.0</v>
      </c>
      <c r="E30" s="440"/>
      <c r="F30" s="29" t="s">
        <v>259</v>
      </c>
      <c r="G30" s="7" t="s">
        <v>2734</v>
      </c>
      <c r="H30" s="437" t="s">
        <v>57</v>
      </c>
      <c r="I30" s="437" t="s">
        <v>57</v>
      </c>
      <c r="J30" s="437" t="s">
        <v>57</v>
      </c>
      <c r="K30" s="437" t="s">
        <v>57</v>
      </c>
      <c r="L30" s="437" t="s">
        <v>57</v>
      </c>
      <c r="M30" s="29" t="s">
        <v>63</v>
      </c>
      <c r="N30" s="283"/>
      <c r="O30" s="29" t="s">
        <v>57</v>
      </c>
      <c r="P30" s="49" t="s">
        <v>66</v>
      </c>
      <c r="Q30" s="114" t="s">
        <v>2694</v>
      </c>
      <c r="R30" s="432"/>
      <c r="S30" s="432"/>
      <c r="T30" s="432"/>
      <c r="U30" s="432"/>
      <c r="V30" s="432"/>
      <c r="W30" s="432"/>
      <c r="X30" s="432"/>
      <c r="Y30" s="432"/>
      <c r="Z30" s="432"/>
      <c r="AA30" s="432"/>
      <c r="AB30" s="432"/>
      <c r="AC30" s="432"/>
      <c r="AD30" s="432"/>
    </row>
    <row r="31">
      <c r="A31" s="433">
        <v>2024.0</v>
      </c>
      <c r="B31" s="433" t="s">
        <v>179</v>
      </c>
      <c r="C31" s="434" t="s">
        <v>2688</v>
      </c>
      <c r="D31" s="440">
        <v>45369.0</v>
      </c>
      <c r="E31" s="440"/>
      <c r="F31" s="29" t="s">
        <v>259</v>
      </c>
      <c r="G31" s="7" t="s">
        <v>2734</v>
      </c>
      <c r="H31" s="437" t="s">
        <v>57</v>
      </c>
      <c r="I31" s="437" t="s">
        <v>57</v>
      </c>
      <c r="J31" s="437" t="s">
        <v>57</v>
      </c>
      <c r="K31" s="437" t="s">
        <v>57</v>
      </c>
      <c r="L31" s="437" t="s">
        <v>57</v>
      </c>
      <c r="M31" s="29" t="s">
        <v>63</v>
      </c>
      <c r="N31" s="283"/>
      <c r="O31" s="29" t="s">
        <v>57</v>
      </c>
      <c r="P31" s="49" t="s">
        <v>66</v>
      </c>
      <c r="Q31" s="114" t="s">
        <v>2694</v>
      </c>
      <c r="R31" s="432"/>
      <c r="S31" s="432"/>
      <c r="T31" s="432"/>
      <c r="U31" s="432"/>
      <c r="V31" s="432"/>
      <c r="W31" s="432"/>
      <c r="X31" s="432"/>
      <c r="Y31" s="432"/>
      <c r="Z31" s="432"/>
      <c r="AA31" s="432"/>
      <c r="AB31" s="432"/>
      <c r="AC31" s="432"/>
      <c r="AD31" s="432"/>
    </row>
    <row r="32">
      <c r="A32" s="433">
        <v>2024.0</v>
      </c>
      <c r="B32" s="433" t="s">
        <v>179</v>
      </c>
      <c r="C32" s="434" t="s">
        <v>2688</v>
      </c>
      <c r="D32" s="440">
        <v>45370.0</v>
      </c>
      <c r="E32" s="440"/>
      <c r="F32" s="29"/>
      <c r="G32" s="4" t="s">
        <v>2735</v>
      </c>
      <c r="H32" s="437" t="s">
        <v>57</v>
      </c>
      <c r="I32" s="437" t="s">
        <v>57</v>
      </c>
      <c r="J32" s="437" t="s">
        <v>57</v>
      </c>
      <c r="K32" s="437" t="s">
        <v>57</v>
      </c>
      <c r="L32" s="437" t="s">
        <v>57</v>
      </c>
      <c r="M32" s="29" t="s">
        <v>63</v>
      </c>
      <c r="N32" s="283"/>
      <c r="O32" s="29" t="s">
        <v>57</v>
      </c>
      <c r="P32" s="49" t="s">
        <v>66</v>
      </c>
      <c r="Q32" s="114" t="s">
        <v>2692</v>
      </c>
      <c r="R32" s="432"/>
      <c r="S32" s="432"/>
      <c r="T32" s="432"/>
      <c r="U32" s="432"/>
      <c r="V32" s="432"/>
      <c r="W32" s="432"/>
      <c r="X32" s="432"/>
      <c r="Y32" s="432"/>
      <c r="Z32" s="432"/>
      <c r="AA32" s="432"/>
      <c r="AB32" s="432"/>
      <c r="AC32" s="432"/>
      <c r="AD32" s="432"/>
    </row>
    <row r="33">
      <c r="A33" s="433">
        <v>2024.0</v>
      </c>
      <c r="B33" s="433" t="s">
        <v>179</v>
      </c>
      <c r="C33" s="434" t="s">
        <v>2688</v>
      </c>
      <c r="D33" s="440">
        <v>45371.0</v>
      </c>
      <c r="E33" s="440"/>
      <c r="F33" s="29" t="s">
        <v>259</v>
      </c>
      <c r="G33" s="7" t="s">
        <v>2734</v>
      </c>
      <c r="H33" s="437" t="s">
        <v>57</v>
      </c>
      <c r="I33" s="437" t="s">
        <v>57</v>
      </c>
      <c r="J33" s="437" t="s">
        <v>57</v>
      </c>
      <c r="K33" s="437" t="s">
        <v>57</v>
      </c>
      <c r="L33" s="437" t="s">
        <v>57</v>
      </c>
      <c r="M33" s="29" t="s">
        <v>63</v>
      </c>
      <c r="N33" s="283"/>
      <c r="O33" s="29" t="s">
        <v>57</v>
      </c>
      <c r="P33" s="49" t="s">
        <v>66</v>
      </c>
      <c r="Q33" s="114" t="s">
        <v>2694</v>
      </c>
      <c r="R33" s="432"/>
      <c r="S33" s="432"/>
      <c r="T33" s="432"/>
      <c r="U33" s="432"/>
      <c r="V33" s="432"/>
      <c r="W33" s="432"/>
      <c r="X33" s="432"/>
      <c r="Y33" s="432"/>
      <c r="Z33" s="432"/>
      <c r="AA33" s="432"/>
      <c r="AB33" s="432"/>
      <c r="AC33" s="432"/>
      <c r="AD33" s="432"/>
    </row>
    <row r="34">
      <c r="A34" s="433">
        <v>2024.0</v>
      </c>
      <c r="B34" s="433" t="s">
        <v>179</v>
      </c>
      <c r="C34" s="434" t="s">
        <v>2688</v>
      </c>
      <c r="D34" s="440">
        <v>45372.0</v>
      </c>
      <c r="E34" s="440"/>
      <c r="F34" s="29" t="s">
        <v>2689</v>
      </c>
      <c r="G34" s="4" t="s">
        <v>2736</v>
      </c>
      <c r="H34" s="437" t="s">
        <v>57</v>
      </c>
      <c r="I34" s="437" t="s">
        <v>57</v>
      </c>
      <c r="J34" s="437" t="s">
        <v>57</v>
      </c>
      <c r="K34" s="437" t="s">
        <v>57</v>
      </c>
      <c r="L34" s="437" t="s">
        <v>57</v>
      </c>
      <c r="M34" s="29" t="s">
        <v>63</v>
      </c>
      <c r="N34" s="283"/>
      <c r="O34" s="29" t="s">
        <v>57</v>
      </c>
      <c r="P34" s="49" t="s">
        <v>66</v>
      </c>
      <c r="Q34" s="114" t="s">
        <v>2692</v>
      </c>
      <c r="R34" s="432"/>
      <c r="S34" s="432"/>
      <c r="T34" s="432"/>
      <c r="U34" s="432"/>
      <c r="V34" s="432"/>
      <c r="W34" s="432"/>
      <c r="X34" s="432"/>
      <c r="Y34" s="432"/>
      <c r="Z34" s="432"/>
      <c r="AA34" s="432"/>
      <c r="AB34" s="432"/>
      <c r="AC34" s="432"/>
      <c r="AD34" s="432"/>
    </row>
    <row r="35">
      <c r="A35" s="433">
        <v>2024.0</v>
      </c>
      <c r="B35" s="433" t="s">
        <v>179</v>
      </c>
      <c r="C35" s="434" t="s">
        <v>2688</v>
      </c>
      <c r="D35" s="440">
        <v>45373.0</v>
      </c>
      <c r="E35" s="440"/>
      <c r="F35" s="29" t="s">
        <v>2689</v>
      </c>
      <c r="G35" s="4" t="s">
        <v>2737</v>
      </c>
      <c r="H35" s="437" t="s">
        <v>57</v>
      </c>
      <c r="I35" s="437" t="s">
        <v>57</v>
      </c>
      <c r="J35" s="438" t="s">
        <v>2738</v>
      </c>
      <c r="K35" s="437" t="s">
        <v>57</v>
      </c>
      <c r="L35" s="437" t="s">
        <v>57</v>
      </c>
      <c r="M35" s="29" t="s">
        <v>63</v>
      </c>
      <c r="N35" s="283"/>
      <c r="O35" s="29" t="s">
        <v>57</v>
      </c>
      <c r="P35" s="49" t="s">
        <v>66</v>
      </c>
      <c r="Q35" s="114" t="s">
        <v>2692</v>
      </c>
      <c r="R35" s="432"/>
      <c r="S35" s="432"/>
      <c r="T35" s="432"/>
      <c r="U35" s="432"/>
      <c r="V35" s="432"/>
      <c r="W35" s="432"/>
      <c r="X35" s="432"/>
      <c r="Y35" s="432"/>
      <c r="Z35" s="432"/>
      <c r="AA35" s="432"/>
      <c r="AB35" s="432"/>
      <c r="AC35" s="432"/>
      <c r="AD35" s="432"/>
    </row>
    <row r="36">
      <c r="A36" s="433">
        <v>2024.0</v>
      </c>
      <c r="B36" s="433" t="s">
        <v>200</v>
      </c>
      <c r="C36" s="434" t="s">
        <v>2688</v>
      </c>
      <c r="D36" s="440">
        <v>45386.0</v>
      </c>
      <c r="E36" s="440"/>
      <c r="F36" s="29" t="s">
        <v>2689</v>
      </c>
      <c r="G36" s="4" t="s">
        <v>2739</v>
      </c>
      <c r="H36" s="437" t="s">
        <v>57</v>
      </c>
      <c r="I36" s="437" t="s">
        <v>57</v>
      </c>
      <c r="J36" s="437" t="s">
        <v>57</v>
      </c>
      <c r="K36" s="437" t="s">
        <v>2740</v>
      </c>
      <c r="L36" s="437" t="s">
        <v>57</v>
      </c>
      <c r="M36" s="29" t="s">
        <v>1122</v>
      </c>
      <c r="N36" s="283"/>
      <c r="O36" s="29" t="s">
        <v>57</v>
      </c>
      <c r="P36" s="49" t="s">
        <v>66</v>
      </c>
      <c r="Q36" s="114" t="s">
        <v>2710</v>
      </c>
      <c r="R36" s="432"/>
      <c r="S36" s="432"/>
      <c r="T36" s="432"/>
      <c r="U36" s="432"/>
      <c r="V36" s="432"/>
      <c r="W36" s="432"/>
      <c r="X36" s="432"/>
      <c r="Y36" s="432"/>
      <c r="Z36" s="432"/>
      <c r="AA36" s="432"/>
      <c r="AB36" s="432"/>
      <c r="AC36" s="432"/>
      <c r="AD36" s="432"/>
    </row>
    <row r="37">
      <c r="A37" s="433">
        <v>2024.0</v>
      </c>
      <c r="B37" s="433" t="s">
        <v>200</v>
      </c>
      <c r="C37" s="434" t="s">
        <v>2688</v>
      </c>
      <c r="D37" s="440">
        <v>45387.0</v>
      </c>
      <c r="E37" s="440"/>
      <c r="F37" s="29"/>
      <c r="G37" s="437" t="s">
        <v>57</v>
      </c>
      <c r="H37" s="437" t="s">
        <v>57</v>
      </c>
      <c r="I37" s="437" t="s">
        <v>57</v>
      </c>
      <c r="J37" s="437" t="s">
        <v>57</v>
      </c>
      <c r="K37" s="437" t="s">
        <v>57</v>
      </c>
      <c r="L37" s="437" t="s">
        <v>57</v>
      </c>
      <c r="M37" s="29" t="s">
        <v>63</v>
      </c>
      <c r="N37" s="283"/>
      <c r="O37" s="29" t="s">
        <v>57</v>
      </c>
      <c r="P37" s="49" t="s">
        <v>66</v>
      </c>
      <c r="Q37" s="114" t="s">
        <v>2694</v>
      </c>
      <c r="R37" s="432"/>
      <c r="S37" s="432"/>
      <c r="T37" s="432"/>
      <c r="U37" s="432"/>
      <c r="V37" s="432"/>
      <c r="W37" s="432"/>
      <c r="X37" s="432"/>
      <c r="Y37" s="432"/>
      <c r="Z37" s="432"/>
      <c r="AA37" s="432"/>
      <c r="AB37" s="432"/>
      <c r="AC37" s="432"/>
      <c r="AD37" s="432"/>
    </row>
    <row r="38">
      <c r="A38" s="433">
        <v>2024.0</v>
      </c>
      <c r="B38" s="433" t="s">
        <v>200</v>
      </c>
      <c r="C38" s="434" t="s">
        <v>2688</v>
      </c>
      <c r="D38" s="440">
        <v>45388.0</v>
      </c>
      <c r="E38" s="440"/>
      <c r="F38" s="29" t="s">
        <v>2689</v>
      </c>
      <c r="G38" s="4" t="s">
        <v>2741</v>
      </c>
      <c r="H38" s="437" t="s">
        <v>57</v>
      </c>
      <c r="I38" s="437" t="s">
        <v>57</v>
      </c>
      <c r="J38" s="437" t="s">
        <v>57</v>
      </c>
      <c r="K38" s="437" t="s">
        <v>57</v>
      </c>
      <c r="L38" s="437" t="s">
        <v>57</v>
      </c>
      <c r="M38" s="29" t="s">
        <v>63</v>
      </c>
      <c r="N38" s="283"/>
      <c r="O38" s="29" t="s">
        <v>57</v>
      </c>
      <c r="P38" s="49" t="s">
        <v>66</v>
      </c>
      <c r="Q38" s="114" t="s">
        <v>2694</v>
      </c>
      <c r="R38" s="432"/>
      <c r="S38" s="432"/>
      <c r="T38" s="432"/>
      <c r="U38" s="432"/>
      <c r="V38" s="432"/>
      <c r="W38" s="432"/>
      <c r="X38" s="432"/>
      <c r="Y38" s="432"/>
      <c r="Z38" s="432"/>
      <c r="AA38" s="432"/>
      <c r="AB38" s="432"/>
      <c r="AC38" s="432"/>
      <c r="AD38" s="432"/>
    </row>
    <row r="39">
      <c r="A39" s="433">
        <v>2024.0</v>
      </c>
      <c r="B39" s="433" t="s">
        <v>200</v>
      </c>
      <c r="C39" s="434" t="s">
        <v>2688</v>
      </c>
      <c r="D39" s="440">
        <v>45389.0</v>
      </c>
      <c r="E39" s="440"/>
      <c r="F39" s="29" t="s">
        <v>2689</v>
      </c>
      <c r="G39" s="4" t="s">
        <v>2741</v>
      </c>
      <c r="H39" s="437" t="s">
        <v>57</v>
      </c>
      <c r="I39" s="437" t="s">
        <v>57</v>
      </c>
      <c r="J39" s="437" t="s">
        <v>57</v>
      </c>
      <c r="K39" s="437" t="s">
        <v>57</v>
      </c>
      <c r="L39" s="437" t="s">
        <v>57</v>
      </c>
      <c r="M39" s="29" t="s">
        <v>63</v>
      </c>
      <c r="N39" s="283"/>
      <c r="O39" s="29" t="s">
        <v>57</v>
      </c>
      <c r="P39" s="49" t="s">
        <v>66</v>
      </c>
      <c r="Q39" s="114" t="s">
        <v>2694</v>
      </c>
      <c r="R39" s="432"/>
      <c r="S39" s="432"/>
      <c r="T39" s="432"/>
      <c r="U39" s="432"/>
      <c r="V39" s="432"/>
      <c r="W39" s="432"/>
      <c r="X39" s="432"/>
      <c r="Y39" s="432"/>
      <c r="Z39" s="432"/>
      <c r="AA39" s="432"/>
      <c r="AB39" s="432"/>
      <c r="AC39" s="432"/>
      <c r="AD39" s="432"/>
    </row>
    <row r="40">
      <c r="A40" s="433">
        <v>2024.0</v>
      </c>
      <c r="B40" s="433" t="s">
        <v>200</v>
      </c>
      <c r="C40" s="434" t="s">
        <v>2688</v>
      </c>
      <c r="D40" s="440">
        <v>45390.0</v>
      </c>
      <c r="E40" s="440"/>
      <c r="F40" s="29" t="s">
        <v>133</v>
      </c>
      <c r="G40" s="4" t="s">
        <v>2742</v>
      </c>
      <c r="H40" s="437" t="s">
        <v>57</v>
      </c>
      <c r="I40" s="437" t="s">
        <v>57</v>
      </c>
      <c r="J40" s="437" t="s">
        <v>57</v>
      </c>
      <c r="K40" s="437" t="s">
        <v>57</v>
      </c>
      <c r="L40" s="437" t="s">
        <v>57</v>
      </c>
      <c r="M40" s="29" t="s">
        <v>63</v>
      </c>
      <c r="N40" s="283"/>
      <c r="O40" s="29" t="s">
        <v>57</v>
      </c>
      <c r="P40" s="49" t="s">
        <v>66</v>
      </c>
      <c r="Q40" s="114" t="s">
        <v>2692</v>
      </c>
      <c r="R40" s="432"/>
      <c r="S40" s="432"/>
      <c r="T40" s="432"/>
      <c r="U40" s="432"/>
      <c r="V40" s="432"/>
      <c r="W40" s="432"/>
      <c r="X40" s="432"/>
      <c r="Y40" s="432"/>
      <c r="Z40" s="432"/>
      <c r="AA40" s="432"/>
      <c r="AB40" s="432"/>
      <c r="AC40" s="432"/>
      <c r="AD40" s="432"/>
    </row>
    <row r="41">
      <c r="A41" s="433">
        <v>2024.0</v>
      </c>
      <c r="B41" s="433" t="s">
        <v>200</v>
      </c>
      <c r="C41" s="434" t="s">
        <v>2688</v>
      </c>
      <c r="D41" s="440">
        <v>45391.0</v>
      </c>
      <c r="E41" s="440"/>
      <c r="F41" s="29" t="s">
        <v>72</v>
      </c>
      <c r="G41" s="4" t="s">
        <v>2743</v>
      </c>
      <c r="H41" s="437" t="s">
        <v>57</v>
      </c>
      <c r="I41" s="437" t="s">
        <v>57</v>
      </c>
      <c r="J41" s="437" t="s">
        <v>57</v>
      </c>
      <c r="K41" s="437" t="s">
        <v>57</v>
      </c>
      <c r="L41" s="437" t="s">
        <v>57</v>
      </c>
      <c r="M41" s="29" t="s">
        <v>63</v>
      </c>
      <c r="N41" s="283"/>
      <c r="O41" s="29" t="s">
        <v>57</v>
      </c>
      <c r="P41" s="49" t="s">
        <v>66</v>
      </c>
      <c r="Q41" s="114" t="s">
        <v>2694</v>
      </c>
      <c r="R41" s="432"/>
      <c r="S41" s="432"/>
      <c r="T41" s="432"/>
      <c r="U41" s="432"/>
      <c r="V41" s="432"/>
      <c r="W41" s="432"/>
      <c r="X41" s="432"/>
      <c r="Y41" s="432"/>
      <c r="Z41" s="432"/>
      <c r="AA41" s="432"/>
      <c r="AB41" s="432"/>
      <c r="AC41" s="432"/>
      <c r="AD41" s="432"/>
    </row>
    <row r="42" ht="21.0" customHeight="1">
      <c r="A42" s="433">
        <v>2024.0</v>
      </c>
      <c r="B42" s="433" t="s">
        <v>200</v>
      </c>
      <c r="C42" s="434" t="s">
        <v>2688</v>
      </c>
      <c r="D42" s="440">
        <v>45400.0</v>
      </c>
      <c r="E42" s="440"/>
      <c r="F42" s="29" t="s">
        <v>82</v>
      </c>
      <c r="G42" s="4" t="s">
        <v>2744</v>
      </c>
      <c r="H42" s="437" t="s">
        <v>57</v>
      </c>
      <c r="I42" s="437" t="s">
        <v>57</v>
      </c>
      <c r="J42" s="437" t="s">
        <v>57</v>
      </c>
      <c r="K42" s="438" t="s">
        <v>2745</v>
      </c>
      <c r="L42" s="437" t="s">
        <v>57</v>
      </c>
      <c r="M42" s="29" t="s">
        <v>82</v>
      </c>
      <c r="N42" s="283"/>
      <c r="O42" s="29" t="s">
        <v>57</v>
      </c>
      <c r="P42" s="49" t="s">
        <v>66</v>
      </c>
      <c r="Q42" s="114" t="s">
        <v>2692</v>
      </c>
      <c r="R42" s="432"/>
      <c r="S42" s="432"/>
      <c r="T42" s="432"/>
      <c r="U42" s="432"/>
      <c r="V42" s="432"/>
      <c r="W42" s="432"/>
      <c r="X42" s="432"/>
      <c r="Y42" s="432"/>
      <c r="Z42" s="432"/>
      <c r="AA42" s="432"/>
      <c r="AB42" s="432"/>
      <c r="AC42" s="432"/>
      <c r="AD42" s="432"/>
    </row>
    <row r="43" ht="21.0" customHeight="1">
      <c r="A43" s="433">
        <v>2024.0</v>
      </c>
      <c r="B43" s="433" t="s">
        <v>200</v>
      </c>
      <c r="C43" s="434" t="s">
        <v>2688</v>
      </c>
      <c r="D43" s="440">
        <v>45401.0</v>
      </c>
      <c r="E43" s="440"/>
      <c r="F43" s="29" t="s">
        <v>358</v>
      </c>
      <c r="G43" s="4" t="s">
        <v>2746</v>
      </c>
      <c r="H43" s="437" t="s">
        <v>57</v>
      </c>
      <c r="I43" s="437" t="s">
        <v>57</v>
      </c>
      <c r="J43" s="437" t="s">
        <v>57</v>
      </c>
      <c r="K43" s="438" t="s">
        <v>2747</v>
      </c>
      <c r="L43" s="437" t="s">
        <v>57</v>
      </c>
      <c r="M43" s="29" t="s">
        <v>63</v>
      </c>
      <c r="N43" s="283"/>
      <c r="O43" s="29" t="s">
        <v>57</v>
      </c>
      <c r="P43" s="49" t="s">
        <v>66</v>
      </c>
      <c r="Q43" s="114" t="s">
        <v>2692</v>
      </c>
      <c r="R43" s="432"/>
      <c r="S43" s="432"/>
      <c r="T43" s="432"/>
      <c r="U43" s="432"/>
      <c r="V43" s="432"/>
      <c r="W43" s="432"/>
      <c r="X43" s="432"/>
      <c r="Y43" s="432"/>
      <c r="Z43" s="432"/>
      <c r="AA43" s="432"/>
      <c r="AB43" s="432"/>
      <c r="AC43" s="432"/>
      <c r="AD43" s="432"/>
    </row>
    <row r="44">
      <c r="A44" s="433">
        <v>2024.0</v>
      </c>
      <c r="B44" s="433" t="s">
        <v>200</v>
      </c>
      <c r="C44" s="434" t="s">
        <v>2688</v>
      </c>
      <c r="D44" s="440">
        <v>45402.0</v>
      </c>
      <c r="E44" s="440"/>
      <c r="F44" s="29" t="s">
        <v>2689</v>
      </c>
      <c r="G44" s="4" t="s">
        <v>2715</v>
      </c>
      <c r="H44" s="437" t="s">
        <v>57</v>
      </c>
      <c r="I44" s="437" t="s">
        <v>57</v>
      </c>
      <c r="J44" s="437" t="s">
        <v>57</v>
      </c>
      <c r="K44" s="437" t="s">
        <v>57</v>
      </c>
      <c r="L44" s="437" t="s">
        <v>57</v>
      </c>
      <c r="M44" s="29" t="s">
        <v>63</v>
      </c>
      <c r="N44" s="283"/>
      <c r="O44" s="29" t="s">
        <v>57</v>
      </c>
      <c r="P44" s="49" t="s">
        <v>66</v>
      </c>
      <c r="Q44" s="114" t="s">
        <v>2694</v>
      </c>
      <c r="R44" s="432"/>
      <c r="S44" s="432"/>
      <c r="T44" s="432"/>
      <c r="U44" s="432"/>
      <c r="V44" s="432"/>
      <c r="W44" s="432"/>
      <c r="X44" s="432"/>
      <c r="Y44" s="432"/>
      <c r="Z44" s="432"/>
      <c r="AA44" s="432"/>
      <c r="AB44" s="432"/>
      <c r="AC44" s="432"/>
      <c r="AD44" s="432"/>
    </row>
    <row r="45" ht="22.5" customHeight="1">
      <c r="A45" s="433">
        <v>2024.0</v>
      </c>
      <c r="B45" s="433" t="s">
        <v>200</v>
      </c>
      <c r="C45" s="434" t="s">
        <v>2688</v>
      </c>
      <c r="D45" s="440">
        <v>45403.0</v>
      </c>
      <c r="E45" s="440"/>
      <c r="F45" s="29" t="s">
        <v>2689</v>
      </c>
      <c r="G45" s="4" t="s">
        <v>2715</v>
      </c>
      <c r="H45" s="437" t="s">
        <v>57</v>
      </c>
      <c r="I45" s="437" t="s">
        <v>57</v>
      </c>
      <c r="J45" s="437" t="s">
        <v>57</v>
      </c>
      <c r="K45" s="438" t="s">
        <v>2748</v>
      </c>
      <c r="L45" s="437" t="s">
        <v>57</v>
      </c>
      <c r="M45" s="29" t="s">
        <v>63</v>
      </c>
      <c r="N45" s="283"/>
      <c r="O45" s="29" t="s">
        <v>57</v>
      </c>
      <c r="P45" s="49" t="s">
        <v>66</v>
      </c>
      <c r="Q45" s="114" t="s">
        <v>2694</v>
      </c>
      <c r="R45" s="432"/>
      <c r="S45" s="432"/>
      <c r="T45" s="432"/>
      <c r="U45" s="432"/>
      <c r="V45" s="432"/>
      <c r="W45" s="432"/>
      <c r="X45" s="432"/>
      <c r="Y45" s="432"/>
      <c r="Z45" s="432"/>
      <c r="AA45" s="432"/>
      <c r="AB45" s="432"/>
      <c r="AC45" s="432"/>
      <c r="AD45" s="432"/>
    </row>
    <row r="46" ht="29.25" customHeight="1">
      <c r="A46" s="433">
        <v>2024.0</v>
      </c>
      <c r="B46" s="433" t="s">
        <v>200</v>
      </c>
      <c r="C46" s="434" t="s">
        <v>2688</v>
      </c>
      <c r="D46" s="440">
        <v>45404.0</v>
      </c>
      <c r="E46" s="440"/>
      <c r="F46" s="29" t="s">
        <v>259</v>
      </c>
      <c r="G46" s="4" t="s">
        <v>2749</v>
      </c>
      <c r="H46" s="437" t="s">
        <v>57</v>
      </c>
      <c r="I46" s="437" t="s">
        <v>57</v>
      </c>
      <c r="J46" s="437" t="s">
        <v>57</v>
      </c>
      <c r="K46" s="438" t="s">
        <v>2750</v>
      </c>
      <c r="L46" s="437" t="s">
        <v>57</v>
      </c>
      <c r="M46" s="29" t="s">
        <v>63</v>
      </c>
      <c r="N46" s="283"/>
      <c r="O46" s="29" t="s">
        <v>57</v>
      </c>
      <c r="P46" s="49" t="s">
        <v>66</v>
      </c>
      <c r="Q46" s="114" t="s">
        <v>2692</v>
      </c>
      <c r="R46" s="432"/>
      <c r="S46" s="432"/>
      <c r="T46" s="432"/>
      <c r="U46" s="432"/>
      <c r="V46" s="432"/>
      <c r="W46" s="432"/>
      <c r="X46" s="432"/>
      <c r="Y46" s="432"/>
      <c r="Z46" s="432"/>
      <c r="AA46" s="432"/>
      <c r="AB46" s="432"/>
      <c r="AC46" s="432"/>
      <c r="AD46" s="432"/>
    </row>
    <row r="47">
      <c r="A47" s="433">
        <v>2024.0</v>
      </c>
      <c r="B47" s="433" t="s">
        <v>200</v>
      </c>
      <c r="C47" s="434" t="s">
        <v>2688</v>
      </c>
      <c r="D47" s="440">
        <v>45405.0</v>
      </c>
      <c r="E47" s="440"/>
      <c r="F47" s="29" t="s">
        <v>2689</v>
      </c>
      <c r="G47" s="4" t="s">
        <v>2751</v>
      </c>
      <c r="H47" s="437" t="s">
        <v>57</v>
      </c>
      <c r="I47" s="437" t="s">
        <v>57</v>
      </c>
      <c r="J47" s="437" t="s">
        <v>57</v>
      </c>
      <c r="K47" s="437" t="s">
        <v>57</v>
      </c>
      <c r="L47" s="437" t="s">
        <v>57</v>
      </c>
      <c r="M47" s="29" t="s">
        <v>63</v>
      </c>
      <c r="N47" s="283"/>
      <c r="O47" s="29" t="s">
        <v>57</v>
      </c>
      <c r="P47" s="49" t="s">
        <v>66</v>
      </c>
      <c r="Q47" s="114" t="s">
        <v>2692</v>
      </c>
      <c r="R47" s="432"/>
      <c r="S47" s="432"/>
      <c r="T47" s="432"/>
      <c r="U47" s="432"/>
      <c r="V47" s="432"/>
      <c r="W47" s="432"/>
      <c r="X47" s="432"/>
      <c r="Y47" s="432"/>
      <c r="Z47" s="432"/>
      <c r="AA47" s="432"/>
      <c r="AB47" s="432"/>
      <c r="AC47" s="432"/>
      <c r="AD47" s="432"/>
    </row>
    <row r="48" ht="24.0" customHeight="1">
      <c r="A48" s="433">
        <v>2024.0</v>
      </c>
      <c r="B48" s="433" t="s">
        <v>200</v>
      </c>
      <c r="C48" s="434" t="s">
        <v>2688</v>
      </c>
      <c r="D48" s="440">
        <v>45406.0</v>
      </c>
      <c r="E48" s="440"/>
      <c r="F48" s="29"/>
      <c r="G48" s="437" t="s">
        <v>57</v>
      </c>
      <c r="H48" s="437" t="s">
        <v>57</v>
      </c>
      <c r="I48" s="437" t="s">
        <v>57</v>
      </c>
      <c r="J48" s="437" t="s">
        <v>57</v>
      </c>
      <c r="K48" s="437" t="s">
        <v>57</v>
      </c>
      <c r="L48" s="437" t="s">
        <v>57</v>
      </c>
      <c r="M48" s="29" t="s">
        <v>63</v>
      </c>
      <c r="N48" s="283"/>
      <c r="O48" s="29" t="s">
        <v>57</v>
      </c>
      <c r="P48" s="49" t="s">
        <v>66</v>
      </c>
      <c r="Q48" s="114" t="s">
        <v>2694</v>
      </c>
      <c r="R48" s="432"/>
      <c r="S48" s="432"/>
      <c r="T48" s="432"/>
      <c r="U48" s="432"/>
      <c r="V48" s="432"/>
      <c r="W48" s="432"/>
      <c r="X48" s="432"/>
      <c r="Y48" s="432"/>
      <c r="Z48" s="432"/>
      <c r="AA48" s="432"/>
      <c r="AB48" s="432"/>
      <c r="AC48" s="432"/>
      <c r="AD48" s="432"/>
    </row>
    <row r="49" ht="27.0" customHeight="1">
      <c r="A49" s="433">
        <v>2024.0</v>
      </c>
      <c r="B49" s="433" t="s">
        <v>312</v>
      </c>
      <c r="C49" s="434" t="s">
        <v>2688</v>
      </c>
      <c r="D49" s="440">
        <v>45419.0</v>
      </c>
      <c r="E49" s="440"/>
      <c r="F49" s="29" t="s">
        <v>2689</v>
      </c>
      <c r="G49" s="4" t="s">
        <v>2752</v>
      </c>
      <c r="H49" s="437" t="s">
        <v>57</v>
      </c>
      <c r="I49" s="437" t="s">
        <v>57</v>
      </c>
      <c r="J49" s="437" t="s">
        <v>57</v>
      </c>
      <c r="K49" s="438" t="s">
        <v>2753</v>
      </c>
      <c r="L49" s="437" t="s">
        <v>57</v>
      </c>
      <c r="M49" s="29" t="s">
        <v>63</v>
      </c>
      <c r="N49" s="283"/>
      <c r="O49" s="29" t="s">
        <v>57</v>
      </c>
      <c r="P49" s="49" t="s">
        <v>66</v>
      </c>
      <c r="Q49" s="114" t="s">
        <v>2692</v>
      </c>
      <c r="R49" s="432"/>
      <c r="S49" s="432"/>
      <c r="T49" s="432"/>
      <c r="U49" s="432"/>
      <c r="V49" s="432"/>
      <c r="W49" s="432"/>
      <c r="X49" s="432"/>
      <c r="Y49" s="432"/>
      <c r="Z49" s="432"/>
      <c r="AA49" s="432"/>
      <c r="AB49" s="432"/>
      <c r="AC49" s="432"/>
      <c r="AD49" s="432"/>
    </row>
    <row r="50" ht="32.25" customHeight="1">
      <c r="A50" s="433">
        <v>2024.0</v>
      </c>
      <c r="B50" s="433" t="s">
        <v>312</v>
      </c>
      <c r="C50" s="434" t="s">
        <v>2688</v>
      </c>
      <c r="D50" s="440">
        <v>45420.0</v>
      </c>
      <c r="E50" s="440"/>
      <c r="F50" s="29" t="s">
        <v>72</v>
      </c>
      <c r="G50" s="4" t="s">
        <v>2754</v>
      </c>
      <c r="H50" s="437" t="s">
        <v>57</v>
      </c>
      <c r="I50" s="437" t="s">
        <v>57</v>
      </c>
      <c r="J50" s="437" t="s">
        <v>57</v>
      </c>
      <c r="K50" s="438" t="s">
        <v>2755</v>
      </c>
      <c r="L50" s="437" t="s">
        <v>57</v>
      </c>
      <c r="M50" s="29" t="s">
        <v>63</v>
      </c>
      <c r="N50" s="283"/>
      <c r="O50" s="29" t="s">
        <v>57</v>
      </c>
      <c r="P50" s="49" t="s">
        <v>66</v>
      </c>
      <c r="Q50" s="114" t="s">
        <v>2694</v>
      </c>
      <c r="R50" s="432"/>
      <c r="S50" s="432"/>
      <c r="T50" s="432"/>
      <c r="U50" s="432"/>
      <c r="V50" s="432"/>
      <c r="W50" s="432"/>
      <c r="X50" s="432"/>
      <c r="Y50" s="432"/>
      <c r="Z50" s="432"/>
      <c r="AA50" s="432"/>
      <c r="AB50" s="432"/>
      <c r="AC50" s="432"/>
      <c r="AD50" s="432"/>
    </row>
    <row r="51" ht="27.0" customHeight="1">
      <c r="A51" s="433">
        <v>2024.0</v>
      </c>
      <c r="B51" s="433" t="s">
        <v>312</v>
      </c>
      <c r="C51" s="434" t="s">
        <v>2688</v>
      </c>
      <c r="D51" s="440">
        <v>45421.0</v>
      </c>
      <c r="E51" s="440"/>
      <c r="F51" s="29" t="s">
        <v>72</v>
      </c>
      <c r="G51" s="4" t="s">
        <v>2756</v>
      </c>
      <c r="H51" s="437" t="s">
        <v>57</v>
      </c>
      <c r="I51" s="437" t="s">
        <v>57</v>
      </c>
      <c r="J51" s="437" t="s">
        <v>57</v>
      </c>
      <c r="K51" s="437" t="s">
        <v>2757</v>
      </c>
      <c r="L51" s="437" t="s">
        <v>57</v>
      </c>
      <c r="M51" s="29" t="s">
        <v>63</v>
      </c>
      <c r="N51" s="283"/>
      <c r="O51" s="29" t="s">
        <v>57</v>
      </c>
      <c r="P51" s="49" t="s">
        <v>66</v>
      </c>
      <c r="Q51" s="114" t="s">
        <v>2692</v>
      </c>
      <c r="R51" s="432"/>
      <c r="S51" s="432"/>
      <c r="T51" s="432"/>
      <c r="U51" s="432"/>
      <c r="V51" s="432"/>
      <c r="W51" s="432"/>
      <c r="X51" s="432"/>
      <c r="Y51" s="432"/>
      <c r="Z51" s="432"/>
      <c r="AA51" s="432"/>
      <c r="AB51" s="432"/>
      <c r="AC51" s="432"/>
      <c r="AD51" s="432"/>
    </row>
    <row r="52" ht="28.5" customHeight="1">
      <c r="A52" s="433">
        <v>2024.0</v>
      </c>
      <c r="B52" s="433" t="s">
        <v>312</v>
      </c>
      <c r="C52" s="434" t="s">
        <v>2688</v>
      </c>
      <c r="D52" s="440">
        <v>45422.0</v>
      </c>
      <c r="E52" s="440"/>
      <c r="F52" s="29" t="s">
        <v>72</v>
      </c>
      <c r="G52" s="4" t="s">
        <v>2758</v>
      </c>
      <c r="H52" s="437" t="s">
        <v>57</v>
      </c>
      <c r="I52" s="437" t="s">
        <v>57</v>
      </c>
      <c r="J52" s="437" t="s">
        <v>57</v>
      </c>
      <c r="K52" s="438" t="s">
        <v>2759</v>
      </c>
      <c r="L52" s="437" t="s">
        <v>57</v>
      </c>
      <c r="M52" s="29" t="s">
        <v>63</v>
      </c>
      <c r="N52" s="283"/>
      <c r="O52" s="29" t="s">
        <v>57</v>
      </c>
      <c r="P52" s="49" t="s">
        <v>66</v>
      </c>
      <c r="Q52" s="114" t="s">
        <v>2694</v>
      </c>
      <c r="R52" s="432"/>
      <c r="S52" s="432"/>
      <c r="T52" s="432"/>
      <c r="U52" s="432"/>
      <c r="V52" s="432"/>
      <c r="W52" s="432"/>
      <c r="X52" s="432"/>
      <c r="Y52" s="432"/>
      <c r="Z52" s="432"/>
      <c r="AA52" s="432"/>
      <c r="AB52" s="432"/>
      <c r="AC52" s="432"/>
      <c r="AD52" s="432"/>
    </row>
    <row r="53">
      <c r="A53" s="433">
        <v>2024.0</v>
      </c>
      <c r="B53" s="433" t="s">
        <v>312</v>
      </c>
      <c r="C53" s="434" t="s">
        <v>2688</v>
      </c>
      <c r="D53" s="440">
        <v>45423.0</v>
      </c>
      <c r="E53" s="440"/>
      <c r="F53" s="29" t="s">
        <v>2689</v>
      </c>
      <c r="G53" s="4" t="s">
        <v>2715</v>
      </c>
      <c r="H53" s="437" t="s">
        <v>57</v>
      </c>
      <c r="I53" s="437" t="s">
        <v>57</v>
      </c>
      <c r="J53" s="438" t="s">
        <v>2760</v>
      </c>
      <c r="K53" s="437" t="s">
        <v>57</v>
      </c>
      <c r="L53" s="437" t="s">
        <v>57</v>
      </c>
      <c r="M53" s="29" t="s">
        <v>63</v>
      </c>
      <c r="N53" s="283"/>
      <c r="O53" s="29" t="s">
        <v>57</v>
      </c>
      <c r="P53" s="49" t="s">
        <v>66</v>
      </c>
      <c r="Q53" s="114" t="s">
        <v>2694</v>
      </c>
      <c r="R53" s="432"/>
      <c r="S53" s="432"/>
      <c r="T53" s="432"/>
      <c r="U53" s="432"/>
      <c r="V53" s="432"/>
      <c r="W53" s="432"/>
      <c r="X53" s="432"/>
      <c r="Y53" s="432"/>
      <c r="Z53" s="432"/>
      <c r="AA53" s="432"/>
      <c r="AB53" s="432"/>
      <c r="AC53" s="432"/>
      <c r="AD53" s="432"/>
    </row>
    <row r="54">
      <c r="A54" s="433">
        <v>2024.0</v>
      </c>
      <c r="B54" s="433" t="s">
        <v>312</v>
      </c>
      <c r="C54" s="434" t="s">
        <v>2688</v>
      </c>
      <c r="D54" s="440">
        <v>45424.0</v>
      </c>
      <c r="E54" s="440"/>
      <c r="F54" s="29" t="s">
        <v>2689</v>
      </c>
      <c r="G54" s="4" t="s">
        <v>2715</v>
      </c>
      <c r="H54" s="437" t="s">
        <v>57</v>
      </c>
      <c r="I54" s="437" t="s">
        <v>57</v>
      </c>
      <c r="J54" s="437" t="s">
        <v>57</v>
      </c>
      <c r="K54" s="437" t="s">
        <v>57</v>
      </c>
      <c r="L54" s="437" t="s">
        <v>57</v>
      </c>
      <c r="M54" s="29" t="s">
        <v>63</v>
      </c>
      <c r="N54" s="283"/>
      <c r="O54" s="29" t="s">
        <v>57</v>
      </c>
      <c r="P54" s="49" t="s">
        <v>66</v>
      </c>
      <c r="Q54" s="114" t="s">
        <v>2694</v>
      </c>
      <c r="R54" s="432"/>
      <c r="S54" s="432"/>
      <c r="T54" s="432"/>
      <c r="U54" s="432"/>
      <c r="V54" s="432"/>
      <c r="W54" s="432"/>
      <c r="X54" s="432"/>
      <c r="Y54" s="432"/>
      <c r="Z54" s="432"/>
      <c r="AA54" s="432"/>
      <c r="AB54" s="432"/>
      <c r="AC54" s="432"/>
      <c r="AD54" s="432"/>
    </row>
    <row r="55" ht="21.0" customHeight="1">
      <c r="A55" s="433">
        <v>2024.0</v>
      </c>
      <c r="B55" s="433" t="s">
        <v>312</v>
      </c>
      <c r="C55" s="434" t="s">
        <v>2688</v>
      </c>
      <c r="D55" s="440">
        <v>45425.0</v>
      </c>
      <c r="E55" s="440"/>
      <c r="F55" s="29" t="s">
        <v>2689</v>
      </c>
      <c r="G55" s="4" t="s">
        <v>2715</v>
      </c>
      <c r="H55" s="437" t="s">
        <v>57</v>
      </c>
      <c r="I55" s="437" t="s">
        <v>57</v>
      </c>
      <c r="J55" s="438" t="s">
        <v>2761</v>
      </c>
      <c r="K55" s="437" t="s">
        <v>57</v>
      </c>
      <c r="L55" s="437" t="s">
        <v>57</v>
      </c>
      <c r="M55" s="29" t="s">
        <v>63</v>
      </c>
      <c r="N55" s="283"/>
      <c r="O55" s="29" t="s">
        <v>57</v>
      </c>
      <c r="P55" s="49" t="s">
        <v>66</v>
      </c>
      <c r="Q55" s="114" t="s">
        <v>2694</v>
      </c>
      <c r="R55" s="432"/>
      <c r="S55" s="432"/>
      <c r="T55" s="432"/>
      <c r="U55" s="432"/>
      <c r="V55" s="432"/>
      <c r="W55" s="432"/>
      <c r="X55" s="432"/>
      <c r="Y55" s="432"/>
      <c r="Z55" s="432"/>
      <c r="AA55" s="432"/>
      <c r="AB55" s="432"/>
      <c r="AC55" s="432"/>
      <c r="AD55" s="432"/>
    </row>
    <row r="56" ht="35.25" customHeight="1">
      <c r="A56" s="433">
        <v>2024.0</v>
      </c>
      <c r="B56" s="433" t="s">
        <v>312</v>
      </c>
      <c r="C56" s="434" t="s">
        <v>2688</v>
      </c>
      <c r="D56" s="440">
        <v>45426.0</v>
      </c>
      <c r="E56" s="440"/>
      <c r="F56" s="29" t="s">
        <v>2474</v>
      </c>
      <c r="G56" s="4" t="s">
        <v>2762</v>
      </c>
      <c r="H56" s="437" t="s">
        <v>57</v>
      </c>
      <c r="I56" s="437" t="s">
        <v>57</v>
      </c>
      <c r="J56" s="437" t="s">
        <v>57</v>
      </c>
      <c r="K56" s="438" t="s">
        <v>2763</v>
      </c>
      <c r="L56" s="437" t="s">
        <v>57</v>
      </c>
      <c r="M56" s="29" t="s">
        <v>63</v>
      </c>
      <c r="N56" s="283"/>
      <c r="O56" s="29" t="s">
        <v>57</v>
      </c>
      <c r="P56" s="49" t="s">
        <v>66</v>
      </c>
      <c r="Q56" s="114" t="s">
        <v>2474</v>
      </c>
      <c r="R56" s="432"/>
      <c r="S56" s="432"/>
      <c r="T56" s="432"/>
      <c r="U56" s="432"/>
      <c r="V56" s="432"/>
      <c r="W56" s="432"/>
      <c r="X56" s="432"/>
      <c r="Y56" s="432"/>
      <c r="Z56" s="432"/>
      <c r="AA56" s="432"/>
      <c r="AB56" s="432"/>
      <c r="AC56" s="432"/>
      <c r="AD56" s="432"/>
    </row>
    <row r="57" ht="19.5" customHeight="1">
      <c r="A57" s="433">
        <v>2024.0</v>
      </c>
      <c r="B57" s="433" t="s">
        <v>312</v>
      </c>
      <c r="C57" s="434" t="s">
        <v>2688</v>
      </c>
      <c r="D57" s="440">
        <v>45427.0</v>
      </c>
      <c r="E57" s="440"/>
      <c r="F57" s="29" t="s">
        <v>2764</v>
      </c>
      <c r="G57" s="4" t="s">
        <v>2765</v>
      </c>
      <c r="H57" s="437" t="s">
        <v>57</v>
      </c>
      <c r="I57" s="437" t="s">
        <v>57</v>
      </c>
      <c r="J57" s="437" t="s">
        <v>57</v>
      </c>
      <c r="K57" s="437" t="s">
        <v>57</v>
      </c>
      <c r="L57" s="437" t="s">
        <v>57</v>
      </c>
      <c r="M57" s="29" t="s">
        <v>63</v>
      </c>
      <c r="N57" s="283"/>
      <c r="O57" s="29" t="s">
        <v>57</v>
      </c>
      <c r="P57" s="49" t="s">
        <v>66</v>
      </c>
      <c r="Q57" s="114" t="s">
        <v>2766</v>
      </c>
      <c r="R57" s="432"/>
      <c r="S57" s="432"/>
      <c r="T57" s="432"/>
      <c r="U57" s="432"/>
      <c r="V57" s="432"/>
      <c r="W57" s="432"/>
      <c r="X57" s="432"/>
      <c r="Y57" s="432"/>
      <c r="Z57" s="432"/>
      <c r="AA57" s="432"/>
      <c r="AB57" s="432"/>
      <c r="AC57" s="432"/>
      <c r="AD57" s="432"/>
    </row>
    <row r="58" ht="25.5" customHeight="1">
      <c r="A58" s="433">
        <v>2024.0</v>
      </c>
      <c r="B58" s="433" t="s">
        <v>312</v>
      </c>
      <c r="C58" s="434" t="s">
        <v>2688</v>
      </c>
      <c r="D58" s="440">
        <v>45428.0</v>
      </c>
      <c r="E58" s="440"/>
      <c r="F58" s="29" t="s">
        <v>1018</v>
      </c>
      <c r="G58" s="4" t="s">
        <v>2767</v>
      </c>
      <c r="H58" s="437" t="s">
        <v>57</v>
      </c>
      <c r="I58" s="437" t="s">
        <v>57</v>
      </c>
      <c r="J58" s="437" t="s">
        <v>57</v>
      </c>
      <c r="K58" s="437" t="s">
        <v>2768</v>
      </c>
      <c r="L58" s="437" t="s">
        <v>57</v>
      </c>
      <c r="M58" s="29" t="s">
        <v>63</v>
      </c>
      <c r="N58" s="283"/>
      <c r="O58" s="29" t="s">
        <v>57</v>
      </c>
      <c r="P58" s="49" t="s">
        <v>66</v>
      </c>
      <c r="Q58" s="114" t="s">
        <v>2769</v>
      </c>
      <c r="R58" s="432"/>
      <c r="S58" s="432"/>
      <c r="T58" s="432"/>
      <c r="U58" s="432"/>
      <c r="V58" s="432"/>
      <c r="W58" s="432"/>
      <c r="X58" s="432"/>
      <c r="Y58" s="432"/>
      <c r="Z58" s="432"/>
      <c r="AA58" s="432"/>
      <c r="AB58" s="432"/>
      <c r="AC58" s="432"/>
      <c r="AD58" s="432"/>
    </row>
    <row r="59" ht="24.0" customHeight="1">
      <c r="A59" s="433">
        <v>2024.0</v>
      </c>
      <c r="B59" s="433" t="s">
        <v>312</v>
      </c>
      <c r="C59" s="434" t="s">
        <v>2688</v>
      </c>
      <c r="D59" s="440">
        <v>45429.0</v>
      </c>
      <c r="E59" s="440"/>
      <c r="F59" s="29" t="s">
        <v>2764</v>
      </c>
      <c r="G59" s="438" t="s">
        <v>2770</v>
      </c>
      <c r="H59" s="437" t="s">
        <v>57</v>
      </c>
      <c r="I59" s="437" t="s">
        <v>57</v>
      </c>
      <c r="J59" s="437" t="s">
        <v>57</v>
      </c>
      <c r="K59" s="438" t="s">
        <v>2771</v>
      </c>
      <c r="L59" s="437" t="s">
        <v>57</v>
      </c>
      <c r="M59" s="29" t="s">
        <v>63</v>
      </c>
      <c r="N59" s="283"/>
      <c r="O59" s="29" t="s">
        <v>57</v>
      </c>
      <c r="P59" s="49" t="s">
        <v>66</v>
      </c>
      <c r="Q59" s="114" t="s">
        <v>2766</v>
      </c>
      <c r="R59" s="432"/>
      <c r="S59" s="432"/>
      <c r="T59" s="432"/>
      <c r="U59" s="432"/>
      <c r="V59" s="432"/>
      <c r="W59" s="432"/>
      <c r="X59" s="432"/>
      <c r="Y59" s="432"/>
      <c r="Z59" s="432"/>
      <c r="AA59" s="432"/>
      <c r="AB59" s="432"/>
      <c r="AC59" s="432"/>
      <c r="AD59" s="432"/>
    </row>
    <row r="60">
      <c r="A60" s="433">
        <v>2024.0</v>
      </c>
      <c r="B60" s="433" t="s">
        <v>312</v>
      </c>
      <c r="C60" s="434" t="s">
        <v>2688</v>
      </c>
      <c r="D60" s="440">
        <v>45430.0</v>
      </c>
      <c r="E60" s="440"/>
      <c r="F60" s="29" t="s">
        <v>2689</v>
      </c>
      <c r="G60" s="438" t="s">
        <v>2715</v>
      </c>
      <c r="H60" s="437" t="s">
        <v>57</v>
      </c>
      <c r="I60" s="437" t="s">
        <v>57</v>
      </c>
      <c r="J60" s="437" t="s">
        <v>57</v>
      </c>
      <c r="K60" s="437" t="s">
        <v>57</v>
      </c>
      <c r="L60" s="437" t="s">
        <v>57</v>
      </c>
      <c r="M60" s="29" t="s">
        <v>63</v>
      </c>
      <c r="N60" s="283"/>
      <c r="O60" s="29" t="s">
        <v>57</v>
      </c>
      <c r="P60" s="49" t="s">
        <v>66</v>
      </c>
      <c r="Q60" s="114" t="s">
        <v>2694</v>
      </c>
      <c r="R60" s="432"/>
      <c r="S60" s="432"/>
      <c r="T60" s="432"/>
      <c r="U60" s="432"/>
      <c r="V60" s="432"/>
      <c r="W60" s="432"/>
      <c r="X60" s="432"/>
      <c r="Y60" s="432"/>
      <c r="Z60" s="432"/>
      <c r="AA60" s="432"/>
      <c r="AB60" s="432"/>
      <c r="AC60" s="432"/>
      <c r="AD60" s="432"/>
    </row>
    <row r="61">
      <c r="A61" s="433">
        <v>2024.0</v>
      </c>
      <c r="B61" s="433" t="s">
        <v>312</v>
      </c>
      <c r="C61" s="434" t="s">
        <v>2688</v>
      </c>
      <c r="D61" s="440">
        <v>45431.0</v>
      </c>
      <c r="E61" s="440"/>
      <c r="F61" s="29" t="s">
        <v>2689</v>
      </c>
      <c r="G61" s="438" t="s">
        <v>2715</v>
      </c>
      <c r="H61" s="437" t="s">
        <v>57</v>
      </c>
      <c r="I61" s="437" t="s">
        <v>57</v>
      </c>
      <c r="J61" s="437" t="s">
        <v>57</v>
      </c>
      <c r="K61" s="437" t="s">
        <v>57</v>
      </c>
      <c r="L61" s="437" t="s">
        <v>57</v>
      </c>
      <c r="M61" s="29" t="s">
        <v>63</v>
      </c>
      <c r="N61" s="283"/>
      <c r="O61" s="29" t="s">
        <v>57</v>
      </c>
      <c r="P61" s="49" t="s">
        <v>66</v>
      </c>
      <c r="Q61" s="114" t="s">
        <v>2694</v>
      </c>
      <c r="R61" s="432"/>
      <c r="S61" s="432"/>
      <c r="T61" s="432"/>
      <c r="U61" s="432"/>
      <c r="V61" s="432"/>
      <c r="W61" s="432"/>
      <c r="X61" s="432"/>
      <c r="Y61" s="432"/>
      <c r="Z61" s="432"/>
      <c r="AA61" s="432"/>
      <c r="AB61" s="432"/>
      <c r="AC61" s="432"/>
      <c r="AD61" s="432"/>
    </row>
    <row r="62">
      <c r="A62" s="433">
        <v>2024.0</v>
      </c>
      <c r="B62" s="433" t="s">
        <v>312</v>
      </c>
      <c r="C62" s="434" t="s">
        <v>2688</v>
      </c>
      <c r="D62" s="440">
        <v>45432.0</v>
      </c>
      <c r="E62" s="440"/>
      <c r="F62" s="29"/>
      <c r="G62" s="438" t="s">
        <v>2772</v>
      </c>
      <c r="H62" s="437" t="s">
        <v>57</v>
      </c>
      <c r="I62" s="437" t="s">
        <v>57</v>
      </c>
      <c r="J62" s="437" t="s">
        <v>57</v>
      </c>
      <c r="K62" s="437" t="s">
        <v>57</v>
      </c>
      <c r="L62" s="437" t="s">
        <v>57</v>
      </c>
      <c r="M62" s="29" t="s">
        <v>63</v>
      </c>
      <c r="N62" s="283"/>
      <c r="O62" s="29" t="s">
        <v>57</v>
      </c>
      <c r="P62" s="49" t="s">
        <v>66</v>
      </c>
      <c r="Q62" s="114" t="s">
        <v>2773</v>
      </c>
      <c r="R62" s="432"/>
      <c r="S62" s="432"/>
      <c r="T62" s="432"/>
      <c r="U62" s="432"/>
      <c r="V62" s="432"/>
      <c r="W62" s="432"/>
      <c r="X62" s="432"/>
      <c r="Y62" s="432"/>
      <c r="Z62" s="432"/>
      <c r="AA62" s="432"/>
      <c r="AB62" s="432"/>
      <c r="AC62" s="432"/>
      <c r="AD62" s="432"/>
    </row>
    <row r="63">
      <c r="A63" s="433">
        <v>2024.0</v>
      </c>
      <c r="B63" s="433" t="s">
        <v>312</v>
      </c>
      <c r="C63" s="434" t="s">
        <v>2688</v>
      </c>
      <c r="D63" s="440">
        <v>45433.0</v>
      </c>
      <c r="E63" s="440"/>
      <c r="F63" s="29" t="s">
        <v>2764</v>
      </c>
      <c r="G63" s="438" t="s">
        <v>2774</v>
      </c>
      <c r="H63" s="437" t="s">
        <v>57</v>
      </c>
      <c r="I63" s="437" t="s">
        <v>57</v>
      </c>
      <c r="J63" s="437" t="s">
        <v>57</v>
      </c>
      <c r="K63" s="437" t="s">
        <v>57</v>
      </c>
      <c r="L63" s="437" t="s">
        <v>57</v>
      </c>
      <c r="M63" s="29" t="s">
        <v>63</v>
      </c>
      <c r="N63" s="283"/>
      <c r="O63" s="29" t="s">
        <v>57</v>
      </c>
      <c r="P63" s="49" t="s">
        <v>66</v>
      </c>
      <c r="Q63" s="114" t="s">
        <v>2766</v>
      </c>
      <c r="R63" s="432"/>
      <c r="S63" s="432"/>
      <c r="T63" s="432"/>
      <c r="U63" s="432"/>
      <c r="V63" s="432"/>
      <c r="W63" s="432"/>
      <c r="X63" s="432"/>
      <c r="Y63" s="432"/>
      <c r="Z63" s="432"/>
      <c r="AA63" s="432"/>
      <c r="AB63" s="432"/>
      <c r="AC63" s="432"/>
      <c r="AD63" s="432"/>
    </row>
    <row r="64">
      <c r="A64" s="433">
        <v>2024.0</v>
      </c>
      <c r="B64" s="433" t="s">
        <v>312</v>
      </c>
      <c r="C64" s="434" t="s">
        <v>2775</v>
      </c>
      <c r="D64" s="440">
        <v>45434.0</v>
      </c>
      <c r="E64" s="440"/>
      <c r="F64" s="29" t="s">
        <v>222</v>
      </c>
      <c r="G64" s="438" t="s">
        <v>2776</v>
      </c>
      <c r="H64" s="437" t="s">
        <v>2777</v>
      </c>
      <c r="I64" s="437" t="s">
        <v>1757</v>
      </c>
      <c r="J64" s="437" t="s">
        <v>57</v>
      </c>
      <c r="K64" s="437" t="s">
        <v>57</v>
      </c>
      <c r="L64" s="437" t="s">
        <v>57</v>
      </c>
      <c r="M64" s="29" t="s">
        <v>128</v>
      </c>
      <c r="N64" s="283"/>
      <c r="O64" s="29" t="s">
        <v>57</v>
      </c>
      <c r="P64" s="49" t="s">
        <v>66</v>
      </c>
      <c r="Q64" s="114" t="s">
        <v>2778</v>
      </c>
      <c r="R64" s="432"/>
      <c r="S64" s="432"/>
      <c r="T64" s="432"/>
      <c r="U64" s="432"/>
      <c r="V64" s="432"/>
      <c r="W64" s="432"/>
      <c r="X64" s="432"/>
      <c r="Y64" s="432"/>
      <c r="Z64" s="432"/>
      <c r="AA64" s="432"/>
      <c r="AB64" s="432"/>
      <c r="AC64" s="432"/>
      <c r="AD64" s="432"/>
    </row>
    <row r="65" ht="30.0" customHeight="1">
      <c r="A65" s="433">
        <v>2024.0</v>
      </c>
      <c r="B65" s="433" t="s">
        <v>312</v>
      </c>
      <c r="C65" s="434" t="s">
        <v>2688</v>
      </c>
      <c r="D65" s="440">
        <v>45435.0</v>
      </c>
      <c r="E65" s="440"/>
      <c r="F65" s="29" t="s">
        <v>133</v>
      </c>
      <c r="G65" s="4" t="s">
        <v>2779</v>
      </c>
      <c r="H65" s="437" t="s">
        <v>2780</v>
      </c>
      <c r="I65" s="437" t="s">
        <v>57</v>
      </c>
      <c r="J65" s="437" t="s">
        <v>57</v>
      </c>
      <c r="K65" s="438" t="s">
        <v>2781</v>
      </c>
      <c r="L65" s="437" t="s">
        <v>57</v>
      </c>
      <c r="M65" s="29" t="s">
        <v>63</v>
      </c>
      <c r="N65" s="283"/>
      <c r="O65" s="29" t="s">
        <v>57</v>
      </c>
      <c r="P65" s="49" t="s">
        <v>66</v>
      </c>
      <c r="Q65" s="114" t="s">
        <v>2692</v>
      </c>
      <c r="R65" s="432"/>
      <c r="S65" s="432"/>
      <c r="T65" s="432"/>
      <c r="U65" s="432"/>
      <c r="V65" s="432"/>
      <c r="W65" s="432"/>
      <c r="X65" s="432"/>
      <c r="Y65" s="432"/>
      <c r="Z65" s="432"/>
      <c r="AA65" s="432"/>
      <c r="AB65" s="432"/>
      <c r="AC65" s="432"/>
      <c r="AD65" s="432"/>
    </row>
    <row r="66">
      <c r="A66" s="433">
        <v>2024.0</v>
      </c>
      <c r="B66" s="433" t="s">
        <v>312</v>
      </c>
      <c r="C66" s="434" t="s">
        <v>2688</v>
      </c>
      <c r="D66" s="440">
        <v>45436.0</v>
      </c>
      <c r="E66" s="440"/>
      <c r="F66" s="29" t="s">
        <v>82</v>
      </c>
      <c r="G66" s="4" t="s">
        <v>2782</v>
      </c>
      <c r="H66" s="437" t="s">
        <v>57</v>
      </c>
      <c r="I66" s="437" t="s">
        <v>57</v>
      </c>
      <c r="J66" s="437" t="s">
        <v>57</v>
      </c>
      <c r="K66" s="437" t="s">
        <v>57</v>
      </c>
      <c r="L66" s="437" t="s">
        <v>57</v>
      </c>
      <c r="M66" s="29" t="s">
        <v>82</v>
      </c>
      <c r="N66" s="283"/>
      <c r="O66" s="29" t="s">
        <v>57</v>
      </c>
      <c r="P66" s="49" t="s">
        <v>66</v>
      </c>
      <c r="Q66" s="114" t="s">
        <v>2783</v>
      </c>
      <c r="R66" s="432"/>
      <c r="S66" s="432"/>
      <c r="T66" s="432"/>
      <c r="U66" s="432"/>
      <c r="V66" s="432"/>
      <c r="W66" s="432"/>
      <c r="X66" s="432"/>
      <c r="Y66" s="432"/>
      <c r="Z66" s="432"/>
      <c r="AA66" s="432"/>
      <c r="AB66" s="432"/>
      <c r="AC66" s="432"/>
      <c r="AD66" s="432"/>
    </row>
    <row r="67">
      <c r="A67" s="433">
        <v>2024.0</v>
      </c>
      <c r="B67" s="433" t="s">
        <v>312</v>
      </c>
      <c r="C67" s="434" t="s">
        <v>2688</v>
      </c>
      <c r="D67" s="440">
        <v>45437.0</v>
      </c>
      <c r="E67" s="440"/>
      <c r="F67" s="29" t="s">
        <v>2689</v>
      </c>
      <c r="G67" s="4" t="s">
        <v>2784</v>
      </c>
      <c r="H67" s="437" t="s">
        <v>57</v>
      </c>
      <c r="I67" s="437" t="s">
        <v>57</v>
      </c>
      <c r="J67" s="437" t="s">
        <v>57</v>
      </c>
      <c r="K67" s="437" t="s">
        <v>57</v>
      </c>
      <c r="L67" s="437" t="s">
        <v>57</v>
      </c>
      <c r="M67" s="29" t="s">
        <v>63</v>
      </c>
      <c r="N67" s="283"/>
      <c r="O67" s="29" t="s">
        <v>57</v>
      </c>
      <c r="P67" s="49" t="s">
        <v>66</v>
      </c>
      <c r="Q67" s="114" t="s">
        <v>2694</v>
      </c>
      <c r="R67" s="432"/>
      <c r="S67" s="432"/>
      <c r="T67" s="432"/>
      <c r="U67" s="432"/>
      <c r="V67" s="432"/>
      <c r="W67" s="432"/>
      <c r="X67" s="432"/>
      <c r="Y67" s="432"/>
      <c r="Z67" s="432"/>
      <c r="AA67" s="432"/>
      <c r="AB67" s="432"/>
      <c r="AC67" s="432"/>
      <c r="AD67" s="432"/>
    </row>
    <row r="68">
      <c r="A68" s="433">
        <v>2024.0</v>
      </c>
      <c r="B68" s="433" t="s">
        <v>312</v>
      </c>
      <c r="C68" s="434" t="s">
        <v>2688</v>
      </c>
      <c r="D68" s="440">
        <v>45438.0</v>
      </c>
      <c r="E68" s="440"/>
      <c r="F68" s="29" t="s">
        <v>2689</v>
      </c>
      <c r="G68" s="4" t="s">
        <v>2699</v>
      </c>
      <c r="H68" s="437" t="s">
        <v>57</v>
      </c>
      <c r="I68" s="437" t="s">
        <v>57</v>
      </c>
      <c r="J68" s="437" t="s">
        <v>57</v>
      </c>
      <c r="K68" s="437" t="s">
        <v>57</v>
      </c>
      <c r="L68" s="437" t="s">
        <v>57</v>
      </c>
      <c r="M68" s="29" t="s">
        <v>63</v>
      </c>
      <c r="N68" s="283"/>
      <c r="O68" s="29" t="s">
        <v>57</v>
      </c>
      <c r="P68" s="49" t="s">
        <v>66</v>
      </c>
      <c r="Q68" s="114" t="s">
        <v>2694</v>
      </c>
      <c r="R68" s="432"/>
      <c r="S68" s="432"/>
      <c r="T68" s="432"/>
      <c r="U68" s="432"/>
      <c r="V68" s="432"/>
      <c r="W68" s="432"/>
      <c r="X68" s="432"/>
      <c r="Y68" s="432"/>
      <c r="Z68" s="432"/>
      <c r="AA68" s="432"/>
      <c r="AB68" s="432"/>
      <c r="AC68" s="432"/>
      <c r="AD68" s="432"/>
    </row>
    <row r="69">
      <c r="A69" s="433">
        <v>2024.0</v>
      </c>
      <c r="B69" s="433" t="s">
        <v>425</v>
      </c>
      <c r="C69" s="434" t="s">
        <v>2688</v>
      </c>
      <c r="D69" s="440">
        <v>45444.0</v>
      </c>
      <c r="E69" s="440"/>
      <c r="F69" s="29"/>
      <c r="G69" s="4" t="s">
        <v>2785</v>
      </c>
      <c r="H69" s="437" t="s">
        <v>57</v>
      </c>
      <c r="I69" s="437" t="s">
        <v>57</v>
      </c>
      <c r="J69" s="437" t="s">
        <v>57</v>
      </c>
      <c r="K69" s="437" t="s">
        <v>57</v>
      </c>
      <c r="L69" s="437" t="s">
        <v>57</v>
      </c>
      <c r="M69" s="29" t="s">
        <v>63</v>
      </c>
      <c r="N69" s="283"/>
      <c r="O69" s="29" t="s">
        <v>57</v>
      </c>
      <c r="P69" s="49" t="s">
        <v>66</v>
      </c>
      <c r="Q69" s="114" t="s">
        <v>2694</v>
      </c>
      <c r="R69" s="432"/>
      <c r="S69" s="432"/>
      <c r="T69" s="432"/>
      <c r="U69" s="432"/>
      <c r="V69" s="432"/>
      <c r="W69" s="432"/>
      <c r="X69" s="432"/>
      <c r="Y69" s="432"/>
      <c r="Z69" s="432"/>
      <c r="AA69" s="432"/>
      <c r="AB69" s="432"/>
      <c r="AC69" s="432"/>
      <c r="AD69" s="432"/>
    </row>
    <row r="70">
      <c r="A70" s="433">
        <v>2024.0</v>
      </c>
      <c r="B70" s="433" t="s">
        <v>425</v>
      </c>
      <c r="C70" s="434" t="s">
        <v>2688</v>
      </c>
      <c r="D70" s="440">
        <v>45445.0</v>
      </c>
      <c r="E70" s="440"/>
      <c r="F70" s="29" t="s">
        <v>72</v>
      </c>
      <c r="G70" s="4" t="s">
        <v>2786</v>
      </c>
      <c r="H70" s="437" t="s">
        <v>57</v>
      </c>
      <c r="I70" s="437" t="s">
        <v>57</v>
      </c>
      <c r="J70" s="437" t="s">
        <v>57</v>
      </c>
      <c r="K70" s="438" t="s">
        <v>57</v>
      </c>
      <c r="L70" s="437" t="s">
        <v>57</v>
      </c>
      <c r="M70" s="29" t="s">
        <v>63</v>
      </c>
      <c r="N70" s="283"/>
      <c r="O70" s="29" t="s">
        <v>57</v>
      </c>
      <c r="P70" s="49" t="s">
        <v>66</v>
      </c>
      <c r="Q70" s="114" t="s">
        <v>2694</v>
      </c>
      <c r="R70" s="432"/>
      <c r="S70" s="432"/>
      <c r="T70" s="432"/>
      <c r="U70" s="432"/>
      <c r="V70" s="432"/>
      <c r="W70" s="432"/>
      <c r="X70" s="432"/>
      <c r="Y70" s="432"/>
      <c r="Z70" s="432"/>
      <c r="AA70" s="432"/>
      <c r="AB70" s="432"/>
      <c r="AC70" s="432"/>
      <c r="AD70" s="432"/>
    </row>
    <row r="71">
      <c r="A71" s="433">
        <v>2024.0</v>
      </c>
      <c r="B71" s="433" t="s">
        <v>425</v>
      </c>
      <c r="C71" s="434" t="s">
        <v>2688</v>
      </c>
      <c r="D71" s="440">
        <v>45446.0</v>
      </c>
      <c r="E71" s="440"/>
      <c r="F71" s="29" t="s">
        <v>2689</v>
      </c>
      <c r="G71" s="4" t="s">
        <v>2715</v>
      </c>
      <c r="H71" s="437" t="s">
        <v>57</v>
      </c>
      <c r="I71" s="437" t="s">
        <v>57</v>
      </c>
      <c r="J71" s="437" t="s">
        <v>57</v>
      </c>
      <c r="K71" s="438" t="s">
        <v>57</v>
      </c>
      <c r="L71" s="437" t="s">
        <v>57</v>
      </c>
      <c r="M71" s="29" t="s">
        <v>63</v>
      </c>
      <c r="N71" s="283"/>
      <c r="O71" s="29" t="s">
        <v>57</v>
      </c>
      <c r="P71" s="49" t="s">
        <v>66</v>
      </c>
      <c r="Q71" s="114" t="s">
        <v>2694</v>
      </c>
      <c r="R71" s="432"/>
      <c r="S71" s="432"/>
      <c r="T71" s="432"/>
      <c r="U71" s="432"/>
      <c r="V71" s="432"/>
      <c r="W71" s="432"/>
      <c r="X71" s="432"/>
      <c r="Y71" s="432"/>
      <c r="Z71" s="432"/>
      <c r="AA71" s="432"/>
      <c r="AB71" s="432"/>
      <c r="AC71" s="432"/>
      <c r="AD71" s="432"/>
    </row>
    <row r="72" ht="21.75" customHeight="1">
      <c r="A72" s="433">
        <v>2024.0</v>
      </c>
      <c r="B72" s="433" t="s">
        <v>425</v>
      </c>
      <c r="C72" s="434" t="s">
        <v>2688</v>
      </c>
      <c r="D72" s="440">
        <v>45447.0</v>
      </c>
      <c r="E72" s="440"/>
      <c r="F72" s="29" t="s">
        <v>259</v>
      </c>
      <c r="G72" s="4" t="s">
        <v>2787</v>
      </c>
      <c r="H72" s="437" t="s">
        <v>57</v>
      </c>
      <c r="I72" s="437" t="s">
        <v>57</v>
      </c>
      <c r="J72" s="437" t="s">
        <v>57</v>
      </c>
      <c r="K72" s="438" t="s">
        <v>2788</v>
      </c>
      <c r="L72" s="437" t="s">
        <v>57</v>
      </c>
      <c r="M72" s="29" t="s">
        <v>63</v>
      </c>
      <c r="N72" s="283"/>
      <c r="O72" s="29" t="s">
        <v>57</v>
      </c>
      <c r="P72" s="49" t="s">
        <v>66</v>
      </c>
      <c r="Q72" s="114" t="s">
        <v>2692</v>
      </c>
      <c r="R72" s="432"/>
      <c r="S72" s="432"/>
      <c r="T72" s="432"/>
      <c r="U72" s="432"/>
      <c r="V72" s="432"/>
      <c r="W72" s="432"/>
      <c r="X72" s="432"/>
      <c r="Y72" s="432"/>
      <c r="Z72" s="432"/>
      <c r="AA72" s="432"/>
      <c r="AB72" s="432"/>
      <c r="AC72" s="432"/>
      <c r="AD72" s="432"/>
    </row>
    <row r="73">
      <c r="A73" s="433">
        <v>2024.0</v>
      </c>
      <c r="B73" s="433" t="s">
        <v>425</v>
      </c>
      <c r="C73" s="434" t="s">
        <v>2688</v>
      </c>
      <c r="D73" s="440">
        <v>45448.0</v>
      </c>
      <c r="E73" s="440"/>
      <c r="F73" s="29" t="s">
        <v>259</v>
      </c>
      <c r="G73" s="4" t="s">
        <v>2789</v>
      </c>
      <c r="H73" s="437" t="s">
        <v>57</v>
      </c>
      <c r="I73" s="437" t="s">
        <v>57</v>
      </c>
      <c r="J73" s="437" t="s">
        <v>57</v>
      </c>
      <c r="K73" s="438" t="s">
        <v>57</v>
      </c>
      <c r="L73" s="437" t="s">
        <v>57</v>
      </c>
      <c r="M73" s="29" t="s">
        <v>63</v>
      </c>
      <c r="N73" s="283"/>
      <c r="O73" s="29" t="s">
        <v>57</v>
      </c>
      <c r="P73" s="49" t="s">
        <v>66</v>
      </c>
      <c r="Q73" s="114" t="s">
        <v>2692</v>
      </c>
      <c r="R73" s="432"/>
      <c r="S73" s="432"/>
      <c r="T73" s="432"/>
      <c r="U73" s="432"/>
      <c r="V73" s="432"/>
      <c r="W73" s="432"/>
      <c r="X73" s="432"/>
      <c r="Y73" s="432"/>
      <c r="Z73" s="432"/>
      <c r="AA73" s="432"/>
      <c r="AB73" s="432"/>
      <c r="AC73" s="432"/>
      <c r="AD73" s="432"/>
    </row>
    <row r="74" ht="20.25" customHeight="1">
      <c r="A74" s="433">
        <v>2024.0</v>
      </c>
      <c r="B74" s="433" t="s">
        <v>425</v>
      </c>
      <c r="C74" s="434" t="s">
        <v>2688</v>
      </c>
      <c r="D74" s="451">
        <v>45449.0</v>
      </c>
      <c r="E74" s="451"/>
      <c r="F74" s="29" t="s">
        <v>133</v>
      </c>
      <c r="G74" s="4" t="s">
        <v>2790</v>
      </c>
      <c r="H74" s="437" t="s">
        <v>2780</v>
      </c>
      <c r="I74" s="437" t="s">
        <v>57</v>
      </c>
      <c r="J74" s="437" t="s">
        <v>57</v>
      </c>
      <c r="K74" s="438" t="s">
        <v>2791</v>
      </c>
      <c r="L74" s="437" t="s">
        <v>57</v>
      </c>
      <c r="M74" s="29" t="s">
        <v>63</v>
      </c>
      <c r="N74" s="283"/>
      <c r="O74" s="29" t="s">
        <v>57</v>
      </c>
      <c r="P74" s="49" t="s">
        <v>66</v>
      </c>
      <c r="Q74" s="114" t="s">
        <v>2692</v>
      </c>
      <c r="R74" s="432"/>
      <c r="S74" s="432"/>
      <c r="T74" s="432"/>
      <c r="U74" s="432"/>
      <c r="V74" s="432"/>
      <c r="W74" s="432"/>
      <c r="X74" s="432"/>
      <c r="Y74" s="432"/>
      <c r="Z74" s="432"/>
      <c r="AA74" s="432"/>
      <c r="AB74" s="432"/>
      <c r="AC74" s="432"/>
      <c r="AD74" s="432"/>
    </row>
    <row r="75">
      <c r="A75" s="433">
        <v>2024.0</v>
      </c>
      <c r="B75" s="433" t="s">
        <v>425</v>
      </c>
      <c r="C75" s="434" t="s">
        <v>2688</v>
      </c>
      <c r="D75" s="440">
        <v>45450.0</v>
      </c>
      <c r="E75" s="440"/>
      <c r="F75" s="29"/>
      <c r="G75" s="29" t="s">
        <v>57</v>
      </c>
      <c r="H75" s="29" t="s">
        <v>57</v>
      </c>
      <c r="I75" s="29" t="s">
        <v>57</v>
      </c>
      <c r="J75" s="29" t="s">
        <v>57</v>
      </c>
      <c r="K75" s="29" t="s">
        <v>57</v>
      </c>
      <c r="L75" s="29" t="s">
        <v>57</v>
      </c>
      <c r="M75" s="29" t="s">
        <v>63</v>
      </c>
      <c r="N75" s="283"/>
      <c r="O75" s="29" t="s">
        <v>57</v>
      </c>
      <c r="P75" s="49" t="s">
        <v>66</v>
      </c>
      <c r="Q75" s="114" t="s">
        <v>2694</v>
      </c>
      <c r="R75" s="432"/>
      <c r="S75" s="432"/>
      <c r="T75" s="432"/>
      <c r="U75" s="432"/>
      <c r="V75" s="432"/>
      <c r="W75" s="432"/>
      <c r="X75" s="432"/>
      <c r="Y75" s="432"/>
      <c r="Z75" s="432"/>
      <c r="AA75" s="432"/>
      <c r="AB75" s="432"/>
      <c r="AC75" s="432"/>
      <c r="AD75" s="432"/>
    </row>
    <row r="76">
      <c r="A76" s="433">
        <v>2024.0</v>
      </c>
      <c r="B76" s="433" t="s">
        <v>425</v>
      </c>
      <c r="C76" s="434" t="s">
        <v>2688</v>
      </c>
      <c r="D76" s="451">
        <v>45451.0</v>
      </c>
      <c r="E76" s="451"/>
      <c r="F76" s="29"/>
      <c r="G76" s="29" t="s">
        <v>57</v>
      </c>
      <c r="H76" s="29" t="s">
        <v>57</v>
      </c>
      <c r="I76" s="29" t="s">
        <v>57</v>
      </c>
      <c r="J76" s="29" t="s">
        <v>57</v>
      </c>
      <c r="K76" s="29" t="s">
        <v>57</v>
      </c>
      <c r="L76" s="29" t="s">
        <v>57</v>
      </c>
      <c r="M76" s="29" t="s">
        <v>63</v>
      </c>
      <c r="N76" s="283"/>
      <c r="O76" s="29" t="s">
        <v>57</v>
      </c>
      <c r="P76" s="49" t="s">
        <v>66</v>
      </c>
      <c r="Q76" s="114" t="s">
        <v>2694</v>
      </c>
      <c r="R76" s="432"/>
      <c r="S76" s="432"/>
      <c r="T76" s="432"/>
      <c r="U76" s="432"/>
      <c r="V76" s="432"/>
      <c r="W76" s="432"/>
      <c r="X76" s="432"/>
      <c r="Y76" s="432"/>
      <c r="Z76" s="432"/>
      <c r="AA76" s="432"/>
      <c r="AB76" s="432"/>
      <c r="AC76" s="432"/>
      <c r="AD76" s="432"/>
    </row>
    <row r="77">
      <c r="A77" s="433">
        <v>2024.0</v>
      </c>
      <c r="B77" s="433" t="s">
        <v>425</v>
      </c>
      <c r="C77" s="434" t="s">
        <v>2688</v>
      </c>
      <c r="D77" s="440">
        <v>45452.0</v>
      </c>
      <c r="E77" s="440"/>
      <c r="F77" s="29"/>
      <c r="G77" s="29" t="s">
        <v>57</v>
      </c>
      <c r="H77" s="29" t="s">
        <v>57</v>
      </c>
      <c r="I77" s="29" t="s">
        <v>57</v>
      </c>
      <c r="J77" s="29" t="s">
        <v>57</v>
      </c>
      <c r="K77" s="29" t="s">
        <v>57</v>
      </c>
      <c r="L77" s="29" t="s">
        <v>57</v>
      </c>
      <c r="M77" s="29" t="s">
        <v>63</v>
      </c>
      <c r="N77" s="283"/>
      <c r="O77" s="29" t="s">
        <v>57</v>
      </c>
      <c r="P77" s="49" t="s">
        <v>66</v>
      </c>
      <c r="Q77" s="114" t="s">
        <v>2694</v>
      </c>
      <c r="R77" s="432"/>
      <c r="S77" s="432"/>
      <c r="T77" s="432"/>
      <c r="U77" s="432"/>
      <c r="V77" s="432"/>
      <c r="W77" s="432"/>
      <c r="X77" s="432"/>
      <c r="Y77" s="432"/>
      <c r="Z77" s="432"/>
      <c r="AA77" s="432"/>
      <c r="AB77" s="432"/>
      <c r="AC77" s="432"/>
      <c r="AD77" s="432"/>
    </row>
    <row r="78">
      <c r="A78" s="433">
        <v>2024.0</v>
      </c>
      <c r="B78" s="433" t="s">
        <v>425</v>
      </c>
      <c r="C78" s="434" t="s">
        <v>2688</v>
      </c>
      <c r="D78" s="451">
        <v>45453.0</v>
      </c>
      <c r="E78" s="451"/>
      <c r="F78" s="29"/>
      <c r="G78" s="29" t="s">
        <v>57</v>
      </c>
      <c r="H78" s="29" t="s">
        <v>57</v>
      </c>
      <c r="I78" s="29" t="s">
        <v>57</v>
      </c>
      <c r="J78" s="29" t="s">
        <v>57</v>
      </c>
      <c r="K78" s="29" t="s">
        <v>57</v>
      </c>
      <c r="L78" s="29" t="s">
        <v>57</v>
      </c>
      <c r="M78" s="29" t="s">
        <v>63</v>
      </c>
      <c r="N78" s="283"/>
      <c r="O78" s="29" t="s">
        <v>57</v>
      </c>
      <c r="P78" s="49" t="s">
        <v>66</v>
      </c>
      <c r="Q78" s="114" t="s">
        <v>2694</v>
      </c>
      <c r="R78" s="432"/>
      <c r="S78" s="432"/>
      <c r="T78" s="432"/>
      <c r="U78" s="432"/>
      <c r="V78" s="432"/>
      <c r="W78" s="432"/>
      <c r="X78" s="432"/>
      <c r="Y78" s="432"/>
      <c r="Z78" s="432"/>
      <c r="AA78" s="432"/>
      <c r="AB78" s="432"/>
      <c r="AC78" s="432"/>
      <c r="AD78" s="432"/>
    </row>
    <row r="79">
      <c r="A79" s="433">
        <v>2024.0</v>
      </c>
      <c r="B79" s="433" t="s">
        <v>425</v>
      </c>
      <c r="C79" s="434" t="s">
        <v>2688</v>
      </c>
      <c r="D79" s="440">
        <v>45454.0</v>
      </c>
      <c r="E79" s="440"/>
      <c r="F79" s="29"/>
      <c r="G79" s="29" t="s">
        <v>57</v>
      </c>
      <c r="H79" s="29" t="s">
        <v>57</v>
      </c>
      <c r="I79" s="29" t="s">
        <v>57</v>
      </c>
      <c r="J79" s="29" t="s">
        <v>57</v>
      </c>
      <c r="K79" s="29" t="s">
        <v>57</v>
      </c>
      <c r="L79" s="29" t="s">
        <v>57</v>
      </c>
      <c r="M79" s="29" t="s">
        <v>63</v>
      </c>
      <c r="N79" s="283"/>
      <c r="O79" s="29" t="s">
        <v>57</v>
      </c>
      <c r="P79" s="49" t="s">
        <v>66</v>
      </c>
      <c r="Q79" s="114" t="s">
        <v>2694</v>
      </c>
      <c r="R79" s="432"/>
      <c r="S79" s="432"/>
      <c r="T79" s="432"/>
      <c r="U79" s="432"/>
      <c r="V79" s="432"/>
      <c r="W79" s="432"/>
      <c r="X79" s="432"/>
      <c r="Y79" s="432"/>
      <c r="Z79" s="432"/>
      <c r="AA79" s="432"/>
      <c r="AB79" s="432"/>
      <c r="AC79" s="432"/>
      <c r="AD79" s="432"/>
    </row>
    <row r="80">
      <c r="A80" s="433">
        <v>2024.0</v>
      </c>
      <c r="B80" s="433" t="s">
        <v>425</v>
      </c>
      <c r="C80" s="434" t="s">
        <v>2688</v>
      </c>
      <c r="D80" s="451">
        <v>45455.0</v>
      </c>
      <c r="E80" s="451"/>
      <c r="F80" s="29"/>
      <c r="G80" s="29" t="s">
        <v>57</v>
      </c>
      <c r="H80" s="29" t="s">
        <v>57</v>
      </c>
      <c r="I80" s="29" t="s">
        <v>57</v>
      </c>
      <c r="J80" s="29" t="s">
        <v>57</v>
      </c>
      <c r="K80" s="29" t="s">
        <v>57</v>
      </c>
      <c r="L80" s="29" t="s">
        <v>57</v>
      </c>
      <c r="M80" s="29" t="s">
        <v>63</v>
      </c>
      <c r="N80" s="283"/>
      <c r="O80" s="29" t="s">
        <v>57</v>
      </c>
      <c r="P80" s="49" t="s">
        <v>66</v>
      </c>
      <c r="Q80" s="114" t="s">
        <v>2694</v>
      </c>
      <c r="R80" s="432"/>
      <c r="S80" s="432"/>
      <c r="T80" s="432"/>
      <c r="U80" s="432"/>
      <c r="V80" s="432"/>
      <c r="W80" s="432"/>
      <c r="X80" s="432"/>
      <c r="Y80" s="432"/>
      <c r="Z80" s="432"/>
      <c r="AA80" s="432"/>
      <c r="AB80" s="432"/>
      <c r="AC80" s="432"/>
      <c r="AD80" s="432"/>
    </row>
    <row r="81">
      <c r="A81" s="433">
        <v>2024.0</v>
      </c>
      <c r="B81" s="433" t="s">
        <v>425</v>
      </c>
      <c r="C81" s="434" t="s">
        <v>2688</v>
      </c>
      <c r="D81" s="440">
        <v>45456.0</v>
      </c>
      <c r="E81" s="440"/>
      <c r="F81" s="29"/>
      <c r="G81" s="29" t="s">
        <v>57</v>
      </c>
      <c r="H81" s="29" t="s">
        <v>57</v>
      </c>
      <c r="I81" s="29" t="s">
        <v>57</v>
      </c>
      <c r="J81" s="29" t="s">
        <v>57</v>
      </c>
      <c r="K81" s="29" t="s">
        <v>57</v>
      </c>
      <c r="L81" s="29" t="s">
        <v>57</v>
      </c>
      <c r="M81" s="29" t="s">
        <v>63</v>
      </c>
      <c r="N81" s="283"/>
      <c r="O81" s="29" t="s">
        <v>57</v>
      </c>
      <c r="P81" s="49" t="s">
        <v>66</v>
      </c>
      <c r="Q81" s="114" t="s">
        <v>2694</v>
      </c>
      <c r="R81" s="432"/>
      <c r="S81" s="432"/>
      <c r="T81" s="432"/>
      <c r="U81" s="432"/>
      <c r="V81" s="432"/>
      <c r="W81" s="432"/>
      <c r="X81" s="432"/>
      <c r="Y81" s="432"/>
      <c r="Z81" s="432"/>
      <c r="AA81" s="432"/>
      <c r="AB81" s="432"/>
      <c r="AC81" s="432"/>
      <c r="AD81" s="432"/>
    </row>
    <row r="82">
      <c r="A82" s="433">
        <v>2024.0</v>
      </c>
      <c r="B82" s="433" t="s">
        <v>425</v>
      </c>
      <c r="C82" s="434" t="s">
        <v>2688</v>
      </c>
      <c r="D82" s="451">
        <v>45457.0</v>
      </c>
      <c r="E82" s="451"/>
      <c r="F82" s="29"/>
      <c r="G82" s="29" t="s">
        <v>57</v>
      </c>
      <c r="H82" s="29" t="s">
        <v>57</v>
      </c>
      <c r="I82" s="29" t="s">
        <v>57</v>
      </c>
      <c r="J82" s="29" t="s">
        <v>57</v>
      </c>
      <c r="K82" s="29" t="s">
        <v>57</v>
      </c>
      <c r="L82" s="29" t="s">
        <v>57</v>
      </c>
      <c r="M82" s="29" t="s">
        <v>63</v>
      </c>
      <c r="N82" s="283"/>
      <c r="O82" s="29" t="s">
        <v>57</v>
      </c>
      <c r="P82" s="49" t="s">
        <v>66</v>
      </c>
      <c r="Q82" s="114" t="s">
        <v>2694</v>
      </c>
      <c r="R82" s="432"/>
      <c r="S82" s="432"/>
      <c r="T82" s="432"/>
      <c r="U82" s="432"/>
      <c r="V82" s="432"/>
      <c r="W82" s="432"/>
      <c r="X82" s="432"/>
      <c r="Y82" s="432"/>
      <c r="Z82" s="432"/>
      <c r="AA82" s="432"/>
      <c r="AB82" s="432"/>
      <c r="AC82" s="432"/>
      <c r="AD82" s="432"/>
    </row>
    <row r="83">
      <c r="A83" s="433">
        <v>2024.0</v>
      </c>
      <c r="B83" s="433" t="s">
        <v>425</v>
      </c>
      <c r="C83" s="434" t="s">
        <v>2688</v>
      </c>
      <c r="D83" s="440">
        <v>45458.0</v>
      </c>
      <c r="E83" s="440"/>
      <c r="F83" s="29"/>
      <c r="G83" s="29" t="s">
        <v>57</v>
      </c>
      <c r="H83" s="29" t="s">
        <v>57</v>
      </c>
      <c r="I83" s="29" t="s">
        <v>57</v>
      </c>
      <c r="J83" s="29" t="s">
        <v>57</v>
      </c>
      <c r="K83" s="29" t="s">
        <v>57</v>
      </c>
      <c r="L83" s="29" t="s">
        <v>57</v>
      </c>
      <c r="M83" s="29" t="s">
        <v>63</v>
      </c>
      <c r="N83" s="283"/>
      <c r="O83" s="29" t="s">
        <v>57</v>
      </c>
      <c r="P83" s="49" t="s">
        <v>66</v>
      </c>
      <c r="Q83" s="114" t="s">
        <v>2694</v>
      </c>
      <c r="R83" s="432"/>
      <c r="S83" s="432"/>
      <c r="T83" s="432"/>
      <c r="U83" s="432"/>
      <c r="V83" s="432"/>
      <c r="W83" s="432"/>
      <c r="X83" s="432"/>
      <c r="Y83" s="432"/>
      <c r="Z83" s="432"/>
      <c r="AA83" s="432"/>
      <c r="AB83" s="432"/>
      <c r="AC83" s="432"/>
      <c r="AD83" s="432"/>
    </row>
    <row r="84">
      <c r="A84" s="433">
        <v>2024.0</v>
      </c>
      <c r="B84" s="433" t="s">
        <v>425</v>
      </c>
      <c r="C84" s="434" t="s">
        <v>2688</v>
      </c>
      <c r="D84" s="440">
        <v>45459.0</v>
      </c>
      <c r="E84" s="440"/>
      <c r="F84" s="29"/>
      <c r="G84" s="29" t="s">
        <v>57</v>
      </c>
      <c r="H84" s="29" t="s">
        <v>57</v>
      </c>
      <c r="I84" s="29" t="s">
        <v>57</v>
      </c>
      <c r="J84" s="29" t="s">
        <v>57</v>
      </c>
      <c r="K84" s="29" t="s">
        <v>57</v>
      </c>
      <c r="L84" s="29" t="s">
        <v>57</v>
      </c>
      <c r="M84" s="29" t="s">
        <v>63</v>
      </c>
      <c r="N84" s="283"/>
      <c r="O84" s="29" t="s">
        <v>57</v>
      </c>
      <c r="P84" s="49" t="s">
        <v>66</v>
      </c>
      <c r="Q84" s="114" t="s">
        <v>2694</v>
      </c>
      <c r="R84" s="432"/>
      <c r="S84" s="432"/>
      <c r="T84" s="432"/>
      <c r="U84" s="432"/>
      <c r="V84" s="432"/>
      <c r="W84" s="432"/>
      <c r="X84" s="432"/>
      <c r="Y84" s="432"/>
      <c r="Z84" s="432"/>
      <c r="AA84" s="432"/>
      <c r="AB84" s="432"/>
      <c r="AC84" s="432"/>
      <c r="AD84" s="432"/>
    </row>
    <row r="85">
      <c r="A85" s="433">
        <v>2024.0</v>
      </c>
      <c r="B85" s="433" t="s">
        <v>425</v>
      </c>
      <c r="C85" s="434" t="s">
        <v>2688</v>
      </c>
      <c r="D85" s="452">
        <v>45460.0</v>
      </c>
      <c r="E85" s="452"/>
      <c r="F85" s="29"/>
      <c r="G85" s="29" t="s">
        <v>57</v>
      </c>
      <c r="H85" s="29" t="s">
        <v>57</v>
      </c>
      <c r="I85" s="29" t="s">
        <v>57</v>
      </c>
      <c r="J85" s="29" t="s">
        <v>57</v>
      </c>
      <c r="K85" s="29" t="s">
        <v>57</v>
      </c>
      <c r="L85" s="29" t="s">
        <v>57</v>
      </c>
      <c r="M85" s="29" t="s">
        <v>63</v>
      </c>
      <c r="N85" s="283"/>
      <c r="O85" s="29" t="s">
        <v>57</v>
      </c>
      <c r="P85" s="49" t="s">
        <v>66</v>
      </c>
      <c r="Q85" s="114" t="s">
        <v>2694</v>
      </c>
      <c r="R85" s="432"/>
      <c r="S85" s="432"/>
      <c r="T85" s="432"/>
      <c r="U85" s="432"/>
      <c r="V85" s="432"/>
      <c r="W85" s="432"/>
      <c r="X85" s="432"/>
      <c r="Y85" s="432"/>
      <c r="Z85" s="432"/>
      <c r="AA85" s="432"/>
      <c r="AB85" s="432"/>
      <c r="AC85" s="432"/>
      <c r="AD85" s="432"/>
    </row>
    <row r="86">
      <c r="A86" s="433">
        <v>2024.0</v>
      </c>
      <c r="B86" s="433" t="s">
        <v>425</v>
      </c>
      <c r="C86" s="434" t="s">
        <v>2688</v>
      </c>
      <c r="D86" s="435">
        <v>45461.0</v>
      </c>
      <c r="E86" s="435"/>
      <c r="F86" s="29"/>
      <c r="G86" s="29" t="s">
        <v>57</v>
      </c>
      <c r="H86" s="29" t="s">
        <v>57</v>
      </c>
      <c r="I86" s="29" t="s">
        <v>57</v>
      </c>
      <c r="J86" s="29" t="s">
        <v>57</v>
      </c>
      <c r="K86" s="29" t="s">
        <v>57</v>
      </c>
      <c r="L86" s="29" t="s">
        <v>57</v>
      </c>
      <c r="M86" s="29" t="s">
        <v>63</v>
      </c>
      <c r="N86" s="283"/>
      <c r="O86" s="29" t="s">
        <v>57</v>
      </c>
      <c r="P86" s="49" t="s">
        <v>66</v>
      </c>
      <c r="Q86" s="114" t="s">
        <v>2694</v>
      </c>
      <c r="R86" s="432"/>
      <c r="S86" s="432"/>
      <c r="T86" s="432"/>
      <c r="U86" s="432"/>
      <c r="V86" s="432"/>
      <c r="W86" s="432"/>
      <c r="X86" s="432"/>
      <c r="Y86" s="432"/>
      <c r="Z86" s="432"/>
      <c r="AA86" s="432"/>
      <c r="AB86" s="432"/>
      <c r="AC86" s="432"/>
      <c r="AD86" s="432"/>
    </row>
    <row r="87">
      <c r="A87" s="433">
        <v>2024.0</v>
      </c>
      <c r="B87" s="433" t="s">
        <v>425</v>
      </c>
      <c r="C87" s="434" t="s">
        <v>2688</v>
      </c>
      <c r="D87" s="452">
        <v>45462.0</v>
      </c>
      <c r="E87" s="452"/>
      <c r="F87" s="29"/>
      <c r="G87" s="29" t="s">
        <v>57</v>
      </c>
      <c r="H87" s="29" t="s">
        <v>57</v>
      </c>
      <c r="I87" s="29" t="s">
        <v>57</v>
      </c>
      <c r="J87" s="29" t="s">
        <v>57</v>
      </c>
      <c r="K87" s="29" t="s">
        <v>57</v>
      </c>
      <c r="L87" s="29" t="s">
        <v>57</v>
      </c>
      <c r="M87" s="29" t="s">
        <v>63</v>
      </c>
      <c r="N87" s="283"/>
      <c r="O87" s="29" t="s">
        <v>57</v>
      </c>
      <c r="P87" s="49" t="s">
        <v>66</v>
      </c>
      <c r="Q87" s="114" t="s">
        <v>2694</v>
      </c>
      <c r="R87" s="432"/>
      <c r="S87" s="432"/>
      <c r="T87" s="432"/>
      <c r="U87" s="432"/>
      <c r="V87" s="432"/>
      <c r="W87" s="432"/>
      <c r="X87" s="432"/>
      <c r="Y87" s="432"/>
      <c r="Z87" s="432"/>
      <c r="AA87" s="432"/>
      <c r="AB87" s="432"/>
      <c r="AC87" s="432"/>
      <c r="AD87" s="432"/>
    </row>
    <row r="88">
      <c r="A88" s="433">
        <v>2024.0</v>
      </c>
      <c r="B88" s="433" t="s">
        <v>425</v>
      </c>
      <c r="C88" s="434" t="s">
        <v>2688</v>
      </c>
      <c r="D88" s="452">
        <v>45463.0</v>
      </c>
      <c r="E88" s="452"/>
      <c r="F88" s="29"/>
      <c r="G88" s="29" t="s">
        <v>57</v>
      </c>
      <c r="H88" s="29" t="s">
        <v>57</v>
      </c>
      <c r="I88" s="29" t="s">
        <v>57</v>
      </c>
      <c r="J88" s="29" t="s">
        <v>57</v>
      </c>
      <c r="K88" s="29" t="s">
        <v>57</v>
      </c>
      <c r="L88" s="29" t="s">
        <v>57</v>
      </c>
      <c r="M88" s="29" t="s">
        <v>63</v>
      </c>
      <c r="N88" s="283"/>
      <c r="O88" s="29" t="s">
        <v>57</v>
      </c>
      <c r="P88" s="49" t="s">
        <v>66</v>
      </c>
      <c r="Q88" s="114" t="s">
        <v>2694</v>
      </c>
      <c r="R88" s="432"/>
      <c r="S88" s="432"/>
      <c r="T88" s="432"/>
      <c r="U88" s="432"/>
      <c r="V88" s="432"/>
      <c r="W88" s="432"/>
      <c r="X88" s="432"/>
      <c r="Y88" s="432"/>
      <c r="Z88" s="432"/>
      <c r="AA88" s="432"/>
      <c r="AB88" s="432"/>
      <c r="AC88" s="432"/>
      <c r="AD88" s="432"/>
    </row>
    <row r="89">
      <c r="A89" s="433">
        <v>2024.0</v>
      </c>
      <c r="B89" s="433" t="s">
        <v>425</v>
      </c>
      <c r="C89" s="434" t="s">
        <v>2688</v>
      </c>
      <c r="D89" s="435">
        <v>45464.0</v>
      </c>
      <c r="E89" s="435"/>
      <c r="F89" s="29" t="s">
        <v>2689</v>
      </c>
      <c r="G89" s="114" t="s">
        <v>2792</v>
      </c>
      <c r="H89" s="29" t="s">
        <v>57</v>
      </c>
      <c r="I89" s="29" t="s">
        <v>57</v>
      </c>
      <c r="J89" s="54" t="s">
        <v>2793</v>
      </c>
      <c r="K89" s="29" t="s">
        <v>57</v>
      </c>
      <c r="L89" s="29" t="s">
        <v>57</v>
      </c>
      <c r="M89" s="29" t="s">
        <v>63</v>
      </c>
      <c r="N89" s="283"/>
      <c r="O89" s="29" t="s">
        <v>57</v>
      </c>
      <c r="P89" s="49" t="s">
        <v>66</v>
      </c>
      <c r="Q89" s="114" t="s">
        <v>2692</v>
      </c>
      <c r="R89" s="432"/>
      <c r="S89" s="432"/>
      <c r="T89" s="432"/>
      <c r="U89" s="432"/>
      <c r="V89" s="432"/>
      <c r="W89" s="432"/>
      <c r="X89" s="432"/>
      <c r="Y89" s="432"/>
      <c r="Z89" s="432"/>
      <c r="AA89" s="432"/>
      <c r="AB89" s="432"/>
      <c r="AC89" s="432"/>
      <c r="AD89" s="432"/>
    </row>
    <row r="90">
      <c r="A90" s="433">
        <v>2024.0</v>
      </c>
      <c r="B90" s="433" t="s">
        <v>425</v>
      </c>
      <c r="C90" s="434" t="s">
        <v>2688</v>
      </c>
      <c r="D90" s="452">
        <v>45465.0</v>
      </c>
      <c r="E90" s="452"/>
      <c r="F90" s="29" t="s">
        <v>2474</v>
      </c>
      <c r="G90" s="54" t="s">
        <v>2794</v>
      </c>
      <c r="H90" s="29" t="s">
        <v>57</v>
      </c>
      <c r="I90" s="29" t="s">
        <v>57</v>
      </c>
      <c r="J90" s="54" t="s">
        <v>2795</v>
      </c>
      <c r="K90" s="29" t="s">
        <v>57</v>
      </c>
      <c r="L90" s="29" t="s">
        <v>57</v>
      </c>
      <c r="M90" s="29" t="s">
        <v>63</v>
      </c>
      <c r="N90" s="283"/>
      <c r="O90" s="29" t="s">
        <v>57</v>
      </c>
      <c r="P90" s="49" t="s">
        <v>66</v>
      </c>
      <c r="Q90" s="114" t="s">
        <v>2474</v>
      </c>
      <c r="R90" s="432"/>
      <c r="S90" s="432"/>
      <c r="T90" s="432"/>
      <c r="U90" s="432"/>
      <c r="V90" s="432"/>
      <c r="W90" s="432"/>
      <c r="X90" s="432"/>
      <c r="Y90" s="432"/>
      <c r="Z90" s="432"/>
      <c r="AA90" s="432"/>
      <c r="AB90" s="432"/>
      <c r="AC90" s="432"/>
      <c r="AD90" s="432"/>
    </row>
    <row r="91">
      <c r="A91" s="433">
        <v>2024.0</v>
      </c>
      <c r="B91" s="433" t="s">
        <v>425</v>
      </c>
      <c r="C91" s="434" t="s">
        <v>2688</v>
      </c>
      <c r="D91" s="452">
        <v>45466.0</v>
      </c>
      <c r="E91" s="452"/>
      <c r="F91" s="29" t="s">
        <v>2689</v>
      </c>
      <c r="G91" s="114" t="s">
        <v>2715</v>
      </c>
      <c r="H91" s="29" t="s">
        <v>57</v>
      </c>
      <c r="I91" s="29" t="s">
        <v>57</v>
      </c>
      <c r="J91" s="453" t="s">
        <v>57</v>
      </c>
      <c r="K91" s="453" t="s">
        <v>57</v>
      </c>
      <c r="L91" s="29" t="s">
        <v>57</v>
      </c>
      <c r="M91" s="29" t="s">
        <v>63</v>
      </c>
      <c r="N91" s="283"/>
      <c r="O91" s="29" t="s">
        <v>57</v>
      </c>
      <c r="P91" s="49" t="s">
        <v>66</v>
      </c>
      <c r="Q91" s="114" t="s">
        <v>2694</v>
      </c>
      <c r="R91" s="432"/>
      <c r="S91" s="432"/>
      <c r="T91" s="432"/>
      <c r="U91" s="432"/>
      <c r="V91" s="432"/>
      <c r="W91" s="432"/>
      <c r="X91" s="432"/>
      <c r="Y91" s="432"/>
      <c r="Z91" s="432"/>
      <c r="AA91" s="432"/>
      <c r="AB91" s="432"/>
      <c r="AC91" s="432"/>
      <c r="AD91" s="432"/>
    </row>
    <row r="92" ht="43.5" customHeight="1">
      <c r="A92" s="433">
        <v>2024.0</v>
      </c>
      <c r="B92" s="433" t="s">
        <v>480</v>
      </c>
      <c r="C92" s="434" t="s">
        <v>2688</v>
      </c>
      <c r="D92" s="454">
        <v>45483.0</v>
      </c>
      <c r="E92" s="454"/>
      <c r="F92" s="29" t="s">
        <v>133</v>
      </c>
      <c r="G92" s="29" t="s">
        <v>2796</v>
      </c>
      <c r="H92" s="29" t="s">
        <v>2780</v>
      </c>
      <c r="I92" s="29" t="s">
        <v>57</v>
      </c>
      <c r="J92" s="29" t="s">
        <v>57</v>
      </c>
      <c r="K92" s="49" t="s">
        <v>2797</v>
      </c>
      <c r="L92" s="29" t="s">
        <v>57</v>
      </c>
      <c r="M92" s="29" t="s">
        <v>128</v>
      </c>
      <c r="N92" s="283"/>
      <c r="O92" s="29" t="s">
        <v>57</v>
      </c>
      <c r="P92" s="49" t="s">
        <v>66</v>
      </c>
      <c r="Q92" s="114" t="s">
        <v>2778</v>
      </c>
      <c r="R92" s="432"/>
      <c r="S92" s="432"/>
      <c r="T92" s="432"/>
      <c r="U92" s="432"/>
      <c r="V92" s="432"/>
      <c r="W92" s="432"/>
      <c r="X92" s="432"/>
      <c r="Y92" s="432"/>
      <c r="Z92" s="432"/>
      <c r="AA92" s="432"/>
      <c r="AB92" s="432"/>
      <c r="AC92" s="432"/>
      <c r="AD92" s="432"/>
    </row>
    <row r="93" ht="37.5" customHeight="1">
      <c r="A93" s="433">
        <v>2024.0</v>
      </c>
      <c r="B93" s="433" t="s">
        <v>480</v>
      </c>
      <c r="C93" s="434" t="s">
        <v>2688</v>
      </c>
      <c r="D93" s="454">
        <v>45484.0</v>
      </c>
      <c r="E93" s="454"/>
      <c r="F93" s="29" t="s">
        <v>124</v>
      </c>
      <c r="G93" s="114" t="s">
        <v>2798</v>
      </c>
      <c r="H93" s="54" t="s">
        <v>2799</v>
      </c>
      <c r="I93" s="29" t="s">
        <v>57</v>
      </c>
      <c r="J93" s="29" t="s">
        <v>57</v>
      </c>
      <c r="K93" s="114" t="s">
        <v>2800</v>
      </c>
      <c r="L93" s="29" t="s">
        <v>57</v>
      </c>
      <c r="M93" s="29" t="s">
        <v>63</v>
      </c>
      <c r="N93" s="283"/>
      <c r="O93" s="29" t="s">
        <v>57</v>
      </c>
      <c r="P93" s="49" t="s">
        <v>66</v>
      </c>
      <c r="Q93" s="114" t="s">
        <v>2769</v>
      </c>
      <c r="R93" s="432"/>
      <c r="S93" s="432"/>
      <c r="T93" s="432"/>
      <c r="U93" s="432"/>
      <c r="V93" s="432"/>
      <c r="W93" s="432"/>
      <c r="X93" s="432"/>
      <c r="Y93" s="432"/>
      <c r="Z93" s="432"/>
      <c r="AA93" s="432"/>
      <c r="AB93" s="432"/>
      <c r="AC93" s="432"/>
      <c r="AD93" s="432"/>
    </row>
    <row r="94">
      <c r="A94" s="433">
        <v>2024.0</v>
      </c>
      <c r="B94" s="433" t="s">
        <v>480</v>
      </c>
      <c r="C94" s="434" t="s">
        <v>2688</v>
      </c>
      <c r="D94" s="454">
        <v>45485.0</v>
      </c>
      <c r="E94" s="454"/>
      <c r="F94" s="29" t="s">
        <v>124</v>
      </c>
      <c r="G94" s="114" t="s">
        <v>2801</v>
      </c>
      <c r="H94" s="283"/>
      <c r="I94" s="114" t="s">
        <v>2802</v>
      </c>
      <c r="J94" s="29" t="s">
        <v>57</v>
      </c>
      <c r="K94" s="29" t="s">
        <v>57</v>
      </c>
      <c r="L94" s="29" t="s">
        <v>57</v>
      </c>
      <c r="M94" s="29" t="s">
        <v>63</v>
      </c>
      <c r="N94" s="283"/>
      <c r="O94" s="29" t="s">
        <v>57</v>
      </c>
      <c r="P94" s="49" t="s">
        <v>66</v>
      </c>
      <c r="Q94" s="29" t="s">
        <v>2694</v>
      </c>
      <c r="R94" s="432"/>
      <c r="S94" s="432"/>
      <c r="T94" s="432"/>
      <c r="U94" s="432"/>
      <c r="V94" s="432"/>
      <c r="W94" s="432"/>
      <c r="X94" s="432"/>
      <c r="Y94" s="432"/>
      <c r="Z94" s="432"/>
      <c r="AA94" s="432"/>
      <c r="AB94" s="432"/>
      <c r="AC94" s="432"/>
      <c r="AD94" s="432"/>
    </row>
    <row r="95">
      <c r="A95" s="433">
        <v>2024.0</v>
      </c>
      <c r="B95" s="433" t="s">
        <v>480</v>
      </c>
      <c r="C95" s="434" t="s">
        <v>2688</v>
      </c>
      <c r="D95" s="454">
        <v>45486.0</v>
      </c>
      <c r="E95" s="454"/>
      <c r="F95" s="29" t="s">
        <v>2689</v>
      </c>
      <c r="G95" s="114" t="s">
        <v>2715</v>
      </c>
      <c r="H95" s="283"/>
      <c r="I95" s="283"/>
      <c r="J95" s="29" t="s">
        <v>57</v>
      </c>
      <c r="K95" s="29" t="s">
        <v>57</v>
      </c>
      <c r="L95" s="29" t="s">
        <v>57</v>
      </c>
      <c r="M95" s="29" t="s">
        <v>63</v>
      </c>
      <c r="N95" s="283"/>
      <c r="O95" s="29" t="s">
        <v>57</v>
      </c>
      <c r="P95" s="49" t="s">
        <v>66</v>
      </c>
      <c r="Q95" s="29" t="s">
        <v>2694</v>
      </c>
      <c r="R95" s="432"/>
      <c r="S95" s="432"/>
      <c r="T95" s="432"/>
      <c r="U95" s="432"/>
      <c r="V95" s="432"/>
      <c r="W95" s="432"/>
      <c r="X95" s="432"/>
      <c r="Y95" s="432"/>
      <c r="Z95" s="432"/>
      <c r="AA95" s="432"/>
      <c r="AB95" s="432"/>
      <c r="AC95" s="432"/>
      <c r="AD95" s="432"/>
    </row>
    <row r="96">
      <c r="A96" s="433">
        <v>2024.0</v>
      </c>
      <c r="B96" s="433" t="s">
        <v>480</v>
      </c>
      <c r="C96" s="434" t="s">
        <v>2688</v>
      </c>
      <c r="D96" s="454">
        <v>45487.0</v>
      </c>
      <c r="E96" s="454"/>
      <c r="F96" s="29" t="s">
        <v>2689</v>
      </c>
      <c r="G96" s="114" t="s">
        <v>2715</v>
      </c>
      <c r="H96" s="283"/>
      <c r="I96" s="283"/>
      <c r="J96" s="29" t="s">
        <v>57</v>
      </c>
      <c r="K96" s="29" t="s">
        <v>57</v>
      </c>
      <c r="L96" s="29" t="s">
        <v>57</v>
      </c>
      <c r="M96" s="29" t="s">
        <v>63</v>
      </c>
      <c r="N96" s="283"/>
      <c r="O96" s="29" t="s">
        <v>57</v>
      </c>
      <c r="P96" s="49" t="s">
        <v>66</v>
      </c>
      <c r="Q96" s="29" t="s">
        <v>2694</v>
      </c>
      <c r="R96" s="432"/>
      <c r="S96" s="432"/>
      <c r="T96" s="432"/>
      <c r="U96" s="432"/>
      <c r="V96" s="432"/>
      <c r="W96" s="432"/>
      <c r="X96" s="432"/>
      <c r="Y96" s="432"/>
      <c r="Z96" s="432"/>
      <c r="AA96" s="432"/>
      <c r="AB96" s="432"/>
      <c r="AC96" s="432"/>
      <c r="AD96" s="432"/>
    </row>
    <row r="97">
      <c r="A97" s="433">
        <v>2024.0</v>
      </c>
      <c r="B97" s="433" t="s">
        <v>480</v>
      </c>
      <c r="C97" s="434" t="s">
        <v>2688</v>
      </c>
      <c r="D97" s="454">
        <v>45488.0</v>
      </c>
      <c r="E97" s="454"/>
      <c r="F97" s="29" t="s">
        <v>2689</v>
      </c>
      <c r="G97" s="114" t="s">
        <v>2715</v>
      </c>
      <c r="H97" s="283"/>
      <c r="I97" s="283"/>
      <c r="J97" s="29" t="s">
        <v>57</v>
      </c>
      <c r="K97" s="29" t="s">
        <v>57</v>
      </c>
      <c r="L97" s="29" t="s">
        <v>57</v>
      </c>
      <c r="M97" s="29" t="s">
        <v>63</v>
      </c>
      <c r="N97" s="283"/>
      <c r="O97" s="29" t="s">
        <v>57</v>
      </c>
      <c r="P97" s="49" t="s">
        <v>66</v>
      </c>
      <c r="Q97" s="29" t="s">
        <v>2694</v>
      </c>
      <c r="R97" s="432"/>
      <c r="S97" s="432"/>
      <c r="T97" s="432"/>
      <c r="U97" s="432"/>
      <c r="V97" s="432"/>
      <c r="W97" s="432"/>
      <c r="X97" s="432"/>
      <c r="Y97" s="432"/>
      <c r="Z97" s="432"/>
      <c r="AA97" s="432"/>
      <c r="AB97" s="432"/>
      <c r="AC97" s="432"/>
      <c r="AD97" s="432"/>
    </row>
    <row r="98" ht="24.75" customHeight="1">
      <c r="A98" s="433">
        <v>2024.0</v>
      </c>
      <c r="B98" s="433" t="s">
        <v>480</v>
      </c>
      <c r="C98" s="434" t="s">
        <v>2688</v>
      </c>
      <c r="D98" s="454">
        <v>45489.0</v>
      </c>
      <c r="E98" s="454"/>
      <c r="F98" s="29" t="s">
        <v>1018</v>
      </c>
      <c r="G98" s="114" t="s">
        <v>2803</v>
      </c>
      <c r="H98" s="54" t="s">
        <v>2804</v>
      </c>
      <c r="I98" s="114" t="s">
        <v>2805</v>
      </c>
      <c r="J98" s="49" t="s">
        <v>2806</v>
      </c>
      <c r="K98" s="29" t="s">
        <v>57</v>
      </c>
      <c r="L98" s="29" t="s">
        <v>57</v>
      </c>
      <c r="M98" s="29" t="s">
        <v>63</v>
      </c>
      <c r="N98" s="283"/>
      <c r="O98" s="29" t="s">
        <v>57</v>
      </c>
      <c r="P98" s="49" t="s">
        <v>66</v>
      </c>
      <c r="Q98" s="29" t="s">
        <v>2694</v>
      </c>
      <c r="R98" s="432"/>
      <c r="S98" s="432"/>
      <c r="T98" s="432"/>
      <c r="U98" s="432"/>
      <c r="V98" s="432"/>
      <c r="W98" s="432"/>
      <c r="X98" s="432"/>
      <c r="Y98" s="432"/>
      <c r="Z98" s="432"/>
      <c r="AA98" s="432"/>
      <c r="AB98" s="432"/>
      <c r="AC98" s="432"/>
      <c r="AD98" s="432"/>
    </row>
    <row r="99">
      <c r="A99" s="433">
        <v>2024.0</v>
      </c>
      <c r="B99" s="433" t="s">
        <v>480</v>
      </c>
      <c r="C99" s="434" t="s">
        <v>2688</v>
      </c>
      <c r="D99" s="454">
        <v>45490.0</v>
      </c>
      <c r="E99" s="454"/>
      <c r="F99" s="29" t="s">
        <v>2689</v>
      </c>
      <c r="G99" s="114" t="s">
        <v>2807</v>
      </c>
      <c r="H99" s="114" t="s">
        <v>2808</v>
      </c>
      <c r="I99" s="114" t="s">
        <v>2809</v>
      </c>
      <c r="J99" s="54" t="s">
        <v>2810</v>
      </c>
      <c r="K99" s="29" t="s">
        <v>57</v>
      </c>
      <c r="L99" s="29" t="s">
        <v>57</v>
      </c>
      <c r="M99" s="29" t="s">
        <v>63</v>
      </c>
      <c r="N99" s="283"/>
      <c r="O99" s="29" t="s">
        <v>57</v>
      </c>
      <c r="P99" s="49" t="s">
        <v>66</v>
      </c>
      <c r="Q99" s="29" t="s">
        <v>2694</v>
      </c>
      <c r="R99" s="432"/>
      <c r="S99" s="432"/>
      <c r="T99" s="432"/>
      <c r="U99" s="432"/>
      <c r="V99" s="432"/>
      <c r="W99" s="432"/>
      <c r="X99" s="432"/>
      <c r="Y99" s="432"/>
      <c r="Z99" s="432"/>
      <c r="AA99" s="432"/>
      <c r="AB99" s="432"/>
      <c r="AC99" s="432"/>
      <c r="AD99" s="432"/>
    </row>
    <row r="100" ht="21.75" customHeight="1">
      <c r="A100" s="433">
        <v>2024.0</v>
      </c>
      <c r="B100" s="433" t="s">
        <v>625</v>
      </c>
      <c r="C100" s="434" t="s">
        <v>2688</v>
      </c>
      <c r="D100" s="454">
        <v>45554.0</v>
      </c>
      <c r="E100" s="454"/>
      <c r="F100" s="29" t="s">
        <v>133</v>
      </c>
      <c r="G100" s="114" t="s">
        <v>2811</v>
      </c>
      <c r="H100" s="114" t="s">
        <v>2780</v>
      </c>
      <c r="I100" s="29" t="s">
        <v>57</v>
      </c>
      <c r="J100" s="29" t="s">
        <v>57</v>
      </c>
      <c r="K100" s="54" t="s">
        <v>2812</v>
      </c>
      <c r="L100" s="29" t="s">
        <v>57</v>
      </c>
      <c r="M100" s="29" t="s">
        <v>128</v>
      </c>
      <c r="N100" s="283"/>
      <c r="O100" s="29" t="s">
        <v>57</v>
      </c>
      <c r="P100" s="49" t="s">
        <v>66</v>
      </c>
      <c r="Q100" s="29" t="s">
        <v>2778</v>
      </c>
      <c r="R100" s="432"/>
      <c r="S100" s="432"/>
      <c r="T100" s="432"/>
      <c r="U100" s="432"/>
      <c r="V100" s="432"/>
      <c r="W100" s="432"/>
      <c r="X100" s="432"/>
      <c r="Y100" s="432"/>
      <c r="Z100" s="432"/>
      <c r="AA100" s="432"/>
      <c r="AB100" s="432"/>
      <c r="AC100" s="432"/>
      <c r="AD100" s="432"/>
    </row>
    <row r="101" ht="30.75" customHeight="1">
      <c r="A101" s="433">
        <v>2024.0</v>
      </c>
      <c r="B101" s="433" t="s">
        <v>625</v>
      </c>
      <c r="C101" s="434" t="s">
        <v>2688</v>
      </c>
      <c r="D101" s="455">
        <v>45538.0</v>
      </c>
      <c r="E101" s="455">
        <v>45538.0</v>
      </c>
      <c r="F101" s="29" t="s">
        <v>259</v>
      </c>
      <c r="G101" s="54" t="s">
        <v>2813</v>
      </c>
      <c r="H101" s="114" t="s">
        <v>2814</v>
      </c>
      <c r="I101" s="114" t="s">
        <v>2815</v>
      </c>
      <c r="J101" s="54" t="s">
        <v>2813</v>
      </c>
      <c r="K101" s="54" t="s">
        <v>2816</v>
      </c>
      <c r="L101" s="283"/>
      <c r="M101" s="456" t="s">
        <v>63</v>
      </c>
      <c r="N101" s="283"/>
      <c r="O101" s="29" t="s">
        <v>2817</v>
      </c>
      <c r="P101" s="457" t="s">
        <v>66</v>
      </c>
      <c r="Q101" s="456" t="s">
        <v>2818</v>
      </c>
      <c r="R101" s="432"/>
      <c r="S101" s="432"/>
      <c r="T101" s="432"/>
      <c r="U101" s="432"/>
      <c r="V101" s="432"/>
      <c r="W101" s="432"/>
      <c r="X101" s="432"/>
      <c r="Y101" s="432"/>
      <c r="Z101" s="432"/>
      <c r="AA101" s="432"/>
      <c r="AB101" s="432"/>
      <c r="AC101" s="432"/>
      <c r="AD101" s="432"/>
    </row>
    <row r="102" ht="17.25" customHeight="1">
      <c r="A102" s="433">
        <v>2024.0</v>
      </c>
      <c r="B102" s="433" t="s">
        <v>625</v>
      </c>
      <c r="C102" s="434" t="s">
        <v>2688</v>
      </c>
      <c r="D102" s="454">
        <v>41888.0</v>
      </c>
      <c r="E102" s="454">
        <v>41888.0</v>
      </c>
      <c r="F102" s="29" t="s">
        <v>124</v>
      </c>
      <c r="G102" s="114" t="s">
        <v>2819</v>
      </c>
      <c r="H102" s="114" t="s">
        <v>2820</v>
      </c>
      <c r="I102" s="54" t="s">
        <v>2821</v>
      </c>
      <c r="J102" s="283"/>
      <c r="K102" s="54" t="s">
        <v>2822</v>
      </c>
      <c r="L102" s="283"/>
      <c r="M102" s="114" t="s">
        <v>63</v>
      </c>
      <c r="N102" s="283"/>
      <c r="O102" s="40"/>
      <c r="P102" s="54" t="s">
        <v>66</v>
      </c>
      <c r="Q102" s="114" t="s">
        <v>2778</v>
      </c>
      <c r="R102" s="432"/>
      <c r="S102" s="432"/>
      <c r="T102" s="432"/>
      <c r="U102" s="432"/>
      <c r="V102" s="432"/>
      <c r="W102" s="432"/>
      <c r="X102" s="432"/>
      <c r="Y102" s="432"/>
      <c r="Z102" s="432"/>
      <c r="AA102" s="432"/>
      <c r="AB102" s="432"/>
      <c r="AC102" s="432"/>
      <c r="AD102" s="432"/>
    </row>
    <row r="103" ht="23.25" customHeight="1">
      <c r="A103" s="433">
        <v>2024.0</v>
      </c>
      <c r="B103" s="433" t="s">
        <v>711</v>
      </c>
      <c r="C103" s="434" t="s">
        <v>2688</v>
      </c>
      <c r="D103" s="454">
        <v>45574.0</v>
      </c>
      <c r="E103" s="454">
        <v>45574.0</v>
      </c>
      <c r="F103" s="29" t="s">
        <v>154</v>
      </c>
      <c r="G103" s="114" t="s">
        <v>2823</v>
      </c>
      <c r="H103" s="114" t="s">
        <v>2824</v>
      </c>
      <c r="I103" s="114" t="s">
        <v>2815</v>
      </c>
      <c r="J103" s="283"/>
      <c r="K103" s="54" t="s">
        <v>2825</v>
      </c>
      <c r="L103" s="283"/>
      <c r="M103" s="114" t="s">
        <v>154</v>
      </c>
      <c r="N103" s="283"/>
      <c r="O103" s="29" t="s">
        <v>2826</v>
      </c>
      <c r="P103" s="54" t="s">
        <v>66</v>
      </c>
      <c r="Q103" s="114" t="s">
        <v>2692</v>
      </c>
      <c r="R103" s="432"/>
      <c r="S103" s="432"/>
      <c r="T103" s="432"/>
      <c r="U103" s="432"/>
      <c r="V103" s="432"/>
      <c r="W103" s="432"/>
      <c r="X103" s="432"/>
      <c r="Y103" s="432"/>
      <c r="Z103" s="432"/>
      <c r="AA103" s="432"/>
      <c r="AB103" s="432"/>
      <c r="AC103" s="432"/>
      <c r="AD103" s="432"/>
    </row>
    <row r="104" ht="19.5" customHeight="1">
      <c r="A104" s="433">
        <v>2024.0</v>
      </c>
      <c r="B104" s="433" t="s">
        <v>711</v>
      </c>
      <c r="C104" s="434" t="s">
        <v>2688</v>
      </c>
      <c r="D104" s="454">
        <v>45575.0</v>
      </c>
      <c r="E104" s="454">
        <v>45575.0</v>
      </c>
      <c r="F104" s="29" t="s">
        <v>72</v>
      </c>
      <c r="G104" s="114" t="s">
        <v>2827</v>
      </c>
      <c r="H104" s="114" t="s">
        <v>2828</v>
      </c>
      <c r="I104" s="114" t="s">
        <v>2815</v>
      </c>
      <c r="J104" s="283"/>
      <c r="K104" s="54" t="s">
        <v>2829</v>
      </c>
      <c r="L104" s="283"/>
      <c r="M104" s="114" t="s">
        <v>63</v>
      </c>
      <c r="N104" s="283"/>
      <c r="O104" s="29" t="s">
        <v>2826</v>
      </c>
      <c r="P104" s="54" t="s">
        <v>66</v>
      </c>
      <c r="Q104" s="114" t="s">
        <v>2766</v>
      </c>
      <c r="R104" s="432"/>
      <c r="S104" s="432"/>
      <c r="T104" s="432"/>
      <c r="U104" s="432"/>
      <c r="V104" s="432"/>
      <c r="W104" s="432"/>
      <c r="X104" s="432"/>
      <c r="Y104" s="432"/>
      <c r="Z104" s="432"/>
      <c r="AA104" s="432"/>
      <c r="AB104" s="432"/>
      <c r="AC104" s="432"/>
      <c r="AD104" s="432"/>
    </row>
    <row r="105">
      <c r="A105" s="433">
        <v>2024.0</v>
      </c>
      <c r="B105" s="433" t="s">
        <v>795</v>
      </c>
      <c r="C105" s="434" t="s">
        <v>2688</v>
      </c>
      <c r="D105" s="454">
        <v>45609.0</v>
      </c>
      <c r="E105" s="454">
        <v>45609.0</v>
      </c>
      <c r="F105" s="29" t="s">
        <v>82</v>
      </c>
      <c r="G105" s="114" t="s">
        <v>2830</v>
      </c>
      <c r="H105" s="114" t="s">
        <v>2831</v>
      </c>
      <c r="I105" s="114" t="s">
        <v>2832</v>
      </c>
      <c r="J105" s="283"/>
      <c r="K105" s="114" t="s">
        <v>2833</v>
      </c>
      <c r="L105" s="283"/>
      <c r="M105" s="283"/>
      <c r="N105" s="283"/>
      <c r="O105" s="40"/>
      <c r="P105" s="458"/>
      <c r="Q105" s="283"/>
      <c r="R105" s="432"/>
      <c r="S105" s="432"/>
      <c r="T105" s="432"/>
      <c r="U105" s="432"/>
      <c r="V105" s="432"/>
      <c r="W105" s="432"/>
      <c r="X105" s="432"/>
      <c r="Y105" s="432"/>
      <c r="Z105" s="432"/>
      <c r="AA105" s="432"/>
      <c r="AB105" s="432"/>
      <c r="AC105" s="432"/>
      <c r="AD105" s="432"/>
    </row>
    <row r="106">
      <c r="A106" s="433">
        <v>2025.0</v>
      </c>
      <c r="B106" s="433" t="s">
        <v>54</v>
      </c>
      <c r="C106" s="434" t="s">
        <v>2688</v>
      </c>
      <c r="D106" s="454">
        <v>45670.0</v>
      </c>
      <c r="E106" s="454">
        <v>45670.0</v>
      </c>
      <c r="F106" s="29" t="s">
        <v>259</v>
      </c>
      <c r="G106" s="114" t="s">
        <v>2834</v>
      </c>
      <c r="H106" s="114" t="s">
        <v>2835</v>
      </c>
      <c r="I106" s="114" t="s">
        <v>2815</v>
      </c>
      <c r="J106" s="283"/>
      <c r="K106" s="114" t="s">
        <v>2836</v>
      </c>
      <c r="L106" s="114" t="s">
        <v>2837</v>
      </c>
      <c r="M106" s="114" t="s">
        <v>63</v>
      </c>
      <c r="N106" s="283"/>
      <c r="O106" s="29" t="s">
        <v>2826</v>
      </c>
      <c r="P106" s="54" t="s">
        <v>66</v>
      </c>
      <c r="Q106" s="114" t="s">
        <v>2692</v>
      </c>
      <c r="R106" s="432"/>
      <c r="S106" s="432"/>
      <c r="T106" s="432"/>
      <c r="U106" s="432"/>
      <c r="V106" s="432"/>
      <c r="W106" s="432"/>
      <c r="X106" s="432"/>
      <c r="Y106" s="432"/>
      <c r="Z106" s="432"/>
      <c r="AA106" s="432"/>
      <c r="AB106" s="432"/>
      <c r="AC106" s="432"/>
      <c r="AD106" s="432"/>
    </row>
    <row r="107">
      <c r="A107" s="433">
        <v>2025.0</v>
      </c>
      <c r="B107" s="433"/>
      <c r="C107" s="434"/>
      <c r="D107" s="454"/>
      <c r="E107" s="454"/>
      <c r="F107" s="29"/>
      <c r="G107" s="283"/>
      <c r="H107" s="458"/>
      <c r="I107" s="283"/>
      <c r="J107" s="283"/>
      <c r="K107" s="283"/>
      <c r="L107" s="283"/>
      <c r="M107" s="283"/>
      <c r="N107" s="283"/>
      <c r="O107" s="40"/>
      <c r="P107" s="458"/>
      <c r="Q107" s="283"/>
      <c r="R107" s="432"/>
      <c r="S107" s="432"/>
      <c r="T107" s="432"/>
      <c r="U107" s="432"/>
      <c r="V107" s="432"/>
      <c r="W107" s="432"/>
      <c r="X107" s="432"/>
      <c r="Y107" s="432"/>
      <c r="Z107" s="432"/>
      <c r="AA107" s="432"/>
      <c r="AB107" s="432"/>
      <c r="AC107" s="432"/>
      <c r="AD107" s="432"/>
    </row>
    <row r="108">
      <c r="A108" s="433">
        <v>2025.0</v>
      </c>
      <c r="B108" s="433" t="s">
        <v>54</v>
      </c>
      <c r="C108" s="434" t="s">
        <v>2688</v>
      </c>
      <c r="D108" s="454">
        <v>45680.0</v>
      </c>
      <c r="E108" s="454">
        <v>45680.0</v>
      </c>
      <c r="F108" s="29" t="s">
        <v>154</v>
      </c>
      <c r="G108" s="54" t="s">
        <v>2838</v>
      </c>
      <c r="H108" s="54" t="s">
        <v>2839</v>
      </c>
      <c r="I108" s="114" t="s">
        <v>2815</v>
      </c>
      <c r="J108" s="283"/>
      <c r="K108" s="54" t="s">
        <v>2840</v>
      </c>
      <c r="L108" s="283"/>
      <c r="M108" s="114" t="s">
        <v>154</v>
      </c>
      <c r="N108" s="283"/>
      <c r="O108" s="29" t="s">
        <v>2826</v>
      </c>
      <c r="P108" s="54" t="s">
        <v>66</v>
      </c>
      <c r="Q108" s="114" t="s">
        <v>2692</v>
      </c>
      <c r="R108" s="432"/>
      <c r="S108" s="432"/>
      <c r="T108" s="432"/>
      <c r="U108" s="432"/>
      <c r="V108" s="432"/>
      <c r="W108" s="432"/>
      <c r="X108" s="432"/>
      <c r="Y108" s="432"/>
      <c r="Z108" s="432"/>
      <c r="AA108" s="432"/>
      <c r="AB108" s="432"/>
      <c r="AC108" s="432"/>
      <c r="AD108" s="432"/>
    </row>
    <row r="109">
      <c r="A109" s="433">
        <v>2025.0</v>
      </c>
      <c r="B109" s="433"/>
      <c r="C109" s="434"/>
      <c r="D109" s="454"/>
      <c r="E109" s="454"/>
      <c r="F109" s="29"/>
      <c r="G109" s="283"/>
      <c r="H109" s="283"/>
      <c r="I109" s="283"/>
      <c r="J109" s="283"/>
      <c r="K109" s="283"/>
      <c r="L109" s="283"/>
      <c r="M109" s="283"/>
      <c r="N109" s="283"/>
      <c r="O109" s="40"/>
      <c r="P109" s="458"/>
      <c r="Q109" s="283"/>
      <c r="R109" s="432"/>
      <c r="S109" s="432"/>
      <c r="T109" s="432"/>
      <c r="U109" s="432"/>
      <c r="V109" s="432"/>
      <c r="W109" s="432"/>
      <c r="X109" s="432"/>
      <c r="Y109" s="432"/>
      <c r="Z109" s="432"/>
      <c r="AA109" s="432"/>
      <c r="AB109" s="432"/>
      <c r="AC109" s="432"/>
      <c r="AD109" s="432"/>
    </row>
    <row r="110">
      <c r="A110" s="433">
        <v>2025.0</v>
      </c>
      <c r="B110" s="433"/>
      <c r="C110" s="434"/>
      <c r="D110" s="454"/>
      <c r="E110" s="454"/>
      <c r="F110" s="29"/>
      <c r="G110" s="283"/>
      <c r="H110" s="283"/>
      <c r="I110" s="283"/>
      <c r="J110" s="283"/>
      <c r="K110" s="283"/>
      <c r="L110" s="283"/>
      <c r="M110" s="283"/>
      <c r="N110" s="283"/>
      <c r="O110" s="40"/>
      <c r="P110" s="458"/>
      <c r="Q110" s="283"/>
      <c r="R110" s="432"/>
      <c r="S110" s="432"/>
      <c r="T110" s="432"/>
      <c r="U110" s="432"/>
      <c r="V110" s="432"/>
      <c r="W110" s="432"/>
      <c r="X110" s="432"/>
      <c r="Y110" s="432"/>
      <c r="Z110" s="432"/>
      <c r="AA110" s="432"/>
      <c r="AB110" s="432"/>
      <c r="AC110" s="432"/>
      <c r="AD110" s="432"/>
    </row>
    <row r="111">
      <c r="A111" s="433">
        <v>2025.0</v>
      </c>
      <c r="B111" s="433"/>
      <c r="C111" s="434"/>
      <c r="D111" s="454"/>
      <c r="E111" s="454"/>
      <c r="F111" s="29"/>
      <c r="G111" s="283"/>
      <c r="H111" s="283"/>
      <c r="I111" s="283"/>
      <c r="J111" s="283"/>
      <c r="K111" s="283"/>
      <c r="L111" s="283"/>
      <c r="M111" s="283"/>
      <c r="N111" s="283"/>
      <c r="O111" s="40"/>
      <c r="P111" s="458"/>
      <c r="Q111" s="283"/>
      <c r="R111" s="432"/>
      <c r="S111" s="432"/>
      <c r="T111" s="432"/>
      <c r="U111" s="432"/>
      <c r="V111" s="432"/>
      <c r="W111" s="432"/>
      <c r="X111" s="432"/>
      <c r="Y111" s="432"/>
      <c r="Z111" s="432"/>
      <c r="AA111" s="432"/>
      <c r="AB111" s="432"/>
      <c r="AC111" s="432"/>
      <c r="AD111" s="432"/>
    </row>
    <row r="112">
      <c r="A112" s="433">
        <v>2025.0</v>
      </c>
      <c r="B112" s="433"/>
      <c r="C112" s="434"/>
      <c r="D112" s="454"/>
      <c r="E112" s="454"/>
      <c r="F112" s="29"/>
      <c r="G112" s="283"/>
      <c r="H112" s="283"/>
      <c r="I112" s="283"/>
      <c r="J112" s="283"/>
      <c r="K112" s="283"/>
      <c r="L112" s="283"/>
      <c r="M112" s="283"/>
      <c r="N112" s="283"/>
      <c r="O112" s="40"/>
      <c r="P112" s="458"/>
      <c r="Q112" s="283"/>
      <c r="R112" s="432"/>
      <c r="S112" s="432"/>
      <c r="T112" s="432"/>
      <c r="U112" s="432"/>
      <c r="V112" s="432"/>
      <c r="W112" s="432"/>
      <c r="X112" s="432"/>
      <c r="Y112" s="432"/>
      <c r="Z112" s="432"/>
      <c r="AA112" s="432"/>
      <c r="AB112" s="432"/>
      <c r="AC112" s="432"/>
      <c r="AD112" s="432"/>
    </row>
    <row r="113">
      <c r="A113" s="432"/>
      <c r="B113" s="432"/>
      <c r="C113" s="432"/>
      <c r="D113" s="459"/>
      <c r="E113" s="459"/>
      <c r="F113" s="432"/>
      <c r="G113" s="432"/>
      <c r="H113" s="432"/>
      <c r="I113" s="432"/>
      <c r="J113" s="432"/>
      <c r="K113" s="432"/>
      <c r="L113" s="432"/>
      <c r="M113" s="432"/>
      <c r="N113" s="432"/>
      <c r="O113" s="459"/>
      <c r="P113" s="460"/>
      <c r="Q113" s="432"/>
      <c r="R113" s="432"/>
      <c r="S113" s="432"/>
      <c r="T113" s="432"/>
      <c r="U113" s="432"/>
      <c r="V113" s="432"/>
      <c r="W113" s="432"/>
      <c r="X113" s="432"/>
      <c r="Y113" s="432"/>
      <c r="Z113" s="432"/>
      <c r="AA113" s="432"/>
      <c r="AB113" s="432"/>
      <c r="AC113" s="432"/>
      <c r="AD113" s="432"/>
    </row>
    <row r="114">
      <c r="A114" s="432"/>
      <c r="B114" s="432"/>
      <c r="C114" s="432"/>
      <c r="D114" s="459"/>
      <c r="E114" s="459"/>
      <c r="F114" s="432"/>
      <c r="G114" s="432"/>
      <c r="H114" s="432"/>
      <c r="I114" s="432"/>
      <c r="J114" s="432"/>
      <c r="K114" s="432"/>
      <c r="L114" s="432"/>
      <c r="M114" s="432"/>
      <c r="N114" s="432"/>
      <c r="O114" s="459"/>
      <c r="P114" s="460"/>
      <c r="Q114" s="432"/>
      <c r="R114" s="432"/>
      <c r="S114" s="432"/>
      <c r="T114" s="432"/>
      <c r="U114" s="432"/>
      <c r="V114" s="432"/>
      <c r="W114" s="432"/>
      <c r="X114" s="432"/>
      <c r="Y114" s="432"/>
      <c r="Z114" s="432"/>
      <c r="AA114" s="432"/>
      <c r="AB114" s="432"/>
      <c r="AC114" s="432"/>
      <c r="AD114" s="432"/>
    </row>
    <row r="115">
      <c r="A115" s="432"/>
      <c r="B115" s="432"/>
      <c r="C115" s="432"/>
      <c r="D115" s="459"/>
      <c r="E115" s="459"/>
      <c r="F115" s="432"/>
      <c r="G115" s="432"/>
      <c r="H115" s="432"/>
      <c r="I115" s="432"/>
      <c r="J115" s="432"/>
      <c r="K115" s="432"/>
      <c r="L115" s="432"/>
      <c r="M115" s="432"/>
      <c r="N115" s="432"/>
      <c r="O115" s="459"/>
      <c r="P115" s="460"/>
      <c r="Q115" s="432"/>
      <c r="R115" s="432"/>
      <c r="S115" s="432"/>
      <c r="T115" s="432"/>
      <c r="U115" s="432"/>
      <c r="V115" s="432"/>
      <c r="W115" s="432"/>
      <c r="X115" s="432"/>
      <c r="Y115" s="432"/>
      <c r="Z115" s="432"/>
      <c r="AA115" s="432"/>
      <c r="AB115" s="432"/>
      <c r="AC115" s="432"/>
      <c r="AD115" s="432"/>
    </row>
    <row r="116">
      <c r="A116" s="432"/>
      <c r="B116" s="432"/>
      <c r="C116" s="432"/>
      <c r="D116" s="459"/>
      <c r="E116" s="459"/>
      <c r="F116" s="432"/>
      <c r="G116" s="432"/>
      <c r="H116" s="432"/>
      <c r="I116" s="432"/>
      <c r="J116" s="432"/>
      <c r="K116" s="432"/>
      <c r="L116" s="432"/>
      <c r="M116" s="432"/>
      <c r="N116" s="432"/>
      <c r="O116" s="459"/>
      <c r="P116" s="460"/>
      <c r="Q116" s="432"/>
      <c r="R116" s="432"/>
      <c r="S116" s="432"/>
      <c r="T116" s="432"/>
      <c r="U116" s="432"/>
      <c r="V116" s="432"/>
      <c r="W116" s="432"/>
      <c r="X116" s="432"/>
      <c r="Y116" s="432"/>
      <c r="Z116" s="432"/>
      <c r="AA116" s="432"/>
      <c r="AB116" s="432"/>
      <c r="AC116" s="432"/>
      <c r="AD116" s="432"/>
    </row>
    <row r="117">
      <c r="A117" s="432"/>
      <c r="B117" s="432"/>
      <c r="C117" s="432"/>
      <c r="D117" s="459"/>
      <c r="E117" s="459"/>
      <c r="F117" s="432"/>
      <c r="G117" s="432"/>
      <c r="H117" s="432"/>
      <c r="I117" s="432"/>
      <c r="J117" s="432"/>
      <c r="K117" s="432"/>
      <c r="L117" s="432"/>
      <c r="M117" s="432"/>
      <c r="N117" s="432"/>
      <c r="O117" s="459"/>
      <c r="P117" s="460"/>
      <c r="Q117" s="432"/>
      <c r="R117" s="432"/>
      <c r="S117" s="432"/>
      <c r="T117" s="432"/>
      <c r="U117" s="432"/>
      <c r="V117" s="432"/>
      <c r="W117" s="432"/>
      <c r="X117" s="432"/>
      <c r="Y117" s="432"/>
      <c r="Z117" s="432"/>
      <c r="AA117" s="432"/>
      <c r="AB117" s="432"/>
      <c r="AC117" s="432"/>
      <c r="AD117" s="432"/>
    </row>
    <row r="118">
      <c r="A118" s="432"/>
      <c r="B118" s="432"/>
      <c r="C118" s="432"/>
      <c r="D118" s="459"/>
      <c r="E118" s="459"/>
      <c r="F118" s="432"/>
      <c r="G118" s="432"/>
      <c r="H118" s="432"/>
      <c r="I118" s="432"/>
      <c r="J118" s="432"/>
      <c r="K118" s="432"/>
      <c r="L118" s="432"/>
      <c r="M118" s="432"/>
      <c r="N118" s="432"/>
      <c r="O118" s="459"/>
      <c r="P118" s="460"/>
      <c r="Q118" s="432"/>
      <c r="R118" s="432"/>
      <c r="S118" s="432"/>
      <c r="T118" s="432"/>
      <c r="U118" s="432"/>
      <c r="V118" s="432"/>
      <c r="W118" s="432"/>
      <c r="X118" s="432"/>
      <c r="Y118" s="432"/>
      <c r="Z118" s="432"/>
      <c r="AA118" s="432"/>
      <c r="AB118" s="432"/>
      <c r="AC118" s="432"/>
      <c r="AD118" s="432"/>
    </row>
    <row r="119">
      <c r="A119" s="432"/>
      <c r="B119" s="432"/>
      <c r="C119" s="432"/>
      <c r="D119" s="459"/>
      <c r="E119" s="459"/>
      <c r="F119" s="432"/>
      <c r="G119" s="432"/>
      <c r="H119" s="432"/>
      <c r="I119" s="432"/>
      <c r="J119" s="432"/>
      <c r="K119" s="432"/>
      <c r="L119" s="432"/>
      <c r="M119" s="432"/>
      <c r="N119" s="432"/>
      <c r="O119" s="459"/>
      <c r="P119" s="460"/>
      <c r="Q119" s="432"/>
      <c r="R119" s="432"/>
      <c r="S119" s="432"/>
      <c r="T119" s="432"/>
      <c r="U119" s="432"/>
      <c r="V119" s="432"/>
      <c r="W119" s="432"/>
      <c r="X119" s="432"/>
      <c r="Y119" s="432"/>
      <c r="Z119" s="432"/>
      <c r="AA119" s="432"/>
      <c r="AB119" s="432"/>
      <c r="AC119" s="432"/>
      <c r="AD119" s="432"/>
    </row>
    <row r="120">
      <c r="A120" s="432"/>
      <c r="B120" s="432"/>
      <c r="C120" s="432"/>
      <c r="D120" s="459"/>
      <c r="E120" s="459"/>
      <c r="F120" s="432"/>
      <c r="G120" s="432"/>
      <c r="H120" s="432"/>
      <c r="I120" s="432"/>
      <c r="J120" s="432"/>
      <c r="K120" s="432"/>
      <c r="L120" s="432"/>
      <c r="M120" s="432"/>
      <c r="N120" s="432"/>
      <c r="O120" s="459"/>
      <c r="P120" s="460"/>
      <c r="Q120" s="432"/>
      <c r="R120" s="432"/>
      <c r="S120" s="432"/>
      <c r="T120" s="432"/>
      <c r="U120" s="432"/>
      <c r="V120" s="432"/>
      <c r="W120" s="432"/>
      <c r="X120" s="432"/>
      <c r="Y120" s="432"/>
      <c r="Z120" s="432"/>
      <c r="AA120" s="432"/>
      <c r="AB120" s="432"/>
      <c r="AC120" s="432"/>
      <c r="AD120" s="432"/>
    </row>
    <row r="121">
      <c r="A121" s="432"/>
      <c r="B121" s="432"/>
      <c r="C121" s="432"/>
      <c r="D121" s="459"/>
      <c r="E121" s="459"/>
      <c r="F121" s="432"/>
      <c r="G121" s="432"/>
      <c r="H121" s="432"/>
      <c r="I121" s="432"/>
      <c r="J121" s="432"/>
      <c r="K121" s="432"/>
      <c r="L121" s="432"/>
      <c r="M121" s="432"/>
      <c r="N121" s="432"/>
      <c r="O121" s="459"/>
      <c r="P121" s="460"/>
      <c r="Q121" s="432"/>
      <c r="R121" s="432"/>
      <c r="S121" s="432"/>
      <c r="T121" s="432"/>
      <c r="U121" s="432"/>
      <c r="V121" s="432"/>
      <c r="W121" s="432"/>
      <c r="X121" s="432"/>
      <c r="Y121" s="432"/>
      <c r="Z121" s="432"/>
      <c r="AA121" s="432"/>
      <c r="AB121" s="432"/>
      <c r="AC121" s="432"/>
      <c r="AD121" s="432"/>
    </row>
    <row r="122">
      <c r="A122" s="432"/>
      <c r="B122" s="432"/>
      <c r="C122" s="432"/>
      <c r="D122" s="459"/>
      <c r="E122" s="459"/>
      <c r="F122" s="432"/>
      <c r="G122" s="432"/>
      <c r="H122" s="432"/>
      <c r="I122" s="432"/>
      <c r="J122" s="432"/>
      <c r="K122" s="432"/>
      <c r="L122" s="432"/>
      <c r="M122" s="432"/>
      <c r="N122" s="432"/>
      <c r="O122" s="459"/>
      <c r="P122" s="460"/>
      <c r="Q122" s="432"/>
      <c r="R122" s="432"/>
      <c r="S122" s="432"/>
      <c r="T122" s="432"/>
      <c r="U122" s="432"/>
      <c r="V122" s="432"/>
      <c r="W122" s="432"/>
      <c r="X122" s="432"/>
      <c r="Y122" s="432"/>
      <c r="Z122" s="432"/>
      <c r="AA122" s="432"/>
      <c r="AB122" s="432"/>
      <c r="AC122" s="432"/>
      <c r="AD122" s="432"/>
    </row>
    <row r="123">
      <c r="A123" s="432"/>
      <c r="B123" s="432"/>
      <c r="C123" s="432"/>
      <c r="D123" s="459"/>
      <c r="E123" s="459"/>
      <c r="F123" s="432"/>
      <c r="G123" s="432"/>
      <c r="H123" s="432"/>
      <c r="I123" s="432"/>
      <c r="J123" s="432"/>
      <c r="K123" s="432"/>
      <c r="L123" s="432"/>
      <c r="M123" s="432"/>
      <c r="N123" s="432"/>
      <c r="O123" s="459"/>
      <c r="P123" s="460"/>
      <c r="Q123" s="432"/>
      <c r="R123" s="432"/>
      <c r="S123" s="432"/>
      <c r="T123" s="432"/>
      <c r="U123" s="432"/>
      <c r="V123" s="432"/>
      <c r="W123" s="432"/>
      <c r="X123" s="432"/>
      <c r="Y123" s="432"/>
      <c r="Z123" s="432"/>
      <c r="AA123" s="432"/>
      <c r="AB123" s="432"/>
      <c r="AC123" s="432"/>
      <c r="AD123" s="432"/>
    </row>
    <row r="124">
      <c r="A124" s="432"/>
      <c r="B124" s="432"/>
      <c r="C124" s="432"/>
      <c r="D124" s="459"/>
      <c r="E124" s="459"/>
      <c r="F124" s="432"/>
      <c r="G124" s="432"/>
      <c r="H124" s="432"/>
      <c r="I124" s="432"/>
      <c r="J124" s="432"/>
      <c r="K124" s="432"/>
      <c r="L124" s="432"/>
      <c r="M124" s="432"/>
      <c r="N124" s="432"/>
      <c r="O124" s="459"/>
      <c r="P124" s="460"/>
      <c r="Q124" s="432"/>
      <c r="R124" s="432"/>
      <c r="S124" s="432"/>
      <c r="T124" s="432"/>
      <c r="U124" s="432"/>
      <c r="V124" s="432"/>
      <c r="W124" s="432"/>
      <c r="X124" s="432"/>
      <c r="Y124" s="432"/>
      <c r="Z124" s="432"/>
      <c r="AA124" s="432"/>
      <c r="AB124" s="432"/>
      <c r="AC124" s="432"/>
      <c r="AD124" s="432"/>
    </row>
    <row r="125">
      <c r="A125" s="432"/>
      <c r="B125" s="432"/>
      <c r="C125" s="432"/>
      <c r="D125" s="459"/>
      <c r="E125" s="459"/>
      <c r="F125" s="432"/>
      <c r="G125" s="432"/>
      <c r="H125" s="432"/>
      <c r="I125" s="432"/>
      <c r="J125" s="432"/>
      <c r="K125" s="432"/>
      <c r="L125" s="432"/>
      <c r="M125" s="432"/>
      <c r="N125" s="432"/>
      <c r="O125" s="459"/>
      <c r="P125" s="460"/>
      <c r="Q125" s="432"/>
      <c r="R125" s="432"/>
      <c r="S125" s="432"/>
      <c r="T125" s="432"/>
      <c r="U125" s="432"/>
      <c r="V125" s="432"/>
      <c r="W125" s="432"/>
      <c r="X125" s="432"/>
      <c r="Y125" s="432"/>
      <c r="Z125" s="432"/>
      <c r="AA125" s="432"/>
      <c r="AB125" s="432"/>
      <c r="AC125" s="432"/>
      <c r="AD125" s="432"/>
    </row>
    <row r="126">
      <c r="A126" s="432"/>
      <c r="B126" s="432"/>
      <c r="C126" s="432"/>
      <c r="D126" s="459"/>
      <c r="E126" s="459"/>
      <c r="F126" s="432"/>
      <c r="G126" s="432"/>
      <c r="H126" s="432"/>
      <c r="I126" s="432"/>
      <c r="J126" s="432"/>
      <c r="K126" s="432"/>
      <c r="L126" s="432"/>
      <c r="M126" s="432"/>
      <c r="N126" s="432"/>
      <c r="O126" s="459"/>
      <c r="P126" s="460"/>
      <c r="Q126" s="432"/>
      <c r="R126" s="432"/>
      <c r="S126" s="432"/>
      <c r="T126" s="432"/>
      <c r="U126" s="432"/>
      <c r="V126" s="432"/>
      <c r="W126" s="432"/>
      <c r="X126" s="432"/>
      <c r="Y126" s="432"/>
      <c r="Z126" s="432"/>
      <c r="AA126" s="432"/>
      <c r="AB126" s="432"/>
      <c r="AC126" s="432"/>
      <c r="AD126" s="432"/>
    </row>
    <row r="127">
      <c r="A127" s="432"/>
      <c r="B127" s="432"/>
      <c r="C127" s="432"/>
      <c r="D127" s="459"/>
      <c r="E127" s="459"/>
      <c r="F127" s="432"/>
      <c r="G127" s="432"/>
      <c r="H127" s="432"/>
      <c r="I127" s="432"/>
      <c r="J127" s="432"/>
      <c r="K127" s="432"/>
      <c r="L127" s="432"/>
      <c r="M127" s="432"/>
      <c r="N127" s="432"/>
      <c r="O127" s="459"/>
      <c r="P127" s="460"/>
      <c r="Q127" s="432"/>
      <c r="R127" s="432"/>
      <c r="S127" s="432"/>
      <c r="T127" s="432"/>
      <c r="U127" s="432"/>
      <c r="V127" s="432"/>
      <c r="W127" s="432"/>
      <c r="X127" s="432"/>
      <c r="Y127" s="432"/>
      <c r="Z127" s="432"/>
      <c r="AA127" s="432"/>
      <c r="AB127" s="432"/>
      <c r="AC127" s="432"/>
      <c r="AD127" s="432"/>
    </row>
    <row r="128">
      <c r="A128" s="432"/>
      <c r="B128" s="432"/>
      <c r="C128" s="432"/>
      <c r="D128" s="459"/>
      <c r="E128" s="459"/>
      <c r="F128" s="432"/>
      <c r="G128" s="432"/>
      <c r="H128" s="432"/>
      <c r="I128" s="432"/>
      <c r="J128" s="432"/>
      <c r="K128" s="432"/>
      <c r="L128" s="432"/>
      <c r="M128" s="432"/>
      <c r="N128" s="432"/>
      <c r="O128" s="459"/>
      <c r="P128" s="460"/>
      <c r="Q128" s="432"/>
      <c r="R128" s="432"/>
      <c r="S128" s="432"/>
      <c r="T128" s="432"/>
      <c r="U128" s="432"/>
      <c r="V128" s="432"/>
      <c r="W128" s="432"/>
      <c r="X128" s="432"/>
      <c r="Y128" s="432"/>
      <c r="Z128" s="432"/>
      <c r="AA128" s="432"/>
      <c r="AB128" s="432"/>
      <c r="AC128" s="432"/>
      <c r="AD128" s="432"/>
    </row>
    <row r="129">
      <c r="A129" s="432"/>
      <c r="B129" s="432"/>
      <c r="C129" s="432"/>
      <c r="D129" s="459"/>
      <c r="E129" s="459"/>
      <c r="F129" s="432"/>
      <c r="G129" s="432"/>
      <c r="H129" s="432"/>
      <c r="I129" s="432"/>
      <c r="J129" s="432"/>
      <c r="K129" s="432"/>
      <c r="L129" s="432"/>
      <c r="M129" s="432"/>
      <c r="N129" s="432"/>
      <c r="O129" s="459"/>
      <c r="P129" s="460"/>
      <c r="Q129" s="432"/>
      <c r="R129" s="432"/>
      <c r="S129" s="432"/>
      <c r="T129" s="432"/>
      <c r="U129" s="432"/>
      <c r="V129" s="432"/>
      <c r="W129" s="432"/>
      <c r="X129" s="432"/>
      <c r="Y129" s="432"/>
      <c r="Z129" s="432"/>
      <c r="AA129" s="432"/>
      <c r="AB129" s="432"/>
      <c r="AC129" s="432"/>
      <c r="AD129" s="432"/>
    </row>
    <row r="130">
      <c r="A130" s="432"/>
      <c r="B130" s="432"/>
      <c r="C130" s="432"/>
      <c r="D130" s="459"/>
      <c r="E130" s="459"/>
      <c r="F130" s="432"/>
      <c r="G130" s="432"/>
      <c r="H130" s="432"/>
      <c r="I130" s="432"/>
      <c r="J130" s="432"/>
      <c r="K130" s="432"/>
      <c r="L130" s="432"/>
      <c r="M130" s="432"/>
      <c r="N130" s="432"/>
      <c r="O130" s="459"/>
      <c r="P130" s="460"/>
      <c r="Q130" s="432"/>
      <c r="R130" s="432"/>
      <c r="S130" s="432"/>
      <c r="T130" s="432"/>
      <c r="U130" s="432"/>
      <c r="V130" s="432"/>
      <c r="W130" s="432"/>
      <c r="X130" s="432"/>
      <c r="Y130" s="432"/>
      <c r="Z130" s="432"/>
      <c r="AA130" s="432"/>
      <c r="AB130" s="432"/>
      <c r="AC130" s="432"/>
      <c r="AD130" s="432"/>
    </row>
    <row r="131">
      <c r="A131" s="432"/>
      <c r="B131" s="432"/>
      <c r="C131" s="432"/>
      <c r="D131" s="459"/>
      <c r="E131" s="459"/>
      <c r="F131" s="432"/>
      <c r="G131" s="432"/>
      <c r="H131" s="432"/>
      <c r="I131" s="432"/>
      <c r="J131" s="432"/>
      <c r="K131" s="432"/>
      <c r="L131" s="432"/>
      <c r="M131" s="432"/>
      <c r="N131" s="432"/>
      <c r="O131" s="459"/>
      <c r="P131" s="460"/>
      <c r="Q131" s="432"/>
      <c r="R131" s="432"/>
      <c r="S131" s="432"/>
      <c r="T131" s="432"/>
      <c r="U131" s="432"/>
      <c r="V131" s="432"/>
      <c r="W131" s="432"/>
      <c r="X131" s="432"/>
      <c r="Y131" s="432"/>
      <c r="Z131" s="432"/>
      <c r="AA131" s="432"/>
      <c r="AB131" s="432"/>
      <c r="AC131" s="432"/>
      <c r="AD131" s="432"/>
    </row>
    <row r="132">
      <c r="A132" s="432"/>
      <c r="B132" s="432"/>
      <c r="C132" s="432"/>
      <c r="D132" s="459"/>
      <c r="E132" s="459"/>
      <c r="F132" s="432"/>
      <c r="G132" s="432"/>
      <c r="H132" s="432"/>
      <c r="I132" s="432"/>
      <c r="J132" s="432"/>
      <c r="K132" s="432"/>
      <c r="L132" s="432"/>
      <c r="M132" s="432"/>
      <c r="N132" s="432"/>
      <c r="O132" s="459"/>
      <c r="P132" s="460"/>
      <c r="Q132" s="432"/>
      <c r="R132" s="432"/>
      <c r="S132" s="432"/>
      <c r="T132" s="432"/>
      <c r="U132" s="432"/>
      <c r="V132" s="432"/>
      <c r="W132" s="432"/>
      <c r="X132" s="432"/>
      <c r="Y132" s="432"/>
      <c r="Z132" s="432"/>
      <c r="AA132" s="432"/>
      <c r="AB132" s="432"/>
      <c r="AC132" s="432"/>
      <c r="AD132" s="432"/>
    </row>
    <row r="133">
      <c r="A133" s="432"/>
      <c r="B133" s="432"/>
      <c r="C133" s="432"/>
      <c r="D133" s="459"/>
      <c r="E133" s="459"/>
      <c r="F133" s="432"/>
      <c r="G133" s="432"/>
      <c r="H133" s="432"/>
      <c r="I133" s="432"/>
      <c r="J133" s="432"/>
      <c r="K133" s="432"/>
      <c r="L133" s="432"/>
      <c r="M133" s="432"/>
      <c r="N133" s="432"/>
      <c r="O133" s="459"/>
      <c r="P133" s="460"/>
      <c r="Q133" s="432"/>
      <c r="R133" s="432"/>
      <c r="S133" s="432"/>
      <c r="T133" s="432"/>
      <c r="U133" s="432"/>
      <c r="V133" s="432"/>
      <c r="W133" s="432"/>
      <c r="X133" s="432"/>
      <c r="Y133" s="432"/>
      <c r="Z133" s="432"/>
      <c r="AA133" s="432"/>
      <c r="AB133" s="432"/>
      <c r="AC133" s="432"/>
      <c r="AD133" s="432"/>
    </row>
    <row r="134">
      <c r="A134" s="432"/>
      <c r="B134" s="432"/>
      <c r="C134" s="432"/>
      <c r="D134" s="459"/>
      <c r="E134" s="459"/>
      <c r="F134" s="432"/>
      <c r="G134" s="432"/>
      <c r="H134" s="432"/>
      <c r="I134" s="432"/>
      <c r="J134" s="432"/>
      <c r="K134" s="432"/>
      <c r="L134" s="432"/>
      <c r="M134" s="432"/>
      <c r="N134" s="432"/>
      <c r="O134" s="459"/>
      <c r="P134" s="460"/>
      <c r="Q134" s="432"/>
      <c r="R134" s="432"/>
      <c r="S134" s="432"/>
      <c r="T134" s="432"/>
      <c r="U134" s="432"/>
      <c r="V134" s="432"/>
      <c r="W134" s="432"/>
      <c r="X134" s="432"/>
      <c r="Y134" s="432"/>
      <c r="Z134" s="432"/>
      <c r="AA134" s="432"/>
      <c r="AB134" s="432"/>
      <c r="AC134" s="432"/>
      <c r="AD134" s="432"/>
    </row>
    <row r="135">
      <c r="A135" s="432"/>
      <c r="B135" s="432"/>
      <c r="C135" s="432"/>
      <c r="D135" s="459"/>
      <c r="E135" s="459"/>
      <c r="F135" s="432"/>
      <c r="G135" s="432"/>
      <c r="H135" s="432"/>
      <c r="I135" s="432"/>
      <c r="J135" s="432"/>
      <c r="K135" s="432"/>
      <c r="L135" s="432"/>
      <c r="M135" s="432"/>
      <c r="N135" s="432"/>
      <c r="O135" s="459"/>
      <c r="P135" s="460"/>
      <c r="Q135" s="432"/>
      <c r="R135" s="432"/>
      <c r="S135" s="432"/>
      <c r="T135" s="432"/>
      <c r="U135" s="432"/>
      <c r="V135" s="432"/>
      <c r="W135" s="432"/>
      <c r="X135" s="432"/>
      <c r="Y135" s="432"/>
      <c r="Z135" s="432"/>
      <c r="AA135" s="432"/>
      <c r="AB135" s="432"/>
      <c r="AC135" s="432"/>
      <c r="AD135" s="432"/>
    </row>
    <row r="136">
      <c r="A136" s="432"/>
      <c r="B136" s="432"/>
      <c r="C136" s="432"/>
      <c r="D136" s="459"/>
      <c r="E136" s="459"/>
      <c r="F136" s="432"/>
      <c r="G136" s="432"/>
      <c r="H136" s="432"/>
      <c r="I136" s="432"/>
      <c r="J136" s="432"/>
      <c r="K136" s="432"/>
      <c r="L136" s="432"/>
      <c r="M136" s="432"/>
      <c r="N136" s="432"/>
      <c r="O136" s="459"/>
      <c r="P136" s="460"/>
      <c r="Q136" s="432"/>
      <c r="R136" s="432"/>
      <c r="S136" s="432"/>
      <c r="T136" s="432"/>
      <c r="U136" s="432"/>
      <c r="V136" s="432"/>
      <c r="W136" s="432"/>
      <c r="X136" s="432"/>
      <c r="Y136" s="432"/>
      <c r="Z136" s="432"/>
      <c r="AA136" s="432"/>
      <c r="AB136" s="432"/>
      <c r="AC136" s="432"/>
      <c r="AD136" s="432"/>
    </row>
    <row r="137">
      <c r="A137" s="432"/>
      <c r="B137" s="432"/>
      <c r="C137" s="432"/>
      <c r="D137" s="459"/>
      <c r="E137" s="459"/>
      <c r="F137" s="432"/>
      <c r="G137" s="432"/>
      <c r="H137" s="432"/>
      <c r="I137" s="432"/>
      <c r="J137" s="432"/>
      <c r="K137" s="432"/>
      <c r="L137" s="432"/>
      <c r="M137" s="432"/>
      <c r="N137" s="432"/>
      <c r="O137" s="459"/>
      <c r="P137" s="460"/>
      <c r="Q137" s="432"/>
      <c r="R137" s="432"/>
      <c r="S137" s="432"/>
      <c r="T137" s="432"/>
      <c r="U137" s="432"/>
      <c r="V137" s="432"/>
      <c r="W137" s="432"/>
      <c r="X137" s="432"/>
      <c r="Y137" s="432"/>
      <c r="Z137" s="432"/>
      <c r="AA137" s="432"/>
      <c r="AB137" s="432"/>
      <c r="AC137" s="432"/>
      <c r="AD137" s="432"/>
    </row>
    <row r="138">
      <c r="A138" s="432"/>
      <c r="B138" s="432"/>
      <c r="C138" s="432"/>
      <c r="D138" s="459"/>
      <c r="E138" s="459"/>
      <c r="F138" s="432"/>
      <c r="G138" s="432"/>
      <c r="H138" s="432"/>
      <c r="I138" s="432"/>
      <c r="J138" s="432"/>
      <c r="K138" s="432"/>
      <c r="L138" s="432"/>
      <c r="M138" s="432"/>
      <c r="N138" s="432"/>
      <c r="O138" s="459"/>
      <c r="P138" s="460"/>
      <c r="Q138" s="432"/>
      <c r="R138" s="432"/>
      <c r="S138" s="432"/>
      <c r="T138" s="432"/>
      <c r="U138" s="432"/>
      <c r="V138" s="432"/>
      <c r="W138" s="432"/>
      <c r="X138" s="432"/>
      <c r="Y138" s="432"/>
      <c r="Z138" s="432"/>
      <c r="AA138" s="432"/>
      <c r="AB138" s="432"/>
      <c r="AC138" s="432"/>
      <c r="AD138" s="432"/>
    </row>
    <row r="139">
      <c r="A139" s="432"/>
      <c r="B139" s="432"/>
      <c r="C139" s="432"/>
      <c r="D139" s="459"/>
      <c r="E139" s="459"/>
      <c r="F139" s="432"/>
      <c r="G139" s="432"/>
      <c r="H139" s="432"/>
      <c r="I139" s="432"/>
      <c r="J139" s="432"/>
      <c r="K139" s="432"/>
      <c r="L139" s="432"/>
      <c r="M139" s="432"/>
      <c r="N139" s="432"/>
      <c r="O139" s="459"/>
      <c r="P139" s="460"/>
      <c r="Q139" s="432"/>
      <c r="R139" s="432"/>
      <c r="S139" s="432"/>
      <c r="T139" s="432"/>
      <c r="U139" s="432"/>
      <c r="V139" s="432"/>
      <c r="W139" s="432"/>
      <c r="X139" s="432"/>
      <c r="Y139" s="432"/>
      <c r="Z139" s="432"/>
      <c r="AA139" s="432"/>
      <c r="AB139" s="432"/>
      <c r="AC139" s="432"/>
      <c r="AD139" s="432"/>
    </row>
    <row r="140">
      <c r="A140" s="432"/>
      <c r="B140" s="432"/>
      <c r="C140" s="432"/>
      <c r="D140" s="459"/>
      <c r="E140" s="459"/>
      <c r="F140" s="432"/>
      <c r="G140" s="432"/>
      <c r="H140" s="432"/>
      <c r="I140" s="432"/>
      <c r="J140" s="432"/>
      <c r="K140" s="432"/>
      <c r="L140" s="432"/>
      <c r="M140" s="432"/>
      <c r="N140" s="432"/>
      <c r="O140" s="459"/>
      <c r="P140" s="460"/>
      <c r="Q140" s="432"/>
      <c r="R140" s="432"/>
      <c r="S140" s="432"/>
      <c r="T140" s="432"/>
      <c r="U140" s="432"/>
      <c r="V140" s="432"/>
      <c r="W140" s="432"/>
      <c r="X140" s="432"/>
      <c r="Y140" s="432"/>
      <c r="Z140" s="432"/>
      <c r="AA140" s="432"/>
      <c r="AB140" s="432"/>
      <c r="AC140" s="432"/>
      <c r="AD140" s="432"/>
    </row>
    <row r="141">
      <c r="A141" s="432"/>
      <c r="B141" s="432"/>
      <c r="C141" s="432"/>
      <c r="D141" s="459"/>
      <c r="E141" s="459"/>
      <c r="F141" s="432"/>
      <c r="G141" s="432"/>
      <c r="H141" s="432"/>
      <c r="I141" s="432"/>
      <c r="J141" s="432"/>
      <c r="K141" s="432"/>
      <c r="L141" s="432"/>
      <c r="M141" s="432"/>
      <c r="N141" s="432"/>
      <c r="O141" s="459"/>
      <c r="P141" s="460"/>
      <c r="Q141" s="432"/>
      <c r="R141" s="432"/>
      <c r="S141" s="432"/>
      <c r="T141" s="432"/>
      <c r="U141" s="432"/>
      <c r="V141" s="432"/>
      <c r="W141" s="432"/>
      <c r="X141" s="432"/>
      <c r="Y141" s="432"/>
      <c r="Z141" s="432"/>
      <c r="AA141" s="432"/>
      <c r="AB141" s="432"/>
      <c r="AC141" s="432"/>
      <c r="AD141" s="432"/>
    </row>
    <row r="142">
      <c r="A142" s="432"/>
      <c r="B142" s="432"/>
      <c r="C142" s="432"/>
      <c r="D142" s="459"/>
      <c r="E142" s="459"/>
      <c r="F142" s="432"/>
      <c r="G142" s="432"/>
      <c r="H142" s="432"/>
      <c r="I142" s="432"/>
      <c r="J142" s="432"/>
      <c r="K142" s="432"/>
      <c r="L142" s="432"/>
      <c r="M142" s="432"/>
      <c r="N142" s="432"/>
      <c r="O142" s="459"/>
      <c r="P142" s="460"/>
      <c r="Q142" s="432"/>
      <c r="R142" s="432"/>
      <c r="S142" s="432"/>
      <c r="T142" s="432"/>
      <c r="U142" s="432"/>
      <c r="V142" s="432"/>
      <c r="W142" s="432"/>
      <c r="X142" s="432"/>
      <c r="Y142" s="432"/>
      <c r="Z142" s="432"/>
      <c r="AA142" s="432"/>
      <c r="AB142" s="432"/>
      <c r="AC142" s="432"/>
      <c r="AD142" s="432"/>
    </row>
    <row r="143">
      <c r="A143" s="432"/>
      <c r="B143" s="432"/>
      <c r="C143" s="432"/>
      <c r="D143" s="459"/>
      <c r="E143" s="459"/>
      <c r="F143" s="432"/>
      <c r="G143" s="432"/>
      <c r="H143" s="432"/>
      <c r="I143" s="432"/>
      <c r="J143" s="432"/>
      <c r="K143" s="432"/>
      <c r="L143" s="432"/>
      <c r="M143" s="432"/>
      <c r="N143" s="432"/>
      <c r="O143" s="459"/>
      <c r="P143" s="460"/>
      <c r="Q143" s="432"/>
      <c r="R143" s="432"/>
      <c r="S143" s="432"/>
      <c r="T143" s="432"/>
      <c r="U143" s="432"/>
      <c r="V143" s="432"/>
      <c r="W143" s="432"/>
      <c r="X143" s="432"/>
      <c r="Y143" s="432"/>
      <c r="Z143" s="432"/>
      <c r="AA143" s="432"/>
      <c r="AB143" s="432"/>
      <c r="AC143" s="432"/>
      <c r="AD143" s="432"/>
    </row>
    <row r="144">
      <c r="A144" s="432"/>
      <c r="B144" s="432"/>
      <c r="C144" s="432"/>
      <c r="D144" s="459"/>
      <c r="E144" s="459"/>
      <c r="F144" s="432"/>
      <c r="G144" s="432"/>
      <c r="H144" s="432"/>
      <c r="I144" s="432"/>
      <c r="J144" s="432"/>
      <c r="K144" s="432"/>
      <c r="L144" s="432"/>
      <c r="M144" s="432"/>
      <c r="N144" s="432"/>
      <c r="O144" s="459"/>
      <c r="P144" s="460"/>
      <c r="Q144" s="432"/>
      <c r="R144" s="432"/>
      <c r="S144" s="432"/>
      <c r="T144" s="432"/>
      <c r="U144" s="432"/>
      <c r="V144" s="432"/>
      <c r="W144" s="432"/>
      <c r="X144" s="432"/>
      <c r="Y144" s="432"/>
      <c r="Z144" s="432"/>
      <c r="AA144" s="432"/>
      <c r="AB144" s="432"/>
      <c r="AC144" s="432"/>
      <c r="AD144" s="432"/>
    </row>
    <row r="145">
      <c r="A145" s="432"/>
      <c r="B145" s="432"/>
      <c r="C145" s="432"/>
      <c r="D145" s="459"/>
      <c r="E145" s="459"/>
      <c r="F145" s="432"/>
      <c r="G145" s="432"/>
      <c r="H145" s="432"/>
      <c r="I145" s="432"/>
      <c r="J145" s="432"/>
      <c r="K145" s="432"/>
      <c r="L145" s="432"/>
      <c r="M145" s="432"/>
      <c r="N145" s="432"/>
      <c r="O145" s="459"/>
      <c r="P145" s="460"/>
      <c r="Q145" s="432"/>
      <c r="R145" s="432"/>
      <c r="S145" s="432"/>
      <c r="T145" s="432"/>
      <c r="U145" s="432"/>
      <c r="V145" s="432"/>
      <c r="W145" s="432"/>
      <c r="X145" s="432"/>
      <c r="Y145" s="432"/>
      <c r="Z145" s="432"/>
      <c r="AA145" s="432"/>
      <c r="AB145" s="432"/>
      <c r="AC145" s="432"/>
      <c r="AD145" s="432"/>
    </row>
    <row r="146">
      <c r="A146" s="432"/>
      <c r="B146" s="432"/>
      <c r="C146" s="432"/>
      <c r="D146" s="459"/>
      <c r="E146" s="459"/>
      <c r="F146" s="432"/>
      <c r="G146" s="432"/>
      <c r="H146" s="432"/>
      <c r="I146" s="432"/>
      <c r="J146" s="432"/>
      <c r="K146" s="432"/>
      <c r="L146" s="432"/>
      <c r="M146" s="432"/>
      <c r="N146" s="432"/>
      <c r="O146" s="459"/>
      <c r="P146" s="460"/>
      <c r="Q146" s="432"/>
      <c r="R146" s="432"/>
      <c r="S146" s="432"/>
      <c r="T146" s="432"/>
      <c r="U146" s="432"/>
      <c r="V146" s="432"/>
      <c r="W146" s="432"/>
      <c r="X146" s="432"/>
      <c r="Y146" s="432"/>
      <c r="Z146" s="432"/>
      <c r="AA146" s="432"/>
      <c r="AB146" s="432"/>
      <c r="AC146" s="432"/>
      <c r="AD146" s="432"/>
    </row>
    <row r="147">
      <c r="A147" s="432"/>
      <c r="B147" s="432"/>
      <c r="C147" s="432"/>
      <c r="D147" s="459"/>
      <c r="E147" s="459"/>
      <c r="F147" s="432"/>
      <c r="G147" s="432"/>
      <c r="H147" s="432"/>
      <c r="I147" s="432"/>
      <c r="J147" s="432"/>
      <c r="K147" s="432"/>
      <c r="L147" s="432"/>
      <c r="M147" s="432"/>
      <c r="N147" s="432"/>
      <c r="O147" s="459"/>
      <c r="P147" s="460"/>
      <c r="Q147" s="432"/>
      <c r="R147" s="432"/>
      <c r="S147" s="432"/>
      <c r="T147" s="432"/>
      <c r="U147" s="432"/>
      <c r="V147" s="432"/>
      <c r="W147" s="432"/>
      <c r="X147" s="432"/>
      <c r="Y147" s="432"/>
      <c r="Z147" s="432"/>
      <c r="AA147" s="432"/>
      <c r="AB147" s="432"/>
      <c r="AC147" s="432"/>
      <c r="AD147" s="432"/>
    </row>
    <row r="148">
      <c r="A148" s="432"/>
      <c r="B148" s="432"/>
      <c r="C148" s="432"/>
      <c r="D148" s="459"/>
      <c r="E148" s="459"/>
      <c r="F148" s="432"/>
      <c r="G148" s="432"/>
      <c r="H148" s="432"/>
      <c r="I148" s="432"/>
      <c r="J148" s="432"/>
      <c r="K148" s="432"/>
      <c r="L148" s="432"/>
      <c r="M148" s="432"/>
      <c r="N148" s="432"/>
      <c r="O148" s="459"/>
      <c r="P148" s="460"/>
      <c r="Q148" s="432"/>
      <c r="R148" s="432"/>
      <c r="S148" s="432"/>
      <c r="T148" s="432"/>
      <c r="U148" s="432"/>
      <c r="V148" s="432"/>
      <c r="W148" s="432"/>
      <c r="X148" s="432"/>
      <c r="Y148" s="432"/>
      <c r="Z148" s="432"/>
      <c r="AA148" s="432"/>
      <c r="AB148" s="432"/>
      <c r="AC148" s="432"/>
      <c r="AD148" s="432"/>
    </row>
    <row r="149">
      <c r="A149" s="432"/>
      <c r="B149" s="432"/>
      <c r="C149" s="432"/>
      <c r="D149" s="459"/>
      <c r="E149" s="459"/>
      <c r="F149" s="432"/>
      <c r="G149" s="432"/>
      <c r="H149" s="432"/>
      <c r="I149" s="432"/>
      <c r="J149" s="432"/>
      <c r="K149" s="432"/>
      <c r="L149" s="432"/>
      <c r="M149" s="432"/>
      <c r="N149" s="432"/>
      <c r="O149" s="459"/>
      <c r="P149" s="460"/>
      <c r="Q149" s="432"/>
      <c r="R149" s="432"/>
      <c r="S149" s="432"/>
      <c r="T149" s="432"/>
      <c r="U149" s="432"/>
      <c r="V149" s="432"/>
      <c r="W149" s="432"/>
      <c r="X149" s="432"/>
      <c r="Y149" s="432"/>
      <c r="Z149" s="432"/>
      <c r="AA149" s="432"/>
      <c r="AB149" s="432"/>
      <c r="AC149" s="432"/>
      <c r="AD149" s="432"/>
    </row>
    <row r="150">
      <c r="A150" s="432"/>
      <c r="B150" s="432"/>
      <c r="C150" s="432"/>
      <c r="D150" s="459"/>
      <c r="E150" s="459"/>
      <c r="F150" s="432"/>
      <c r="G150" s="432"/>
      <c r="H150" s="432"/>
      <c r="I150" s="432"/>
      <c r="J150" s="432"/>
      <c r="K150" s="432"/>
      <c r="L150" s="432"/>
      <c r="M150" s="432"/>
      <c r="N150" s="432"/>
      <c r="O150" s="459"/>
      <c r="P150" s="460"/>
      <c r="Q150" s="432"/>
      <c r="R150" s="432"/>
      <c r="S150" s="432"/>
      <c r="T150" s="432"/>
      <c r="U150" s="432"/>
      <c r="V150" s="432"/>
      <c r="W150" s="432"/>
      <c r="X150" s="432"/>
      <c r="Y150" s="432"/>
      <c r="Z150" s="432"/>
      <c r="AA150" s="432"/>
      <c r="AB150" s="432"/>
      <c r="AC150" s="432"/>
      <c r="AD150" s="432"/>
    </row>
    <row r="151">
      <c r="A151" s="432"/>
      <c r="B151" s="432"/>
      <c r="C151" s="432"/>
      <c r="D151" s="459"/>
      <c r="E151" s="459"/>
      <c r="F151" s="432"/>
      <c r="G151" s="432"/>
      <c r="H151" s="432"/>
      <c r="I151" s="432"/>
      <c r="J151" s="432"/>
      <c r="K151" s="432"/>
      <c r="L151" s="432"/>
      <c r="M151" s="432"/>
      <c r="N151" s="432"/>
      <c r="O151" s="459"/>
      <c r="P151" s="460"/>
      <c r="Q151" s="432"/>
      <c r="R151" s="432"/>
      <c r="S151" s="432"/>
      <c r="T151" s="432"/>
      <c r="U151" s="432"/>
      <c r="V151" s="432"/>
      <c r="W151" s="432"/>
      <c r="X151" s="432"/>
      <c r="Y151" s="432"/>
      <c r="Z151" s="432"/>
      <c r="AA151" s="432"/>
      <c r="AB151" s="432"/>
      <c r="AC151" s="432"/>
      <c r="AD151" s="432"/>
    </row>
    <row r="152">
      <c r="A152" s="432"/>
      <c r="B152" s="432"/>
      <c r="C152" s="432"/>
      <c r="D152" s="459"/>
      <c r="E152" s="459"/>
      <c r="F152" s="432"/>
      <c r="G152" s="432"/>
      <c r="H152" s="432"/>
      <c r="I152" s="432"/>
      <c r="J152" s="432"/>
      <c r="K152" s="432"/>
      <c r="L152" s="432"/>
      <c r="M152" s="432"/>
      <c r="N152" s="432"/>
      <c r="O152" s="459"/>
      <c r="P152" s="460"/>
      <c r="Q152" s="432"/>
      <c r="R152" s="432"/>
      <c r="S152" s="432"/>
      <c r="T152" s="432"/>
      <c r="U152" s="432"/>
      <c r="V152" s="432"/>
      <c r="W152" s="432"/>
      <c r="X152" s="432"/>
      <c r="Y152" s="432"/>
      <c r="Z152" s="432"/>
      <c r="AA152" s="432"/>
      <c r="AB152" s="432"/>
      <c r="AC152" s="432"/>
      <c r="AD152" s="432"/>
    </row>
    <row r="153">
      <c r="A153" s="432"/>
      <c r="B153" s="432"/>
      <c r="C153" s="432"/>
      <c r="D153" s="459"/>
      <c r="E153" s="459"/>
      <c r="F153" s="432"/>
      <c r="G153" s="432"/>
      <c r="H153" s="432"/>
      <c r="I153" s="432"/>
      <c r="J153" s="432"/>
      <c r="K153" s="432"/>
      <c r="L153" s="432"/>
      <c r="M153" s="432"/>
      <c r="N153" s="432"/>
      <c r="O153" s="459"/>
      <c r="P153" s="460"/>
      <c r="Q153" s="432"/>
      <c r="R153" s="432"/>
      <c r="S153" s="432"/>
      <c r="T153" s="432"/>
      <c r="U153" s="432"/>
      <c r="V153" s="432"/>
      <c r="W153" s="432"/>
      <c r="X153" s="432"/>
      <c r="Y153" s="432"/>
      <c r="Z153" s="432"/>
      <c r="AA153" s="432"/>
      <c r="AB153" s="432"/>
      <c r="AC153" s="432"/>
      <c r="AD153" s="432"/>
    </row>
    <row r="154">
      <c r="A154" s="432"/>
      <c r="B154" s="432"/>
      <c r="C154" s="432"/>
      <c r="D154" s="459"/>
      <c r="E154" s="459"/>
      <c r="F154" s="432"/>
      <c r="G154" s="432"/>
      <c r="H154" s="432"/>
      <c r="I154" s="432"/>
      <c r="J154" s="432"/>
      <c r="K154" s="432"/>
      <c r="L154" s="432"/>
      <c r="M154" s="432"/>
      <c r="N154" s="432"/>
      <c r="O154" s="459"/>
      <c r="P154" s="460"/>
      <c r="Q154" s="432"/>
      <c r="R154" s="432"/>
      <c r="S154" s="432"/>
      <c r="T154" s="432"/>
      <c r="U154" s="432"/>
      <c r="V154" s="432"/>
      <c r="W154" s="432"/>
      <c r="X154" s="432"/>
      <c r="Y154" s="432"/>
      <c r="Z154" s="432"/>
      <c r="AA154" s="432"/>
      <c r="AB154" s="432"/>
      <c r="AC154" s="432"/>
      <c r="AD154" s="432"/>
    </row>
    <row r="155">
      <c r="A155" s="432"/>
      <c r="B155" s="432"/>
      <c r="C155" s="432"/>
      <c r="D155" s="459"/>
      <c r="E155" s="459"/>
      <c r="F155" s="432"/>
      <c r="G155" s="432"/>
      <c r="H155" s="432"/>
      <c r="I155" s="432"/>
      <c r="J155" s="432"/>
      <c r="K155" s="432"/>
      <c r="L155" s="432"/>
      <c r="M155" s="432"/>
      <c r="N155" s="432"/>
      <c r="O155" s="459"/>
      <c r="P155" s="460"/>
      <c r="Q155" s="432"/>
      <c r="R155" s="432"/>
      <c r="S155" s="432"/>
      <c r="T155" s="432"/>
      <c r="U155" s="432"/>
      <c r="V155" s="432"/>
      <c r="W155" s="432"/>
      <c r="X155" s="432"/>
      <c r="Y155" s="432"/>
      <c r="Z155" s="432"/>
      <c r="AA155" s="432"/>
      <c r="AB155" s="432"/>
      <c r="AC155" s="432"/>
      <c r="AD155" s="432"/>
    </row>
    <row r="156">
      <c r="A156" s="432"/>
      <c r="B156" s="432"/>
      <c r="C156" s="432"/>
      <c r="D156" s="459"/>
      <c r="E156" s="459"/>
      <c r="F156" s="432"/>
      <c r="G156" s="432"/>
      <c r="H156" s="432"/>
      <c r="I156" s="432"/>
      <c r="J156" s="432"/>
      <c r="K156" s="432"/>
      <c r="L156" s="432"/>
      <c r="M156" s="432"/>
      <c r="N156" s="432"/>
      <c r="O156" s="459"/>
      <c r="P156" s="460"/>
      <c r="Q156" s="432"/>
      <c r="R156" s="432"/>
      <c r="S156" s="432"/>
      <c r="T156" s="432"/>
      <c r="U156" s="432"/>
      <c r="V156" s="432"/>
      <c r="W156" s="432"/>
      <c r="X156" s="432"/>
      <c r="Y156" s="432"/>
      <c r="Z156" s="432"/>
      <c r="AA156" s="432"/>
      <c r="AB156" s="432"/>
      <c r="AC156" s="432"/>
      <c r="AD156" s="432"/>
    </row>
    <row r="157">
      <c r="A157" s="432"/>
      <c r="B157" s="432"/>
      <c r="C157" s="432"/>
      <c r="D157" s="459"/>
      <c r="E157" s="459"/>
      <c r="F157" s="432"/>
      <c r="G157" s="432"/>
      <c r="H157" s="432"/>
      <c r="I157" s="432"/>
      <c r="J157" s="432"/>
      <c r="K157" s="432"/>
      <c r="L157" s="432"/>
      <c r="M157" s="432"/>
      <c r="N157" s="432"/>
      <c r="O157" s="459"/>
      <c r="P157" s="460"/>
      <c r="Q157" s="432"/>
      <c r="R157" s="432"/>
      <c r="S157" s="432"/>
      <c r="T157" s="432"/>
      <c r="U157" s="432"/>
      <c r="V157" s="432"/>
      <c r="W157" s="432"/>
      <c r="X157" s="432"/>
      <c r="Y157" s="432"/>
      <c r="Z157" s="432"/>
      <c r="AA157" s="432"/>
      <c r="AB157" s="432"/>
      <c r="AC157" s="432"/>
      <c r="AD157" s="432"/>
    </row>
    <row r="158">
      <c r="A158" s="432"/>
      <c r="B158" s="432"/>
      <c r="C158" s="432"/>
      <c r="D158" s="459"/>
      <c r="E158" s="459"/>
      <c r="F158" s="432"/>
      <c r="G158" s="432"/>
      <c r="H158" s="432"/>
      <c r="I158" s="432"/>
      <c r="J158" s="432"/>
      <c r="K158" s="432"/>
      <c r="L158" s="432"/>
      <c r="M158" s="432"/>
      <c r="N158" s="432"/>
      <c r="O158" s="459"/>
      <c r="P158" s="460"/>
      <c r="Q158" s="432"/>
      <c r="R158" s="432"/>
      <c r="S158" s="432"/>
      <c r="T158" s="432"/>
      <c r="U158" s="432"/>
      <c r="V158" s="432"/>
      <c r="W158" s="432"/>
      <c r="X158" s="432"/>
      <c r="Y158" s="432"/>
      <c r="Z158" s="432"/>
      <c r="AA158" s="432"/>
      <c r="AB158" s="432"/>
      <c r="AC158" s="432"/>
      <c r="AD158" s="432"/>
    </row>
    <row r="159">
      <c r="A159" s="432"/>
      <c r="B159" s="432"/>
      <c r="C159" s="432"/>
      <c r="D159" s="459"/>
      <c r="E159" s="459"/>
      <c r="F159" s="432"/>
      <c r="G159" s="432"/>
      <c r="H159" s="432"/>
      <c r="I159" s="432"/>
      <c r="J159" s="432"/>
      <c r="K159" s="432"/>
      <c r="L159" s="432"/>
      <c r="M159" s="432"/>
      <c r="N159" s="432"/>
      <c r="O159" s="459"/>
      <c r="P159" s="460"/>
      <c r="Q159" s="432"/>
      <c r="R159" s="432"/>
      <c r="S159" s="432"/>
      <c r="T159" s="432"/>
      <c r="U159" s="432"/>
      <c r="V159" s="432"/>
      <c r="W159" s="432"/>
      <c r="X159" s="432"/>
      <c r="Y159" s="432"/>
      <c r="Z159" s="432"/>
      <c r="AA159" s="432"/>
      <c r="AB159" s="432"/>
      <c r="AC159" s="432"/>
      <c r="AD159" s="432"/>
    </row>
    <row r="160">
      <c r="A160" s="432"/>
      <c r="B160" s="432"/>
      <c r="C160" s="432"/>
      <c r="D160" s="459"/>
      <c r="E160" s="459"/>
      <c r="F160" s="432"/>
      <c r="G160" s="432"/>
      <c r="H160" s="432"/>
      <c r="I160" s="432"/>
      <c r="J160" s="432"/>
      <c r="K160" s="432"/>
      <c r="L160" s="432"/>
      <c r="M160" s="432"/>
      <c r="N160" s="432"/>
      <c r="O160" s="459"/>
      <c r="P160" s="460"/>
      <c r="Q160" s="432"/>
      <c r="R160" s="432"/>
      <c r="S160" s="432"/>
      <c r="T160" s="432"/>
      <c r="U160" s="432"/>
      <c r="V160" s="432"/>
      <c r="W160" s="432"/>
      <c r="X160" s="432"/>
      <c r="Y160" s="432"/>
      <c r="Z160" s="432"/>
      <c r="AA160" s="432"/>
      <c r="AB160" s="432"/>
      <c r="AC160" s="432"/>
      <c r="AD160" s="432"/>
    </row>
    <row r="161">
      <c r="A161" s="432"/>
      <c r="B161" s="432"/>
      <c r="C161" s="432"/>
      <c r="D161" s="459"/>
      <c r="E161" s="459"/>
      <c r="F161" s="432"/>
      <c r="G161" s="432"/>
      <c r="H161" s="432"/>
      <c r="I161" s="432"/>
      <c r="J161" s="432"/>
      <c r="K161" s="432"/>
      <c r="L161" s="432"/>
      <c r="M161" s="432"/>
      <c r="N161" s="432"/>
      <c r="O161" s="459"/>
      <c r="P161" s="460"/>
      <c r="Q161" s="432"/>
      <c r="R161" s="432"/>
      <c r="S161" s="432"/>
      <c r="T161" s="432"/>
      <c r="U161" s="432"/>
      <c r="V161" s="432"/>
      <c r="W161" s="432"/>
      <c r="X161" s="432"/>
      <c r="Y161" s="432"/>
      <c r="Z161" s="432"/>
      <c r="AA161" s="432"/>
      <c r="AB161" s="432"/>
      <c r="AC161" s="432"/>
      <c r="AD161" s="432"/>
    </row>
    <row r="162">
      <c r="A162" s="432"/>
      <c r="B162" s="432"/>
      <c r="C162" s="432"/>
      <c r="D162" s="459"/>
      <c r="E162" s="459"/>
      <c r="F162" s="432"/>
      <c r="G162" s="432"/>
      <c r="H162" s="432"/>
      <c r="I162" s="432"/>
      <c r="J162" s="432"/>
      <c r="K162" s="432"/>
      <c r="L162" s="432"/>
      <c r="M162" s="432"/>
      <c r="N162" s="432"/>
      <c r="O162" s="459"/>
      <c r="P162" s="460"/>
      <c r="Q162" s="432"/>
      <c r="R162" s="432"/>
      <c r="S162" s="432"/>
      <c r="T162" s="432"/>
      <c r="U162" s="432"/>
      <c r="V162" s="432"/>
      <c r="W162" s="432"/>
      <c r="X162" s="432"/>
      <c r="Y162" s="432"/>
      <c r="Z162" s="432"/>
      <c r="AA162" s="432"/>
      <c r="AB162" s="432"/>
      <c r="AC162" s="432"/>
      <c r="AD162" s="432"/>
    </row>
    <row r="163">
      <c r="A163" s="432"/>
      <c r="B163" s="432"/>
      <c r="C163" s="432"/>
      <c r="D163" s="459"/>
      <c r="E163" s="459"/>
      <c r="F163" s="432"/>
      <c r="G163" s="432"/>
      <c r="H163" s="432"/>
      <c r="I163" s="432"/>
      <c r="J163" s="432"/>
      <c r="K163" s="432"/>
      <c r="L163" s="432"/>
      <c r="M163" s="432"/>
      <c r="N163" s="432"/>
      <c r="O163" s="459"/>
      <c r="P163" s="460"/>
      <c r="Q163" s="432"/>
      <c r="R163" s="432"/>
      <c r="S163" s="432"/>
      <c r="T163" s="432"/>
      <c r="U163" s="432"/>
      <c r="V163" s="432"/>
      <c r="W163" s="432"/>
      <c r="X163" s="432"/>
      <c r="Y163" s="432"/>
      <c r="Z163" s="432"/>
      <c r="AA163" s="432"/>
      <c r="AB163" s="432"/>
      <c r="AC163" s="432"/>
      <c r="AD163" s="432"/>
    </row>
    <row r="164">
      <c r="A164" s="432"/>
      <c r="B164" s="432"/>
      <c r="C164" s="432"/>
      <c r="D164" s="459"/>
      <c r="E164" s="459"/>
      <c r="F164" s="432"/>
      <c r="G164" s="432"/>
      <c r="H164" s="432"/>
      <c r="I164" s="432"/>
      <c r="J164" s="432"/>
      <c r="K164" s="432"/>
      <c r="L164" s="432"/>
      <c r="M164" s="432"/>
      <c r="N164" s="432"/>
      <c r="O164" s="459"/>
      <c r="P164" s="460"/>
      <c r="Q164" s="432"/>
      <c r="R164" s="432"/>
      <c r="S164" s="432"/>
      <c r="T164" s="432"/>
      <c r="U164" s="432"/>
      <c r="V164" s="432"/>
      <c r="W164" s="432"/>
      <c r="X164" s="432"/>
      <c r="Y164" s="432"/>
      <c r="Z164" s="432"/>
      <c r="AA164" s="432"/>
      <c r="AB164" s="432"/>
      <c r="AC164" s="432"/>
      <c r="AD164" s="432"/>
    </row>
    <row r="165">
      <c r="A165" s="432"/>
      <c r="B165" s="432"/>
      <c r="C165" s="432"/>
      <c r="D165" s="459"/>
      <c r="E165" s="459"/>
      <c r="F165" s="432"/>
      <c r="G165" s="432"/>
      <c r="H165" s="432"/>
      <c r="I165" s="432"/>
      <c r="J165" s="432"/>
      <c r="K165" s="432"/>
      <c r="L165" s="432"/>
      <c r="M165" s="432"/>
      <c r="N165" s="432"/>
      <c r="O165" s="459"/>
      <c r="P165" s="460"/>
      <c r="Q165" s="432"/>
      <c r="R165" s="432"/>
      <c r="S165" s="432"/>
      <c r="T165" s="432"/>
      <c r="U165" s="432"/>
      <c r="V165" s="432"/>
      <c r="W165" s="432"/>
      <c r="X165" s="432"/>
      <c r="Y165" s="432"/>
      <c r="Z165" s="432"/>
      <c r="AA165" s="432"/>
      <c r="AB165" s="432"/>
      <c r="AC165" s="432"/>
      <c r="AD165" s="432"/>
    </row>
    <row r="166">
      <c r="A166" s="432"/>
      <c r="B166" s="432"/>
      <c r="C166" s="432"/>
      <c r="D166" s="459"/>
      <c r="E166" s="459"/>
      <c r="F166" s="432"/>
      <c r="G166" s="432"/>
      <c r="H166" s="432"/>
      <c r="I166" s="432"/>
      <c r="J166" s="432"/>
      <c r="K166" s="432"/>
      <c r="L166" s="432"/>
      <c r="M166" s="432"/>
      <c r="N166" s="432"/>
      <c r="O166" s="459"/>
      <c r="P166" s="460"/>
      <c r="Q166" s="432"/>
      <c r="R166" s="432"/>
      <c r="S166" s="432"/>
      <c r="T166" s="432"/>
      <c r="U166" s="432"/>
      <c r="V166" s="432"/>
      <c r="W166" s="432"/>
      <c r="X166" s="432"/>
      <c r="Y166" s="432"/>
      <c r="Z166" s="432"/>
      <c r="AA166" s="432"/>
      <c r="AB166" s="432"/>
      <c r="AC166" s="432"/>
      <c r="AD166" s="432"/>
    </row>
    <row r="167">
      <c r="A167" s="432"/>
      <c r="B167" s="432"/>
      <c r="C167" s="432"/>
      <c r="D167" s="459"/>
      <c r="E167" s="459"/>
      <c r="F167" s="432"/>
      <c r="G167" s="432"/>
      <c r="H167" s="432"/>
      <c r="I167" s="432"/>
      <c r="J167" s="432"/>
      <c r="K167" s="432"/>
      <c r="L167" s="432"/>
      <c r="M167" s="432"/>
      <c r="N167" s="432"/>
      <c r="O167" s="459"/>
      <c r="P167" s="460"/>
      <c r="Q167" s="432"/>
      <c r="R167" s="432"/>
      <c r="S167" s="432"/>
      <c r="T167" s="432"/>
      <c r="U167" s="432"/>
      <c r="V167" s="432"/>
      <c r="W167" s="432"/>
      <c r="X167" s="432"/>
      <c r="Y167" s="432"/>
      <c r="Z167" s="432"/>
      <c r="AA167" s="432"/>
      <c r="AB167" s="432"/>
      <c r="AC167" s="432"/>
      <c r="AD167" s="432"/>
    </row>
    <row r="168">
      <c r="A168" s="432"/>
      <c r="B168" s="432"/>
      <c r="C168" s="432"/>
      <c r="D168" s="459"/>
      <c r="E168" s="459"/>
      <c r="F168" s="432"/>
      <c r="G168" s="432"/>
      <c r="H168" s="432"/>
      <c r="I168" s="432"/>
      <c r="J168" s="432"/>
      <c r="K168" s="432"/>
      <c r="L168" s="432"/>
      <c r="M168" s="432"/>
      <c r="N168" s="432"/>
      <c r="O168" s="459"/>
      <c r="P168" s="460"/>
      <c r="Q168" s="432"/>
      <c r="R168" s="432"/>
      <c r="S168" s="432"/>
      <c r="T168" s="432"/>
      <c r="U168" s="432"/>
      <c r="V168" s="432"/>
      <c r="W168" s="432"/>
      <c r="X168" s="432"/>
      <c r="Y168" s="432"/>
      <c r="Z168" s="432"/>
      <c r="AA168" s="432"/>
      <c r="AB168" s="432"/>
      <c r="AC168" s="432"/>
      <c r="AD168" s="432"/>
    </row>
    <row r="169">
      <c r="A169" s="432"/>
      <c r="B169" s="432"/>
      <c r="C169" s="432"/>
      <c r="D169" s="459"/>
      <c r="E169" s="459"/>
      <c r="F169" s="432"/>
      <c r="G169" s="432"/>
      <c r="H169" s="432"/>
      <c r="I169" s="432"/>
      <c r="J169" s="432"/>
      <c r="K169" s="432"/>
      <c r="L169" s="432"/>
      <c r="M169" s="432"/>
      <c r="N169" s="432"/>
      <c r="O169" s="459"/>
      <c r="P169" s="460"/>
      <c r="Q169" s="432"/>
      <c r="R169" s="432"/>
      <c r="S169" s="432"/>
      <c r="T169" s="432"/>
      <c r="U169" s="432"/>
      <c r="V169" s="432"/>
      <c r="W169" s="432"/>
      <c r="X169" s="432"/>
      <c r="Y169" s="432"/>
      <c r="Z169" s="432"/>
      <c r="AA169" s="432"/>
      <c r="AB169" s="432"/>
      <c r="AC169" s="432"/>
      <c r="AD169" s="432"/>
    </row>
    <row r="170">
      <c r="A170" s="432"/>
      <c r="B170" s="432"/>
      <c r="C170" s="432"/>
      <c r="D170" s="459"/>
      <c r="E170" s="459"/>
      <c r="F170" s="432"/>
      <c r="G170" s="432"/>
      <c r="H170" s="432"/>
      <c r="I170" s="432"/>
      <c r="J170" s="432"/>
      <c r="K170" s="432"/>
      <c r="L170" s="432"/>
      <c r="M170" s="432"/>
      <c r="N170" s="432"/>
      <c r="O170" s="459"/>
      <c r="P170" s="460"/>
      <c r="Q170" s="432"/>
      <c r="R170" s="432"/>
      <c r="S170" s="432"/>
      <c r="T170" s="432"/>
      <c r="U170" s="432"/>
      <c r="V170" s="432"/>
      <c r="W170" s="432"/>
      <c r="X170" s="432"/>
      <c r="Y170" s="432"/>
      <c r="Z170" s="432"/>
      <c r="AA170" s="432"/>
      <c r="AB170" s="432"/>
      <c r="AC170" s="432"/>
      <c r="AD170" s="432"/>
    </row>
    <row r="171">
      <c r="A171" s="432"/>
      <c r="B171" s="432"/>
      <c r="C171" s="432"/>
      <c r="D171" s="459"/>
      <c r="E171" s="459"/>
      <c r="F171" s="432"/>
      <c r="G171" s="432"/>
      <c r="H171" s="432"/>
      <c r="I171" s="432"/>
      <c r="J171" s="432"/>
      <c r="K171" s="432"/>
      <c r="L171" s="432"/>
      <c r="M171" s="432"/>
      <c r="N171" s="432"/>
      <c r="O171" s="459"/>
      <c r="P171" s="460"/>
      <c r="Q171" s="432"/>
      <c r="R171" s="432"/>
      <c r="S171" s="432"/>
      <c r="T171" s="432"/>
      <c r="U171" s="432"/>
      <c r="V171" s="432"/>
      <c r="W171" s="432"/>
      <c r="X171" s="432"/>
      <c r="Y171" s="432"/>
      <c r="Z171" s="432"/>
      <c r="AA171" s="432"/>
      <c r="AB171" s="432"/>
      <c r="AC171" s="432"/>
      <c r="AD171" s="432"/>
    </row>
    <row r="172">
      <c r="A172" s="432"/>
      <c r="B172" s="432"/>
      <c r="C172" s="432"/>
      <c r="D172" s="459"/>
      <c r="E172" s="459"/>
      <c r="F172" s="432"/>
      <c r="G172" s="432"/>
      <c r="H172" s="432"/>
      <c r="I172" s="432"/>
      <c r="J172" s="432"/>
      <c r="K172" s="432"/>
      <c r="L172" s="432"/>
      <c r="M172" s="432"/>
      <c r="N172" s="432"/>
      <c r="O172" s="459"/>
      <c r="P172" s="460"/>
      <c r="Q172" s="432"/>
      <c r="R172" s="432"/>
      <c r="S172" s="432"/>
      <c r="T172" s="432"/>
      <c r="U172" s="432"/>
      <c r="V172" s="432"/>
      <c r="W172" s="432"/>
      <c r="X172" s="432"/>
      <c r="Y172" s="432"/>
      <c r="Z172" s="432"/>
      <c r="AA172" s="432"/>
      <c r="AB172" s="432"/>
      <c r="AC172" s="432"/>
      <c r="AD172" s="432"/>
    </row>
    <row r="173">
      <c r="A173" s="432"/>
      <c r="B173" s="432"/>
      <c r="C173" s="432"/>
      <c r="D173" s="459"/>
      <c r="E173" s="459"/>
      <c r="F173" s="432"/>
      <c r="G173" s="432"/>
      <c r="H173" s="432"/>
      <c r="I173" s="432"/>
      <c r="J173" s="432"/>
      <c r="K173" s="432"/>
      <c r="L173" s="432"/>
      <c r="M173" s="432"/>
      <c r="N173" s="432"/>
      <c r="O173" s="459"/>
      <c r="P173" s="460"/>
      <c r="Q173" s="432"/>
      <c r="R173" s="432"/>
      <c r="S173" s="432"/>
      <c r="T173" s="432"/>
      <c r="U173" s="432"/>
      <c r="V173" s="432"/>
      <c r="W173" s="432"/>
      <c r="X173" s="432"/>
      <c r="Y173" s="432"/>
      <c r="Z173" s="432"/>
      <c r="AA173" s="432"/>
      <c r="AB173" s="432"/>
      <c r="AC173" s="432"/>
      <c r="AD173" s="432"/>
    </row>
    <row r="174">
      <c r="A174" s="432"/>
      <c r="B174" s="432"/>
      <c r="C174" s="432"/>
      <c r="D174" s="459"/>
      <c r="E174" s="459"/>
      <c r="F174" s="432"/>
      <c r="G174" s="432"/>
      <c r="H174" s="432"/>
      <c r="I174" s="432"/>
      <c r="J174" s="432"/>
      <c r="K174" s="432"/>
      <c r="L174" s="432"/>
      <c r="M174" s="432"/>
      <c r="N174" s="432"/>
      <c r="O174" s="459"/>
      <c r="P174" s="460"/>
      <c r="Q174" s="432"/>
      <c r="R174" s="432"/>
      <c r="S174" s="432"/>
      <c r="T174" s="432"/>
      <c r="U174" s="432"/>
      <c r="V174" s="432"/>
      <c r="W174" s="432"/>
      <c r="X174" s="432"/>
      <c r="Y174" s="432"/>
      <c r="Z174" s="432"/>
      <c r="AA174" s="432"/>
      <c r="AB174" s="432"/>
      <c r="AC174" s="432"/>
      <c r="AD174" s="432"/>
    </row>
    <row r="175">
      <c r="A175" s="432"/>
      <c r="B175" s="432"/>
      <c r="C175" s="432"/>
      <c r="D175" s="459"/>
      <c r="E175" s="459"/>
      <c r="F175" s="432"/>
      <c r="G175" s="432"/>
      <c r="H175" s="432"/>
      <c r="I175" s="432"/>
      <c r="J175" s="432"/>
      <c r="K175" s="432"/>
      <c r="L175" s="432"/>
      <c r="M175" s="432"/>
      <c r="N175" s="432"/>
      <c r="O175" s="459"/>
      <c r="P175" s="460"/>
      <c r="Q175" s="432"/>
      <c r="R175" s="432"/>
      <c r="S175" s="432"/>
      <c r="T175" s="432"/>
      <c r="U175" s="432"/>
      <c r="V175" s="432"/>
      <c r="W175" s="432"/>
      <c r="X175" s="432"/>
      <c r="Y175" s="432"/>
      <c r="Z175" s="432"/>
      <c r="AA175" s="432"/>
      <c r="AB175" s="432"/>
      <c r="AC175" s="432"/>
      <c r="AD175" s="432"/>
    </row>
    <row r="176">
      <c r="A176" s="432"/>
      <c r="B176" s="432"/>
      <c r="C176" s="432"/>
      <c r="D176" s="459"/>
      <c r="E176" s="459"/>
      <c r="F176" s="432"/>
      <c r="G176" s="432"/>
      <c r="H176" s="432"/>
      <c r="I176" s="432"/>
      <c r="J176" s="432"/>
      <c r="K176" s="432"/>
      <c r="L176" s="432"/>
      <c r="M176" s="432"/>
      <c r="N176" s="432"/>
      <c r="O176" s="459"/>
      <c r="P176" s="460"/>
      <c r="Q176" s="432"/>
      <c r="R176" s="432"/>
      <c r="S176" s="432"/>
      <c r="T176" s="432"/>
      <c r="U176" s="432"/>
      <c r="V176" s="432"/>
      <c r="W176" s="432"/>
      <c r="X176" s="432"/>
      <c r="Y176" s="432"/>
      <c r="Z176" s="432"/>
      <c r="AA176" s="432"/>
      <c r="AB176" s="432"/>
      <c r="AC176" s="432"/>
      <c r="AD176" s="432"/>
    </row>
    <row r="177">
      <c r="A177" s="432"/>
      <c r="B177" s="432"/>
      <c r="C177" s="432"/>
      <c r="D177" s="459"/>
      <c r="E177" s="459"/>
      <c r="F177" s="432"/>
      <c r="G177" s="432"/>
      <c r="H177" s="432"/>
      <c r="I177" s="432"/>
      <c r="J177" s="432"/>
      <c r="K177" s="432"/>
      <c r="L177" s="432"/>
      <c r="M177" s="432"/>
      <c r="N177" s="432"/>
      <c r="O177" s="459"/>
      <c r="P177" s="460"/>
      <c r="Q177" s="432"/>
      <c r="R177" s="432"/>
      <c r="S177" s="432"/>
      <c r="T177" s="432"/>
      <c r="U177" s="432"/>
      <c r="V177" s="432"/>
      <c r="W177" s="432"/>
      <c r="X177" s="432"/>
      <c r="Y177" s="432"/>
      <c r="Z177" s="432"/>
      <c r="AA177" s="432"/>
      <c r="AB177" s="432"/>
      <c r="AC177" s="432"/>
      <c r="AD177" s="432"/>
    </row>
    <row r="178">
      <c r="A178" s="432"/>
      <c r="B178" s="432"/>
      <c r="C178" s="432"/>
      <c r="D178" s="459"/>
      <c r="E178" s="459"/>
      <c r="F178" s="432"/>
      <c r="G178" s="432"/>
      <c r="H178" s="432"/>
      <c r="I178" s="432"/>
      <c r="J178" s="432"/>
      <c r="K178" s="432"/>
      <c r="L178" s="432"/>
      <c r="M178" s="432"/>
      <c r="N178" s="432"/>
      <c r="O178" s="459"/>
      <c r="P178" s="460"/>
      <c r="Q178" s="432"/>
      <c r="R178" s="432"/>
      <c r="S178" s="432"/>
      <c r="T178" s="432"/>
      <c r="U178" s="432"/>
      <c r="V178" s="432"/>
      <c r="W178" s="432"/>
      <c r="X178" s="432"/>
      <c r="Y178" s="432"/>
      <c r="Z178" s="432"/>
      <c r="AA178" s="432"/>
      <c r="AB178" s="432"/>
      <c r="AC178" s="432"/>
      <c r="AD178" s="432"/>
    </row>
    <row r="179">
      <c r="A179" s="432"/>
      <c r="B179" s="432"/>
      <c r="C179" s="432"/>
      <c r="D179" s="459"/>
      <c r="E179" s="459"/>
      <c r="F179" s="432"/>
      <c r="G179" s="432"/>
      <c r="H179" s="432"/>
      <c r="I179" s="432"/>
      <c r="J179" s="432"/>
      <c r="K179" s="432"/>
      <c r="L179" s="432"/>
      <c r="M179" s="432"/>
      <c r="N179" s="432"/>
      <c r="O179" s="459"/>
      <c r="P179" s="460"/>
      <c r="Q179" s="432"/>
      <c r="R179" s="432"/>
      <c r="S179" s="432"/>
      <c r="T179" s="432"/>
      <c r="U179" s="432"/>
      <c r="V179" s="432"/>
      <c r="W179" s="432"/>
      <c r="X179" s="432"/>
      <c r="Y179" s="432"/>
      <c r="Z179" s="432"/>
      <c r="AA179" s="432"/>
      <c r="AB179" s="432"/>
      <c r="AC179" s="432"/>
      <c r="AD179" s="432"/>
    </row>
    <row r="180">
      <c r="A180" s="432"/>
      <c r="B180" s="432"/>
      <c r="C180" s="432"/>
      <c r="D180" s="459"/>
      <c r="E180" s="459"/>
      <c r="F180" s="432"/>
      <c r="G180" s="432"/>
      <c r="H180" s="432"/>
      <c r="I180" s="432"/>
      <c r="J180" s="432"/>
      <c r="K180" s="432"/>
      <c r="L180" s="432"/>
      <c r="M180" s="432"/>
      <c r="N180" s="432"/>
      <c r="O180" s="459"/>
      <c r="P180" s="460"/>
      <c r="Q180" s="432"/>
      <c r="R180" s="432"/>
      <c r="S180" s="432"/>
      <c r="T180" s="432"/>
      <c r="U180" s="432"/>
      <c r="V180" s="432"/>
      <c r="W180" s="432"/>
      <c r="X180" s="432"/>
      <c r="Y180" s="432"/>
      <c r="Z180" s="432"/>
      <c r="AA180" s="432"/>
      <c r="AB180" s="432"/>
      <c r="AC180" s="432"/>
      <c r="AD180" s="432"/>
    </row>
    <row r="181">
      <c r="A181" s="432"/>
      <c r="B181" s="432"/>
      <c r="C181" s="432"/>
      <c r="D181" s="459"/>
      <c r="E181" s="459"/>
      <c r="F181" s="432"/>
      <c r="G181" s="432"/>
      <c r="H181" s="432"/>
      <c r="I181" s="432"/>
      <c r="J181" s="432"/>
      <c r="K181" s="432"/>
      <c r="L181" s="432"/>
      <c r="M181" s="432"/>
      <c r="N181" s="432"/>
      <c r="O181" s="459"/>
      <c r="P181" s="460"/>
      <c r="Q181" s="432"/>
      <c r="R181" s="432"/>
      <c r="S181" s="432"/>
      <c r="T181" s="432"/>
      <c r="U181" s="432"/>
      <c r="V181" s="432"/>
      <c r="W181" s="432"/>
      <c r="X181" s="432"/>
      <c r="Y181" s="432"/>
      <c r="Z181" s="432"/>
      <c r="AA181" s="432"/>
      <c r="AB181" s="432"/>
      <c r="AC181" s="432"/>
      <c r="AD181" s="432"/>
    </row>
    <row r="182">
      <c r="A182" s="432"/>
      <c r="B182" s="432"/>
      <c r="C182" s="432"/>
      <c r="D182" s="459"/>
      <c r="E182" s="459"/>
      <c r="F182" s="432"/>
      <c r="G182" s="432"/>
      <c r="H182" s="432"/>
      <c r="I182" s="432"/>
      <c r="J182" s="432"/>
      <c r="K182" s="432"/>
      <c r="L182" s="432"/>
      <c r="M182" s="432"/>
      <c r="N182" s="432"/>
      <c r="O182" s="459"/>
      <c r="P182" s="460"/>
      <c r="Q182" s="432"/>
      <c r="R182" s="432"/>
      <c r="S182" s="432"/>
      <c r="T182" s="432"/>
      <c r="U182" s="432"/>
      <c r="V182" s="432"/>
      <c r="W182" s="432"/>
      <c r="X182" s="432"/>
      <c r="Y182" s="432"/>
      <c r="Z182" s="432"/>
      <c r="AA182" s="432"/>
      <c r="AB182" s="432"/>
      <c r="AC182" s="432"/>
      <c r="AD182" s="432"/>
    </row>
    <row r="183">
      <c r="A183" s="432"/>
      <c r="B183" s="432"/>
      <c r="C183" s="432"/>
      <c r="D183" s="459"/>
      <c r="E183" s="459"/>
      <c r="F183" s="432"/>
      <c r="G183" s="432"/>
      <c r="H183" s="432"/>
      <c r="I183" s="432"/>
      <c r="J183" s="432"/>
      <c r="K183" s="432"/>
      <c r="L183" s="432"/>
      <c r="M183" s="432"/>
      <c r="N183" s="432"/>
      <c r="O183" s="459"/>
      <c r="P183" s="460"/>
      <c r="Q183" s="432"/>
      <c r="R183" s="432"/>
      <c r="S183" s="432"/>
      <c r="T183" s="432"/>
      <c r="U183" s="432"/>
      <c r="V183" s="432"/>
      <c r="W183" s="432"/>
      <c r="X183" s="432"/>
      <c r="Y183" s="432"/>
      <c r="Z183" s="432"/>
      <c r="AA183" s="432"/>
      <c r="AB183" s="432"/>
      <c r="AC183" s="432"/>
      <c r="AD183" s="432"/>
    </row>
    <row r="184">
      <c r="A184" s="432"/>
      <c r="B184" s="432"/>
      <c r="C184" s="432"/>
      <c r="D184" s="459"/>
      <c r="E184" s="459"/>
      <c r="F184" s="432"/>
      <c r="G184" s="432"/>
      <c r="H184" s="432"/>
      <c r="I184" s="432"/>
      <c r="J184" s="432"/>
      <c r="K184" s="432"/>
      <c r="L184" s="432"/>
      <c r="M184" s="432"/>
      <c r="N184" s="432"/>
      <c r="O184" s="459"/>
      <c r="P184" s="460"/>
      <c r="Q184" s="432"/>
      <c r="R184" s="432"/>
      <c r="S184" s="432"/>
      <c r="T184" s="432"/>
      <c r="U184" s="432"/>
      <c r="V184" s="432"/>
      <c r="W184" s="432"/>
      <c r="X184" s="432"/>
      <c r="Y184" s="432"/>
      <c r="Z184" s="432"/>
      <c r="AA184" s="432"/>
      <c r="AB184" s="432"/>
      <c r="AC184" s="432"/>
      <c r="AD184" s="432"/>
    </row>
    <row r="185">
      <c r="A185" s="432"/>
      <c r="B185" s="432"/>
      <c r="C185" s="432"/>
      <c r="D185" s="459"/>
      <c r="E185" s="459"/>
      <c r="F185" s="432"/>
      <c r="G185" s="432"/>
      <c r="H185" s="432"/>
      <c r="I185" s="432"/>
      <c r="J185" s="432"/>
      <c r="K185" s="432"/>
      <c r="L185" s="432"/>
      <c r="M185" s="432"/>
      <c r="N185" s="432"/>
      <c r="O185" s="459"/>
      <c r="P185" s="460"/>
      <c r="Q185" s="432"/>
      <c r="R185" s="432"/>
      <c r="S185" s="432"/>
      <c r="T185" s="432"/>
      <c r="U185" s="432"/>
      <c r="V185" s="432"/>
      <c r="W185" s="432"/>
      <c r="X185" s="432"/>
      <c r="Y185" s="432"/>
      <c r="Z185" s="432"/>
      <c r="AA185" s="432"/>
      <c r="AB185" s="432"/>
      <c r="AC185" s="432"/>
      <c r="AD185" s="432"/>
    </row>
    <row r="186">
      <c r="A186" s="432"/>
      <c r="B186" s="432"/>
      <c r="C186" s="432"/>
      <c r="D186" s="459"/>
      <c r="E186" s="459"/>
      <c r="F186" s="432"/>
      <c r="G186" s="432"/>
      <c r="H186" s="432"/>
      <c r="I186" s="432"/>
      <c r="J186" s="432"/>
      <c r="K186" s="432"/>
      <c r="L186" s="432"/>
      <c r="M186" s="432"/>
      <c r="N186" s="432"/>
      <c r="O186" s="459"/>
      <c r="P186" s="460"/>
      <c r="Q186" s="432"/>
      <c r="R186" s="432"/>
      <c r="S186" s="432"/>
      <c r="T186" s="432"/>
      <c r="U186" s="432"/>
      <c r="V186" s="432"/>
      <c r="W186" s="432"/>
      <c r="X186" s="432"/>
      <c r="Y186" s="432"/>
      <c r="Z186" s="432"/>
      <c r="AA186" s="432"/>
      <c r="AB186" s="432"/>
      <c r="AC186" s="432"/>
      <c r="AD186" s="432"/>
    </row>
    <row r="187">
      <c r="A187" s="432"/>
      <c r="B187" s="432"/>
      <c r="C187" s="432"/>
      <c r="D187" s="459"/>
      <c r="E187" s="459"/>
      <c r="F187" s="432"/>
      <c r="G187" s="432"/>
      <c r="H187" s="432"/>
      <c r="I187" s="432"/>
      <c r="J187" s="432"/>
      <c r="K187" s="432"/>
      <c r="L187" s="432"/>
      <c r="M187" s="432"/>
      <c r="N187" s="432"/>
      <c r="O187" s="459"/>
      <c r="P187" s="460"/>
      <c r="Q187" s="432"/>
      <c r="R187" s="432"/>
      <c r="S187" s="432"/>
      <c r="T187" s="432"/>
      <c r="U187" s="432"/>
      <c r="V187" s="432"/>
      <c r="W187" s="432"/>
      <c r="X187" s="432"/>
      <c r="Y187" s="432"/>
      <c r="Z187" s="432"/>
      <c r="AA187" s="432"/>
      <c r="AB187" s="432"/>
      <c r="AC187" s="432"/>
      <c r="AD187" s="432"/>
    </row>
    <row r="188">
      <c r="A188" s="432"/>
      <c r="B188" s="432"/>
      <c r="C188" s="432"/>
      <c r="D188" s="459"/>
      <c r="E188" s="459"/>
      <c r="F188" s="432"/>
      <c r="G188" s="432"/>
      <c r="H188" s="432"/>
      <c r="I188" s="432"/>
      <c r="J188" s="432"/>
      <c r="K188" s="432"/>
      <c r="L188" s="432"/>
      <c r="M188" s="432"/>
      <c r="N188" s="432"/>
      <c r="O188" s="459"/>
      <c r="P188" s="460"/>
      <c r="Q188" s="432"/>
      <c r="R188" s="432"/>
      <c r="S188" s="432"/>
      <c r="T188" s="432"/>
      <c r="U188" s="432"/>
      <c r="V188" s="432"/>
      <c r="W188" s="432"/>
      <c r="X188" s="432"/>
      <c r="Y188" s="432"/>
      <c r="Z188" s="432"/>
      <c r="AA188" s="432"/>
      <c r="AB188" s="432"/>
      <c r="AC188" s="432"/>
      <c r="AD188" s="432"/>
    </row>
    <row r="189">
      <c r="A189" s="432"/>
      <c r="B189" s="432"/>
      <c r="C189" s="432"/>
      <c r="D189" s="459"/>
      <c r="E189" s="459"/>
      <c r="F189" s="432"/>
      <c r="G189" s="432"/>
      <c r="H189" s="432"/>
      <c r="I189" s="432"/>
      <c r="J189" s="432"/>
      <c r="K189" s="432"/>
      <c r="L189" s="432"/>
      <c r="M189" s="432"/>
      <c r="N189" s="432"/>
      <c r="O189" s="459"/>
      <c r="P189" s="460"/>
      <c r="Q189" s="432"/>
      <c r="R189" s="432"/>
      <c r="S189" s="432"/>
      <c r="T189" s="432"/>
      <c r="U189" s="432"/>
      <c r="V189" s="432"/>
      <c r="W189" s="432"/>
      <c r="X189" s="432"/>
      <c r="Y189" s="432"/>
      <c r="Z189" s="432"/>
      <c r="AA189" s="432"/>
      <c r="AB189" s="432"/>
      <c r="AC189" s="432"/>
      <c r="AD189" s="432"/>
    </row>
    <row r="190">
      <c r="A190" s="432"/>
      <c r="B190" s="432"/>
      <c r="C190" s="432"/>
      <c r="D190" s="459"/>
      <c r="E190" s="459"/>
      <c r="F190" s="432"/>
      <c r="G190" s="432"/>
      <c r="H190" s="432"/>
      <c r="I190" s="432"/>
      <c r="J190" s="432"/>
      <c r="K190" s="432"/>
      <c r="L190" s="432"/>
      <c r="M190" s="432"/>
      <c r="N190" s="432"/>
      <c r="O190" s="459"/>
      <c r="P190" s="460"/>
      <c r="Q190" s="432"/>
      <c r="R190" s="432"/>
      <c r="S190" s="432"/>
      <c r="T190" s="432"/>
      <c r="U190" s="432"/>
      <c r="V190" s="432"/>
      <c r="W190" s="432"/>
      <c r="X190" s="432"/>
      <c r="Y190" s="432"/>
      <c r="Z190" s="432"/>
      <c r="AA190" s="432"/>
      <c r="AB190" s="432"/>
      <c r="AC190" s="432"/>
      <c r="AD190" s="432"/>
    </row>
    <row r="191">
      <c r="A191" s="432"/>
      <c r="B191" s="432"/>
      <c r="C191" s="432"/>
      <c r="D191" s="459"/>
      <c r="E191" s="459"/>
      <c r="F191" s="432"/>
      <c r="G191" s="432"/>
      <c r="H191" s="432"/>
      <c r="I191" s="432"/>
      <c r="J191" s="432"/>
      <c r="K191" s="432"/>
      <c r="L191" s="432"/>
      <c r="M191" s="432"/>
      <c r="N191" s="432"/>
      <c r="O191" s="459"/>
      <c r="P191" s="460"/>
      <c r="Q191" s="432"/>
      <c r="R191" s="432"/>
      <c r="S191" s="432"/>
      <c r="T191" s="432"/>
      <c r="U191" s="432"/>
      <c r="V191" s="432"/>
      <c r="W191" s="432"/>
      <c r="X191" s="432"/>
      <c r="Y191" s="432"/>
      <c r="Z191" s="432"/>
      <c r="AA191" s="432"/>
      <c r="AB191" s="432"/>
      <c r="AC191" s="432"/>
      <c r="AD191" s="432"/>
    </row>
    <row r="192">
      <c r="A192" s="432"/>
      <c r="B192" s="432"/>
      <c r="C192" s="432"/>
      <c r="D192" s="459"/>
      <c r="E192" s="459"/>
      <c r="F192" s="432"/>
      <c r="G192" s="432"/>
      <c r="H192" s="432"/>
      <c r="I192" s="432"/>
      <c r="J192" s="432"/>
      <c r="K192" s="432"/>
      <c r="L192" s="432"/>
      <c r="M192" s="432"/>
      <c r="N192" s="432"/>
      <c r="O192" s="459"/>
      <c r="P192" s="460"/>
      <c r="Q192" s="432"/>
      <c r="R192" s="432"/>
      <c r="S192" s="432"/>
      <c r="T192" s="432"/>
      <c r="U192" s="432"/>
      <c r="V192" s="432"/>
      <c r="W192" s="432"/>
      <c r="X192" s="432"/>
      <c r="Y192" s="432"/>
      <c r="Z192" s="432"/>
      <c r="AA192" s="432"/>
      <c r="AB192" s="432"/>
      <c r="AC192" s="432"/>
      <c r="AD192" s="432"/>
    </row>
    <row r="193">
      <c r="A193" s="432"/>
      <c r="B193" s="432"/>
      <c r="C193" s="432"/>
      <c r="D193" s="459"/>
      <c r="E193" s="459"/>
      <c r="F193" s="432"/>
      <c r="G193" s="432"/>
      <c r="H193" s="432"/>
      <c r="I193" s="432"/>
      <c r="J193" s="432"/>
      <c r="K193" s="432"/>
      <c r="L193" s="432"/>
      <c r="M193" s="432"/>
      <c r="N193" s="432"/>
      <c r="O193" s="459"/>
      <c r="P193" s="460"/>
      <c r="Q193" s="432"/>
      <c r="R193" s="432"/>
      <c r="S193" s="432"/>
      <c r="T193" s="432"/>
      <c r="U193" s="432"/>
      <c r="V193" s="432"/>
      <c r="W193" s="432"/>
      <c r="X193" s="432"/>
      <c r="Y193" s="432"/>
      <c r="Z193" s="432"/>
      <c r="AA193" s="432"/>
      <c r="AB193" s="432"/>
      <c r="AC193" s="432"/>
      <c r="AD193" s="432"/>
    </row>
    <row r="194">
      <c r="A194" s="432"/>
      <c r="B194" s="432"/>
      <c r="C194" s="432"/>
      <c r="D194" s="459"/>
      <c r="E194" s="459"/>
      <c r="F194" s="432"/>
      <c r="G194" s="432"/>
      <c r="H194" s="432"/>
      <c r="I194" s="432"/>
      <c r="J194" s="432"/>
      <c r="K194" s="432"/>
      <c r="L194" s="432"/>
      <c r="M194" s="432"/>
      <c r="N194" s="432"/>
      <c r="O194" s="459"/>
      <c r="P194" s="460"/>
      <c r="Q194" s="432"/>
      <c r="R194" s="432"/>
      <c r="S194" s="432"/>
      <c r="T194" s="432"/>
      <c r="U194" s="432"/>
      <c r="V194" s="432"/>
      <c r="W194" s="432"/>
      <c r="X194" s="432"/>
      <c r="Y194" s="432"/>
      <c r="Z194" s="432"/>
      <c r="AA194" s="432"/>
      <c r="AB194" s="432"/>
      <c r="AC194" s="432"/>
      <c r="AD194" s="432"/>
    </row>
    <row r="195">
      <c r="A195" s="432"/>
      <c r="B195" s="432"/>
      <c r="C195" s="432"/>
      <c r="D195" s="459"/>
      <c r="E195" s="459"/>
      <c r="F195" s="432"/>
      <c r="G195" s="432"/>
      <c r="H195" s="432"/>
      <c r="I195" s="432"/>
      <c r="J195" s="432"/>
      <c r="K195" s="432"/>
      <c r="L195" s="432"/>
      <c r="M195" s="432"/>
      <c r="N195" s="432"/>
      <c r="O195" s="459"/>
      <c r="P195" s="460"/>
      <c r="Q195" s="432"/>
      <c r="R195" s="432"/>
      <c r="S195" s="432"/>
      <c r="T195" s="432"/>
      <c r="U195" s="432"/>
      <c r="V195" s="432"/>
      <c r="W195" s="432"/>
      <c r="X195" s="432"/>
      <c r="Y195" s="432"/>
      <c r="Z195" s="432"/>
      <c r="AA195" s="432"/>
      <c r="AB195" s="432"/>
      <c r="AC195" s="432"/>
      <c r="AD195" s="432"/>
    </row>
    <row r="196">
      <c r="A196" s="432"/>
      <c r="B196" s="432"/>
      <c r="C196" s="432"/>
      <c r="D196" s="459"/>
      <c r="E196" s="459"/>
      <c r="F196" s="432"/>
      <c r="G196" s="432"/>
      <c r="H196" s="432"/>
      <c r="I196" s="432"/>
      <c r="J196" s="432"/>
      <c r="K196" s="432"/>
      <c r="L196" s="432"/>
      <c r="M196" s="432"/>
      <c r="N196" s="432"/>
      <c r="O196" s="459"/>
      <c r="P196" s="460"/>
      <c r="Q196" s="432"/>
      <c r="R196" s="432"/>
      <c r="S196" s="432"/>
      <c r="T196" s="432"/>
      <c r="U196" s="432"/>
      <c r="V196" s="432"/>
      <c r="W196" s="432"/>
      <c r="X196" s="432"/>
      <c r="Y196" s="432"/>
      <c r="Z196" s="432"/>
      <c r="AA196" s="432"/>
      <c r="AB196" s="432"/>
      <c r="AC196" s="432"/>
      <c r="AD196" s="432"/>
    </row>
    <row r="197">
      <c r="A197" s="432"/>
      <c r="B197" s="432"/>
      <c r="C197" s="432"/>
      <c r="D197" s="459"/>
      <c r="E197" s="459"/>
      <c r="F197" s="432"/>
      <c r="G197" s="432"/>
      <c r="H197" s="432"/>
      <c r="I197" s="432"/>
      <c r="J197" s="432"/>
      <c r="K197" s="432"/>
      <c r="L197" s="432"/>
      <c r="M197" s="432"/>
      <c r="N197" s="432"/>
      <c r="O197" s="459"/>
      <c r="P197" s="460"/>
      <c r="Q197" s="432"/>
      <c r="R197" s="432"/>
      <c r="S197" s="432"/>
      <c r="T197" s="432"/>
      <c r="U197" s="432"/>
      <c r="V197" s="432"/>
      <c r="W197" s="432"/>
      <c r="X197" s="432"/>
      <c r="Y197" s="432"/>
      <c r="Z197" s="432"/>
      <c r="AA197" s="432"/>
      <c r="AB197" s="432"/>
      <c r="AC197" s="432"/>
      <c r="AD197" s="432"/>
    </row>
    <row r="198">
      <c r="A198" s="432"/>
      <c r="B198" s="432"/>
      <c r="C198" s="432"/>
      <c r="D198" s="459"/>
      <c r="E198" s="459"/>
      <c r="F198" s="432"/>
      <c r="G198" s="432"/>
      <c r="H198" s="432"/>
      <c r="I198" s="432"/>
      <c r="J198" s="432"/>
      <c r="K198" s="432"/>
      <c r="L198" s="432"/>
      <c r="M198" s="432"/>
      <c r="N198" s="432"/>
      <c r="O198" s="459"/>
      <c r="P198" s="460"/>
      <c r="Q198" s="432"/>
      <c r="R198" s="432"/>
      <c r="S198" s="432"/>
      <c r="T198" s="432"/>
      <c r="U198" s="432"/>
      <c r="V198" s="432"/>
      <c r="W198" s="432"/>
      <c r="X198" s="432"/>
      <c r="Y198" s="432"/>
      <c r="Z198" s="432"/>
      <c r="AA198" s="432"/>
      <c r="AB198" s="432"/>
      <c r="AC198" s="432"/>
      <c r="AD198" s="432"/>
    </row>
    <row r="199">
      <c r="A199" s="432"/>
      <c r="B199" s="432"/>
      <c r="C199" s="432"/>
      <c r="D199" s="459"/>
      <c r="E199" s="459"/>
      <c r="F199" s="432"/>
      <c r="G199" s="432"/>
      <c r="H199" s="432"/>
      <c r="I199" s="432"/>
      <c r="J199" s="432"/>
      <c r="K199" s="432"/>
      <c r="L199" s="432"/>
      <c r="M199" s="432"/>
      <c r="N199" s="432"/>
      <c r="O199" s="459"/>
      <c r="P199" s="460"/>
      <c r="Q199" s="432"/>
      <c r="R199" s="432"/>
      <c r="S199" s="432"/>
      <c r="T199" s="432"/>
      <c r="U199" s="432"/>
      <c r="V199" s="432"/>
      <c r="W199" s="432"/>
      <c r="X199" s="432"/>
      <c r="Y199" s="432"/>
      <c r="Z199" s="432"/>
      <c r="AA199" s="432"/>
      <c r="AB199" s="432"/>
      <c r="AC199" s="432"/>
      <c r="AD199" s="432"/>
    </row>
    <row r="200">
      <c r="A200" s="432"/>
      <c r="B200" s="432"/>
      <c r="C200" s="432"/>
      <c r="D200" s="459"/>
      <c r="E200" s="459"/>
      <c r="F200" s="432"/>
      <c r="G200" s="432"/>
      <c r="H200" s="432"/>
      <c r="I200" s="432"/>
      <c r="J200" s="432"/>
      <c r="K200" s="432"/>
      <c r="L200" s="432"/>
      <c r="M200" s="432"/>
      <c r="N200" s="432"/>
      <c r="O200" s="459"/>
      <c r="P200" s="460"/>
      <c r="Q200" s="432"/>
      <c r="R200" s="432"/>
      <c r="S200" s="432"/>
      <c r="T200" s="432"/>
      <c r="U200" s="432"/>
      <c r="V200" s="432"/>
      <c r="W200" s="432"/>
      <c r="X200" s="432"/>
      <c r="Y200" s="432"/>
      <c r="Z200" s="432"/>
      <c r="AA200" s="432"/>
      <c r="AB200" s="432"/>
      <c r="AC200" s="432"/>
      <c r="AD200" s="432"/>
    </row>
    <row r="201">
      <c r="A201" s="432"/>
      <c r="B201" s="432"/>
      <c r="C201" s="432"/>
      <c r="D201" s="459"/>
      <c r="E201" s="459"/>
      <c r="F201" s="432"/>
      <c r="G201" s="432"/>
      <c r="H201" s="432"/>
      <c r="I201" s="432"/>
      <c r="J201" s="432"/>
      <c r="K201" s="432"/>
      <c r="L201" s="432"/>
      <c r="M201" s="432"/>
      <c r="N201" s="432"/>
      <c r="O201" s="459"/>
      <c r="P201" s="460"/>
      <c r="Q201" s="432"/>
      <c r="R201" s="432"/>
      <c r="S201" s="432"/>
      <c r="T201" s="432"/>
      <c r="U201" s="432"/>
      <c r="V201" s="432"/>
      <c r="W201" s="432"/>
      <c r="X201" s="432"/>
      <c r="Y201" s="432"/>
      <c r="Z201" s="432"/>
      <c r="AA201" s="432"/>
      <c r="AB201" s="432"/>
      <c r="AC201" s="432"/>
      <c r="AD201" s="432"/>
    </row>
    <row r="202">
      <c r="A202" s="432"/>
      <c r="B202" s="432"/>
      <c r="C202" s="432"/>
      <c r="D202" s="459"/>
      <c r="E202" s="459"/>
      <c r="F202" s="432"/>
      <c r="G202" s="432"/>
      <c r="H202" s="432"/>
      <c r="I202" s="432"/>
      <c r="J202" s="432"/>
      <c r="K202" s="432"/>
      <c r="L202" s="432"/>
      <c r="M202" s="432"/>
      <c r="N202" s="432"/>
      <c r="O202" s="459"/>
      <c r="P202" s="460"/>
      <c r="Q202" s="432"/>
      <c r="R202" s="432"/>
      <c r="S202" s="432"/>
      <c r="T202" s="432"/>
      <c r="U202" s="432"/>
      <c r="V202" s="432"/>
      <c r="W202" s="432"/>
      <c r="X202" s="432"/>
      <c r="Y202" s="432"/>
      <c r="Z202" s="432"/>
      <c r="AA202" s="432"/>
      <c r="AB202" s="432"/>
      <c r="AC202" s="432"/>
      <c r="AD202" s="432"/>
    </row>
    <row r="203">
      <c r="A203" s="432"/>
      <c r="B203" s="432"/>
      <c r="C203" s="432"/>
      <c r="D203" s="459"/>
      <c r="E203" s="459"/>
      <c r="F203" s="432"/>
      <c r="G203" s="432"/>
      <c r="H203" s="432"/>
      <c r="I203" s="432"/>
      <c r="J203" s="432"/>
      <c r="K203" s="432"/>
      <c r="L203" s="432"/>
      <c r="M203" s="432"/>
      <c r="N203" s="432"/>
      <c r="O203" s="459"/>
      <c r="P203" s="460"/>
      <c r="Q203" s="432"/>
      <c r="R203" s="432"/>
      <c r="S203" s="432"/>
      <c r="T203" s="432"/>
      <c r="U203" s="432"/>
      <c r="V203" s="432"/>
      <c r="W203" s="432"/>
      <c r="X203" s="432"/>
      <c r="Y203" s="432"/>
      <c r="Z203" s="432"/>
      <c r="AA203" s="432"/>
      <c r="AB203" s="432"/>
      <c r="AC203" s="432"/>
      <c r="AD203" s="432"/>
    </row>
    <row r="204">
      <c r="A204" s="432"/>
      <c r="B204" s="432"/>
      <c r="C204" s="432"/>
      <c r="D204" s="459"/>
      <c r="E204" s="459"/>
      <c r="F204" s="432"/>
      <c r="G204" s="432"/>
      <c r="H204" s="432"/>
      <c r="I204" s="432"/>
      <c r="J204" s="432"/>
      <c r="K204" s="432"/>
      <c r="L204" s="432"/>
      <c r="M204" s="432"/>
      <c r="N204" s="432"/>
      <c r="O204" s="459"/>
      <c r="P204" s="460"/>
      <c r="Q204" s="432"/>
      <c r="R204" s="432"/>
      <c r="S204" s="432"/>
      <c r="T204" s="432"/>
      <c r="U204" s="432"/>
      <c r="V204" s="432"/>
      <c r="W204" s="432"/>
      <c r="X204" s="432"/>
      <c r="Y204" s="432"/>
      <c r="Z204" s="432"/>
      <c r="AA204" s="432"/>
      <c r="AB204" s="432"/>
      <c r="AC204" s="432"/>
      <c r="AD204" s="432"/>
    </row>
    <row r="205">
      <c r="A205" s="432"/>
      <c r="B205" s="432"/>
      <c r="C205" s="432"/>
      <c r="D205" s="459"/>
      <c r="E205" s="459"/>
      <c r="F205" s="432"/>
      <c r="G205" s="432"/>
      <c r="H205" s="432"/>
      <c r="I205" s="432"/>
      <c r="J205" s="432"/>
      <c r="K205" s="432"/>
      <c r="L205" s="432"/>
      <c r="M205" s="432"/>
      <c r="N205" s="432"/>
      <c r="O205" s="459"/>
      <c r="P205" s="460"/>
      <c r="Q205" s="432"/>
      <c r="R205" s="432"/>
      <c r="S205" s="432"/>
      <c r="T205" s="432"/>
      <c r="U205" s="432"/>
      <c r="V205" s="432"/>
      <c r="W205" s="432"/>
      <c r="X205" s="432"/>
      <c r="Y205" s="432"/>
      <c r="Z205" s="432"/>
      <c r="AA205" s="432"/>
      <c r="AB205" s="432"/>
      <c r="AC205" s="432"/>
      <c r="AD205" s="432"/>
    </row>
    <row r="206">
      <c r="A206" s="432"/>
      <c r="B206" s="432"/>
      <c r="C206" s="432"/>
      <c r="D206" s="459"/>
      <c r="E206" s="459"/>
      <c r="F206" s="432"/>
      <c r="G206" s="432"/>
      <c r="H206" s="432"/>
      <c r="I206" s="432"/>
      <c r="J206" s="432"/>
      <c r="K206" s="432"/>
      <c r="L206" s="432"/>
      <c r="M206" s="432"/>
      <c r="N206" s="432"/>
      <c r="O206" s="459"/>
      <c r="P206" s="460"/>
      <c r="Q206" s="432"/>
      <c r="R206" s="432"/>
      <c r="S206" s="432"/>
      <c r="T206" s="432"/>
      <c r="U206" s="432"/>
      <c r="V206" s="432"/>
      <c r="W206" s="432"/>
      <c r="X206" s="432"/>
      <c r="Y206" s="432"/>
      <c r="Z206" s="432"/>
      <c r="AA206" s="432"/>
      <c r="AB206" s="432"/>
      <c r="AC206" s="432"/>
      <c r="AD206" s="432"/>
    </row>
    <row r="207">
      <c r="A207" s="432"/>
      <c r="B207" s="432"/>
      <c r="C207" s="432"/>
      <c r="D207" s="459"/>
      <c r="E207" s="459"/>
      <c r="F207" s="432"/>
      <c r="G207" s="432"/>
      <c r="H207" s="432"/>
      <c r="I207" s="432"/>
      <c r="J207" s="432"/>
      <c r="K207" s="432"/>
      <c r="L207" s="432"/>
      <c r="M207" s="432"/>
      <c r="N207" s="432"/>
      <c r="O207" s="459"/>
      <c r="P207" s="460"/>
      <c r="Q207" s="432"/>
      <c r="R207" s="432"/>
      <c r="S207" s="432"/>
      <c r="T207" s="432"/>
      <c r="U207" s="432"/>
      <c r="V207" s="432"/>
      <c r="W207" s="432"/>
      <c r="X207" s="432"/>
      <c r="Y207" s="432"/>
      <c r="Z207" s="432"/>
      <c r="AA207" s="432"/>
      <c r="AB207" s="432"/>
      <c r="AC207" s="432"/>
      <c r="AD207" s="432"/>
    </row>
    <row r="208">
      <c r="A208" s="432"/>
      <c r="B208" s="432"/>
      <c r="C208" s="432"/>
      <c r="D208" s="459"/>
      <c r="E208" s="459"/>
      <c r="F208" s="432"/>
      <c r="G208" s="432"/>
      <c r="H208" s="432"/>
      <c r="I208" s="432"/>
      <c r="J208" s="432"/>
      <c r="K208" s="432"/>
      <c r="L208" s="432"/>
      <c r="M208" s="432"/>
      <c r="N208" s="432"/>
      <c r="O208" s="459"/>
      <c r="P208" s="460"/>
      <c r="Q208" s="432"/>
      <c r="R208" s="432"/>
      <c r="S208" s="432"/>
      <c r="T208" s="432"/>
      <c r="U208" s="432"/>
      <c r="V208" s="432"/>
      <c r="W208" s="432"/>
      <c r="X208" s="432"/>
      <c r="Y208" s="432"/>
      <c r="Z208" s="432"/>
      <c r="AA208" s="432"/>
      <c r="AB208" s="432"/>
      <c r="AC208" s="432"/>
      <c r="AD208" s="432"/>
    </row>
    <row r="209">
      <c r="A209" s="432"/>
      <c r="B209" s="432"/>
      <c r="C209" s="432"/>
      <c r="D209" s="459"/>
      <c r="E209" s="459"/>
      <c r="F209" s="432"/>
      <c r="G209" s="432"/>
      <c r="H209" s="432"/>
      <c r="I209" s="432"/>
      <c r="J209" s="432"/>
      <c r="K209" s="432"/>
      <c r="L209" s="432"/>
      <c r="M209" s="432"/>
      <c r="N209" s="432"/>
      <c r="O209" s="459"/>
      <c r="P209" s="460"/>
      <c r="Q209" s="432"/>
      <c r="R209" s="432"/>
      <c r="S209" s="432"/>
      <c r="T209" s="432"/>
      <c r="U209" s="432"/>
      <c r="V209" s="432"/>
      <c r="W209" s="432"/>
      <c r="X209" s="432"/>
      <c r="Y209" s="432"/>
      <c r="Z209" s="432"/>
      <c r="AA209" s="432"/>
      <c r="AB209" s="432"/>
      <c r="AC209" s="432"/>
      <c r="AD209" s="432"/>
    </row>
    <row r="210">
      <c r="A210" s="432"/>
      <c r="B210" s="432"/>
      <c r="C210" s="432"/>
      <c r="D210" s="459"/>
      <c r="E210" s="459"/>
      <c r="F210" s="432"/>
      <c r="G210" s="432"/>
      <c r="H210" s="432"/>
      <c r="I210" s="432"/>
      <c r="J210" s="432"/>
      <c r="K210" s="432"/>
      <c r="L210" s="432"/>
      <c r="M210" s="432"/>
      <c r="N210" s="432"/>
      <c r="O210" s="459"/>
      <c r="P210" s="460"/>
      <c r="Q210" s="432"/>
      <c r="R210" s="432"/>
      <c r="S210" s="432"/>
      <c r="T210" s="432"/>
      <c r="U210" s="432"/>
      <c r="V210" s="432"/>
      <c r="W210" s="432"/>
      <c r="X210" s="432"/>
      <c r="Y210" s="432"/>
      <c r="Z210" s="432"/>
      <c r="AA210" s="432"/>
      <c r="AB210" s="432"/>
      <c r="AC210" s="432"/>
      <c r="AD210" s="432"/>
    </row>
    <row r="211">
      <c r="A211" s="432"/>
      <c r="B211" s="432"/>
      <c r="C211" s="432"/>
      <c r="D211" s="459"/>
      <c r="E211" s="459"/>
      <c r="F211" s="432"/>
      <c r="G211" s="432"/>
      <c r="H211" s="432"/>
      <c r="I211" s="432"/>
      <c r="J211" s="432"/>
      <c r="K211" s="432"/>
      <c r="L211" s="432"/>
      <c r="M211" s="432"/>
      <c r="N211" s="432"/>
      <c r="O211" s="459"/>
      <c r="P211" s="460"/>
      <c r="Q211" s="432"/>
      <c r="R211" s="432"/>
      <c r="S211" s="432"/>
      <c r="T211" s="432"/>
      <c r="U211" s="432"/>
      <c r="V211" s="432"/>
      <c r="W211" s="432"/>
      <c r="X211" s="432"/>
      <c r="Y211" s="432"/>
      <c r="Z211" s="432"/>
      <c r="AA211" s="432"/>
      <c r="AB211" s="432"/>
      <c r="AC211" s="432"/>
      <c r="AD211" s="432"/>
    </row>
    <row r="212">
      <c r="A212" s="432"/>
      <c r="B212" s="432"/>
      <c r="C212" s="432"/>
      <c r="D212" s="459"/>
      <c r="E212" s="459"/>
      <c r="F212" s="432"/>
      <c r="G212" s="432"/>
      <c r="H212" s="432"/>
      <c r="I212" s="432"/>
      <c r="J212" s="432"/>
      <c r="K212" s="432"/>
      <c r="L212" s="432"/>
      <c r="M212" s="432"/>
      <c r="N212" s="432"/>
      <c r="O212" s="459"/>
      <c r="P212" s="460"/>
      <c r="Q212" s="432"/>
      <c r="R212" s="432"/>
      <c r="S212" s="432"/>
      <c r="T212" s="432"/>
      <c r="U212" s="432"/>
      <c r="V212" s="432"/>
      <c r="W212" s="432"/>
      <c r="X212" s="432"/>
      <c r="Y212" s="432"/>
      <c r="Z212" s="432"/>
      <c r="AA212" s="432"/>
      <c r="AB212" s="432"/>
      <c r="AC212" s="432"/>
      <c r="AD212" s="432"/>
    </row>
    <row r="213">
      <c r="A213" s="432"/>
      <c r="B213" s="432"/>
      <c r="C213" s="432"/>
      <c r="D213" s="459"/>
      <c r="E213" s="459"/>
      <c r="F213" s="432"/>
      <c r="G213" s="432"/>
      <c r="H213" s="432"/>
      <c r="I213" s="432"/>
      <c r="J213" s="432"/>
      <c r="K213" s="432"/>
      <c r="L213" s="432"/>
      <c r="M213" s="432"/>
      <c r="N213" s="432"/>
      <c r="O213" s="459"/>
      <c r="P213" s="460"/>
      <c r="Q213" s="432"/>
      <c r="R213" s="432"/>
      <c r="S213" s="432"/>
      <c r="T213" s="432"/>
      <c r="U213" s="432"/>
      <c r="V213" s="432"/>
      <c r="W213" s="432"/>
      <c r="X213" s="432"/>
      <c r="Y213" s="432"/>
      <c r="Z213" s="432"/>
      <c r="AA213" s="432"/>
      <c r="AB213" s="432"/>
      <c r="AC213" s="432"/>
      <c r="AD213" s="432"/>
    </row>
    <row r="214">
      <c r="A214" s="432"/>
      <c r="B214" s="432"/>
      <c r="C214" s="432"/>
      <c r="D214" s="459"/>
      <c r="E214" s="459"/>
      <c r="F214" s="432"/>
      <c r="G214" s="432"/>
      <c r="H214" s="432"/>
      <c r="I214" s="432"/>
      <c r="J214" s="432"/>
      <c r="K214" s="432"/>
      <c r="L214" s="432"/>
      <c r="M214" s="432"/>
      <c r="N214" s="432"/>
      <c r="O214" s="459"/>
      <c r="P214" s="460"/>
      <c r="Q214" s="432"/>
      <c r="R214" s="432"/>
      <c r="S214" s="432"/>
      <c r="T214" s="432"/>
      <c r="U214" s="432"/>
      <c r="V214" s="432"/>
      <c r="W214" s="432"/>
      <c r="X214" s="432"/>
      <c r="Y214" s="432"/>
      <c r="Z214" s="432"/>
      <c r="AA214" s="432"/>
      <c r="AB214" s="432"/>
      <c r="AC214" s="432"/>
      <c r="AD214" s="432"/>
    </row>
    <row r="215">
      <c r="A215" s="432"/>
      <c r="B215" s="432"/>
      <c r="C215" s="432"/>
      <c r="D215" s="459"/>
      <c r="E215" s="459"/>
      <c r="F215" s="432"/>
      <c r="G215" s="432"/>
      <c r="H215" s="432"/>
      <c r="I215" s="432"/>
      <c r="J215" s="432"/>
      <c r="K215" s="432"/>
      <c r="L215" s="432"/>
      <c r="M215" s="432"/>
      <c r="N215" s="432"/>
      <c r="O215" s="459"/>
      <c r="P215" s="460"/>
      <c r="Q215" s="432"/>
      <c r="R215" s="432"/>
      <c r="S215" s="432"/>
      <c r="T215" s="432"/>
      <c r="U215" s="432"/>
      <c r="V215" s="432"/>
      <c r="W215" s="432"/>
      <c r="X215" s="432"/>
      <c r="Y215" s="432"/>
      <c r="Z215" s="432"/>
      <c r="AA215" s="432"/>
      <c r="AB215" s="432"/>
      <c r="AC215" s="432"/>
      <c r="AD215" s="432"/>
    </row>
    <row r="216">
      <c r="A216" s="432"/>
      <c r="B216" s="432"/>
      <c r="C216" s="432"/>
      <c r="D216" s="459"/>
      <c r="E216" s="459"/>
      <c r="F216" s="432"/>
      <c r="G216" s="432"/>
      <c r="H216" s="432"/>
      <c r="I216" s="432"/>
      <c r="J216" s="432"/>
      <c r="K216" s="432"/>
      <c r="L216" s="432"/>
      <c r="M216" s="432"/>
      <c r="N216" s="432"/>
      <c r="O216" s="459"/>
      <c r="P216" s="460"/>
      <c r="Q216" s="432"/>
      <c r="R216" s="432"/>
      <c r="S216" s="432"/>
      <c r="T216" s="432"/>
      <c r="U216" s="432"/>
      <c r="V216" s="432"/>
      <c r="W216" s="432"/>
      <c r="X216" s="432"/>
      <c r="Y216" s="432"/>
      <c r="Z216" s="432"/>
      <c r="AA216" s="432"/>
      <c r="AB216" s="432"/>
      <c r="AC216" s="432"/>
      <c r="AD216" s="432"/>
    </row>
    <row r="217">
      <c r="A217" s="432"/>
      <c r="B217" s="432"/>
      <c r="C217" s="432"/>
      <c r="D217" s="459"/>
      <c r="E217" s="459"/>
      <c r="F217" s="432"/>
      <c r="G217" s="432"/>
      <c r="H217" s="432"/>
      <c r="I217" s="432"/>
      <c r="J217" s="432"/>
      <c r="K217" s="432"/>
      <c r="L217" s="432"/>
      <c r="M217" s="432"/>
      <c r="N217" s="432"/>
      <c r="O217" s="459"/>
      <c r="P217" s="460"/>
      <c r="Q217" s="432"/>
      <c r="R217" s="432"/>
      <c r="S217" s="432"/>
      <c r="T217" s="432"/>
      <c r="U217" s="432"/>
      <c r="V217" s="432"/>
      <c r="W217" s="432"/>
      <c r="X217" s="432"/>
      <c r="Y217" s="432"/>
      <c r="Z217" s="432"/>
      <c r="AA217" s="432"/>
      <c r="AB217" s="432"/>
      <c r="AC217" s="432"/>
      <c r="AD217" s="432"/>
    </row>
    <row r="218">
      <c r="A218" s="432"/>
      <c r="B218" s="432"/>
      <c r="C218" s="432"/>
      <c r="D218" s="459"/>
      <c r="E218" s="459"/>
      <c r="F218" s="432"/>
      <c r="G218" s="432"/>
      <c r="H218" s="432"/>
      <c r="I218" s="432"/>
      <c r="J218" s="432"/>
      <c r="K218" s="432"/>
      <c r="L218" s="432"/>
      <c r="M218" s="432"/>
      <c r="N218" s="432"/>
      <c r="O218" s="459"/>
      <c r="P218" s="460"/>
      <c r="Q218" s="432"/>
      <c r="R218" s="432"/>
      <c r="S218" s="432"/>
      <c r="T218" s="432"/>
      <c r="U218" s="432"/>
      <c r="V218" s="432"/>
      <c r="W218" s="432"/>
      <c r="X218" s="432"/>
      <c r="Y218" s="432"/>
      <c r="Z218" s="432"/>
      <c r="AA218" s="432"/>
      <c r="AB218" s="432"/>
      <c r="AC218" s="432"/>
      <c r="AD218" s="432"/>
    </row>
    <row r="219">
      <c r="A219" s="432"/>
      <c r="B219" s="432"/>
      <c r="C219" s="432"/>
      <c r="D219" s="459"/>
      <c r="E219" s="459"/>
      <c r="F219" s="432"/>
      <c r="G219" s="432"/>
      <c r="H219" s="432"/>
      <c r="I219" s="432"/>
      <c r="J219" s="432"/>
      <c r="K219" s="432"/>
      <c r="L219" s="432"/>
      <c r="M219" s="432"/>
      <c r="N219" s="432"/>
      <c r="O219" s="459"/>
      <c r="P219" s="460"/>
      <c r="Q219" s="432"/>
      <c r="R219" s="432"/>
      <c r="S219" s="432"/>
      <c r="T219" s="432"/>
      <c r="U219" s="432"/>
      <c r="V219" s="432"/>
      <c r="W219" s="432"/>
      <c r="X219" s="432"/>
      <c r="Y219" s="432"/>
      <c r="Z219" s="432"/>
      <c r="AA219" s="432"/>
      <c r="AB219" s="432"/>
      <c r="AC219" s="432"/>
      <c r="AD219" s="432"/>
    </row>
    <row r="220">
      <c r="A220" s="432"/>
      <c r="B220" s="432"/>
      <c r="C220" s="432"/>
      <c r="D220" s="459"/>
      <c r="E220" s="459"/>
      <c r="F220" s="432"/>
      <c r="G220" s="432"/>
      <c r="H220" s="432"/>
      <c r="I220" s="432"/>
      <c r="J220" s="432"/>
      <c r="K220" s="432"/>
      <c r="L220" s="432"/>
      <c r="M220" s="432"/>
      <c r="N220" s="432"/>
      <c r="O220" s="459"/>
      <c r="P220" s="460"/>
      <c r="Q220" s="432"/>
      <c r="R220" s="432"/>
      <c r="S220" s="432"/>
      <c r="T220" s="432"/>
      <c r="U220" s="432"/>
      <c r="V220" s="432"/>
      <c r="W220" s="432"/>
      <c r="X220" s="432"/>
      <c r="Y220" s="432"/>
      <c r="Z220" s="432"/>
      <c r="AA220" s="432"/>
      <c r="AB220" s="432"/>
      <c r="AC220" s="432"/>
      <c r="AD220" s="432"/>
    </row>
    <row r="221">
      <c r="A221" s="432"/>
      <c r="B221" s="432"/>
      <c r="C221" s="432"/>
      <c r="D221" s="459"/>
      <c r="E221" s="459"/>
      <c r="F221" s="432"/>
      <c r="G221" s="432"/>
      <c r="H221" s="432"/>
      <c r="I221" s="432"/>
      <c r="J221" s="432"/>
      <c r="K221" s="432"/>
      <c r="L221" s="432"/>
      <c r="M221" s="432"/>
      <c r="N221" s="432"/>
      <c r="O221" s="459"/>
      <c r="P221" s="460"/>
      <c r="Q221" s="432"/>
      <c r="R221" s="432"/>
      <c r="S221" s="432"/>
      <c r="T221" s="432"/>
      <c r="U221" s="432"/>
      <c r="V221" s="432"/>
      <c r="W221" s="432"/>
      <c r="X221" s="432"/>
      <c r="Y221" s="432"/>
      <c r="Z221" s="432"/>
      <c r="AA221" s="432"/>
      <c r="AB221" s="432"/>
      <c r="AC221" s="432"/>
      <c r="AD221" s="432"/>
    </row>
    <row r="222">
      <c r="A222" s="432"/>
      <c r="B222" s="432"/>
      <c r="C222" s="432"/>
      <c r="D222" s="459"/>
      <c r="E222" s="459"/>
      <c r="F222" s="432"/>
      <c r="G222" s="432"/>
      <c r="H222" s="432"/>
      <c r="I222" s="432"/>
      <c r="J222" s="432"/>
      <c r="K222" s="432"/>
      <c r="L222" s="432"/>
      <c r="M222" s="432"/>
      <c r="N222" s="432"/>
      <c r="O222" s="459"/>
      <c r="P222" s="460"/>
      <c r="Q222" s="432"/>
      <c r="R222" s="432"/>
      <c r="S222" s="432"/>
      <c r="T222" s="432"/>
      <c r="U222" s="432"/>
      <c r="V222" s="432"/>
      <c r="W222" s="432"/>
      <c r="X222" s="432"/>
      <c r="Y222" s="432"/>
      <c r="Z222" s="432"/>
      <c r="AA222" s="432"/>
      <c r="AB222" s="432"/>
      <c r="AC222" s="432"/>
      <c r="AD222" s="432"/>
    </row>
    <row r="223">
      <c r="A223" s="432"/>
      <c r="B223" s="432"/>
      <c r="C223" s="432"/>
      <c r="D223" s="459"/>
      <c r="E223" s="459"/>
      <c r="F223" s="432"/>
      <c r="G223" s="432"/>
      <c r="H223" s="432"/>
      <c r="I223" s="432"/>
      <c r="J223" s="432"/>
      <c r="K223" s="432"/>
      <c r="L223" s="432"/>
      <c r="M223" s="432"/>
      <c r="N223" s="432"/>
      <c r="O223" s="459"/>
      <c r="P223" s="460"/>
      <c r="Q223" s="432"/>
      <c r="R223" s="432"/>
      <c r="S223" s="432"/>
      <c r="T223" s="432"/>
      <c r="U223" s="432"/>
      <c r="V223" s="432"/>
      <c r="W223" s="432"/>
      <c r="X223" s="432"/>
      <c r="Y223" s="432"/>
      <c r="Z223" s="432"/>
      <c r="AA223" s="432"/>
      <c r="AB223" s="432"/>
      <c r="AC223" s="432"/>
      <c r="AD223" s="432"/>
    </row>
    <row r="224">
      <c r="A224" s="432"/>
      <c r="B224" s="432"/>
      <c r="C224" s="432"/>
      <c r="D224" s="459"/>
      <c r="E224" s="459"/>
      <c r="F224" s="432"/>
      <c r="G224" s="432"/>
      <c r="H224" s="432"/>
      <c r="I224" s="432"/>
      <c r="J224" s="432"/>
      <c r="K224" s="432"/>
      <c r="L224" s="432"/>
      <c r="M224" s="432"/>
      <c r="N224" s="432"/>
      <c r="O224" s="459"/>
      <c r="P224" s="460"/>
      <c r="Q224" s="432"/>
      <c r="R224" s="432"/>
      <c r="S224" s="432"/>
      <c r="T224" s="432"/>
      <c r="U224" s="432"/>
      <c r="V224" s="432"/>
      <c r="W224" s="432"/>
      <c r="X224" s="432"/>
      <c r="Y224" s="432"/>
      <c r="Z224" s="432"/>
      <c r="AA224" s="432"/>
      <c r="AB224" s="432"/>
      <c r="AC224" s="432"/>
      <c r="AD224" s="432"/>
    </row>
    <row r="225">
      <c r="A225" s="432"/>
      <c r="B225" s="432"/>
      <c r="C225" s="432"/>
      <c r="D225" s="459"/>
      <c r="E225" s="459"/>
      <c r="F225" s="432"/>
      <c r="G225" s="432"/>
      <c r="H225" s="432"/>
      <c r="I225" s="432"/>
      <c r="J225" s="432"/>
      <c r="K225" s="432"/>
      <c r="L225" s="432"/>
      <c r="M225" s="432"/>
      <c r="N225" s="432"/>
      <c r="O225" s="459"/>
      <c r="P225" s="460"/>
      <c r="Q225" s="432"/>
      <c r="R225" s="432"/>
      <c r="S225" s="432"/>
      <c r="T225" s="432"/>
      <c r="U225" s="432"/>
      <c r="V225" s="432"/>
      <c r="W225" s="432"/>
      <c r="X225" s="432"/>
      <c r="Y225" s="432"/>
      <c r="Z225" s="432"/>
      <c r="AA225" s="432"/>
      <c r="AB225" s="432"/>
      <c r="AC225" s="432"/>
      <c r="AD225" s="432"/>
    </row>
    <row r="226">
      <c r="A226" s="432"/>
      <c r="B226" s="432"/>
      <c r="C226" s="432"/>
      <c r="D226" s="459"/>
      <c r="E226" s="459"/>
      <c r="F226" s="432"/>
      <c r="G226" s="432"/>
      <c r="H226" s="432"/>
      <c r="I226" s="432"/>
      <c r="J226" s="432"/>
      <c r="K226" s="432"/>
      <c r="L226" s="432"/>
      <c r="M226" s="432"/>
      <c r="N226" s="432"/>
      <c r="O226" s="459"/>
      <c r="P226" s="460"/>
      <c r="Q226" s="432"/>
      <c r="R226" s="432"/>
      <c r="S226" s="432"/>
      <c r="T226" s="432"/>
      <c r="U226" s="432"/>
      <c r="V226" s="432"/>
      <c r="W226" s="432"/>
      <c r="X226" s="432"/>
      <c r="Y226" s="432"/>
      <c r="Z226" s="432"/>
      <c r="AA226" s="432"/>
      <c r="AB226" s="432"/>
      <c r="AC226" s="432"/>
      <c r="AD226" s="432"/>
    </row>
    <row r="227">
      <c r="A227" s="432"/>
      <c r="B227" s="432"/>
      <c r="C227" s="432"/>
      <c r="D227" s="459"/>
      <c r="E227" s="459"/>
      <c r="F227" s="432"/>
      <c r="G227" s="432"/>
      <c r="H227" s="432"/>
      <c r="I227" s="432"/>
      <c r="J227" s="432"/>
      <c r="K227" s="432"/>
      <c r="L227" s="432"/>
      <c r="M227" s="432"/>
      <c r="N227" s="432"/>
      <c r="O227" s="459"/>
      <c r="P227" s="460"/>
      <c r="Q227" s="432"/>
      <c r="R227" s="432"/>
      <c r="S227" s="432"/>
      <c r="T227" s="432"/>
      <c r="U227" s="432"/>
      <c r="V227" s="432"/>
      <c r="W227" s="432"/>
      <c r="X227" s="432"/>
      <c r="Y227" s="432"/>
      <c r="Z227" s="432"/>
      <c r="AA227" s="432"/>
      <c r="AB227" s="432"/>
      <c r="AC227" s="432"/>
      <c r="AD227" s="432"/>
    </row>
    <row r="228">
      <c r="A228" s="432"/>
      <c r="B228" s="432"/>
      <c r="C228" s="432"/>
      <c r="D228" s="459"/>
      <c r="E228" s="459"/>
      <c r="F228" s="432"/>
      <c r="G228" s="432"/>
      <c r="H228" s="432"/>
      <c r="I228" s="432"/>
      <c r="J228" s="432"/>
      <c r="K228" s="432"/>
      <c r="L228" s="432"/>
      <c r="M228" s="432"/>
      <c r="N228" s="432"/>
      <c r="O228" s="459"/>
      <c r="P228" s="460"/>
      <c r="Q228" s="432"/>
      <c r="R228" s="432"/>
      <c r="S228" s="432"/>
      <c r="T228" s="432"/>
      <c r="U228" s="432"/>
      <c r="V228" s="432"/>
      <c r="W228" s="432"/>
      <c r="X228" s="432"/>
      <c r="Y228" s="432"/>
      <c r="Z228" s="432"/>
      <c r="AA228" s="432"/>
      <c r="AB228" s="432"/>
      <c r="AC228" s="432"/>
      <c r="AD228" s="432"/>
    </row>
    <row r="229">
      <c r="A229" s="432"/>
      <c r="B229" s="432"/>
      <c r="C229" s="432"/>
      <c r="D229" s="459"/>
      <c r="E229" s="459"/>
      <c r="F229" s="432"/>
      <c r="G229" s="432"/>
      <c r="H229" s="432"/>
      <c r="I229" s="432"/>
      <c r="J229" s="432"/>
      <c r="K229" s="432"/>
      <c r="L229" s="432"/>
      <c r="M229" s="432"/>
      <c r="N229" s="432"/>
      <c r="O229" s="459"/>
      <c r="P229" s="460"/>
      <c r="Q229" s="432"/>
      <c r="R229" s="432"/>
      <c r="S229" s="432"/>
      <c r="T229" s="432"/>
      <c r="U229" s="432"/>
      <c r="V229" s="432"/>
      <c r="W229" s="432"/>
      <c r="X229" s="432"/>
      <c r="Y229" s="432"/>
      <c r="Z229" s="432"/>
      <c r="AA229" s="432"/>
      <c r="AB229" s="432"/>
      <c r="AC229" s="432"/>
      <c r="AD229" s="432"/>
    </row>
    <row r="230">
      <c r="A230" s="432"/>
      <c r="B230" s="432"/>
      <c r="C230" s="432"/>
      <c r="D230" s="459"/>
      <c r="E230" s="459"/>
      <c r="F230" s="432"/>
      <c r="G230" s="432"/>
      <c r="H230" s="432"/>
      <c r="I230" s="432"/>
      <c r="J230" s="432"/>
      <c r="K230" s="432"/>
      <c r="L230" s="432"/>
      <c r="M230" s="432"/>
      <c r="N230" s="432"/>
      <c r="O230" s="459"/>
      <c r="P230" s="460"/>
      <c r="Q230" s="432"/>
      <c r="R230" s="432"/>
      <c r="S230" s="432"/>
      <c r="T230" s="432"/>
      <c r="U230" s="432"/>
      <c r="V230" s="432"/>
      <c r="W230" s="432"/>
      <c r="X230" s="432"/>
      <c r="Y230" s="432"/>
      <c r="Z230" s="432"/>
      <c r="AA230" s="432"/>
      <c r="AB230" s="432"/>
      <c r="AC230" s="432"/>
      <c r="AD230" s="432"/>
    </row>
    <row r="231">
      <c r="A231" s="432"/>
      <c r="B231" s="432"/>
      <c r="C231" s="432"/>
      <c r="D231" s="459"/>
      <c r="E231" s="459"/>
      <c r="F231" s="432"/>
      <c r="G231" s="432"/>
      <c r="H231" s="432"/>
      <c r="I231" s="432"/>
      <c r="J231" s="432"/>
      <c r="K231" s="432"/>
      <c r="L231" s="432"/>
      <c r="M231" s="432"/>
      <c r="N231" s="432"/>
      <c r="O231" s="459"/>
      <c r="P231" s="460"/>
      <c r="Q231" s="432"/>
      <c r="R231" s="432"/>
      <c r="S231" s="432"/>
      <c r="T231" s="432"/>
      <c r="U231" s="432"/>
      <c r="V231" s="432"/>
      <c r="W231" s="432"/>
      <c r="X231" s="432"/>
      <c r="Y231" s="432"/>
      <c r="Z231" s="432"/>
      <c r="AA231" s="432"/>
      <c r="AB231" s="432"/>
      <c r="AC231" s="432"/>
      <c r="AD231" s="432"/>
    </row>
    <row r="232">
      <c r="A232" s="432"/>
      <c r="B232" s="432"/>
      <c r="C232" s="432"/>
      <c r="D232" s="459"/>
      <c r="E232" s="459"/>
      <c r="F232" s="432"/>
      <c r="G232" s="432"/>
      <c r="H232" s="432"/>
      <c r="I232" s="432"/>
      <c r="J232" s="432"/>
      <c r="K232" s="432"/>
      <c r="L232" s="432"/>
      <c r="M232" s="432"/>
      <c r="N232" s="432"/>
      <c r="O232" s="459"/>
      <c r="P232" s="460"/>
      <c r="Q232" s="432"/>
      <c r="R232" s="432"/>
      <c r="S232" s="432"/>
      <c r="T232" s="432"/>
      <c r="U232" s="432"/>
      <c r="V232" s="432"/>
      <c r="W232" s="432"/>
      <c r="X232" s="432"/>
      <c r="Y232" s="432"/>
      <c r="Z232" s="432"/>
      <c r="AA232" s="432"/>
      <c r="AB232" s="432"/>
      <c r="AC232" s="432"/>
      <c r="AD232" s="432"/>
    </row>
    <row r="233">
      <c r="A233" s="432"/>
      <c r="B233" s="432"/>
      <c r="C233" s="432"/>
      <c r="D233" s="459"/>
      <c r="E233" s="459"/>
      <c r="F233" s="432"/>
      <c r="G233" s="432"/>
      <c r="H233" s="432"/>
      <c r="I233" s="432"/>
      <c r="J233" s="432"/>
      <c r="K233" s="432"/>
      <c r="L233" s="432"/>
      <c r="M233" s="432"/>
      <c r="N233" s="432"/>
      <c r="O233" s="459"/>
      <c r="P233" s="460"/>
      <c r="Q233" s="432"/>
      <c r="R233" s="432"/>
      <c r="S233" s="432"/>
      <c r="T233" s="432"/>
      <c r="U233" s="432"/>
      <c r="V233" s="432"/>
      <c r="W233" s="432"/>
      <c r="X233" s="432"/>
      <c r="Y233" s="432"/>
      <c r="Z233" s="432"/>
      <c r="AA233" s="432"/>
      <c r="AB233" s="432"/>
      <c r="AC233" s="432"/>
      <c r="AD233" s="432"/>
    </row>
    <row r="234">
      <c r="A234" s="432"/>
      <c r="B234" s="432"/>
      <c r="C234" s="432"/>
      <c r="D234" s="459"/>
      <c r="E234" s="459"/>
      <c r="F234" s="432"/>
      <c r="G234" s="432"/>
      <c r="H234" s="432"/>
      <c r="I234" s="432"/>
      <c r="J234" s="432"/>
      <c r="K234" s="432"/>
      <c r="L234" s="432"/>
      <c r="M234" s="432"/>
      <c r="N234" s="432"/>
      <c r="O234" s="459"/>
      <c r="P234" s="460"/>
      <c r="Q234" s="432"/>
      <c r="R234" s="432"/>
      <c r="S234" s="432"/>
      <c r="T234" s="432"/>
      <c r="U234" s="432"/>
      <c r="V234" s="432"/>
      <c r="W234" s="432"/>
      <c r="X234" s="432"/>
      <c r="Y234" s="432"/>
      <c r="Z234" s="432"/>
      <c r="AA234" s="432"/>
      <c r="AB234" s="432"/>
      <c r="AC234" s="432"/>
      <c r="AD234" s="432"/>
    </row>
    <row r="235">
      <c r="A235" s="432"/>
      <c r="B235" s="432"/>
      <c r="C235" s="432"/>
      <c r="D235" s="459"/>
      <c r="E235" s="459"/>
      <c r="F235" s="432"/>
      <c r="G235" s="432"/>
      <c r="H235" s="432"/>
      <c r="I235" s="432"/>
      <c r="J235" s="432"/>
      <c r="K235" s="432"/>
      <c r="L235" s="432"/>
      <c r="M235" s="432"/>
      <c r="N235" s="432"/>
      <c r="O235" s="459"/>
      <c r="P235" s="460"/>
      <c r="Q235" s="432"/>
      <c r="R235" s="432"/>
      <c r="S235" s="432"/>
      <c r="T235" s="432"/>
      <c r="U235" s="432"/>
      <c r="V235" s="432"/>
      <c r="W235" s="432"/>
      <c r="X235" s="432"/>
      <c r="Y235" s="432"/>
      <c r="Z235" s="432"/>
      <c r="AA235" s="432"/>
      <c r="AB235" s="432"/>
      <c r="AC235" s="432"/>
      <c r="AD235" s="432"/>
    </row>
    <row r="236">
      <c r="A236" s="432"/>
      <c r="B236" s="432"/>
      <c r="C236" s="432"/>
      <c r="D236" s="459"/>
      <c r="E236" s="459"/>
      <c r="F236" s="432"/>
      <c r="G236" s="432"/>
      <c r="H236" s="432"/>
      <c r="I236" s="432"/>
      <c r="J236" s="432"/>
      <c r="K236" s="432"/>
      <c r="L236" s="432"/>
      <c r="M236" s="432"/>
      <c r="N236" s="432"/>
      <c r="O236" s="459"/>
      <c r="P236" s="460"/>
      <c r="Q236" s="432"/>
      <c r="R236" s="432"/>
      <c r="S236" s="432"/>
      <c r="T236" s="432"/>
      <c r="U236" s="432"/>
      <c r="V236" s="432"/>
      <c r="W236" s="432"/>
      <c r="X236" s="432"/>
      <c r="Y236" s="432"/>
      <c r="Z236" s="432"/>
      <c r="AA236" s="432"/>
      <c r="AB236" s="432"/>
      <c r="AC236" s="432"/>
      <c r="AD236" s="432"/>
    </row>
    <row r="237">
      <c r="A237" s="432"/>
      <c r="B237" s="432"/>
      <c r="C237" s="432"/>
      <c r="D237" s="459"/>
      <c r="E237" s="459"/>
      <c r="F237" s="432"/>
      <c r="G237" s="432"/>
      <c r="H237" s="432"/>
      <c r="I237" s="432"/>
      <c r="J237" s="432"/>
      <c r="K237" s="432"/>
      <c r="L237" s="432"/>
      <c r="M237" s="432"/>
      <c r="N237" s="432"/>
      <c r="O237" s="459"/>
      <c r="P237" s="460"/>
      <c r="Q237" s="432"/>
      <c r="R237" s="432"/>
      <c r="S237" s="432"/>
      <c r="T237" s="432"/>
      <c r="U237" s="432"/>
      <c r="V237" s="432"/>
      <c r="W237" s="432"/>
      <c r="X237" s="432"/>
      <c r="Y237" s="432"/>
      <c r="Z237" s="432"/>
      <c r="AA237" s="432"/>
      <c r="AB237" s="432"/>
      <c r="AC237" s="432"/>
      <c r="AD237" s="432"/>
    </row>
    <row r="238">
      <c r="A238" s="432"/>
      <c r="B238" s="432"/>
      <c r="C238" s="432"/>
      <c r="D238" s="459"/>
      <c r="E238" s="459"/>
      <c r="F238" s="432"/>
      <c r="G238" s="432"/>
      <c r="H238" s="432"/>
      <c r="I238" s="432"/>
      <c r="J238" s="432"/>
      <c r="K238" s="432"/>
      <c r="L238" s="432"/>
      <c r="M238" s="432"/>
      <c r="N238" s="432"/>
      <c r="O238" s="459"/>
      <c r="P238" s="460"/>
      <c r="Q238" s="432"/>
      <c r="R238" s="432"/>
      <c r="S238" s="432"/>
      <c r="T238" s="432"/>
      <c r="U238" s="432"/>
      <c r="V238" s="432"/>
      <c r="W238" s="432"/>
      <c r="X238" s="432"/>
      <c r="Y238" s="432"/>
      <c r="Z238" s="432"/>
      <c r="AA238" s="432"/>
      <c r="AB238" s="432"/>
      <c r="AC238" s="432"/>
      <c r="AD238" s="432"/>
    </row>
    <row r="239">
      <c r="A239" s="432"/>
      <c r="B239" s="432"/>
      <c r="C239" s="432"/>
      <c r="D239" s="459"/>
      <c r="E239" s="459"/>
      <c r="F239" s="432"/>
      <c r="G239" s="432"/>
      <c r="H239" s="432"/>
      <c r="I239" s="432"/>
      <c r="J239" s="432"/>
      <c r="K239" s="432"/>
      <c r="L239" s="432"/>
      <c r="M239" s="432"/>
      <c r="N239" s="432"/>
      <c r="O239" s="459"/>
      <c r="P239" s="460"/>
      <c r="Q239" s="432"/>
      <c r="R239" s="432"/>
      <c r="S239" s="432"/>
      <c r="T239" s="432"/>
      <c r="U239" s="432"/>
      <c r="V239" s="432"/>
      <c r="W239" s="432"/>
      <c r="X239" s="432"/>
      <c r="Y239" s="432"/>
      <c r="Z239" s="432"/>
      <c r="AA239" s="432"/>
      <c r="AB239" s="432"/>
      <c r="AC239" s="432"/>
      <c r="AD239" s="432"/>
    </row>
    <row r="240">
      <c r="A240" s="432"/>
      <c r="B240" s="432"/>
      <c r="C240" s="432"/>
      <c r="D240" s="459"/>
      <c r="E240" s="459"/>
      <c r="F240" s="432"/>
      <c r="G240" s="432"/>
      <c r="H240" s="432"/>
      <c r="I240" s="432"/>
      <c r="J240" s="432"/>
      <c r="K240" s="432"/>
      <c r="L240" s="432"/>
      <c r="M240" s="432"/>
      <c r="N240" s="432"/>
      <c r="O240" s="459"/>
      <c r="P240" s="460"/>
      <c r="Q240" s="432"/>
      <c r="R240" s="432"/>
      <c r="S240" s="432"/>
      <c r="T240" s="432"/>
      <c r="U240" s="432"/>
      <c r="V240" s="432"/>
      <c r="W240" s="432"/>
      <c r="X240" s="432"/>
      <c r="Y240" s="432"/>
      <c r="Z240" s="432"/>
      <c r="AA240" s="432"/>
      <c r="AB240" s="432"/>
      <c r="AC240" s="432"/>
      <c r="AD240" s="432"/>
    </row>
    <row r="241">
      <c r="A241" s="432"/>
      <c r="B241" s="432"/>
      <c r="C241" s="432"/>
      <c r="D241" s="459"/>
      <c r="E241" s="459"/>
      <c r="F241" s="432"/>
      <c r="G241" s="432"/>
      <c r="H241" s="432"/>
      <c r="I241" s="432"/>
      <c r="J241" s="432"/>
      <c r="K241" s="432"/>
      <c r="L241" s="432"/>
      <c r="M241" s="432"/>
      <c r="N241" s="432"/>
      <c r="O241" s="459"/>
      <c r="P241" s="460"/>
      <c r="Q241" s="432"/>
      <c r="R241" s="432"/>
      <c r="S241" s="432"/>
      <c r="T241" s="432"/>
      <c r="U241" s="432"/>
      <c r="V241" s="432"/>
      <c r="W241" s="432"/>
      <c r="X241" s="432"/>
      <c r="Y241" s="432"/>
      <c r="Z241" s="432"/>
      <c r="AA241" s="432"/>
      <c r="AB241" s="432"/>
      <c r="AC241" s="432"/>
      <c r="AD241" s="432"/>
    </row>
    <row r="242">
      <c r="A242" s="432"/>
      <c r="B242" s="432"/>
      <c r="C242" s="432"/>
      <c r="D242" s="459"/>
      <c r="E242" s="459"/>
      <c r="F242" s="432"/>
      <c r="G242" s="432"/>
      <c r="H242" s="432"/>
      <c r="I242" s="432"/>
      <c r="J242" s="432"/>
      <c r="K242" s="432"/>
      <c r="L242" s="432"/>
      <c r="M242" s="432"/>
      <c r="N242" s="432"/>
      <c r="O242" s="459"/>
      <c r="P242" s="460"/>
      <c r="Q242" s="432"/>
      <c r="R242" s="432"/>
      <c r="S242" s="432"/>
      <c r="T242" s="432"/>
      <c r="U242" s="432"/>
      <c r="V242" s="432"/>
      <c r="W242" s="432"/>
      <c r="X242" s="432"/>
      <c r="Y242" s="432"/>
      <c r="Z242" s="432"/>
      <c r="AA242" s="432"/>
      <c r="AB242" s="432"/>
      <c r="AC242" s="432"/>
      <c r="AD242" s="432"/>
    </row>
    <row r="243">
      <c r="A243" s="432"/>
      <c r="B243" s="432"/>
      <c r="C243" s="432"/>
      <c r="D243" s="459"/>
      <c r="E243" s="459"/>
      <c r="F243" s="432"/>
      <c r="G243" s="432"/>
      <c r="H243" s="432"/>
      <c r="I243" s="432"/>
      <c r="J243" s="432"/>
      <c r="K243" s="432"/>
      <c r="L243" s="432"/>
      <c r="M243" s="432"/>
      <c r="N243" s="432"/>
      <c r="O243" s="459"/>
      <c r="P243" s="460"/>
      <c r="Q243" s="432"/>
      <c r="R243" s="432"/>
      <c r="S243" s="432"/>
      <c r="T243" s="432"/>
      <c r="U243" s="432"/>
      <c r="V243" s="432"/>
      <c r="W243" s="432"/>
      <c r="X243" s="432"/>
      <c r="Y243" s="432"/>
      <c r="Z243" s="432"/>
      <c r="AA243" s="432"/>
      <c r="AB243" s="432"/>
      <c r="AC243" s="432"/>
      <c r="AD243" s="432"/>
    </row>
    <row r="244">
      <c r="A244" s="432"/>
      <c r="B244" s="432"/>
      <c r="C244" s="432"/>
      <c r="D244" s="459"/>
      <c r="E244" s="459"/>
      <c r="F244" s="432"/>
      <c r="G244" s="432"/>
      <c r="H244" s="432"/>
      <c r="I244" s="432"/>
      <c r="J244" s="432"/>
      <c r="K244" s="432"/>
      <c r="L244" s="432"/>
      <c r="M244" s="432"/>
      <c r="N244" s="432"/>
      <c r="O244" s="459"/>
      <c r="P244" s="460"/>
      <c r="Q244" s="432"/>
      <c r="R244" s="432"/>
      <c r="S244" s="432"/>
      <c r="T244" s="432"/>
      <c r="U244" s="432"/>
      <c r="V244" s="432"/>
      <c r="W244" s="432"/>
      <c r="X244" s="432"/>
      <c r="Y244" s="432"/>
      <c r="Z244" s="432"/>
      <c r="AA244" s="432"/>
      <c r="AB244" s="432"/>
      <c r="AC244" s="432"/>
      <c r="AD244" s="432"/>
    </row>
    <row r="245">
      <c r="A245" s="432"/>
      <c r="B245" s="432"/>
      <c r="C245" s="432"/>
      <c r="D245" s="459"/>
      <c r="E245" s="459"/>
      <c r="F245" s="432"/>
      <c r="G245" s="432"/>
      <c r="H245" s="432"/>
      <c r="I245" s="432"/>
      <c r="J245" s="432"/>
      <c r="K245" s="432"/>
      <c r="L245" s="432"/>
      <c r="M245" s="432"/>
      <c r="N245" s="432"/>
      <c r="O245" s="459"/>
      <c r="P245" s="460"/>
      <c r="Q245" s="432"/>
      <c r="R245" s="432"/>
      <c r="S245" s="432"/>
      <c r="T245" s="432"/>
      <c r="U245" s="432"/>
      <c r="V245" s="432"/>
      <c r="W245" s="432"/>
      <c r="X245" s="432"/>
      <c r="Y245" s="432"/>
      <c r="Z245" s="432"/>
      <c r="AA245" s="432"/>
      <c r="AB245" s="432"/>
      <c r="AC245" s="432"/>
      <c r="AD245" s="432"/>
    </row>
    <row r="246">
      <c r="A246" s="432"/>
      <c r="B246" s="432"/>
      <c r="C246" s="432"/>
      <c r="D246" s="459"/>
      <c r="E246" s="459"/>
      <c r="F246" s="432"/>
      <c r="G246" s="432"/>
      <c r="H246" s="432"/>
      <c r="I246" s="432"/>
      <c r="J246" s="432"/>
      <c r="K246" s="432"/>
      <c r="L246" s="432"/>
      <c r="M246" s="432"/>
      <c r="N246" s="432"/>
      <c r="O246" s="459"/>
      <c r="P246" s="460"/>
      <c r="Q246" s="432"/>
      <c r="R246" s="432"/>
      <c r="S246" s="432"/>
      <c r="T246" s="432"/>
      <c r="U246" s="432"/>
      <c r="V246" s="432"/>
      <c r="W246" s="432"/>
      <c r="X246" s="432"/>
      <c r="Y246" s="432"/>
      <c r="Z246" s="432"/>
      <c r="AA246" s="432"/>
      <c r="AB246" s="432"/>
      <c r="AC246" s="432"/>
      <c r="AD246" s="432"/>
    </row>
    <row r="247">
      <c r="A247" s="432"/>
      <c r="B247" s="432"/>
      <c r="C247" s="432"/>
      <c r="D247" s="459"/>
      <c r="E247" s="459"/>
      <c r="F247" s="432"/>
      <c r="G247" s="432"/>
      <c r="H247" s="432"/>
      <c r="I247" s="432"/>
      <c r="J247" s="432"/>
      <c r="K247" s="432"/>
      <c r="L247" s="432"/>
      <c r="M247" s="432"/>
      <c r="N247" s="432"/>
      <c r="O247" s="459"/>
      <c r="P247" s="460"/>
      <c r="Q247" s="432"/>
      <c r="R247" s="432"/>
      <c r="S247" s="432"/>
      <c r="T247" s="432"/>
      <c r="U247" s="432"/>
      <c r="V247" s="432"/>
      <c r="W247" s="432"/>
      <c r="X247" s="432"/>
      <c r="Y247" s="432"/>
      <c r="Z247" s="432"/>
      <c r="AA247" s="432"/>
      <c r="AB247" s="432"/>
      <c r="AC247" s="432"/>
      <c r="AD247" s="432"/>
    </row>
    <row r="248">
      <c r="A248" s="432"/>
      <c r="B248" s="432"/>
      <c r="C248" s="432"/>
      <c r="D248" s="459"/>
      <c r="E248" s="459"/>
      <c r="F248" s="432"/>
      <c r="G248" s="432"/>
      <c r="H248" s="432"/>
      <c r="I248" s="432"/>
      <c r="J248" s="432"/>
      <c r="K248" s="432"/>
      <c r="L248" s="432"/>
      <c r="M248" s="432"/>
      <c r="N248" s="432"/>
      <c r="O248" s="459"/>
      <c r="P248" s="460"/>
      <c r="Q248" s="432"/>
      <c r="R248" s="432"/>
      <c r="S248" s="432"/>
      <c r="T248" s="432"/>
      <c r="U248" s="432"/>
      <c r="V248" s="432"/>
      <c r="W248" s="432"/>
      <c r="X248" s="432"/>
      <c r="Y248" s="432"/>
      <c r="Z248" s="432"/>
      <c r="AA248" s="432"/>
      <c r="AB248" s="432"/>
      <c r="AC248" s="432"/>
      <c r="AD248" s="432"/>
    </row>
    <row r="249">
      <c r="A249" s="432"/>
      <c r="B249" s="432"/>
      <c r="C249" s="432"/>
      <c r="D249" s="459"/>
      <c r="E249" s="459"/>
      <c r="F249" s="432"/>
      <c r="G249" s="432"/>
      <c r="H249" s="432"/>
      <c r="I249" s="432"/>
      <c r="J249" s="432"/>
      <c r="K249" s="432"/>
      <c r="L249" s="432"/>
      <c r="M249" s="432"/>
      <c r="N249" s="432"/>
      <c r="O249" s="459"/>
      <c r="P249" s="460"/>
      <c r="Q249" s="432"/>
      <c r="R249" s="432"/>
      <c r="S249" s="432"/>
      <c r="T249" s="432"/>
      <c r="U249" s="432"/>
      <c r="V249" s="432"/>
      <c r="W249" s="432"/>
      <c r="X249" s="432"/>
      <c r="Y249" s="432"/>
      <c r="Z249" s="432"/>
      <c r="AA249" s="432"/>
      <c r="AB249" s="432"/>
      <c r="AC249" s="432"/>
      <c r="AD249" s="432"/>
    </row>
    <row r="250">
      <c r="A250" s="432"/>
      <c r="B250" s="432"/>
      <c r="C250" s="432"/>
      <c r="D250" s="459"/>
      <c r="E250" s="459"/>
      <c r="F250" s="432"/>
      <c r="G250" s="432"/>
      <c r="H250" s="432"/>
      <c r="I250" s="432"/>
      <c r="J250" s="432"/>
      <c r="K250" s="432"/>
      <c r="L250" s="432"/>
      <c r="M250" s="432"/>
      <c r="N250" s="432"/>
      <c r="O250" s="459"/>
      <c r="P250" s="460"/>
      <c r="Q250" s="432"/>
      <c r="R250" s="432"/>
      <c r="S250" s="432"/>
      <c r="T250" s="432"/>
      <c r="U250" s="432"/>
      <c r="V250" s="432"/>
      <c r="W250" s="432"/>
      <c r="X250" s="432"/>
      <c r="Y250" s="432"/>
      <c r="Z250" s="432"/>
      <c r="AA250" s="432"/>
      <c r="AB250" s="432"/>
      <c r="AC250" s="432"/>
      <c r="AD250" s="432"/>
    </row>
    <row r="251">
      <c r="A251" s="432"/>
      <c r="B251" s="432"/>
      <c r="C251" s="432"/>
      <c r="D251" s="459"/>
      <c r="E251" s="459"/>
      <c r="F251" s="432"/>
      <c r="G251" s="432"/>
      <c r="H251" s="432"/>
      <c r="I251" s="432"/>
      <c r="J251" s="432"/>
      <c r="K251" s="432"/>
      <c r="L251" s="432"/>
      <c r="M251" s="432"/>
      <c r="N251" s="432"/>
      <c r="O251" s="459"/>
      <c r="P251" s="460"/>
      <c r="Q251" s="432"/>
      <c r="R251" s="432"/>
      <c r="S251" s="432"/>
      <c r="T251" s="432"/>
      <c r="U251" s="432"/>
      <c r="V251" s="432"/>
      <c r="W251" s="432"/>
      <c r="X251" s="432"/>
      <c r="Y251" s="432"/>
      <c r="Z251" s="432"/>
      <c r="AA251" s="432"/>
      <c r="AB251" s="432"/>
      <c r="AC251" s="432"/>
      <c r="AD251" s="432"/>
    </row>
    <row r="252">
      <c r="A252" s="432"/>
      <c r="B252" s="432"/>
      <c r="C252" s="432"/>
      <c r="D252" s="459"/>
      <c r="E252" s="459"/>
      <c r="F252" s="432"/>
      <c r="G252" s="432"/>
      <c r="H252" s="432"/>
      <c r="I252" s="432"/>
      <c r="J252" s="432"/>
      <c r="K252" s="432"/>
      <c r="L252" s="432"/>
      <c r="M252" s="432"/>
      <c r="N252" s="432"/>
      <c r="O252" s="459"/>
      <c r="P252" s="460"/>
      <c r="Q252" s="432"/>
      <c r="R252" s="432"/>
      <c r="S252" s="432"/>
      <c r="T252" s="432"/>
      <c r="U252" s="432"/>
      <c r="V252" s="432"/>
      <c r="W252" s="432"/>
      <c r="X252" s="432"/>
      <c r="Y252" s="432"/>
      <c r="Z252" s="432"/>
      <c r="AA252" s="432"/>
      <c r="AB252" s="432"/>
      <c r="AC252" s="432"/>
      <c r="AD252" s="432"/>
    </row>
    <row r="253">
      <c r="A253" s="432"/>
      <c r="B253" s="432"/>
      <c r="C253" s="432"/>
      <c r="D253" s="459"/>
      <c r="E253" s="459"/>
      <c r="F253" s="432"/>
      <c r="G253" s="432"/>
      <c r="H253" s="432"/>
      <c r="I253" s="432"/>
      <c r="J253" s="432"/>
      <c r="K253" s="432"/>
      <c r="L253" s="432"/>
      <c r="M253" s="432"/>
      <c r="N253" s="432"/>
      <c r="O253" s="459"/>
      <c r="P253" s="460"/>
      <c r="Q253" s="432"/>
      <c r="R253" s="432"/>
      <c r="S253" s="432"/>
      <c r="T253" s="432"/>
      <c r="U253" s="432"/>
      <c r="V253" s="432"/>
      <c r="W253" s="432"/>
      <c r="X253" s="432"/>
      <c r="Y253" s="432"/>
      <c r="Z253" s="432"/>
      <c r="AA253" s="432"/>
      <c r="AB253" s="432"/>
      <c r="AC253" s="432"/>
      <c r="AD253" s="432"/>
    </row>
    <row r="254">
      <c r="A254" s="432"/>
      <c r="B254" s="432"/>
      <c r="C254" s="432"/>
      <c r="D254" s="459"/>
      <c r="E254" s="459"/>
      <c r="F254" s="432"/>
      <c r="G254" s="432"/>
      <c r="H254" s="432"/>
      <c r="I254" s="432"/>
      <c r="J254" s="432"/>
      <c r="K254" s="432"/>
      <c r="L254" s="432"/>
      <c r="M254" s="432"/>
      <c r="N254" s="432"/>
      <c r="O254" s="459"/>
      <c r="P254" s="460"/>
      <c r="Q254" s="432"/>
      <c r="R254" s="432"/>
      <c r="S254" s="432"/>
      <c r="T254" s="432"/>
      <c r="U254" s="432"/>
      <c r="V254" s="432"/>
      <c r="W254" s="432"/>
      <c r="X254" s="432"/>
      <c r="Y254" s="432"/>
      <c r="Z254" s="432"/>
      <c r="AA254" s="432"/>
      <c r="AB254" s="432"/>
      <c r="AC254" s="432"/>
      <c r="AD254" s="432"/>
    </row>
    <row r="255">
      <c r="A255" s="432"/>
      <c r="B255" s="432"/>
      <c r="C255" s="432"/>
      <c r="D255" s="459"/>
      <c r="E255" s="459"/>
      <c r="F255" s="432"/>
      <c r="G255" s="432"/>
      <c r="H255" s="432"/>
      <c r="I255" s="432"/>
      <c r="J255" s="432"/>
      <c r="K255" s="432"/>
      <c r="L255" s="432"/>
      <c r="M255" s="432"/>
      <c r="N255" s="432"/>
      <c r="O255" s="459"/>
      <c r="P255" s="460"/>
      <c r="Q255" s="432"/>
      <c r="R255" s="432"/>
      <c r="S255" s="432"/>
      <c r="T255" s="432"/>
      <c r="U255" s="432"/>
      <c r="V255" s="432"/>
      <c r="W255" s="432"/>
      <c r="X255" s="432"/>
      <c r="Y255" s="432"/>
      <c r="Z255" s="432"/>
      <c r="AA255" s="432"/>
      <c r="AB255" s="432"/>
      <c r="AC255" s="432"/>
      <c r="AD255" s="432"/>
    </row>
    <row r="256">
      <c r="A256" s="432"/>
      <c r="B256" s="432"/>
      <c r="C256" s="432"/>
      <c r="D256" s="459"/>
      <c r="E256" s="459"/>
      <c r="F256" s="432"/>
      <c r="G256" s="432"/>
      <c r="H256" s="432"/>
      <c r="I256" s="432"/>
      <c r="J256" s="432"/>
      <c r="K256" s="432"/>
      <c r="L256" s="432"/>
      <c r="M256" s="432"/>
      <c r="N256" s="432"/>
      <c r="O256" s="459"/>
      <c r="P256" s="460"/>
      <c r="Q256" s="432"/>
      <c r="R256" s="432"/>
      <c r="S256" s="432"/>
      <c r="T256" s="432"/>
      <c r="U256" s="432"/>
      <c r="V256" s="432"/>
      <c r="W256" s="432"/>
      <c r="X256" s="432"/>
      <c r="Y256" s="432"/>
      <c r="Z256" s="432"/>
      <c r="AA256" s="432"/>
      <c r="AB256" s="432"/>
      <c r="AC256" s="432"/>
      <c r="AD256" s="432"/>
    </row>
    <row r="257">
      <c r="A257" s="432"/>
      <c r="B257" s="432"/>
      <c r="C257" s="432"/>
      <c r="D257" s="459"/>
      <c r="E257" s="459"/>
      <c r="F257" s="432"/>
      <c r="G257" s="432"/>
      <c r="H257" s="432"/>
      <c r="I257" s="432"/>
      <c r="J257" s="432"/>
      <c r="K257" s="432"/>
      <c r="L257" s="432"/>
      <c r="M257" s="432"/>
      <c r="N257" s="432"/>
      <c r="O257" s="459"/>
      <c r="P257" s="460"/>
      <c r="Q257" s="432"/>
      <c r="R257" s="432"/>
      <c r="S257" s="432"/>
      <c r="T257" s="432"/>
      <c r="U257" s="432"/>
      <c r="V257" s="432"/>
      <c r="W257" s="432"/>
      <c r="X257" s="432"/>
      <c r="Y257" s="432"/>
      <c r="Z257" s="432"/>
      <c r="AA257" s="432"/>
      <c r="AB257" s="432"/>
      <c r="AC257" s="432"/>
      <c r="AD257" s="432"/>
    </row>
    <row r="258">
      <c r="A258" s="432"/>
      <c r="B258" s="432"/>
      <c r="C258" s="432"/>
      <c r="D258" s="459"/>
      <c r="E258" s="459"/>
      <c r="F258" s="432"/>
      <c r="G258" s="432"/>
      <c r="H258" s="432"/>
      <c r="I258" s="432"/>
      <c r="J258" s="432"/>
      <c r="K258" s="432"/>
      <c r="L258" s="432"/>
      <c r="M258" s="432"/>
      <c r="N258" s="432"/>
      <c r="O258" s="459"/>
      <c r="P258" s="460"/>
      <c r="Q258" s="432"/>
      <c r="R258" s="432"/>
      <c r="S258" s="432"/>
      <c r="T258" s="432"/>
      <c r="U258" s="432"/>
      <c r="V258" s="432"/>
      <c r="W258" s="432"/>
      <c r="X258" s="432"/>
      <c r="Y258" s="432"/>
      <c r="Z258" s="432"/>
      <c r="AA258" s="432"/>
      <c r="AB258" s="432"/>
      <c r="AC258" s="432"/>
      <c r="AD258" s="432"/>
    </row>
    <row r="259">
      <c r="A259" s="432"/>
      <c r="B259" s="432"/>
      <c r="C259" s="432"/>
      <c r="D259" s="459"/>
      <c r="E259" s="459"/>
      <c r="F259" s="432"/>
      <c r="G259" s="432"/>
      <c r="H259" s="432"/>
      <c r="I259" s="432"/>
      <c r="J259" s="432"/>
      <c r="K259" s="432"/>
      <c r="L259" s="432"/>
      <c r="M259" s="432"/>
      <c r="N259" s="432"/>
      <c r="O259" s="459"/>
      <c r="P259" s="460"/>
      <c r="Q259" s="432"/>
      <c r="R259" s="432"/>
      <c r="S259" s="432"/>
      <c r="T259" s="432"/>
      <c r="U259" s="432"/>
      <c r="V259" s="432"/>
      <c r="W259" s="432"/>
      <c r="X259" s="432"/>
      <c r="Y259" s="432"/>
      <c r="Z259" s="432"/>
      <c r="AA259" s="432"/>
      <c r="AB259" s="432"/>
      <c r="AC259" s="432"/>
      <c r="AD259" s="432"/>
    </row>
    <row r="260">
      <c r="A260" s="432"/>
      <c r="B260" s="432"/>
      <c r="C260" s="432"/>
      <c r="D260" s="459"/>
      <c r="E260" s="459"/>
      <c r="F260" s="432"/>
      <c r="G260" s="432"/>
      <c r="H260" s="432"/>
      <c r="I260" s="432"/>
      <c r="J260" s="432"/>
      <c r="K260" s="432"/>
      <c r="L260" s="432"/>
      <c r="M260" s="432"/>
      <c r="N260" s="432"/>
      <c r="O260" s="459"/>
      <c r="P260" s="460"/>
      <c r="Q260" s="432"/>
      <c r="R260" s="432"/>
      <c r="S260" s="432"/>
      <c r="T260" s="432"/>
      <c r="U260" s="432"/>
      <c r="V260" s="432"/>
      <c r="W260" s="432"/>
      <c r="X260" s="432"/>
      <c r="Y260" s="432"/>
      <c r="Z260" s="432"/>
      <c r="AA260" s="432"/>
      <c r="AB260" s="432"/>
      <c r="AC260" s="432"/>
      <c r="AD260" s="432"/>
    </row>
    <row r="261">
      <c r="A261" s="432"/>
      <c r="B261" s="432"/>
      <c r="C261" s="432"/>
      <c r="D261" s="459"/>
      <c r="E261" s="459"/>
      <c r="F261" s="432"/>
      <c r="G261" s="432"/>
      <c r="H261" s="432"/>
      <c r="I261" s="432"/>
      <c r="J261" s="432"/>
      <c r="K261" s="432"/>
      <c r="L261" s="432"/>
      <c r="M261" s="432"/>
      <c r="N261" s="432"/>
      <c r="O261" s="459"/>
      <c r="P261" s="460"/>
      <c r="Q261" s="432"/>
      <c r="R261" s="432"/>
      <c r="S261" s="432"/>
      <c r="T261" s="432"/>
      <c r="U261" s="432"/>
      <c r="V261" s="432"/>
      <c r="W261" s="432"/>
      <c r="X261" s="432"/>
      <c r="Y261" s="432"/>
      <c r="Z261" s="432"/>
      <c r="AA261" s="432"/>
      <c r="AB261" s="432"/>
      <c r="AC261" s="432"/>
      <c r="AD261" s="432"/>
    </row>
    <row r="262">
      <c r="A262" s="432"/>
      <c r="B262" s="432"/>
      <c r="C262" s="432"/>
      <c r="D262" s="459"/>
      <c r="E262" s="459"/>
      <c r="F262" s="432"/>
      <c r="G262" s="432"/>
      <c r="H262" s="432"/>
      <c r="I262" s="432"/>
      <c r="J262" s="432"/>
      <c r="K262" s="432"/>
      <c r="L262" s="432"/>
      <c r="M262" s="432"/>
      <c r="N262" s="432"/>
      <c r="O262" s="459"/>
      <c r="P262" s="460"/>
      <c r="Q262" s="432"/>
      <c r="R262" s="432"/>
      <c r="S262" s="432"/>
      <c r="T262" s="432"/>
      <c r="U262" s="432"/>
      <c r="V262" s="432"/>
      <c r="W262" s="432"/>
      <c r="X262" s="432"/>
      <c r="Y262" s="432"/>
      <c r="Z262" s="432"/>
      <c r="AA262" s="432"/>
      <c r="AB262" s="432"/>
      <c r="AC262" s="432"/>
      <c r="AD262" s="432"/>
    </row>
    <row r="263">
      <c r="A263" s="432"/>
      <c r="B263" s="432"/>
      <c r="C263" s="432"/>
      <c r="D263" s="459"/>
      <c r="E263" s="459"/>
      <c r="F263" s="432"/>
      <c r="G263" s="432"/>
      <c r="H263" s="432"/>
      <c r="I263" s="432"/>
      <c r="J263" s="432"/>
      <c r="K263" s="432"/>
      <c r="L263" s="432"/>
      <c r="M263" s="432"/>
      <c r="N263" s="432"/>
      <c r="O263" s="459"/>
      <c r="P263" s="460"/>
      <c r="Q263" s="432"/>
      <c r="R263" s="432"/>
      <c r="S263" s="432"/>
      <c r="T263" s="432"/>
      <c r="U263" s="432"/>
      <c r="V263" s="432"/>
      <c r="W263" s="432"/>
      <c r="X263" s="432"/>
      <c r="Y263" s="432"/>
      <c r="Z263" s="432"/>
      <c r="AA263" s="432"/>
      <c r="AB263" s="432"/>
      <c r="AC263" s="432"/>
      <c r="AD263" s="432"/>
    </row>
    <row r="264">
      <c r="A264" s="432"/>
      <c r="B264" s="432"/>
      <c r="C264" s="432"/>
      <c r="D264" s="459"/>
      <c r="E264" s="459"/>
      <c r="F264" s="432"/>
      <c r="G264" s="432"/>
      <c r="H264" s="432"/>
      <c r="I264" s="432"/>
      <c r="J264" s="432"/>
      <c r="K264" s="432"/>
      <c r="L264" s="432"/>
      <c r="M264" s="432"/>
      <c r="N264" s="432"/>
      <c r="O264" s="459"/>
      <c r="P264" s="460"/>
      <c r="Q264" s="432"/>
      <c r="R264" s="432"/>
      <c r="S264" s="432"/>
      <c r="T264" s="432"/>
      <c r="U264" s="432"/>
      <c r="V264" s="432"/>
      <c r="W264" s="432"/>
      <c r="X264" s="432"/>
      <c r="Y264" s="432"/>
      <c r="Z264" s="432"/>
      <c r="AA264" s="432"/>
      <c r="AB264" s="432"/>
      <c r="AC264" s="432"/>
      <c r="AD264" s="432"/>
    </row>
    <row r="265">
      <c r="A265" s="432"/>
      <c r="B265" s="432"/>
      <c r="C265" s="432"/>
      <c r="D265" s="459"/>
      <c r="E265" s="459"/>
      <c r="F265" s="432"/>
      <c r="G265" s="432"/>
      <c r="H265" s="432"/>
      <c r="I265" s="432"/>
      <c r="J265" s="432"/>
      <c r="K265" s="432"/>
      <c r="L265" s="432"/>
      <c r="M265" s="432"/>
      <c r="N265" s="432"/>
      <c r="O265" s="459"/>
      <c r="P265" s="460"/>
      <c r="Q265" s="432"/>
      <c r="R265" s="432"/>
      <c r="S265" s="432"/>
      <c r="T265" s="432"/>
      <c r="U265" s="432"/>
      <c r="V265" s="432"/>
      <c r="W265" s="432"/>
      <c r="X265" s="432"/>
      <c r="Y265" s="432"/>
      <c r="Z265" s="432"/>
      <c r="AA265" s="432"/>
      <c r="AB265" s="432"/>
      <c r="AC265" s="432"/>
      <c r="AD265" s="432"/>
    </row>
    <row r="266">
      <c r="A266" s="432"/>
      <c r="B266" s="432"/>
      <c r="C266" s="432"/>
      <c r="D266" s="459"/>
      <c r="E266" s="459"/>
      <c r="F266" s="432"/>
      <c r="G266" s="432"/>
      <c r="H266" s="432"/>
      <c r="I266" s="432"/>
      <c r="J266" s="432"/>
      <c r="K266" s="432"/>
      <c r="L266" s="432"/>
      <c r="M266" s="432"/>
      <c r="N266" s="432"/>
      <c r="O266" s="459"/>
      <c r="P266" s="460"/>
      <c r="Q266" s="432"/>
      <c r="R266" s="432"/>
      <c r="S266" s="432"/>
      <c r="T266" s="432"/>
      <c r="U266" s="432"/>
      <c r="V266" s="432"/>
      <c r="W266" s="432"/>
      <c r="X266" s="432"/>
      <c r="Y266" s="432"/>
      <c r="Z266" s="432"/>
      <c r="AA266" s="432"/>
      <c r="AB266" s="432"/>
      <c r="AC266" s="432"/>
      <c r="AD266" s="432"/>
    </row>
    <row r="267">
      <c r="A267" s="432"/>
      <c r="B267" s="432"/>
      <c r="C267" s="432"/>
      <c r="D267" s="459"/>
      <c r="E267" s="459"/>
      <c r="F267" s="432"/>
      <c r="G267" s="432"/>
      <c r="H267" s="432"/>
      <c r="I267" s="432"/>
      <c r="J267" s="432"/>
      <c r="K267" s="432"/>
      <c r="L267" s="432"/>
      <c r="M267" s="432"/>
      <c r="N267" s="432"/>
      <c r="O267" s="459"/>
      <c r="P267" s="460"/>
      <c r="Q267" s="432"/>
      <c r="R267" s="432"/>
      <c r="S267" s="432"/>
      <c r="T267" s="432"/>
      <c r="U267" s="432"/>
      <c r="V267" s="432"/>
      <c r="W267" s="432"/>
      <c r="X267" s="432"/>
      <c r="Y267" s="432"/>
      <c r="Z267" s="432"/>
      <c r="AA267" s="432"/>
      <c r="AB267" s="432"/>
      <c r="AC267" s="432"/>
      <c r="AD267" s="432"/>
    </row>
    <row r="268">
      <c r="A268" s="432"/>
      <c r="B268" s="432"/>
      <c r="C268" s="432"/>
      <c r="D268" s="459"/>
      <c r="E268" s="459"/>
      <c r="F268" s="432"/>
      <c r="G268" s="432"/>
      <c r="H268" s="432"/>
      <c r="I268" s="432"/>
      <c r="J268" s="432"/>
      <c r="K268" s="432"/>
      <c r="L268" s="432"/>
      <c r="M268" s="432"/>
      <c r="N268" s="432"/>
      <c r="O268" s="459"/>
      <c r="P268" s="460"/>
      <c r="Q268" s="432"/>
      <c r="R268" s="432"/>
      <c r="S268" s="432"/>
      <c r="T268" s="432"/>
      <c r="U268" s="432"/>
      <c r="V268" s="432"/>
      <c r="W268" s="432"/>
      <c r="X268" s="432"/>
      <c r="Y268" s="432"/>
      <c r="Z268" s="432"/>
      <c r="AA268" s="432"/>
      <c r="AB268" s="432"/>
      <c r="AC268" s="432"/>
      <c r="AD268" s="432"/>
    </row>
    <row r="269">
      <c r="A269" s="432"/>
      <c r="B269" s="432"/>
      <c r="C269" s="432"/>
      <c r="D269" s="459"/>
      <c r="E269" s="459"/>
      <c r="F269" s="432"/>
      <c r="G269" s="432"/>
      <c r="H269" s="432"/>
      <c r="I269" s="432"/>
      <c r="J269" s="432"/>
      <c r="K269" s="432"/>
      <c r="L269" s="432"/>
      <c r="M269" s="432"/>
      <c r="N269" s="432"/>
      <c r="O269" s="459"/>
      <c r="P269" s="460"/>
      <c r="Q269" s="432"/>
      <c r="R269" s="432"/>
      <c r="S269" s="432"/>
      <c r="T269" s="432"/>
      <c r="U269" s="432"/>
      <c r="V269" s="432"/>
      <c r="W269" s="432"/>
      <c r="X269" s="432"/>
      <c r="Y269" s="432"/>
      <c r="Z269" s="432"/>
      <c r="AA269" s="432"/>
      <c r="AB269" s="432"/>
      <c r="AC269" s="432"/>
      <c r="AD269" s="432"/>
    </row>
    <row r="270">
      <c r="A270" s="432"/>
      <c r="B270" s="432"/>
      <c r="C270" s="432"/>
      <c r="D270" s="459"/>
      <c r="E270" s="459"/>
      <c r="F270" s="432"/>
      <c r="G270" s="432"/>
      <c r="H270" s="432"/>
      <c r="I270" s="432"/>
      <c r="J270" s="432"/>
      <c r="K270" s="432"/>
      <c r="L270" s="432"/>
      <c r="M270" s="432"/>
      <c r="N270" s="432"/>
      <c r="O270" s="459"/>
      <c r="P270" s="460"/>
      <c r="Q270" s="432"/>
      <c r="R270" s="432"/>
      <c r="S270" s="432"/>
      <c r="T270" s="432"/>
      <c r="U270" s="432"/>
      <c r="V270" s="432"/>
      <c r="W270" s="432"/>
      <c r="X270" s="432"/>
      <c r="Y270" s="432"/>
      <c r="Z270" s="432"/>
      <c r="AA270" s="432"/>
      <c r="AB270" s="432"/>
      <c r="AC270" s="432"/>
      <c r="AD270" s="432"/>
    </row>
    <row r="271">
      <c r="A271" s="432"/>
      <c r="B271" s="432"/>
      <c r="C271" s="432"/>
      <c r="D271" s="459"/>
      <c r="E271" s="459"/>
      <c r="F271" s="432"/>
      <c r="G271" s="432"/>
      <c r="H271" s="432"/>
      <c r="I271" s="432"/>
      <c r="J271" s="432"/>
      <c r="K271" s="432"/>
      <c r="L271" s="432"/>
      <c r="M271" s="432"/>
      <c r="N271" s="432"/>
      <c r="O271" s="459"/>
      <c r="P271" s="460"/>
      <c r="Q271" s="432"/>
      <c r="R271" s="432"/>
      <c r="S271" s="432"/>
      <c r="T271" s="432"/>
      <c r="U271" s="432"/>
      <c r="V271" s="432"/>
      <c r="W271" s="432"/>
      <c r="X271" s="432"/>
      <c r="Y271" s="432"/>
      <c r="Z271" s="432"/>
      <c r="AA271" s="432"/>
      <c r="AB271" s="432"/>
      <c r="AC271" s="432"/>
      <c r="AD271" s="432"/>
    </row>
    <row r="272">
      <c r="A272" s="432"/>
      <c r="B272" s="432"/>
      <c r="C272" s="432"/>
      <c r="D272" s="459"/>
      <c r="E272" s="459"/>
      <c r="F272" s="432"/>
      <c r="G272" s="432"/>
      <c r="H272" s="432"/>
      <c r="I272" s="432"/>
      <c r="J272" s="432"/>
      <c r="K272" s="432"/>
      <c r="L272" s="432"/>
      <c r="M272" s="432"/>
      <c r="N272" s="432"/>
      <c r="O272" s="459"/>
      <c r="P272" s="460"/>
      <c r="Q272" s="432"/>
      <c r="R272" s="432"/>
      <c r="S272" s="432"/>
      <c r="T272" s="432"/>
      <c r="U272" s="432"/>
      <c r="V272" s="432"/>
      <c r="W272" s="432"/>
      <c r="X272" s="432"/>
      <c r="Y272" s="432"/>
      <c r="Z272" s="432"/>
      <c r="AA272" s="432"/>
      <c r="AB272" s="432"/>
      <c r="AC272" s="432"/>
      <c r="AD272" s="432"/>
    </row>
    <row r="273">
      <c r="A273" s="432"/>
      <c r="B273" s="432"/>
      <c r="C273" s="432"/>
      <c r="D273" s="459"/>
      <c r="E273" s="459"/>
      <c r="F273" s="432"/>
      <c r="G273" s="432"/>
      <c r="H273" s="432"/>
      <c r="I273" s="432"/>
      <c r="J273" s="432"/>
      <c r="K273" s="432"/>
      <c r="L273" s="432"/>
      <c r="M273" s="432"/>
      <c r="N273" s="432"/>
      <c r="O273" s="459"/>
      <c r="P273" s="460"/>
      <c r="Q273" s="432"/>
      <c r="R273" s="432"/>
      <c r="S273" s="432"/>
      <c r="T273" s="432"/>
      <c r="U273" s="432"/>
      <c r="V273" s="432"/>
      <c r="W273" s="432"/>
      <c r="X273" s="432"/>
      <c r="Y273" s="432"/>
      <c r="Z273" s="432"/>
      <c r="AA273" s="432"/>
      <c r="AB273" s="432"/>
      <c r="AC273" s="432"/>
      <c r="AD273" s="432"/>
    </row>
    <row r="274">
      <c r="A274" s="432"/>
      <c r="B274" s="432"/>
      <c r="C274" s="432"/>
      <c r="D274" s="459"/>
      <c r="E274" s="459"/>
      <c r="F274" s="432"/>
      <c r="G274" s="432"/>
      <c r="H274" s="432"/>
      <c r="I274" s="432"/>
      <c r="J274" s="432"/>
      <c r="K274" s="432"/>
      <c r="L274" s="432"/>
      <c r="M274" s="432"/>
      <c r="N274" s="432"/>
      <c r="O274" s="459"/>
      <c r="P274" s="460"/>
      <c r="Q274" s="432"/>
      <c r="R274" s="432"/>
      <c r="S274" s="432"/>
      <c r="T274" s="432"/>
      <c r="U274" s="432"/>
      <c r="V274" s="432"/>
      <c r="W274" s="432"/>
      <c r="X274" s="432"/>
      <c r="Y274" s="432"/>
      <c r="Z274" s="432"/>
      <c r="AA274" s="432"/>
      <c r="AB274" s="432"/>
      <c r="AC274" s="432"/>
      <c r="AD274" s="432"/>
    </row>
    <row r="275">
      <c r="A275" s="432"/>
      <c r="B275" s="432"/>
      <c r="C275" s="432"/>
      <c r="D275" s="459"/>
      <c r="E275" s="459"/>
      <c r="F275" s="432"/>
      <c r="G275" s="432"/>
      <c r="H275" s="432"/>
      <c r="I275" s="432"/>
      <c r="J275" s="432"/>
      <c r="K275" s="432"/>
      <c r="L275" s="432"/>
      <c r="M275" s="432"/>
      <c r="N275" s="432"/>
      <c r="O275" s="459"/>
      <c r="P275" s="460"/>
      <c r="Q275" s="432"/>
      <c r="R275" s="432"/>
      <c r="S275" s="432"/>
      <c r="T275" s="432"/>
      <c r="U275" s="432"/>
      <c r="V275" s="432"/>
      <c r="W275" s="432"/>
      <c r="X275" s="432"/>
      <c r="Y275" s="432"/>
      <c r="Z275" s="432"/>
      <c r="AA275" s="432"/>
      <c r="AB275" s="432"/>
      <c r="AC275" s="432"/>
      <c r="AD275" s="432"/>
    </row>
    <row r="276">
      <c r="A276" s="432"/>
      <c r="B276" s="432"/>
      <c r="C276" s="432"/>
      <c r="D276" s="459"/>
      <c r="E276" s="459"/>
      <c r="F276" s="432"/>
      <c r="G276" s="432"/>
      <c r="H276" s="432"/>
      <c r="I276" s="432"/>
      <c r="J276" s="432"/>
      <c r="K276" s="432"/>
      <c r="L276" s="432"/>
      <c r="M276" s="432"/>
      <c r="N276" s="432"/>
      <c r="O276" s="459"/>
      <c r="P276" s="460"/>
      <c r="Q276" s="432"/>
      <c r="R276" s="432"/>
      <c r="S276" s="432"/>
      <c r="T276" s="432"/>
      <c r="U276" s="432"/>
      <c r="V276" s="432"/>
      <c r="W276" s="432"/>
      <c r="X276" s="432"/>
      <c r="Y276" s="432"/>
      <c r="Z276" s="432"/>
      <c r="AA276" s="432"/>
      <c r="AB276" s="432"/>
      <c r="AC276" s="432"/>
      <c r="AD276" s="432"/>
    </row>
    <row r="277">
      <c r="A277" s="432"/>
      <c r="B277" s="432"/>
      <c r="C277" s="432"/>
      <c r="D277" s="459"/>
      <c r="E277" s="459"/>
      <c r="F277" s="432"/>
      <c r="G277" s="432"/>
      <c r="H277" s="432"/>
      <c r="I277" s="432"/>
      <c r="J277" s="432"/>
      <c r="K277" s="432"/>
      <c r="L277" s="432"/>
      <c r="M277" s="432"/>
      <c r="N277" s="432"/>
      <c r="O277" s="459"/>
      <c r="P277" s="460"/>
      <c r="Q277" s="432"/>
      <c r="R277" s="432"/>
      <c r="S277" s="432"/>
      <c r="T277" s="432"/>
      <c r="U277" s="432"/>
      <c r="V277" s="432"/>
      <c r="W277" s="432"/>
      <c r="X277" s="432"/>
      <c r="Y277" s="432"/>
      <c r="Z277" s="432"/>
      <c r="AA277" s="432"/>
      <c r="AB277" s="432"/>
      <c r="AC277" s="432"/>
      <c r="AD277" s="432"/>
    </row>
    <row r="278">
      <c r="A278" s="432"/>
      <c r="B278" s="432"/>
      <c r="C278" s="432"/>
      <c r="D278" s="459"/>
      <c r="E278" s="459"/>
      <c r="F278" s="432"/>
      <c r="G278" s="432"/>
      <c r="H278" s="432"/>
      <c r="I278" s="432"/>
      <c r="J278" s="432"/>
      <c r="K278" s="432"/>
      <c r="L278" s="432"/>
      <c r="M278" s="432"/>
      <c r="N278" s="432"/>
      <c r="O278" s="459"/>
      <c r="P278" s="460"/>
      <c r="Q278" s="432"/>
      <c r="R278" s="432"/>
      <c r="S278" s="432"/>
      <c r="T278" s="432"/>
      <c r="U278" s="432"/>
      <c r="V278" s="432"/>
      <c r="W278" s="432"/>
      <c r="X278" s="432"/>
      <c r="Y278" s="432"/>
      <c r="Z278" s="432"/>
      <c r="AA278" s="432"/>
      <c r="AB278" s="432"/>
      <c r="AC278" s="432"/>
      <c r="AD278" s="432"/>
    </row>
    <row r="279">
      <c r="A279" s="432"/>
      <c r="B279" s="432"/>
      <c r="C279" s="432"/>
      <c r="D279" s="459"/>
      <c r="E279" s="459"/>
      <c r="F279" s="432"/>
      <c r="G279" s="432"/>
      <c r="H279" s="432"/>
      <c r="I279" s="432"/>
      <c r="J279" s="432"/>
      <c r="K279" s="432"/>
      <c r="L279" s="432"/>
      <c r="M279" s="432"/>
      <c r="N279" s="432"/>
      <c r="O279" s="459"/>
      <c r="P279" s="460"/>
      <c r="Q279" s="432"/>
      <c r="R279" s="432"/>
      <c r="S279" s="432"/>
      <c r="T279" s="432"/>
      <c r="U279" s="432"/>
      <c r="V279" s="432"/>
      <c r="W279" s="432"/>
      <c r="X279" s="432"/>
      <c r="Y279" s="432"/>
      <c r="Z279" s="432"/>
      <c r="AA279" s="432"/>
      <c r="AB279" s="432"/>
      <c r="AC279" s="432"/>
      <c r="AD279" s="432"/>
    </row>
    <row r="280">
      <c r="A280" s="432"/>
      <c r="B280" s="432"/>
      <c r="C280" s="432"/>
      <c r="D280" s="459"/>
      <c r="E280" s="459"/>
      <c r="F280" s="432"/>
      <c r="G280" s="432"/>
      <c r="H280" s="432"/>
      <c r="I280" s="432"/>
      <c r="J280" s="432"/>
      <c r="K280" s="432"/>
      <c r="L280" s="432"/>
      <c r="M280" s="432"/>
      <c r="N280" s="432"/>
      <c r="O280" s="459"/>
      <c r="P280" s="460"/>
      <c r="Q280" s="432"/>
      <c r="R280" s="432"/>
      <c r="S280" s="432"/>
      <c r="T280" s="432"/>
      <c r="U280" s="432"/>
      <c r="V280" s="432"/>
      <c r="W280" s="432"/>
      <c r="X280" s="432"/>
      <c r="Y280" s="432"/>
      <c r="Z280" s="432"/>
      <c r="AA280" s="432"/>
      <c r="AB280" s="432"/>
      <c r="AC280" s="432"/>
      <c r="AD280" s="432"/>
    </row>
    <row r="281">
      <c r="A281" s="432"/>
      <c r="B281" s="432"/>
      <c r="C281" s="432"/>
      <c r="D281" s="459"/>
      <c r="E281" s="459"/>
      <c r="F281" s="432"/>
      <c r="G281" s="432"/>
      <c r="H281" s="432"/>
      <c r="I281" s="432"/>
      <c r="J281" s="432"/>
      <c r="K281" s="432"/>
      <c r="L281" s="432"/>
      <c r="M281" s="432"/>
      <c r="N281" s="432"/>
      <c r="O281" s="459"/>
      <c r="P281" s="460"/>
      <c r="Q281" s="432"/>
      <c r="R281" s="432"/>
      <c r="S281" s="432"/>
      <c r="T281" s="432"/>
      <c r="U281" s="432"/>
      <c r="V281" s="432"/>
      <c r="W281" s="432"/>
      <c r="X281" s="432"/>
      <c r="Y281" s="432"/>
      <c r="Z281" s="432"/>
      <c r="AA281" s="432"/>
      <c r="AB281" s="432"/>
      <c r="AC281" s="432"/>
      <c r="AD281" s="432"/>
    </row>
    <row r="282">
      <c r="A282" s="432"/>
      <c r="B282" s="432"/>
      <c r="C282" s="432"/>
      <c r="D282" s="459"/>
      <c r="E282" s="459"/>
      <c r="F282" s="432"/>
      <c r="G282" s="432"/>
      <c r="H282" s="432"/>
      <c r="I282" s="432"/>
      <c r="J282" s="432"/>
      <c r="K282" s="432"/>
      <c r="L282" s="432"/>
      <c r="M282" s="432"/>
      <c r="N282" s="432"/>
      <c r="O282" s="459"/>
      <c r="P282" s="460"/>
      <c r="Q282" s="432"/>
      <c r="R282" s="432"/>
      <c r="S282" s="432"/>
      <c r="T282" s="432"/>
      <c r="U282" s="432"/>
      <c r="V282" s="432"/>
      <c r="W282" s="432"/>
      <c r="X282" s="432"/>
      <c r="Y282" s="432"/>
      <c r="Z282" s="432"/>
      <c r="AA282" s="432"/>
      <c r="AB282" s="432"/>
      <c r="AC282" s="432"/>
      <c r="AD282" s="432"/>
    </row>
    <row r="283">
      <c r="A283" s="432"/>
      <c r="B283" s="432"/>
      <c r="C283" s="432"/>
      <c r="D283" s="459"/>
      <c r="E283" s="459"/>
      <c r="F283" s="432"/>
      <c r="G283" s="432"/>
      <c r="H283" s="432"/>
      <c r="I283" s="432"/>
      <c r="J283" s="432"/>
      <c r="K283" s="432"/>
      <c r="L283" s="432"/>
      <c r="M283" s="432"/>
      <c r="N283" s="432"/>
      <c r="O283" s="459"/>
      <c r="P283" s="460"/>
      <c r="Q283" s="432"/>
      <c r="R283" s="432"/>
      <c r="S283" s="432"/>
      <c r="T283" s="432"/>
      <c r="U283" s="432"/>
      <c r="V283" s="432"/>
      <c r="W283" s="432"/>
      <c r="X283" s="432"/>
      <c r="Y283" s="432"/>
      <c r="Z283" s="432"/>
      <c r="AA283" s="432"/>
      <c r="AB283" s="432"/>
      <c r="AC283" s="432"/>
      <c r="AD283" s="432"/>
    </row>
    <row r="284">
      <c r="A284" s="432"/>
      <c r="B284" s="432"/>
      <c r="C284" s="432"/>
      <c r="D284" s="459"/>
      <c r="E284" s="459"/>
      <c r="F284" s="432"/>
      <c r="G284" s="432"/>
      <c r="H284" s="432"/>
      <c r="I284" s="432"/>
      <c r="J284" s="432"/>
      <c r="K284" s="432"/>
      <c r="L284" s="432"/>
      <c r="M284" s="432"/>
      <c r="N284" s="432"/>
      <c r="O284" s="459"/>
      <c r="P284" s="460"/>
      <c r="Q284" s="432"/>
      <c r="R284" s="432"/>
      <c r="S284" s="432"/>
      <c r="T284" s="432"/>
      <c r="U284" s="432"/>
      <c r="V284" s="432"/>
      <c r="W284" s="432"/>
      <c r="X284" s="432"/>
      <c r="Y284" s="432"/>
      <c r="Z284" s="432"/>
      <c r="AA284" s="432"/>
      <c r="AB284" s="432"/>
      <c r="AC284" s="432"/>
      <c r="AD284" s="432"/>
    </row>
    <row r="285">
      <c r="A285" s="432"/>
      <c r="B285" s="432"/>
      <c r="C285" s="432"/>
      <c r="D285" s="459"/>
      <c r="E285" s="459"/>
      <c r="F285" s="432"/>
      <c r="G285" s="432"/>
      <c r="H285" s="432"/>
      <c r="I285" s="432"/>
      <c r="J285" s="432"/>
      <c r="K285" s="432"/>
      <c r="L285" s="432"/>
      <c r="M285" s="432"/>
      <c r="N285" s="432"/>
      <c r="O285" s="459"/>
      <c r="P285" s="460"/>
      <c r="Q285" s="432"/>
      <c r="R285" s="432"/>
      <c r="S285" s="432"/>
      <c r="T285" s="432"/>
      <c r="U285" s="432"/>
      <c r="V285" s="432"/>
      <c r="W285" s="432"/>
      <c r="X285" s="432"/>
      <c r="Y285" s="432"/>
      <c r="Z285" s="432"/>
      <c r="AA285" s="432"/>
      <c r="AB285" s="432"/>
      <c r="AC285" s="432"/>
      <c r="AD285" s="432"/>
    </row>
    <row r="286">
      <c r="A286" s="432"/>
      <c r="B286" s="432"/>
      <c r="C286" s="432"/>
      <c r="D286" s="459"/>
      <c r="E286" s="459"/>
      <c r="F286" s="432"/>
      <c r="G286" s="432"/>
      <c r="H286" s="432"/>
      <c r="I286" s="432"/>
      <c r="J286" s="432"/>
      <c r="K286" s="432"/>
      <c r="L286" s="432"/>
      <c r="M286" s="432"/>
      <c r="N286" s="432"/>
      <c r="O286" s="459"/>
      <c r="P286" s="460"/>
      <c r="Q286" s="432"/>
      <c r="R286" s="432"/>
      <c r="S286" s="432"/>
      <c r="T286" s="432"/>
      <c r="U286" s="432"/>
      <c r="V286" s="432"/>
      <c r="W286" s="432"/>
      <c r="X286" s="432"/>
      <c r="Y286" s="432"/>
      <c r="Z286" s="432"/>
      <c r="AA286" s="432"/>
      <c r="AB286" s="432"/>
      <c r="AC286" s="432"/>
      <c r="AD286" s="432"/>
    </row>
    <row r="287">
      <c r="A287" s="432"/>
      <c r="B287" s="432"/>
      <c r="C287" s="432"/>
      <c r="D287" s="459"/>
      <c r="E287" s="459"/>
      <c r="F287" s="432"/>
      <c r="G287" s="432"/>
      <c r="H287" s="432"/>
      <c r="I287" s="432"/>
      <c r="J287" s="432"/>
      <c r="K287" s="432"/>
      <c r="L287" s="432"/>
      <c r="M287" s="432"/>
      <c r="N287" s="432"/>
      <c r="O287" s="459"/>
      <c r="P287" s="460"/>
      <c r="Q287" s="432"/>
      <c r="R287" s="432"/>
      <c r="S287" s="432"/>
      <c r="T287" s="432"/>
      <c r="U287" s="432"/>
      <c r="V287" s="432"/>
      <c r="W287" s="432"/>
      <c r="X287" s="432"/>
      <c r="Y287" s="432"/>
      <c r="Z287" s="432"/>
      <c r="AA287" s="432"/>
      <c r="AB287" s="432"/>
      <c r="AC287" s="432"/>
      <c r="AD287" s="432"/>
    </row>
    <row r="288">
      <c r="A288" s="432"/>
      <c r="B288" s="432"/>
      <c r="C288" s="432"/>
      <c r="D288" s="459"/>
      <c r="E288" s="459"/>
      <c r="F288" s="432"/>
      <c r="G288" s="432"/>
      <c r="H288" s="432"/>
      <c r="I288" s="432"/>
      <c r="J288" s="432"/>
      <c r="K288" s="432"/>
      <c r="L288" s="432"/>
      <c r="M288" s="432"/>
      <c r="N288" s="432"/>
      <c r="O288" s="459"/>
      <c r="P288" s="460"/>
      <c r="Q288" s="432"/>
      <c r="R288" s="432"/>
      <c r="S288" s="432"/>
      <c r="T288" s="432"/>
      <c r="U288" s="432"/>
      <c r="V288" s="432"/>
      <c r="W288" s="432"/>
      <c r="X288" s="432"/>
      <c r="Y288" s="432"/>
      <c r="Z288" s="432"/>
      <c r="AA288" s="432"/>
      <c r="AB288" s="432"/>
      <c r="AC288" s="432"/>
      <c r="AD288" s="432"/>
    </row>
    <row r="289">
      <c r="A289" s="432"/>
      <c r="B289" s="432"/>
      <c r="C289" s="432"/>
      <c r="D289" s="459"/>
      <c r="E289" s="459"/>
      <c r="F289" s="432"/>
      <c r="G289" s="432"/>
      <c r="H289" s="432"/>
      <c r="I289" s="432"/>
      <c r="J289" s="432"/>
      <c r="K289" s="432"/>
      <c r="L289" s="432"/>
      <c r="M289" s="432"/>
      <c r="N289" s="432"/>
      <c r="O289" s="459"/>
      <c r="P289" s="460"/>
      <c r="Q289" s="432"/>
      <c r="R289" s="432"/>
      <c r="S289" s="432"/>
      <c r="T289" s="432"/>
      <c r="U289" s="432"/>
      <c r="V289" s="432"/>
      <c r="W289" s="432"/>
      <c r="X289" s="432"/>
      <c r="Y289" s="432"/>
      <c r="Z289" s="432"/>
      <c r="AA289" s="432"/>
      <c r="AB289" s="432"/>
      <c r="AC289" s="432"/>
      <c r="AD289" s="432"/>
    </row>
    <row r="290">
      <c r="A290" s="432"/>
      <c r="B290" s="432"/>
      <c r="C290" s="432"/>
      <c r="D290" s="459"/>
      <c r="E290" s="459"/>
      <c r="F290" s="432"/>
      <c r="G290" s="432"/>
      <c r="H290" s="432"/>
      <c r="I290" s="432"/>
      <c r="J290" s="432"/>
      <c r="K290" s="432"/>
      <c r="L290" s="432"/>
      <c r="M290" s="432"/>
      <c r="N290" s="432"/>
      <c r="O290" s="459"/>
      <c r="P290" s="460"/>
      <c r="Q290" s="432"/>
      <c r="R290" s="432"/>
      <c r="S290" s="432"/>
      <c r="T290" s="432"/>
      <c r="U290" s="432"/>
      <c r="V290" s="432"/>
      <c r="W290" s="432"/>
      <c r="X290" s="432"/>
      <c r="Y290" s="432"/>
      <c r="Z290" s="432"/>
      <c r="AA290" s="432"/>
      <c r="AB290" s="432"/>
      <c r="AC290" s="432"/>
      <c r="AD290" s="432"/>
    </row>
    <row r="291">
      <c r="A291" s="432"/>
      <c r="B291" s="432"/>
      <c r="C291" s="432"/>
      <c r="D291" s="459"/>
      <c r="E291" s="459"/>
      <c r="F291" s="432"/>
      <c r="G291" s="432"/>
      <c r="H291" s="432"/>
      <c r="I291" s="432"/>
      <c r="J291" s="432"/>
      <c r="K291" s="432"/>
      <c r="L291" s="432"/>
      <c r="M291" s="432"/>
      <c r="N291" s="432"/>
      <c r="O291" s="459"/>
      <c r="P291" s="460"/>
      <c r="Q291" s="432"/>
      <c r="R291" s="432"/>
      <c r="S291" s="432"/>
      <c r="T291" s="432"/>
      <c r="U291" s="432"/>
      <c r="V291" s="432"/>
      <c r="W291" s="432"/>
      <c r="X291" s="432"/>
      <c r="Y291" s="432"/>
      <c r="Z291" s="432"/>
      <c r="AA291" s="432"/>
      <c r="AB291" s="432"/>
      <c r="AC291" s="432"/>
      <c r="AD291" s="432"/>
    </row>
    <row r="292">
      <c r="A292" s="432"/>
      <c r="B292" s="432"/>
      <c r="C292" s="432"/>
      <c r="D292" s="459"/>
      <c r="E292" s="459"/>
      <c r="F292" s="432"/>
      <c r="G292" s="432"/>
      <c r="H292" s="432"/>
      <c r="I292" s="432"/>
      <c r="J292" s="432"/>
      <c r="K292" s="432"/>
      <c r="L292" s="432"/>
      <c r="M292" s="432"/>
      <c r="N292" s="432"/>
      <c r="O292" s="459"/>
      <c r="P292" s="460"/>
      <c r="Q292" s="432"/>
      <c r="R292" s="432"/>
      <c r="S292" s="432"/>
      <c r="T292" s="432"/>
      <c r="U292" s="432"/>
      <c r="V292" s="432"/>
      <c r="W292" s="432"/>
      <c r="X292" s="432"/>
      <c r="Y292" s="432"/>
      <c r="Z292" s="432"/>
      <c r="AA292" s="432"/>
      <c r="AB292" s="432"/>
      <c r="AC292" s="432"/>
      <c r="AD292" s="432"/>
    </row>
    <row r="293">
      <c r="A293" s="432"/>
      <c r="B293" s="432"/>
      <c r="C293" s="432"/>
      <c r="D293" s="459"/>
      <c r="E293" s="459"/>
      <c r="F293" s="432"/>
      <c r="G293" s="432"/>
      <c r="H293" s="432"/>
      <c r="I293" s="432"/>
      <c r="J293" s="432"/>
      <c r="K293" s="432"/>
      <c r="L293" s="432"/>
      <c r="M293" s="432"/>
      <c r="N293" s="432"/>
      <c r="O293" s="459"/>
      <c r="P293" s="460"/>
      <c r="Q293" s="432"/>
      <c r="R293" s="432"/>
      <c r="S293" s="432"/>
      <c r="T293" s="432"/>
      <c r="U293" s="432"/>
      <c r="V293" s="432"/>
      <c r="W293" s="432"/>
      <c r="X293" s="432"/>
      <c r="Y293" s="432"/>
      <c r="Z293" s="432"/>
      <c r="AA293" s="432"/>
      <c r="AB293" s="432"/>
      <c r="AC293" s="432"/>
      <c r="AD293" s="432"/>
    </row>
    <row r="294">
      <c r="A294" s="432"/>
      <c r="B294" s="432"/>
      <c r="C294" s="432"/>
      <c r="D294" s="459"/>
      <c r="E294" s="459"/>
      <c r="F294" s="432"/>
      <c r="G294" s="432"/>
      <c r="H294" s="432"/>
      <c r="I294" s="432"/>
      <c r="J294" s="432"/>
      <c r="K294" s="432"/>
      <c r="L294" s="432"/>
      <c r="M294" s="432"/>
      <c r="N294" s="432"/>
      <c r="O294" s="459"/>
      <c r="P294" s="460"/>
      <c r="Q294" s="432"/>
      <c r="R294" s="432"/>
      <c r="S294" s="432"/>
      <c r="T294" s="432"/>
      <c r="U294" s="432"/>
      <c r="V294" s="432"/>
      <c r="W294" s="432"/>
      <c r="X294" s="432"/>
      <c r="Y294" s="432"/>
      <c r="Z294" s="432"/>
      <c r="AA294" s="432"/>
      <c r="AB294" s="432"/>
      <c r="AC294" s="432"/>
      <c r="AD294" s="432"/>
    </row>
    <row r="295">
      <c r="A295" s="432"/>
      <c r="B295" s="432"/>
      <c r="C295" s="432"/>
      <c r="D295" s="459"/>
      <c r="E295" s="459"/>
      <c r="F295" s="432"/>
      <c r="G295" s="432"/>
      <c r="H295" s="432"/>
      <c r="I295" s="432"/>
      <c r="J295" s="432"/>
      <c r="K295" s="432"/>
      <c r="L295" s="432"/>
      <c r="M295" s="432"/>
      <c r="N295" s="432"/>
      <c r="O295" s="459"/>
      <c r="P295" s="460"/>
      <c r="Q295" s="432"/>
      <c r="R295" s="432"/>
      <c r="S295" s="432"/>
      <c r="T295" s="432"/>
      <c r="U295" s="432"/>
      <c r="V295" s="432"/>
      <c r="W295" s="432"/>
      <c r="X295" s="432"/>
      <c r="Y295" s="432"/>
      <c r="Z295" s="432"/>
      <c r="AA295" s="432"/>
      <c r="AB295" s="432"/>
      <c r="AC295" s="432"/>
      <c r="AD295" s="432"/>
    </row>
    <row r="296">
      <c r="A296" s="432"/>
      <c r="B296" s="432"/>
      <c r="C296" s="432"/>
      <c r="D296" s="459"/>
      <c r="E296" s="459"/>
      <c r="F296" s="432"/>
      <c r="G296" s="432"/>
      <c r="H296" s="432"/>
      <c r="I296" s="432"/>
      <c r="J296" s="432"/>
      <c r="K296" s="432"/>
      <c r="L296" s="432"/>
      <c r="M296" s="432"/>
      <c r="N296" s="432"/>
      <c r="O296" s="459"/>
      <c r="P296" s="460"/>
      <c r="Q296" s="432"/>
      <c r="R296" s="432"/>
      <c r="S296" s="432"/>
      <c r="T296" s="432"/>
      <c r="U296" s="432"/>
      <c r="V296" s="432"/>
      <c r="W296" s="432"/>
      <c r="X296" s="432"/>
      <c r="Y296" s="432"/>
      <c r="Z296" s="432"/>
      <c r="AA296" s="432"/>
      <c r="AB296" s="432"/>
      <c r="AC296" s="432"/>
      <c r="AD296" s="432"/>
    </row>
    <row r="297">
      <c r="A297" s="432"/>
      <c r="B297" s="432"/>
      <c r="C297" s="432"/>
      <c r="D297" s="459"/>
      <c r="E297" s="459"/>
      <c r="F297" s="432"/>
      <c r="G297" s="432"/>
      <c r="H297" s="432"/>
      <c r="I297" s="432"/>
      <c r="J297" s="432"/>
      <c r="K297" s="432"/>
      <c r="L297" s="432"/>
      <c r="M297" s="432"/>
      <c r="N297" s="432"/>
      <c r="O297" s="459"/>
      <c r="P297" s="460"/>
      <c r="Q297" s="432"/>
      <c r="R297" s="432"/>
      <c r="S297" s="432"/>
      <c r="T297" s="432"/>
      <c r="U297" s="432"/>
      <c r="V297" s="432"/>
      <c r="W297" s="432"/>
      <c r="X297" s="432"/>
      <c r="Y297" s="432"/>
      <c r="Z297" s="432"/>
      <c r="AA297" s="432"/>
      <c r="AB297" s="432"/>
      <c r="AC297" s="432"/>
      <c r="AD297" s="432"/>
    </row>
    <row r="298">
      <c r="A298" s="432"/>
      <c r="B298" s="432"/>
      <c r="C298" s="432"/>
      <c r="D298" s="459"/>
      <c r="E298" s="459"/>
      <c r="F298" s="432"/>
      <c r="G298" s="432"/>
      <c r="H298" s="432"/>
      <c r="I298" s="432"/>
      <c r="J298" s="432"/>
      <c r="K298" s="432"/>
      <c r="L298" s="432"/>
      <c r="M298" s="432"/>
      <c r="N298" s="432"/>
      <c r="O298" s="459"/>
      <c r="P298" s="460"/>
      <c r="Q298" s="432"/>
      <c r="R298" s="432"/>
      <c r="S298" s="432"/>
      <c r="T298" s="432"/>
      <c r="U298" s="432"/>
      <c r="V298" s="432"/>
      <c r="W298" s="432"/>
      <c r="X298" s="432"/>
      <c r="Y298" s="432"/>
      <c r="Z298" s="432"/>
      <c r="AA298" s="432"/>
      <c r="AB298" s="432"/>
      <c r="AC298" s="432"/>
      <c r="AD298" s="432"/>
    </row>
    <row r="299">
      <c r="A299" s="432"/>
      <c r="B299" s="432"/>
      <c r="C299" s="432"/>
      <c r="D299" s="459"/>
      <c r="E299" s="459"/>
      <c r="F299" s="432"/>
      <c r="G299" s="432"/>
      <c r="H299" s="432"/>
      <c r="I299" s="432"/>
      <c r="J299" s="432"/>
      <c r="K299" s="432"/>
      <c r="L299" s="432"/>
      <c r="M299" s="432"/>
      <c r="N299" s="432"/>
      <c r="O299" s="459"/>
      <c r="P299" s="460"/>
      <c r="Q299" s="432"/>
      <c r="R299" s="432"/>
      <c r="S299" s="432"/>
      <c r="T299" s="432"/>
      <c r="U299" s="432"/>
      <c r="V299" s="432"/>
      <c r="W299" s="432"/>
      <c r="X299" s="432"/>
      <c r="Y299" s="432"/>
      <c r="Z299" s="432"/>
      <c r="AA299" s="432"/>
      <c r="AB299" s="432"/>
      <c r="AC299" s="432"/>
      <c r="AD299" s="432"/>
    </row>
    <row r="300">
      <c r="A300" s="432"/>
      <c r="B300" s="432"/>
      <c r="C300" s="432"/>
      <c r="D300" s="459"/>
      <c r="E300" s="459"/>
      <c r="F300" s="432"/>
      <c r="G300" s="432"/>
      <c r="H300" s="432"/>
      <c r="I300" s="432"/>
      <c r="J300" s="432"/>
      <c r="K300" s="432"/>
      <c r="L300" s="432"/>
      <c r="M300" s="432"/>
      <c r="N300" s="432"/>
      <c r="O300" s="459"/>
      <c r="P300" s="460"/>
      <c r="Q300" s="432"/>
      <c r="R300" s="432"/>
      <c r="S300" s="432"/>
      <c r="T300" s="432"/>
      <c r="U300" s="432"/>
      <c r="V300" s="432"/>
      <c r="W300" s="432"/>
      <c r="X300" s="432"/>
      <c r="Y300" s="432"/>
      <c r="Z300" s="432"/>
      <c r="AA300" s="432"/>
      <c r="AB300" s="432"/>
      <c r="AC300" s="432"/>
      <c r="AD300" s="432"/>
    </row>
    <row r="301">
      <c r="A301" s="432"/>
      <c r="B301" s="432"/>
      <c r="C301" s="432"/>
      <c r="D301" s="459"/>
      <c r="E301" s="459"/>
      <c r="F301" s="432"/>
      <c r="G301" s="432"/>
      <c r="H301" s="432"/>
      <c r="I301" s="432"/>
      <c r="J301" s="432"/>
      <c r="K301" s="432"/>
      <c r="L301" s="432"/>
      <c r="M301" s="432"/>
      <c r="N301" s="432"/>
      <c r="O301" s="459"/>
      <c r="P301" s="460"/>
      <c r="Q301" s="432"/>
      <c r="R301" s="432"/>
      <c r="S301" s="432"/>
      <c r="T301" s="432"/>
      <c r="U301" s="432"/>
      <c r="V301" s="432"/>
      <c r="W301" s="432"/>
      <c r="X301" s="432"/>
      <c r="Y301" s="432"/>
      <c r="Z301" s="432"/>
      <c r="AA301" s="432"/>
      <c r="AB301" s="432"/>
      <c r="AC301" s="432"/>
      <c r="AD301" s="432"/>
    </row>
    <row r="302">
      <c r="A302" s="432"/>
      <c r="B302" s="432"/>
      <c r="C302" s="432"/>
      <c r="D302" s="459"/>
      <c r="E302" s="459"/>
      <c r="F302" s="432"/>
      <c r="G302" s="432"/>
      <c r="H302" s="432"/>
      <c r="I302" s="432"/>
      <c r="J302" s="432"/>
      <c r="K302" s="432"/>
      <c r="L302" s="432"/>
      <c r="M302" s="432"/>
      <c r="N302" s="432"/>
      <c r="O302" s="459"/>
      <c r="P302" s="460"/>
      <c r="Q302" s="432"/>
      <c r="R302" s="432"/>
      <c r="S302" s="432"/>
      <c r="T302" s="432"/>
      <c r="U302" s="432"/>
      <c r="V302" s="432"/>
      <c r="W302" s="432"/>
      <c r="X302" s="432"/>
      <c r="Y302" s="432"/>
      <c r="Z302" s="432"/>
      <c r="AA302" s="432"/>
      <c r="AB302" s="432"/>
      <c r="AC302" s="432"/>
      <c r="AD302" s="432"/>
    </row>
    <row r="303">
      <c r="A303" s="432"/>
      <c r="B303" s="432"/>
      <c r="C303" s="432"/>
      <c r="D303" s="459"/>
      <c r="E303" s="459"/>
      <c r="F303" s="432"/>
      <c r="G303" s="432"/>
      <c r="H303" s="432"/>
      <c r="I303" s="432"/>
      <c r="J303" s="432"/>
      <c r="K303" s="432"/>
      <c r="L303" s="432"/>
      <c r="M303" s="432"/>
      <c r="N303" s="432"/>
      <c r="O303" s="459"/>
      <c r="P303" s="460"/>
      <c r="Q303" s="432"/>
      <c r="R303" s="432"/>
      <c r="S303" s="432"/>
      <c r="T303" s="432"/>
      <c r="U303" s="432"/>
      <c r="V303" s="432"/>
      <c r="W303" s="432"/>
      <c r="X303" s="432"/>
      <c r="Y303" s="432"/>
      <c r="Z303" s="432"/>
      <c r="AA303" s="432"/>
      <c r="AB303" s="432"/>
      <c r="AC303" s="432"/>
      <c r="AD303" s="432"/>
    </row>
    <row r="304">
      <c r="A304" s="432"/>
      <c r="B304" s="432"/>
      <c r="C304" s="432"/>
      <c r="D304" s="459"/>
      <c r="E304" s="459"/>
      <c r="F304" s="432"/>
      <c r="G304" s="432"/>
      <c r="H304" s="432"/>
      <c r="I304" s="432"/>
      <c r="J304" s="432"/>
      <c r="K304" s="432"/>
      <c r="L304" s="432"/>
      <c r="M304" s="432"/>
      <c r="N304" s="432"/>
      <c r="O304" s="459"/>
      <c r="P304" s="460"/>
      <c r="Q304" s="432"/>
      <c r="R304" s="432"/>
      <c r="S304" s="432"/>
      <c r="T304" s="432"/>
      <c r="U304" s="432"/>
      <c r="V304" s="432"/>
      <c r="W304" s="432"/>
      <c r="X304" s="432"/>
      <c r="Y304" s="432"/>
      <c r="Z304" s="432"/>
      <c r="AA304" s="432"/>
      <c r="AB304" s="432"/>
      <c r="AC304" s="432"/>
      <c r="AD304" s="432"/>
    </row>
    <row r="305">
      <c r="A305" s="432"/>
      <c r="B305" s="432"/>
      <c r="C305" s="432"/>
      <c r="D305" s="459"/>
      <c r="E305" s="459"/>
      <c r="F305" s="432"/>
      <c r="G305" s="432"/>
      <c r="H305" s="432"/>
      <c r="I305" s="432"/>
      <c r="J305" s="432"/>
      <c r="K305" s="432"/>
      <c r="L305" s="432"/>
      <c r="M305" s="432"/>
      <c r="N305" s="432"/>
      <c r="O305" s="459"/>
      <c r="P305" s="460"/>
      <c r="Q305" s="432"/>
      <c r="R305" s="432"/>
      <c r="S305" s="432"/>
      <c r="T305" s="432"/>
      <c r="U305" s="432"/>
      <c r="V305" s="432"/>
      <c r="W305" s="432"/>
      <c r="X305" s="432"/>
      <c r="Y305" s="432"/>
      <c r="Z305" s="432"/>
      <c r="AA305" s="432"/>
      <c r="AB305" s="432"/>
      <c r="AC305" s="432"/>
      <c r="AD305" s="432"/>
    </row>
    <row r="306">
      <c r="A306" s="432"/>
      <c r="B306" s="432"/>
      <c r="C306" s="432"/>
      <c r="D306" s="459"/>
      <c r="E306" s="459"/>
      <c r="F306" s="432"/>
      <c r="G306" s="432"/>
      <c r="H306" s="432"/>
      <c r="I306" s="432"/>
      <c r="J306" s="432"/>
      <c r="K306" s="432"/>
      <c r="L306" s="432"/>
      <c r="M306" s="432"/>
      <c r="N306" s="432"/>
      <c r="O306" s="459"/>
      <c r="P306" s="460"/>
      <c r="Q306" s="432"/>
      <c r="R306" s="432"/>
      <c r="S306" s="432"/>
      <c r="T306" s="432"/>
      <c r="U306" s="432"/>
      <c r="V306" s="432"/>
      <c r="W306" s="432"/>
      <c r="X306" s="432"/>
      <c r="Y306" s="432"/>
      <c r="Z306" s="432"/>
      <c r="AA306" s="432"/>
      <c r="AB306" s="432"/>
      <c r="AC306" s="432"/>
      <c r="AD306" s="432"/>
    </row>
    <row r="307">
      <c r="A307" s="432"/>
      <c r="B307" s="432"/>
      <c r="C307" s="432"/>
      <c r="D307" s="459"/>
      <c r="E307" s="459"/>
      <c r="F307" s="432"/>
      <c r="G307" s="432"/>
      <c r="H307" s="432"/>
      <c r="I307" s="432"/>
      <c r="J307" s="432"/>
      <c r="K307" s="432"/>
      <c r="L307" s="432"/>
      <c r="M307" s="432"/>
      <c r="N307" s="432"/>
      <c r="O307" s="459"/>
      <c r="P307" s="460"/>
      <c r="Q307" s="432"/>
      <c r="R307" s="432"/>
      <c r="S307" s="432"/>
      <c r="T307" s="432"/>
      <c r="U307" s="432"/>
      <c r="V307" s="432"/>
      <c r="W307" s="432"/>
      <c r="X307" s="432"/>
      <c r="Y307" s="432"/>
      <c r="Z307" s="432"/>
      <c r="AA307" s="432"/>
      <c r="AB307" s="432"/>
      <c r="AC307" s="432"/>
      <c r="AD307" s="432"/>
    </row>
    <row r="308">
      <c r="A308" s="432"/>
      <c r="B308" s="432"/>
      <c r="C308" s="432"/>
      <c r="D308" s="459"/>
      <c r="E308" s="459"/>
      <c r="F308" s="432"/>
      <c r="G308" s="432"/>
      <c r="H308" s="432"/>
      <c r="I308" s="432"/>
      <c r="J308" s="432"/>
      <c r="K308" s="432"/>
      <c r="L308" s="432"/>
      <c r="M308" s="432"/>
      <c r="N308" s="432"/>
      <c r="O308" s="459"/>
      <c r="P308" s="460"/>
      <c r="Q308" s="432"/>
      <c r="R308" s="432"/>
      <c r="S308" s="432"/>
      <c r="T308" s="432"/>
      <c r="U308" s="432"/>
      <c r="V308" s="432"/>
      <c r="W308" s="432"/>
      <c r="X308" s="432"/>
      <c r="Y308" s="432"/>
      <c r="Z308" s="432"/>
      <c r="AA308" s="432"/>
      <c r="AB308" s="432"/>
      <c r="AC308" s="432"/>
      <c r="AD308" s="432"/>
    </row>
    <row r="309">
      <c r="A309" s="432"/>
      <c r="B309" s="432"/>
      <c r="C309" s="432"/>
      <c r="D309" s="459"/>
      <c r="E309" s="459"/>
      <c r="F309" s="432"/>
      <c r="G309" s="432"/>
      <c r="H309" s="432"/>
      <c r="I309" s="432"/>
      <c r="J309" s="432"/>
      <c r="K309" s="432"/>
      <c r="L309" s="432"/>
      <c r="M309" s="432"/>
      <c r="N309" s="432"/>
      <c r="O309" s="459"/>
      <c r="P309" s="460"/>
      <c r="Q309" s="432"/>
      <c r="R309" s="432"/>
      <c r="S309" s="432"/>
      <c r="T309" s="432"/>
      <c r="U309" s="432"/>
      <c r="V309" s="432"/>
      <c r="W309" s="432"/>
      <c r="X309" s="432"/>
      <c r="Y309" s="432"/>
      <c r="Z309" s="432"/>
      <c r="AA309" s="432"/>
      <c r="AB309" s="432"/>
      <c r="AC309" s="432"/>
      <c r="AD309" s="432"/>
    </row>
    <row r="310">
      <c r="A310" s="432"/>
      <c r="B310" s="432"/>
      <c r="C310" s="432"/>
      <c r="D310" s="459"/>
      <c r="E310" s="459"/>
      <c r="F310" s="432"/>
      <c r="G310" s="432"/>
      <c r="H310" s="432"/>
      <c r="I310" s="432"/>
      <c r="J310" s="432"/>
      <c r="K310" s="432"/>
      <c r="L310" s="432"/>
      <c r="M310" s="432"/>
      <c r="N310" s="432"/>
      <c r="O310" s="459"/>
      <c r="P310" s="460"/>
      <c r="Q310" s="432"/>
      <c r="R310" s="432"/>
      <c r="S310" s="432"/>
      <c r="T310" s="432"/>
      <c r="U310" s="432"/>
      <c r="V310" s="432"/>
      <c r="W310" s="432"/>
      <c r="X310" s="432"/>
      <c r="Y310" s="432"/>
      <c r="Z310" s="432"/>
      <c r="AA310" s="432"/>
      <c r="AB310" s="432"/>
      <c r="AC310" s="432"/>
      <c r="AD310" s="432"/>
    </row>
    <row r="311">
      <c r="A311" s="432"/>
      <c r="B311" s="432"/>
      <c r="C311" s="432"/>
      <c r="D311" s="459"/>
      <c r="E311" s="459"/>
      <c r="F311" s="432"/>
      <c r="G311" s="432"/>
      <c r="H311" s="432"/>
      <c r="I311" s="432"/>
      <c r="J311" s="432"/>
      <c r="K311" s="432"/>
      <c r="L311" s="432"/>
      <c r="M311" s="432"/>
      <c r="N311" s="432"/>
      <c r="O311" s="459"/>
      <c r="P311" s="460"/>
      <c r="Q311" s="432"/>
      <c r="R311" s="432"/>
      <c r="S311" s="432"/>
      <c r="T311" s="432"/>
      <c r="U311" s="432"/>
      <c r="V311" s="432"/>
      <c r="W311" s="432"/>
      <c r="X311" s="432"/>
      <c r="Y311" s="432"/>
      <c r="Z311" s="432"/>
      <c r="AA311" s="432"/>
      <c r="AB311" s="432"/>
      <c r="AC311" s="432"/>
      <c r="AD311" s="432"/>
    </row>
    <row r="312">
      <c r="A312" s="432"/>
      <c r="B312" s="432"/>
      <c r="C312" s="432"/>
      <c r="D312" s="459"/>
      <c r="E312" s="459"/>
      <c r="F312" s="432"/>
      <c r="G312" s="432"/>
      <c r="H312" s="432"/>
      <c r="I312" s="432"/>
      <c r="J312" s="432"/>
      <c r="K312" s="432"/>
      <c r="L312" s="432"/>
      <c r="M312" s="432"/>
      <c r="N312" s="432"/>
      <c r="O312" s="459"/>
      <c r="P312" s="460"/>
      <c r="Q312" s="432"/>
      <c r="R312" s="432"/>
      <c r="S312" s="432"/>
      <c r="T312" s="432"/>
      <c r="U312" s="432"/>
      <c r="V312" s="432"/>
      <c r="W312" s="432"/>
      <c r="X312" s="432"/>
      <c r="Y312" s="432"/>
      <c r="Z312" s="432"/>
      <c r="AA312" s="432"/>
      <c r="AB312" s="432"/>
      <c r="AC312" s="432"/>
      <c r="AD312" s="432"/>
    </row>
    <row r="313">
      <c r="A313" s="432"/>
      <c r="B313" s="432"/>
      <c r="C313" s="432"/>
      <c r="D313" s="459"/>
      <c r="E313" s="459"/>
      <c r="F313" s="432"/>
      <c r="G313" s="432"/>
      <c r="H313" s="432"/>
      <c r="I313" s="432"/>
      <c r="J313" s="432"/>
      <c r="K313" s="432"/>
      <c r="L313" s="432"/>
      <c r="M313" s="432"/>
      <c r="N313" s="432"/>
      <c r="O313" s="459"/>
      <c r="P313" s="460"/>
      <c r="Q313" s="432"/>
      <c r="R313" s="432"/>
      <c r="S313" s="432"/>
      <c r="T313" s="432"/>
      <c r="U313" s="432"/>
      <c r="V313" s="432"/>
      <c r="W313" s="432"/>
      <c r="X313" s="432"/>
      <c r="Y313" s="432"/>
      <c r="Z313" s="432"/>
      <c r="AA313" s="432"/>
      <c r="AB313" s="432"/>
      <c r="AC313" s="432"/>
      <c r="AD313" s="432"/>
    </row>
    <row r="314">
      <c r="A314" s="432"/>
      <c r="B314" s="432"/>
      <c r="C314" s="432"/>
      <c r="D314" s="459"/>
      <c r="E314" s="459"/>
      <c r="F314" s="432"/>
      <c r="G314" s="432"/>
      <c r="H314" s="432"/>
      <c r="I314" s="432"/>
      <c r="J314" s="432"/>
      <c r="K314" s="432"/>
      <c r="L314" s="432"/>
      <c r="M314" s="432"/>
      <c r="N314" s="432"/>
      <c r="O314" s="459"/>
      <c r="P314" s="460"/>
      <c r="Q314" s="432"/>
      <c r="R314" s="432"/>
      <c r="S314" s="432"/>
      <c r="T314" s="432"/>
      <c r="U314" s="432"/>
      <c r="V314" s="432"/>
      <c r="W314" s="432"/>
      <c r="X314" s="432"/>
      <c r="Y314" s="432"/>
      <c r="Z314" s="432"/>
      <c r="AA314" s="432"/>
      <c r="AB314" s="432"/>
      <c r="AC314" s="432"/>
      <c r="AD314" s="432"/>
    </row>
    <row r="315">
      <c r="A315" s="432"/>
      <c r="B315" s="432"/>
      <c r="C315" s="432"/>
      <c r="D315" s="459"/>
      <c r="E315" s="459"/>
      <c r="F315" s="432"/>
      <c r="G315" s="432"/>
      <c r="H315" s="432"/>
      <c r="I315" s="432"/>
      <c r="J315" s="432"/>
      <c r="K315" s="432"/>
      <c r="L315" s="432"/>
      <c r="M315" s="432"/>
      <c r="N315" s="432"/>
      <c r="O315" s="459"/>
      <c r="P315" s="460"/>
      <c r="Q315" s="432"/>
      <c r="R315" s="432"/>
      <c r="S315" s="432"/>
      <c r="T315" s="432"/>
      <c r="U315" s="432"/>
      <c r="V315" s="432"/>
      <c r="W315" s="432"/>
      <c r="X315" s="432"/>
      <c r="Y315" s="432"/>
      <c r="Z315" s="432"/>
      <c r="AA315" s="432"/>
      <c r="AB315" s="432"/>
      <c r="AC315" s="432"/>
      <c r="AD315" s="432"/>
    </row>
    <row r="316">
      <c r="A316" s="432"/>
      <c r="B316" s="432"/>
      <c r="C316" s="432"/>
      <c r="D316" s="459"/>
      <c r="E316" s="459"/>
      <c r="F316" s="432"/>
      <c r="G316" s="432"/>
      <c r="H316" s="432"/>
      <c r="I316" s="432"/>
      <c r="J316" s="432"/>
      <c r="K316" s="432"/>
      <c r="L316" s="432"/>
      <c r="M316" s="432"/>
      <c r="N316" s="432"/>
      <c r="O316" s="459"/>
      <c r="P316" s="460"/>
      <c r="Q316" s="432"/>
      <c r="R316" s="432"/>
      <c r="S316" s="432"/>
      <c r="T316" s="432"/>
      <c r="U316" s="432"/>
      <c r="V316" s="432"/>
      <c r="W316" s="432"/>
      <c r="X316" s="432"/>
      <c r="Y316" s="432"/>
      <c r="Z316" s="432"/>
      <c r="AA316" s="432"/>
      <c r="AB316" s="432"/>
      <c r="AC316" s="432"/>
      <c r="AD316" s="432"/>
    </row>
    <row r="317">
      <c r="A317" s="432"/>
      <c r="B317" s="432"/>
      <c r="C317" s="432"/>
      <c r="D317" s="459"/>
      <c r="E317" s="459"/>
      <c r="F317" s="432"/>
      <c r="G317" s="432"/>
      <c r="H317" s="432"/>
      <c r="I317" s="432"/>
      <c r="J317" s="432"/>
      <c r="K317" s="432"/>
      <c r="L317" s="432"/>
      <c r="M317" s="432"/>
      <c r="N317" s="432"/>
      <c r="O317" s="459"/>
      <c r="P317" s="460"/>
      <c r="Q317" s="432"/>
      <c r="R317" s="432"/>
      <c r="S317" s="432"/>
      <c r="T317" s="432"/>
      <c r="U317" s="432"/>
      <c r="V317" s="432"/>
      <c r="W317" s="432"/>
      <c r="X317" s="432"/>
      <c r="Y317" s="432"/>
      <c r="Z317" s="432"/>
      <c r="AA317" s="432"/>
      <c r="AB317" s="432"/>
      <c r="AC317" s="432"/>
      <c r="AD317" s="432"/>
    </row>
    <row r="318">
      <c r="A318" s="432"/>
      <c r="B318" s="432"/>
      <c r="C318" s="432"/>
      <c r="D318" s="459"/>
      <c r="E318" s="459"/>
      <c r="F318" s="432"/>
      <c r="G318" s="432"/>
      <c r="H318" s="432"/>
      <c r="I318" s="432"/>
      <c r="J318" s="432"/>
      <c r="K318" s="432"/>
      <c r="L318" s="432"/>
      <c r="M318" s="432"/>
      <c r="N318" s="432"/>
      <c r="O318" s="459"/>
      <c r="P318" s="460"/>
      <c r="Q318" s="432"/>
      <c r="R318" s="432"/>
      <c r="S318" s="432"/>
      <c r="T318" s="432"/>
      <c r="U318" s="432"/>
      <c r="V318" s="432"/>
      <c r="W318" s="432"/>
      <c r="X318" s="432"/>
      <c r="Y318" s="432"/>
      <c r="Z318" s="432"/>
      <c r="AA318" s="432"/>
      <c r="AB318" s="432"/>
      <c r="AC318" s="432"/>
      <c r="AD318" s="432"/>
    </row>
    <row r="319">
      <c r="A319" s="432"/>
      <c r="B319" s="432"/>
      <c r="C319" s="432"/>
      <c r="D319" s="459"/>
      <c r="E319" s="459"/>
      <c r="F319" s="432"/>
      <c r="G319" s="432"/>
      <c r="H319" s="432"/>
      <c r="I319" s="432"/>
      <c r="J319" s="432"/>
      <c r="K319" s="432"/>
      <c r="L319" s="432"/>
      <c r="M319" s="432"/>
      <c r="N319" s="432"/>
      <c r="O319" s="459"/>
      <c r="P319" s="460"/>
      <c r="Q319" s="432"/>
      <c r="R319" s="432"/>
      <c r="S319" s="432"/>
      <c r="T319" s="432"/>
      <c r="U319" s="432"/>
      <c r="V319" s="432"/>
      <c r="W319" s="432"/>
      <c r="X319" s="432"/>
      <c r="Y319" s="432"/>
      <c r="Z319" s="432"/>
      <c r="AA319" s="432"/>
      <c r="AB319" s="432"/>
      <c r="AC319" s="432"/>
      <c r="AD319" s="432"/>
    </row>
    <row r="320">
      <c r="A320" s="432"/>
      <c r="B320" s="432"/>
      <c r="C320" s="432"/>
      <c r="D320" s="459"/>
      <c r="E320" s="459"/>
      <c r="F320" s="432"/>
      <c r="G320" s="432"/>
      <c r="H320" s="432"/>
      <c r="I320" s="432"/>
      <c r="J320" s="432"/>
      <c r="K320" s="432"/>
      <c r="L320" s="432"/>
      <c r="M320" s="432"/>
      <c r="N320" s="432"/>
      <c r="O320" s="459"/>
      <c r="P320" s="460"/>
      <c r="Q320" s="432"/>
      <c r="R320" s="432"/>
      <c r="S320" s="432"/>
      <c r="T320" s="432"/>
      <c r="U320" s="432"/>
      <c r="V320" s="432"/>
      <c r="W320" s="432"/>
      <c r="X320" s="432"/>
      <c r="Y320" s="432"/>
      <c r="Z320" s="432"/>
      <c r="AA320" s="432"/>
      <c r="AB320" s="432"/>
      <c r="AC320" s="432"/>
      <c r="AD320" s="432"/>
    </row>
    <row r="321">
      <c r="A321" s="432"/>
      <c r="B321" s="432"/>
      <c r="C321" s="432"/>
      <c r="D321" s="459"/>
      <c r="E321" s="459"/>
      <c r="F321" s="432"/>
      <c r="G321" s="432"/>
      <c r="H321" s="432"/>
      <c r="I321" s="432"/>
      <c r="J321" s="432"/>
      <c r="K321" s="432"/>
      <c r="L321" s="432"/>
      <c r="M321" s="432"/>
      <c r="N321" s="432"/>
      <c r="O321" s="459"/>
      <c r="P321" s="460"/>
      <c r="Q321" s="432"/>
      <c r="R321" s="432"/>
      <c r="S321" s="432"/>
      <c r="T321" s="432"/>
      <c r="U321" s="432"/>
      <c r="V321" s="432"/>
      <c r="W321" s="432"/>
      <c r="X321" s="432"/>
      <c r="Y321" s="432"/>
      <c r="Z321" s="432"/>
      <c r="AA321" s="432"/>
      <c r="AB321" s="432"/>
      <c r="AC321" s="432"/>
      <c r="AD321" s="432"/>
    </row>
    <row r="322">
      <c r="A322" s="432"/>
      <c r="B322" s="432"/>
      <c r="C322" s="432"/>
      <c r="D322" s="459"/>
      <c r="E322" s="459"/>
      <c r="F322" s="432"/>
      <c r="G322" s="432"/>
      <c r="H322" s="432"/>
      <c r="I322" s="432"/>
      <c r="J322" s="432"/>
      <c r="K322" s="432"/>
      <c r="L322" s="432"/>
      <c r="M322" s="432"/>
      <c r="N322" s="432"/>
      <c r="O322" s="459"/>
      <c r="P322" s="460"/>
      <c r="Q322" s="432"/>
      <c r="R322" s="432"/>
      <c r="S322" s="432"/>
      <c r="T322" s="432"/>
      <c r="U322" s="432"/>
      <c r="V322" s="432"/>
      <c r="W322" s="432"/>
      <c r="X322" s="432"/>
      <c r="Y322" s="432"/>
      <c r="Z322" s="432"/>
      <c r="AA322" s="432"/>
      <c r="AB322" s="432"/>
      <c r="AC322" s="432"/>
      <c r="AD322" s="432"/>
    </row>
    <row r="323">
      <c r="A323" s="432"/>
      <c r="B323" s="432"/>
      <c r="C323" s="432"/>
      <c r="D323" s="459"/>
      <c r="E323" s="459"/>
      <c r="F323" s="432"/>
      <c r="G323" s="432"/>
      <c r="H323" s="432"/>
      <c r="I323" s="432"/>
      <c r="J323" s="432"/>
      <c r="K323" s="432"/>
      <c r="L323" s="432"/>
      <c r="M323" s="432"/>
      <c r="N323" s="432"/>
      <c r="O323" s="459"/>
      <c r="P323" s="460"/>
      <c r="Q323" s="432"/>
      <c r="R323" s="432"/>
      <c r="S323" s="432"/>
      <c r="T323" s="432"/>
      <c r="U323" s="432"/>
      <c r="V323" s="432"/>
      <c r="W323" s="432"/>
      <c r="X323" s="432"/>
      <c r="Y323" s="432"/>
      <c r="Z323" s="432"/>
      <c r="AA323" s="432"/>
      <c r="AB323" s="432"/>
      <c r="AC323" s="432"/>
      <c r="AD323" s="432"/>
    </row>
    <row r="324">
      <c r="A324" s="432"/>
      <c r="B324" s="432"/>
      <c r="C324" s="432"/>
      <c r="D324" s="459"/>
      <c r="E324" s="459"/>
      <c r="F324" s="432"/>
      <c r="G324" s="432"/>
      <c r="H324" s="432"/>
      <c r="I324" s="432"/>
      <c r="J324" s="432"/>
      <c r="K324" s="432"/>
      <c r="L324" s="432"/>
      <c r="M324" s="432"/>
      <c r="N324" s="432"/>
      <c r="O324" s="459"/>
      <c r="P324" s="460"/>
      <c r="Q324" s="432"/>
      <c r="R324" s="432"/>
      <c r="S324" s="432"/>
      <c r="T324" s="432"/>
      <c r="U324" s="432"/>
      <c r="V324" s="432"/>
      <c r="W324" s="432"/>
      <c r="X324" s="432"/>
      <c r="Y324" s="432"/>
      <c r="Z324" s="432"/>
      <c r="AA324" s="432"/>
      <c r="AB324" s="432"/>
      <c r="AC324" s="432"/>
      <c r="AD324" s="432"/>
    </row>
    <row r="325">
      <c r="A325" s="432"/>
      <c r="B325" s="432"/>
      <c r="C325" s="432"/>
      <c r="D325" s="459"/>
      <c r="E325" s="459"/>
      <c r="F325" s="432"/>
      <c r="G325" s="432"/>
      <c r="H325" s="432"/>
      <c r="I325" s="432"/>
      <c r="J325" s="432"/>
      <c r="K325" s="432"/>
      <c r="L325" s="432"/>
      <c r="M325" s="432"/>
      <c r="N325" s="432"/>
      <c r="O325" s="459"/>
      <c r="P325" s="460"/>
      <c r="Q325" s="432"/>
      <c r="R325" s="432"/>
      <c r="S325" s="432"/>
      <c r="T325" s="432"/>
      <c r="U325" s="432"/>
      <c r="V325" s="432"/>
      <c r="W325" s="432"/>
      <c r="X325" s="432"/>
      <c r="Y325" s="432"/>
      <c r="Z325" s="432"/>
      <c r="AA325" s="432"/>
      <c r="AB325" s="432"/>
      <c r="AC325" s="432"/>
      <c r="AD325" s="432"/>
    </row>
    <row r="326">
      <c r="A326" s="432"/>
      <c r="B326" s="432"/>
      <c r="C326" s="432"/>
      <c r="D326" s="459"/>
      <c r="E326" s="459"/>
      <c r="F326" s="432"/>
      <c r="G326" s="432"/>
      <c r="H326" s="432"/>
      <c r="I326" s="432"/>
      <c r="J326" s="432"/>
      <c r="K326" s="432"/>
      <c r="L326" s="432"/>
      <c r="M326" s="432"/>
      <c r="N326" s="432"/>
      <c r="O326" s="459"/>
      <c r="P326" s="460"/>
      <c r="Q326" s="432"/>
      <c r="R326" s="432"/>
      <c r="S326" s="432"/>
      <c r="T326" s="432"/>
      <c r="U326" s="432"/>
      <c r="V326" s="432"/>
      <c r="W326" s="432"/>
      <c r="X326" s="432"/>
      <c r="Y326" s="432"/>
      <c r="Z326" s="432"/>
      <c r="AA326" s="432"/>
      <c r="AB326" s="432"/>
      <c r="AC326" s="432"/>
      <c r="AD326" s="432"/>
    </row>
    <row r="327">
      <c r="A327" s="432"/>
      <c r="B327" s="432"/>
      <c r="C327" s="432"/>
      <c r="D327" s="459"/>
      <c r="E327" s="459"/>
      <c r="F327" s="432"/>
      <c r="G327" s="432"/>
      <c r="H327" s="432"/>
      <c r="I327" s="432"/>
      <c r="J327" s="432"/>
      <c r="K327" s="432"/>
      <c r="L327" s="432"/>
      <c r="M327" s="432"/>
      <c r="N327" s="432"/>
      <c r="O327" s="459"/>
      <c r="P327" s="460"/>
      <c r="Q327" s="432"/>
      <c r="R327" s="432"/>
      <c r="S327" s="432"/>
      <c r="T327" s="432"/>
      <c r="U327" s="432"/>
      <c r="V327" s="432"/>
      <c r="W327" s="432"/>
      <c r="X327" s="432"/>
      <c r="Y327" s="432"/>
      <c r="Z327" s="432"/>
      <c r="AA327" s="432"/>
      <c r="AB327" s="432"/>
      <c r="AC327" s="432"/>
      <c r="AD327" s="432"/>
    </row>
    <row r="328">
      <c r="A328" s="432"/>
      <c r="B328" s="432"/>
      <c r="C328" s="432"/>
      <c r="D328" s="459"/>
      <c r="E328" s="459"/>
      <c r="F328" s="432"/>
      <c r="G328" s="432"/>
      <c r="H328" s="432"/>
      <c r="I328" s="432"/>
      <c r="J328" s="432"/>
      <c r="K328" s="432"/>
      <c r="L328" s="432"/>
      <c r="M328" s="432"/>
      <c r="N328" s="432"/>
      <c r="O328" s="459"/>
      <c r="P328" s="460"/>
      <c r="Q328" s="432"/>
      <c r="R328" s="432"/>
      <c r="S328" s="432"/>
      <c r="T328" s="432"/>
      <c r="U328" s="432"/>
      <c r="V328" s="432"/>
      <c r="W328" s="432"/>
      <c r="X328" s="432"/>
      <c r="Y328" s="432"/>
      <c r="Z328" s="432"/>
      <c r="AA328" s="432"/>
      <c r="AB328" s="432"/>
      <c r="AC328" s="432"/>
      <c r="AD328" s="432"/>
    </row>
    <row r="329">
      <c r="A329" s="432"/>
      <c r="B329" s="432"/>
      <c r="C329" s="432"/>
      <c r="D329" s="459"/>
      <c r="E329" s="459"/>
      <c r="F329" s="432"/>
      <c r="G329" s="432"/>
      <c r="H329" s="432"/>
      <c r="I329" s="432"/>
      <c r="J329" s="432"/>
      <c r="K329" s="432"/>
      <c r="L329" s="432"/>
      <c r="M329" s="432"/>
      <c r="N329" s="432"/>
      <c r="O329" s="459"/>
      <c r="P329" s="460"/>
      <c r="Q329" s="432"/>
      <c r="R329" s="432"/>
      <c r="S329" s="432"/>
      <c r="T329" s="432"/>
      <c r="U329" s="432"/>
      <c r="V329" s="432"/>
      <c r="W329" s="432"/>
      <c r="X329" s="432"/>
      <c r="Y329" s="432"/>
      <c r="Z329" s="432"/>
      <c r="AA329" s="432"/>
      <c r="AB329" s="432"/>
      <c r="AC329" s="432"/>
      <c r="AD329" s="432"/>
    </row>
    <row r="330">
      <c r="A330" s="432"/>
      <c r="B330" s="432"/>
      <c r="C330" s="432"/>
      <c r="D330" s="459"/>
      <c r="E330" s="459"/>
      <c r="F330" s="432"/>
      <c r="G330" s="432"/>
      <c r="H330" s="432"/>
      <c r="I330" s="432"/>
      <c r="J330" s="432"/>
      <c r="K330" s="432"/>
      <c r="L330" s="432"/>
      <c r="M330" s="432"/>
      <c r="N330" s="432"/>
      <c r="O330" s="459"/>
      <c r="P330" s="460"/>
      <c r="Q330" s="432"/>
      <c r="R330" s="432"/>
      <c r="S330" s="432"/>
      <c r="T330" s="432"/>
      <c r="U330" s="432"/>
      <c r="V330" s="432"/>
      <c r="W330" s="432"/>
      <c r="X330" s="432"/>
      <c r="Y330" s="432"/>
      <c r="Z330" s="432"/>
      <c r="AA330" s="432"/>
      <c r="AB330" s="432"/>
      <c r="AC330" s="432"/>
      <c r="AD330" s="432"/>
    </row>
    <row r="331">
      <c r="A331" s="432"/>
      <c r="B331" s="432"/>
      <c r="C331" s="432"/>
      <c r="D331" s="459"/>
      <c r="E331" s="459"/>
      <c r="F331" s="432"/>
      <c r="G331" s="432"/>
      <c r="H331" s="432"/>
      <c r="I331" s="432"/>
      <c r="J331" s="432"/>
      <c r="K331" s="432"/>
      <c r="L331" s="432"/>
      <c r="M331" s="432"/>
      <c r="N331" s="432"/>
      <c r="O331" s="459"/>
      <c r="P331" s="460"/>
      <c r="Q331" s="432"/>
      <c r="R331" s="432"/>
      <c r="S331" s="432"/>
      <c r="T331" s="432"/>
      <c r="U331" s="432"/>
      <c r="V331" s="432"/>
      <c r="W331" s="432"/>
      <c r="X331" s="432"/>
      <c r="Y331" s="432"/>
      <c r="Z331" s="432"/>
      <c r="AA331" s="432"/>
      <c r="AB331" s="432"/>
      <c r="AC331" s="432"/>
      <c r="AD331" s="432"/>
    </row>
    <row r="332">
      <c r="A332" s="432"/>
      <c r="B332" s="432"/>
      <c r="C332" s="432"/>
      <c r="D332" s="459"/>
      <c r="E332" s="459"/>
      <c r="F332" s="432"/>
      <c r="G332" s="432"/>
      <c r="H332" s="432"/>
      <c r="I332" s="432"/>
      <c r="J332" s="432"/>
      <c r="K332" s="432"/>
      <c r="L332" s="432"/>
      <c r="M332" s="432"/>
      <c r="N332" s="432"/>
      <c r="O332" s="459"/>
      <c r="P332" s="460"/>
      <c r="Q332" s="432"/>
      <c r="R332" s="432"/>
      <c r="S332" s="432"/>
      <c r="T332" s="432"/>
      <c r="U332" s="432"/>
      <c r="V332" s="432"/>
      <c r="W332" s="432"/>
      <c r="X332" s="432"/>
      <c r="Y332" s="432"/>
      <c r="Z332" s="432"/>
      <c r="AA332" s="432"/>
      <c r="AB332" s="432"/>
      <c r="AC332" s="432"/>
      <c r="AD332" s="432"/>
    </row>
    <row r="333">
      <c r="A333" s="432"/>
      <c r="B333" s="432"/>
      <c r="C333" s="432"/>
      <c r="D333" s="459"/>
      <c r="E333" s="459"/>
      <c r="F333" s="432"/>
      <c r="G333" s="432"/>
      <c r="H333" s="432"/>
      <c r="I333" s="432"/>
      <c r="J333" s="432"/>
      <c r="K333" s="432"/>
      <c r="L333" s="432"/>
      <c r="M333" s="432"/>
      <c r="N333" s="432"/>
      <c r="O333" s="459"/>
      <c r="P333" s="460"/>
      <c r="Q333" s="432"/>
      <c r="R333" s="432"/>
      <c r="S333" s="432"/>
      <c r="T333" s="432"/>
      <c r="U333" s="432"/>
      <c r="V333" s="432"/>
      <c r="W333" s="432"/>
      <c r="X333" s="432"/>
      <c r="Y333" s="432"/>
      <c r="Z333" s="432"/>
      <c r="AA333" s="432"/>
      <c r="AB333" s="432"/>
      <c r="AC333" s="432"/>
      <c r="AD333" s="432"/>
    </row>
    <row r="334">
      <c r="A334" s="432"/>
      <c r="B334" s="432"/>
      <c r="C334" s="432"/>
      <c r="D334" s="459"/>
      <c r="E334" s="459"/>
      <c r="F334" s="432"/>
      <c r="G334" s="432"/>
      <c r="H334" s="432"/>
      <c r="I334" s="432"/>
      <c r="J334" s="432"/>
      <c r="K334" s="432"/>
      <c r="L334" s="432"/>
      <c r="M334" s="432"/>
      <c r="N334" s="432"/>
      <c r="O334" s="459"/>
      <c r="P334" s="460"/>
      <c r="Q334" s="432"/>
      <c r="R334" s="432"/>
      <c r="S334" s="432"/>
      <c r="T334" s="432"/>
      <c r="U334" s="432"/>
      <c r="V334" s="432"/>
      <c r="W334" s="432"/>
      <c r="X334" s="432"/>
      <c r="Y334" s="432"/>
      <c r="Z334" s="432"/>
      <c r="AA334" s="432"/>
      <c r="AB334" s="432"/>
      <c r="AC334" s="432"/>
      <c r="AD334" s="432"/>
    </row>
    <row r="335">
      <c r="A335" s="432"/>
      <c r="B335" s="432"/>
      <c r="C335" s="432"/>
      <c r="D335" s="459"/>
      <c r="E335" s="459"/>
      <c r="F335" s="432"/>
      <c r="G335" s="432"/>
      <c r="H335" s="432"/>
      <c r="I335" s="432"/>
      <c r="J335" s="432"/>
      <c r="K335" s="432"/>
      <c r="L335" s="432"/>
      <c r="M335" s="432"/>
      <c r="N335" s="432"/>
      <c r="O335" s="459"/>
      <c r="P335" s="460"/>
      <c r="Q335" s="432"/>
      <c r="R335" s="432"/>
      <c r="S335" s="432"/>
      <c r="T335" s="432"/>
      <c r="U335" s="432"/>
      <c r="V335" s="432"/>
      <c r="W335" s="432"/>
      <c r="X335" s="432"/>
      <c r="Y335" s="432"/>
      <c r="Z335" s="432"/>
      <c r="AA335" s="432"/>
      <c r="AB335" s="432"/>
      <c r="AC335" s="432"/>
      <c r="AD335" s="432"/>
    </row>
    <row r="336">
      <c r="A336" s="432"/>
      <c r="B336" s="432"/>
      <c r="C336" s="432"/>
      <c r="D336" s="459"/>
      <c r="E336" s="459"/>
      <c r="F336" s="432"/>
      <c r="G336" s="432"/>
      <c r="H336" s="432"/>
      <c r="I336" s="432"/>
      <c r="J336" s="432"/>
      <c r="K336" s="432"/>
      <c r="L336" s="432"/>
      <c r="M336" s="432"/>
      <c r="N336" s="432"/>
      <c r="O336" s="459"/>
      <c r="P336" s="460"/>
      <c r="Q336" s="432"/>
      <c r="R336" s="432"/>
      <c r="S336" s="432"/>
      <c r="T336" s="432"/>
      <c r="U336" s="432"/>
      <c r="V336" s="432"/>
      <c r="W336" s="432"/>
      <c r="X336" s="432"/>
      <c r="Y336" s="432"/>
      <c r="Z336" s="432"/>
      <c r="AA336" s="432"/>
      <c r="AB336" s="432"/>
      <c r="AC336" s="432"/>
      <c r="AD336" s="432"/>
    </row>
    <row r="337">
      <c r="A337" s="432"/>
      <c r="B337" s="432"/>
      <c r="C337" s="432"/>
      <c r="D337" s="459"/>
      <c r="E337" s="459"/>
      <c r="F337" s="432"/>
      <c r="G337" s="432"/>
      <c r="H337" s="432"/>
      <c r="I337" s="432"/>
      <c r="J337" s="432"/>
      <c r="K337" s="432"/>
      <c r="L337" s="432"/>
      <c r="M337" s="432"/>
      <c r="N337" s="432"/>
      <c r="O337" s="459"/>
      <c r="P337" s="460"/>
      <c r="Q337" s="432"/>
      <c r="R337" s="432"/>
      <c r="S337" s="432"/>
      <c r="T337" s="432"/>
      <c r="U337" s="432"/>
      <c r="V337" s="432"/>
      <c r="W337" s="432"/>
      <c r="X337" s="432"/>
      <c r="Y337" s="432"/>
      <c r="Z337" s="432"/>
      <c r="AA337" s="432"/>
      <c r="AB337" s="432"/>
      <c r="AC337" s="432"/>
      <c r="AD337" s="432"/>
    </row>
    <row r="338">
      <c r="A338" s="432"/>
      <c r="B338" s="432"/>
      <c r="C338" s="432"/>
      <c r="D338" s="459"/>
      <c r="E338" s="459"/>
      <c r="F338" s="432"/>
      <c r="G338" s="432"/>
      <c r="H338" s="432"/>
      <c r="I338" s="432"/>
      <c r="J338" s="432"/>
      <c r="K338" s="432"/>
      <c r="L338" s="432"/>
      <c r="M338" s="432"/>
      <c r="N338" s="432"/>
      <c r="O338" s="459"/>
      <c r="P338" s="460"/>
      <c r="Q338" s="432"/>
      <c r="R338" s="432"/>
      <c r="S338" s="432"/>
      <c r="T338" s="432"/>
      <c r="U338" s="432"/>
      <c r="V338" s="432"/>
      <c r="W338" s="432"/>
      <c r="X338" s="432"/>
      <c r="Y338" s="432"/>
      <c r="Z338" s="432"/>
      <c r="AA338" s="432"/>
      <c r="AB338" s="432"/>
      <c r="AC338" s="432"/>
      <c r="AD338" s="432"/>
    </row>
    <row r="339">
      <c r="A339" s="432"/>
      <c r="B339" s="432"/>
      <c r="C339" s="432"/>
      <c r="D339" s="459"/>
      <c r="E339" s="459"/>
      <c r="F339" s="432"/>
      <c r="G339" s="432"/>
      <c r="H339" s="432"/>
      <c r="I339" s="432"/>
      <c r="J339" s="432"/>
      <c r="K339" s="432"/>
      <c r="L339" s="432"/>
      <c r="M339" s="432"/>
      <c r="N339" s="432"/>
      <c r="O339" s="459"/>
      <c r="P339" s="460"/>
      <c r="Q339" s="432"/>
      <c r="R339" s="432"/>
      <c r="S339" s="432"/>
      <c r="T339" s="432"/>
      <c r="U339" s="432"/>
      <c r="V339" s="432"/>
      <c r="W339" s="432"/>
      <c r="X339" s="432"/>
      <c r="Y339" s="432"/>
      <c r="Z339" s="432"/>
      <c r="AA339" s="432"/>
      <c r="AB339" s="432"/>
      <c r="AC339" s="432"/>
      <c r="AD339" s="432"/>
    </row>
    <row r="340">
      <c r="A340" s="432"/>
      <c r="B340" s="432"/>
      <c r="C340" s="432"/>
      <c r="D340" s="459"/>
      <c r="E340" s="459"/>
      <c r="F340" s="432"/>
      <c r="G340" s="432"/>
      <c r="H340" s="432"/>
      <c r="I340" s="432"/>
      <c r="J340" s="432"/>
      <c r="K340" s="432"/>
      <c r="L340" s="432"/>
      <c r="M340" s="432"/>
      <c r="N340" s="432"/>
      <c r="O340" s="459"/>
      <c r="P340" s="460"/>
      <c r="Q340" s="432"/>
      <c r="R340" s="432"/>
      <c r="S340" s="432"/>
      <c r="T340" s="432"/>
      <c r="U340" s="432"/>
      <c r="V340" s="432"/>
      <c r="W340" s="432"/>
      <c r="X340" s="432"/>
      <c r="Y340" s="432"/>
      <c r="Z340" s="432"/>
      <c r="AA340" s="432"/>
      <c r="AB340" s="432"/>
      <c r="AC340" s="432"/>
      <c r="AD340" s="432"/>
    </row>
    <row r="341">
      <c r="A341" s="432"/>
      <c r="B341" s="432"/>
      <c r="C341" s="432"/>
      <c r="D341" s="459"/>
      <c r="E341" s="459"/>
      <c r="F341" s="432"/>
      <c r="G341" s="432"/>
      <c r="H341" s="432"/>
      <c r="I341" s="432"/>
      <c r="J341" s="432"/>
      <c r="K341" s="432"/>
      <c r="L341" s="432"/>
      <c r="M341" s="432"/>
      <c r="N341" s="432"/>
      <c r="O341" s="459"/>
      <c r="P341" s="460"/>
      <c r="Q341" s="432"/>
      <c r="R341" s="432"/>
      <c r="S341" s="432"/>
      <c r="T341" s="432"/>
      <c r="U341" s="432"/>
      <c r="V341" s="432"/>
      <c r="W341" s="432"/>
      <c r="X341" s="432"/>
      <c r="Y341" s="432"/>
      <c r="Z341" s="432"/>
      <c r="AA341" s="432"/>
      <c r="AB341" s="432"/>
      <c r="AC341" s="432"/>
      <c r="AD341" s="432"/>
    </row>
    <row r="342">
      <c r="A342" s="432"/>
      <c r="B342" s="432"/>
      <c r="C342" s="432"/>
      <c r="D342" s="459"/>
      <c r="E342" s="459"/>
      <c r="F342" s="432"/>
      <c r="G342" s="432"/>
      <c r="H342" s="432"/>
      <c r="I342" s="432"/>
      <c r="J342" s="432"/>
      <c r="K342" s="432"/>
      <c r="L342" s="432"/>
      <c r="M342" s="432"/>
      <c r="N342" s="432"/>
      <c r="O342" s="459"/>
      <c r="P342" s="460"/>
      <c r="Q342" s="432"/>
      <c r="R342" s="432"/>
      <c r="S342" s="432"/>
      <c r="T342" s="432"/>
      <c r="U342" s="432"/>
      <c r="V342" s="432"/>
      <c r="W342" s="432"/>
      <c r="X342" s="432"/>
      <c r="Y342" s="432"/>
      <c r="Z342" s="432"/>
      <c r="AA342" s="432"/>
      <c r="AB342" s="432"/>
      <c r="AC342" s="432"/>
      <c r="AD342" s="432"/>
    </row>
    <row r="343">
      <c r="A343" s="432"/>
      <c r="B343" s="432"/>
      <c r="C343" s="432"/>
      <c r="D343" s="459"/>
      <c r="E343" s="459"/>
      <c r="F343" s="432"/>
      <c r="G343" s="432"/>
      <c r="H343" s="432"/>
      <c r="I343" s="432"/>
      <c r="J343" s="432"/>
      <c r="K343" s="432"/>
      <c r="L343" s="432"/>
      <c r="M343" s="432"/>
      <c r="N343" s="432"/>
      <c r="O343" s="459"/>
      <c r="P343" s="460"/>
      <c r="Q343" s="432"/>
      <c r="R343" s="432"/>
      <c r="S343" s="432"/>
      <c r="T343" s="432"/>
      <c r="U343" s="432"/>
      <c r="V343" s="432"/>
      <c r="W343" s="432"/>
      <c r="X343" s="432"/>
      <c r="Y343" s="432"/>
      <c r="Z343" s="432"/>
      <c r="AA343" s="432"/>
      <c r="AB343" s="432"/>
      <c r="AC343" s="432"/>
      <c r="AD343" s="432"/>
    </row>
    <row r="344">
      <c r="A344" s="432"/>
      <c r="B344" s="432"/>
      <c r="C344" s="432"/>
      <c r="D344" s="459"/>
      <c r="E344" s="459"/>
      <c r="F344" s="432"/>
      <c r="G344" s="432"/>
      <c r="H344" s="432"/>
      <c r="I344" s="432"/>
      <c r="J344" s="432"/>
      <c r="K344" s="432"/>
      <c r="L344" s="432"/>
      <c r="M344" s="432"/>
      <c r="N344" s="432"/>
      <c r="O344" s="459"/>
      <c r="P344" s="460"/>
      <c r="Q344" s="432"/>
      <c r="R344" s="432"/>
      <c r="S344" s="432"/>
      <c r="T344" s="432"/>
      <c r="U344" s="432"/>
      <c r="V344" s="432"/>
      <c r="W344" s="432"/>
      <c r="X344" s="432"/>
      <c r="Y344" s="432"/>
      <c r="Z344" s="432"/>
      <c r="AA344" s="432"/>
      <c r="AB344" s="432"/>
      <c r="AC344" s="432"/>
      <c r="AD344" s="432"/>
    </row>
    <row r="345">
      <c r="A345" s="432"/>
      <c r="B345" s="432"/>
      <c r="C345" s="432"/>
      <c r="D345" s="459"/>
      <c r="E345" s="459"/>
      <c r="F345" s="432"/>
      <c r="G345" s="432"/>
      <c r="H345" s="432"/>
      <c r="I345" s="432"/>
      <c r="J345" s="432"/>
      <c r="K345" s="432"/>
      <c r="L345" s="432"/>
      <c r="M345" s="432"/>
      <c r="N345" s="432"/>
      <c r="O345" s="459"/>
      <c r="P345" s="460"/>
      <c r="Q345" s="432"/>
      <c r="R345" s="432"/>
      <c r="S345" s="432"/>
      <c r="T345" s="432"/>
      <c r="U345" s="432"/>
      <c r="V345" s="432"/>
      <c r="W345" s="432"/>
      <c r="X345" s="432"/>
      <c r="Y345" s="432"/>
      <c r="Z345" s="432"/>
      <c r="AA345" s="432"/>
      <c r="AB345" s="432"/>
      <c r="AC345" s="432"/>
      <c r="AD345" s="432"/>
    </row>
    <row r="346">
      <c r="A346" s="432"/>
      <c r="B346" s="432"/>
      <c r="C346" s="432"/>
      <c r="D346" s="459"/>
      <c r="E346" s="459"/>
      <c r="F346" s="432"/>
      <c r="G346" s="432"/>
      <c r="H346" s="432"/>
      <c r="I346" s="432"/>
      <c r="J346" s="432"/>
      <c r="K346" s="432"/>
      <c r="L346" s="432"/>
      <c r="M346" s="432"/>
      <c r="N346" s="432"/>
      <c r="O346" s="459"/>
      <c r="P346" s="460"/>
      <c r="Q346" s="432"/>
      <c r="R346" s="432"/>
      <c r="S346" s="432"/>
      <c r="T346" s="432"/>
      <c r="U346" s="432"/>
      <c r="V346" s="432"/>
      <c r="W346" s="432"/>
      <c r="X346" s="432"/>
      <c r="Y346" s="432"/>
      <c r="Z346" s="432"/>
      <c r="AA346" s="432"/>
      <c r="AB346" s="432"/>
      <c r="AC346" s="432"/>
      <c r="AD346" s="432"/>
    </row>
    <row r="347">
      <c r="A347" s="432"/>
      <c r="B347" s="432"/>
      <c r="C347" s="432"/>
      <c r="D347" s="459"/>
      <c r="E347" s="459"/>
      <c r="F347" s="432"/>
      <c r="G347" s="432"/>
      <c r="H347" s="432"/>
      <c r="I347" s="432"/>
      <c r="J347" s="432"/>
      <c r="K347" s="432"/>
      <c r="L347" s="432"/>
      <c r="M347" s="432"/>
      <c r="N347" s="432"/>
      <c r="O347" s="459"/>
      <c r="P347" s="460"/>
      <c r="Q347" s="432"/>
      <c r="R347" s="432"/>
      <c r="S347" s="432"/>
      <c r="T347" s="432"/>
      <c r="U347" s="432"/>
      <c r="V347" s="432"/>
      <c r="W347" s="432"/>
      <c r="X347" s="432"/>
      <c r="Y347" s="432"/>
      <c r="Z347" s="432"/>
      <c r="AA347" s="432"/>
      <c r="AB347" s="432"/>
      <c r="AC347" s="432"/>
      <c r="AD347" s="432"/>
    </row>
    <row r="348">
      <c r="A348" s="432"/>
      <c r="B348" s="432"/>
      <c r="C348" s="432"/>
      <c r="D348" s="459"/>
      <c r="E348" s="459"/>
      <c r="F348" s="432"/>
      <c r="G348" s="432"/>
      <c r="H348" s="432"/>
      <c r="I348" s="432"/>
      <c r="J348" s="432"/>
      <c r="K348" s="432"/>
      <c r="L348" s="432"/>
      <c r="M348" s="432"/>
      <c r="N348" s="432"/>
      <c r="O348" s="459"/>
      <c r="P348" s="460"/>
      <c r="Q348" s="432"/>
      <c r="R348" s="432"/>
      <c r="S348" s="432"/>
      <c r="T348" s="432"/>
      <c r="U348" s="432"/>
      <c r="V348" s="432"/>
      <c r="W348" s="432"/>
      <c r="X348" s="432"/>
      <c r="Y348" s="432"/>
      <c r="Z348" s="432"/>
      <c r="AA348" s="432"/>
      <c r="AB348" s="432"/>
      <c r="AC348" s="432"/>
      <c r="AD348" s="432"/>
    </row>
    <row r="349">
      <c r="A349" s="432"/>
      <c r="B349" s="432"/>
      <c r="C349" s="432"/>
      <c r="D349" s="459"/>
      <c r="E349" s="459"/>
      <c r="F349" s="432"/>
      <c r="G349" s="432"/>
      <c r="H349" s="432"/>
      <c r="I349" s="432"/>
      <c r="J349" s="432"/>
      <c r="K349" s="432"/>
      <c r="L349" s="432"/>
      <c r="M349" s="432"/>
      <c r="N349" s="432"/>
      <c r="O349" s="459"/>
      <c r="P349" s="460"/>
      <c r="Q349" s="432"/>
      <c r="R349" s="432"/>
      <c r="S349" s="432"/>
      <c r="T349" s="432"/>
      <c r="U349" s="432"/>
      <c r="V349" s="432"/>
      <c r="W349" s="432"/>
      <c r="X349" s="432"/>
      <c r="Y349" s="432"/>
      <c r="Z349" s="432"/>
      <c r="AA349" s="432"/>
      <c r="AB349" s="432"/>
      <c r="AC349" s="432"/>
      <c r="AD349" s="432"/>
    </row>
    <row r="350">
      <c r="A350" s="432"/>
      <c r="B350" s="432"/>
      <c r="C350" s="432"/>
      <c r="D350" s="459"/>
      <c r="E350" s="459"/>
      <c r="F350" s="432"/>
      <c r="G350" s="432"/>
      <c r="H350" s="432"/>
      <c r="I350" s="432"/>
      <c r="J350" s="432"/>
      <c r="K350" s="432"/>
      <c r="L350" s="432"/>
      <c r="M350" s="432"/>
      <c r="N350" s="432"/>
      <c r="O350" s="459"/>
      <c r="P350" s="460"/>
      <c r="Q350" s="432"/>
      <c r="R350" s="432"/>
      <c r="S350" s="432"/>
      <c r="T350" s="432"/>
      <c r="U350" s="432"/>
      <c r="V350" s="432"/>
      <c r="W350" s="432"/>
      <c r="X350" s="432"/>
      <c r="Y350" s="432"/>
      <c r="Z350" s="432"/>
      <c r="AA350" s="432"/>
      <c r="AB350" s="432"/>
      <c r="AC350" s="432"/>
      <c r="AD350" s="432"/>
    </row>
    <row r="351">
      <c r="A351" s="432"/>
      <c r="B351" s="432"/>
      <c r="C351" s="432"/>
      <c r="D351" s="459"/>
      <c r="E351" s="459"/>
      <c r="F351" s="432"/>
      <c r="G351" s="432"/>
      <c r="H351" s="432"/>
      <c r="I351" s="432"/>
      <c r="J351" s="432"/>
      <c r="K351" s="432"/>
      <c r="L351" s="432"/>
      <c r="M351" s="432"/>
      <c r="N351" s="432"/>
      <c r="O351" s="459"/>
      <c r="P351" s="460"/>
      <c r="Q351" s="432"/>
      <c r="R351" s="432"/>
      <c r="S351" s="432"/>
      <c r="T351" s="432"/>
      <c r="U351" s="432"/>
      <c r="V351" s="432"/>
      <c r="W351" s="432"/>
      <c r="X351" s="432"/>
      <c r="Y351" s="432"/>
      <c r="Z351" s="432"/>
      <c r="AA351" s="432"/>
      <c r="AB351" s="432"/>
      <c r="AC351" s="432"/>
      <c r="AD351" s="432"/>
    </row>
    <row r="352">
      <c r="A352" s="432"/>
      <c r="B352" s="432"/>
      <c r="C352" s="432"/>
      <c r="D352" s="459"/>
      <c r="E352" s="459"/>
      <c r="F352" s="432"/>
      <c r="G352" s="432"/>
      <c r="H352" s="432"/>
      <c r="I352" s="432"/>
      <c r="J352" s="432"/>
      <c r="K352" s="432"/>
      <c r="L352" s="432"/>
      <c r="M352" s="432"/>
      <c r="N352" s="432"/>
      <c r="O352" s="459"/>
      <c r="P352" s="460"/>
      <c r="Q352" s="432"/>
      <c r="R352" s="432"/>
      <c r="S352" s="432"/>
      <c r="T352" s="432"/>
      <c r="U352" s="432"/>
      <c r="V352" s="432"/>
      <c r="W352" s="432"/>
      <c r="X352" s="432"/>
      <c r="Y352" s="432"/>
      <c r="Z352" s="432"/>
      <c r="AA352" s="432"/>
      <c r="AB352" s="432"/>
      <c r="AC352" s="432"/>
      <c r="AD352" s="432"/>
    </row>
    <row r="353">
      <c r="A353" s="432"/>
      <c r="B353" s="432"/>
      <c r="C353" s="432"/>
      <c r="D353" s="459"/>
      <c r="E353" s="459"/>
      <c r="F353" s="432"/>
      <c r="G353" s="432"/>
      <c r="H353" s="432"/>
      <c r="I353" s="432"/>
      <c r="J353" s="432"/>
      <c r="K353" s="432"/>
      <c r="L353" s="432"/>
      <c r="M353" s="432"/>
      <c r="N353" s="432"/>
      <c r="O353" s="459"/>
      <c r="P353" s="460"/>
      <c r="Q353" s="432"/>
      <c r="R353" s="432"/>
      <c r="S353" s="432"/>
      <c r="T353" s="432"/>
      <c r="U353" s="432"/>
      <c r="V353" s="432"/>
      <c r="W353" s="432"/>
      <c r="X353" s="432"/>
      <c r="Y353" s="432"/>
      <c r="Z353" s="432"/>
      <c r="AA353" s="432"/>
      <c r="AB353" s="432"/>
      <c r="AC353" s="432"/>
      <c r="AD353" s="432"/>
    </row>
    <row r="354">
      <c r="A354" s="432"/>
      <c r="B354" s="432"/>
      <c r="C354" s="432"/>
      <c r="D354" s="459"/>
      <c r="E354" s="459"/>
      <c r="F354" s="432"/>
      <c r="G354" s="432"/>
      <c r="H354" s="432"/>
      <c r="I354" s="432"/>
      <c r="J354" s="432"/>
      <c r="K354" s="432"/>
      <c r="L354" s="432"/>
      <c r="M354" s="432"/>
      <c r="N354" s="432"/>
      <c r="O354" s="459"/>
      <c r="P354" s="460"/>
      <c r="Q354" s="432"/>
      <c r="R354" s="432"/>
      <c r="S354" s="432"/>
      <c r="T354" s="432"/>
      <c r="U354" s="432"/>
      <c r="V354" s="432"/>
      <c r="W354" s="432"/>
      <c r="X354" s="432"/>
      <c r="Y354" s="432"/>
      <c r="Z354" s="432"/>
      <c r="AA354" s="432"/>
      <c r="AB354" s="432"/>
      <c r="AC354" s="432"/>
      <c r="AD354" s="432"/>
    </row>
    <row r="355">
      <c r="A355" s="432"/>
      <c r="B355" s="432"/>
      <c r="C355" s="432"/>
      <c r="D355" s="459"/>
      <c r="E355" s="459"/>
      <c r="F355" s="432"/>
      <c r="G355" s="432"/>
      <c r="H355" s="432"/>
      <c r="I355" s="432"/>
      <c r="J355" s="432"/>
      <c r="K355" s="432"/>
      <c r="L355" s="432"/>
      <c r="M355" s="432"/>
      <c r="N355" s="432"/>
      <c r="O355" s="459"/>
      <c r="P355" s="460"/>
      <c r="Q355" s="432"/>
      <c r="R355" s="432"/>
      <c r="S355" s="432"/>
      <c r="T355" s="432"/>
      <c r="U355" s="432"/>
      <c r="V355" s="432"/>
      <c r="W355" s="432"/>
      <c r="X355" s="432"/>
      <c r="Y355" s="432"/>
      <c r="Z355" s="432"/>
      <c r="AA355" s="432"/>
      <c r="AB355" s="432"/>
      <c r="AC355" s="432"/>
      <c r="AD355" s="432"/>
    </row>
    <row r="356">
      <c r="A356" s="432"/>
      <c r="B356" s="432"/>
      <c r="C356" s="432"/>
      <c r="D356" s="459"/>
      <c r="E356" s="459"/>
      <c r="F356" s="432"/>
      <c r="G356" s="432"/>
      <c r="H356" s="432"/>
      <c r="I356" s="432"/>
      <c r="J356" s="432"/>
      <c r="K356" s="432"/>
      <c r="L356" s="432"/>
      <c r="M356" s="432"/>
      <c r="N356" s="432"/>
      <c r="O356" s="459"/>
      <c r="P356" s="460"/>
      <c r="Q356" s="432"/>
      <c r="R356" s="432"/>
      <c r="S356" s="432"/>
      <c r="T356" s="432"/>
      <c r="U356" s="432"/>
      <c r="V356" s="432"/>
      <c r="W356" s="432"/>
      <c r="X356" s="432"/>
      <c r="Y356" s="432"/>
      <c r="Z356" s="432"/>
      <c r="AA356" s="432"/>
      <c r="AB356" s="432"/>
      <c r="AC356" s="432"/>
      <c r="AD356" s="432"/>
    </row>
    <row r="357">
      <c r="A357" s="432"/>
      <c r="B357" s="432"/>
      <c r="C357" s="432"/>
      <c r="D357" s="459"/>
      <c r="E357" s="459"/>
      <c r="F357" s="432"/>
      <c r="G357" s="432"/>
      <c r="H357" s="432"/>
      <c r="I357" s="432"/>
      <c r="J357" s="432"/>
      <c r="K357" s="432"/>
      <c r="L357" s="432"/>
      <c r="M357" s="432"/>
      <c r="N357" s="432"/>
      <c r="O357" s="459"/>
      <c r="P357" s="460"/>
      <c r="Q357" s="432"/>
      <c r="R357" s="432"/>
      <c r="S357" s="432"/>
      <c r="T357" s="432"/>
      <c r="U357" s="432"/>
      <c r="V357" s="432"/>
      <c r="W357" s="432"/>
      <c r="X357" s="432"/>
      <c r="Y357" s="432"/>
      <c r="Z357" s="432"/>
      <c r="AA357" s="432"/>
      <c r="AB357" s="432"/>
      <c r="AC357" s="432"/>
      <c r="AD357" s="432"/>
    </row>
    <row r="358">
      <c r="A358" s="432"/>
      <c r="B358" s="432"/>
      <c r="C358" s="432"/>
      <c r="D358" s="459"/>
      <c r="E358" s="459"/>
      <c r="F358" s="432"/>
      <c r="G358" s="432"/>
      <c r="H358" s="432"/>
      <c r="I358" s="432"/>
      <c r="J358" s="432"/>
      <c r="K358" s="432"/>
      <c r="L358" s="432"/>
      <c r="M358" s="432"/>
      <c r="N358" s="432"/>
      <c r="O358" s="459"/>
      <c r="P358" s="460"/>
      <c r="Q358" s="432"/>
      <c r="R358" s="432"/>
      <c r="S358" s="432"/>
      <c r="T358" s="432"/>
      <c r="U358" s="432"/>
      <c r="V358" s="432"/>
      <c r="W358" s="432"/>
      <c r="X358" s="432"/>
      <c r="Y358" s="432"/>
      <c r="Z358" s="432"/>
      <c r="AA358" s="432"/>
      <c r="AB358" s="432"/>
      <c r="AC358" s="432"/>
      <c r="AD358" s="432"/>
    </row>
    <row r="359">
      <c r="A359" s="432"/>
      <c r="B359" s="432"/>
      <c r="C359" s="432"/>
      <c r="D359" s="459"/>
      <c r="E359" s="459"/>
      <c r="F359" s="432"/>
      <c r="G359" s="432"/>
      <c r="H359" s="432"/>
      <c r="I359" s="432"/>
      <c r="J359" s="432"/>
      <c r="K359" s="432"/>
      <c r="L359" s="432"/>
      <c r="M359" s="432"/>
      <c r="N359" s="432"/>
      <c r="O359" s="459"/>
      <c r="P359" s="460"/>
      <c r="Q359" s="432"/>
      <c r="R359" s="432"/>
      <c r="S359" s="432"/>
      <c r="T359" s="432"/>
      <c r="U359" s="432"/>
      <c r="V359" s="432"/>
      <c r="W359" s="432"/>
      <c r="X359" s="432"/>
      <c r="Y359" s="432"/>
      <c r="Z359" s="432"/>
      <c r="AA359" s="432"/>
      <c r="AB359" s="432"/>
      <c r="AC359" s="432"/>
      <c r="AD359" s="432"/>
    </row>
    <row r="360">
      <c r="A360" s="432"/>
      <c r="B360" s="432"/>
      <c r="C360" s="432"/>
      <c r="D360" s="459"/>
      <c r="E360" s="459"/>
      <c r="F360" s="432"/>
      <c r="G360" s="432"/>
      <c r="H360" s="432"/>
      <c r="I360" s="432"/>
      <c r="J360" s="432"/>
      <c r="K360" s="432"/>
      <c r="L360" s="432"/>
      <c r="M360" s="432"/>
      <c r="N360" s="432"/>
      <c r="O360" s="459"/>
      <c r="P360" s="460"/>
      <c r="Q360" s="432"/>
      <c r="R360" s="432"/>
      <c r="S360" s="432"/>
      <c r="T360" s="432"/>
      <c r="U360" s="432"/>
      <c r="V360" s="432"/>
      <c r="W360" s="432"/>
      <c r="X360" s="432"/>
      <c r="Y360" s="432"/>
      <c r="Z360" s="432"/>
      <c r="AA360" s="432"/>
      <c r="AB360" s="432"/>
      <c r="AC360" s="432"/>
      <c r="AD360" s="432"/>
    </row>
    <row r="361">
      <c r="A361" s="432"/>
      <c r="B361" s="432"/>
      <c r="C361" s="432"/>
      <c r="D361" s="459"/>
      <c r="E361" s="459"/>
      <c r="F361" s="432"/>
      <c r="G361" s="432"/>
      <c r="H361" s="432"/>
      <c r="I361" s="432"/>
      <c r="J361" s="432"/>
      <c r="K361" s="432"/>
      <c r="L361" s="432"/>
      <c r="M361" s="432"/>
      <c r="N361" s="432"/>
      <c r="O361" s="459"/>
      <c r="P361" s="460"/>
      <c r="Q361" s="432"/>
      <c r="R361" s="432"/>
      <c r="S361" s="432"/>
      <c r="T361" s="432"/>
      <c r="U361" s="432"/>
      <c r="V361" s="432"/>
      <c r="W361" s="432"/>
      <c r="X361" s="432"/>
      <c r="Y361" s="432"/>
      <c r="Z361" s="432"/>
      <c r="AA361" s="432"/>
      <c r="AB361" s="432"/>
      <c r="AC361" s="432"/>
      <c r="AD361" s="432"/>
    </row>
    <row r="362">
      <c r="A362" s="432"/>
      <c r="B362" s="432"/>
      <c r="C362" s="432"/>
      <c r="D362" s="459"/>
      <c r="E362" s="459"/>
      <c r="F362" s="432"/>
      <c r="G362" s="432"/>
      <c r="H362" s="432"/>
      <c r="I362" s="432"/>
      <c r="J362" s="432"/>
      <c r="K362" s="432"/>
      <c r="L362" s="432"/>
      <c r="M362" s="432"/>
      <c r="N362" s="432"/>
      <c r="O362" s="459"/>
      <c r="P362" s="460"/>
      <c r="Q362" s="432"/>
      <c r="R362" s="432"/>
      <c r="S362" s="432"/>
      <c r="T362" s="432"/>
      <c r="U362" s="432"/>
      <c r="V362" s="432"/>
      <c r="W362" s="432"/>
      <c r="X362" s="432"/>
      <c r="Y362" s="432"/>
      <c r="Z362" s="432"/>
      <c r="AA362" s="432"/>
      <c r="AB362" s="432"/>
      <c r="AC362" s="432"/>
      <c r="AD362" s="432"/>
    </row>
    <row r="363">
      <c r="A363" s="432"/>
      <c r="B363" s="432"/>
      <c r="C363" s="432"/>
      <c r="D363" s="459"/>
      <c r="E363" s="459"/>
      <c r="F363" s="432"/>
      <c r="G363" s="432"/>
      <c r="H363" s="432"/>
      <c r="I363" s="432"/>
      <c r="J363" s="432"/>
      <c r="K363" s="432"/>
      <c r="L363" s="432"/>
      <c r="M363" s="432"/>
      <c r="N363" s="432"/>
      <c r="O363" s="459"/>
      <c r="P363" s="460"/>
      <c r="Q363" s="432"/>
      <c r="R363" s="432"/>
      <c r="S363" s="432"/>
      <c r="T363" s="432"/>
      <c r="U363" s="432"/>
      <c r="V363" s="432"/>
      <c r="W363" s="432"/>
      <c r="X363" s="432"/>
      <c r="Y363" s="432"/>
      <c r="Z363" s="432"/>
      <c r="AA363" s="432"/>
      <c r="AB363" s="432"/>
      <c r="AC363" s="432"/>
      <c r="AD363" s="432"/>
    </row>
    <row r="364">
      <c r="A364" s="432"/>
      <c r="B364" s="432"/>
      <c r="C364" s="432"/>
      <c r="D364" s="459"/>
      <c r="E364" s="459"/>
      <c r="F364" s="432"/>
      <c r="G364" s="432"/>
      <c r="H364" s="432"/>
      <c r="I364" s="432"/>
      <c r="J364" s="432"/>
      <c r="K364" s="432"/>
      <c r="L364" s="432"/>
      <c r="M364" s="432"/>
      <c r="N364" s="432"/>
      <c r="O364" s="459"/>
      <c r="P364" s="460"/>
      <c r="Q364" s="432"/>
      <c r="R364" s="432"/>
      <c r="S364" s="432"/>
      <c r="T364" s="432"/>
      <c r="U364" s="432"/>
      <c r="V364" s="432"/>
      <c r="W364" s="432"/>
      <c r="X364" s="432"/>
      <c r="Y364" s="432"/>
      <c r="Z364" s="432"/>
      <c r="AA364" s="432"/>
      <c r="AB364" s="432"/>
      <c r="AC364" s="432"/>
      <c r="AD364" s="432"/>
    </row>
    <row r="365">
      <c r="A365" s="432"/>
      <c r="B365" s="432"/>
      <c r="C365" s="432"/>
      <c r="D365" s="459"/>
      <c r="E365" s="459"/>
      <c r="F365" s="432"/>
      <c r="G365" s="432"/>
      <c r="H365" s="432"/>
      <c r="I365" s="432"/>
      <c r="J365" s="432"/>
      <c r="K365" s="432"/>
      <c r="L365" s="432"/>
      <c r="M365" s="432"/>
      <c r="N365" s="432"/>
      <c r="O365" s="459"/>
      <c r="P365" s="460"/>
      <c r="Q365" s="432"/>
      <c r="R365" s="432"/>
      <c r="S365" s="432"/>
      <c r="T365" s="432"/>
      <c r="U365" s="432"/>
      <c r="V365" s="432"/>
      <c r="W365" s="432"/>
      <c r="X365" s="432"/>
      <c r="Y365" s="432"/>
      <c r="Z365" s="432"/>
      <c r="AA365" s="432"/>
      <c r="AB365" s="432"/>
      <c r="AC365" s="432"/>
      <c r="AD365" s="432"/>
    </row>
    <row r="366">
      <c r="A366" s="432"/>
      <c r="B366" s="432"/>
      <c r="C366" s="432"/>
      <c r="D366" s="459"/>
      <c r="E366" s="459"/>
      <c r="F366" s="432"/>
      <c r="G366" s="432"/>
      <c r="H366" s="432"/>
      <c r="I366" s="432"/>
      <c r="J366" s="432"/>
      <c r="K366" s="432"/>
      <c r="L366" s="432"/>
      <c r="M366" s="432"/>
      <c r="N366" s="432"/>
      <c r="O366" s="459"/>
      <c r="P366" s="460"/>
      <c r="Q366" s="432"/>
      <c r="R366" s="432"/>
      <c r="S366" s="432"/>
      <c r="T366" s="432"/>
      <c r="U366" s="432"/>
      <c r="V366" s="432"/>
      <c r="W366" s="432"/>
      <c r="X366" s="432"/>
      <c r="Y366" s="432"/>
      <c r="Z366" s="432"/>
      <c r="AA366" s="432"/>
      <c r="AB366" s="432"/>
      <c r="AC366" s="432"/>
      <c r="AD366" s="432"/>
    </row>
    <row r="367">
      <c r="A367" s="432"/>
      <c r="B367" s="432"/>
      <c r="C367" s="432"/>
      <c r="D367" s="459"/>
      <c r="E367" s="459"/>
      <c r="F367" s="432"/>
      <c r="G367" s="432"/>
      <c r="H367" s="432"/>
      <c r="I367" s="432"/>
      <c r="J367" s="432"/>
      <c r="K367" s="432"/>
      <c r="L367" s="432"/>
      <c r="M367" s="432"/>
      <c r="N367" s="432"/>
      <c r="O367" s="459"/>
      <c r="P367" s="460"/>
      <c r="Q367" s="432"/>
      <c r="R367" s="432"/>
      <c r="S367" s="432"/>
      <c r="T367" s="432"/>
      <c r="U367" s="432"/>
      <c r="V367" s="432"/>
      <c r="W367" s="432"/>
      <c r="X367" s="432"/>
      <c r="Y367" s="432"/>
      <c r="Z367" s="432"/>
      <c r="AA367" s="432"/>
      <c r="AB367" s="432"/>
      <c r="AC367" s="432"/>
      <c r="AD367" s="432"/>
    </row>
    <row r="368">
      <c r="A368" s="432"/>
      <c r="B368" s="432"/>
      <c r="C368" s="432"/>
      <c r="D368" s="459"/>
      <c r="E368" s="459"/>
      <c r="F368" s="432"/>
      <c r="G368" s="432"/>
      <c r="H368" s="432"/>
      <c r="I368" s="432"/>
      <c r="J368" s="432"/>
      <c r="K368" s="432"/>
      <c r="L368" s="432"/>
      <c r="M368" s="432"/>
      <c r="N368" s="432"/>
      <c r="O368" s="459"/>
      <c r="P368" s="460"/>
      <c r="Q368" s="432"/>
      <c r="R368" s="432"/>
      <c r="S368" s="432"/>
      <c r="T368" s="432"/>
      <c r="U368" s="432"/>
      <c r="V368" s="432"/>
      <c r="W368" s="432"/>
      <c r="X368" s="432"/>
      <c r="Y368" s="432"/>
      <c r="Z368" s="432"/>
      <c r="AA368" s="432"/>
      <c r="AB368" s="432"/>
      <c r="AC368" s="432"/>
      <c r="AD368" s="432"/>
    </row>
    <row r="369">
      <c r="A369" s="432"/>
      <c r="B369" s="432"/>
      <c r="C369" s="432"/>
      <c r="D369" s="459"/>
      <c r="E369" s="459"/>
      <c r="F369" s="432"/>
      <c r="G369" s="432"/>
      <c r="H369" s="432"/>
      <c r="I369" s="432"/>
      <c r="J369" s="432"/>
      <c r="K369" s="432"/>
      <c r="L369" s="432"/>
      <c r="M369" s="432"/>
      <c r="N369" s="432"/>
      <c r="O369" s="459"/>
      <c r="P369" s="460"/>
      <c r="Q369" s="432"/>
      <c r="R369" s="432"/>
      <c r="S369" s="432"/>
      <c r="T369" s="432"/>
      <c r="U369" s="432"/>
      <c r="V369" s="432"/>
      <c r="W369" s="432"/>
      <c r="X369" s="432"/>
      <c r="Y369" s="432"/>
      <c r="Z369" s="432"/>
      <c r="AA369" s="432"/>
      <c r="AB369" s="432"/>
      <c r="AC369" s="432"/>
      <c r="AD369" s="432"/>
    </row>
    <row r="370">
      <c r="A370" s="432"/>
      <c r="B370" s="432"/>
      <c r="C370" s="432"/>
      <c r="D370" s="459"/>
      <c r="E370" s="459"/>
      <c r="F370" s="432"/>
      <c r="G370" s="432"/>
      <c r="H370" s="432"/>
      <c r="I370" s="432"/>
      <c r="J370" s="432"/>
      <c r="K370" s="432"/>
      <c r="L370" s="432"/>
      <c r="M370" s="432"/>
      <c r="N370" s="432"/>
      <c r="O370" s="459"/>
      <c r="P370" s="460"/>
      <c r="Q370" s="432"/>
      <c r="R370" s="432"/>
      <c r="S370" s="432"/>
      <c r="T370" s="432"/>
      <c r="U370" s="432"/>
      <c r="V370" s="432"/>
      <c r="W370" s="432"/>
      <c r="X370" s="432"/>
      <c r="Y370" s="432"/>
      <c r="Z370" s="432"/>
      <c r="AA370" s="432"/>
      <c r="AB370" s="432"/>
      <c r="AC370" s="432"/>
      <c r="AD370" s="432"/>
    </row>
    <row r="371">
      <c r="A371" s="432"/>
      <c r="B371" s="432"/>
      <c r="C371" s="432"/>
      <c r="D371" s="459"/>
      <c r="E371" s="459"/>
      <c r="F371" s="432"/>
      <c r="G371" s="432"/>
      <c r="H371" s="432"/>
      <c r="I371" s="432"/>
      <c r="J371" s="432"/>
      <c r="K371" s="432"/>
      <c r="L371" s="432"/>
      <c r="M371" s="432"/>
      <c r="N371" s="432"/>
      <c r="O371" s="459"/>
      <c r="P371" s="460"/>
      <c r="Q371" s="432"/>
      <c r="R371" s="432"/>
      <c r="S371" s="432"/>
      <c r="T371" s="432"/>
      <c r="U371" s="432"/>
      <c r="V371" s="432"/>
      <c r="W371" s="432"/>
      <c r="X371" s="432"/>
      <c r="Y371" s="432"/>
      <c r="Z371" s="432"/>
      <c r="AA371" s="432"/>
      <c r="AB371" s="432"/>
      <c r="AC371" s="432"/>
      <c r="AD371" s="432"/>
    </row>
    <row r="372">
      <c r="A372" s="432"/>
      <c r="B372" s="432"/>
      <c r="C372" s="432"/>
      <c r="D372" s="459"/>
      <c r="E372" s="459"/>
      <c r="F372" s="432"/>
      <c r="G372" s="432"/>
      <c r="H372" s="432"/>
      <c r="I372" s="432"/>
      <c r="J372" s="432"/>
      <c r="K372" s="432"/>
      <c r="L372" s="432"/>
      <c r="M372" s="432"/>
      <c r="N372" s="432"/>
      <c r="O372" s="459"/>
      <c r="P372" s="460"/>
      <c r="Q372" s="432"/>
      <c r="R372" s="432"/>
      <c r="S372" s="432"/>
      <c r="T372" s="432"/>
      <c r="U372" s="432"/>
      <c r="V372" s="432"/>
      <c r="W372" s="432"/>
      <c r="X372" s="432"/>
      <c r="Y372" s="432"/>
      <c r="Z372" s="432"/>
      <c r="AA372" s="432"/>
      <c r="AB372" s="432"/>
      <c r="AC372" s="432"/>
      <c r="AD372" s="432"/>
    </row>
    <row r="373">
      <c r="A373" s="432"/>
      <c r="B373" s="432"/>
      <c r="C373" s="432"/>
      <c r="D373" s="459"/>
      <c r="E373" s="459"/>
      <c r="F373" s="432"/>
      <c r="G373" s="432"/>
      <c r="H373" s="432"/>
      <c r="I373" s="432"/>
      <c r="J373" s="432"/>
      <c r="K373" s="432"/>
      <c r="L373" s="432"/>
      <c r="M373" s="432"/>
      <c r="N373" s="432"/>
      <c r="O373" s="459"/>
      <c r="P373" s="460"/>
      <c r="Q373" s="432"/>
      <c r="R373" s="432"/>
      <c r="S373" s="432"/>
      <c r="T373" s="432"/>
      <c r="U373" s="432"/>
      <c r="V373" s="432"/>
      <c r="W373" s="432"/>
      <c r="X373" s="432"/>
      <c r="Y373" s="432"/>
      <c r="Z373" s="432"/>
      <c r="AA373" s="432"/>
      <c r="AB373" s="432"/>
      <c r="AC373" s="432"/>
      <c r="AD373" s="432"/>
    </row>
    <row r="374">
      <c r="A374" s="432"/>
      <c r="B374" s="432"/>
      <c r="C374" s="432"/>
      <c r="D374" s="459"/>
      <c r="E374" s="459"/>
      <c r="F374" s="432"/>
      <c r="G374" s="432"/>
      <c r="H374" s="432"/>
      <c r="I374" s="432"/>
      <c r="J374" s="432"/>
      <c r="K374" s="432"/>
      <c r="L374" s="432"/>
      <c r="M374" s="432"/>
      <c r="N374" s="432"/>
      <c r="O374" s="459"/>
      <c r="P374" s="460"/>
      <c r="Q374" s="432"/>
      <c r="R374" s="432"/>
      <c r="S374" s="432"/>
      <c r="T374" s="432"/>
      <c r="U374" s="432"/>
      <c r="V374" s="432"/>
      <c r="W374" s="432"/>
      <c r="X374" s="432"/>
      <c r="Y374" s="432"/>
      <c r="Z374" s="432"/>
      <c r="AA374" s="432"/>
      <c r="AB374" s="432"/>
      <c r="AC374" s="432"/>
      <c r="AD374" s="432"/>
    </row>
    <row r="375">
      <c r="A375" s="432"/>
      <c r="B375" s="432"/>
      <c r="C375" s="432"/>
      <c r="D375" s="459"/>
      <c r="E375" s="459"/>
      <c r="F375" s="432"/>
      <c r="G375" s="432"/>
      <c r="H375" s="432"/>
      <c r="I375" s="432"/>
      <c r="J375" s="432"/>
      <c r="K375" s="432"/>
      <c r="L375" s="432"/>
      <c r="M375" s="432"/>
      <c r="N375" s="432"/>
      <c r="O375" s="459"/>
      <c r="P375" s="460"/>
      <c r="Q375" s="432"/>
      <c r="R375" s="432"/>
      <c r="S375" s="432"/>
      <c r="T375" s="432"/>
      <c r="U375" s="432"/>
      <c r="V375" s="432"/>
      <c r="W375" s="432"/>
      <c r="X375" s="432"/>
      <c r="Y375" s="432"/>
      <c r="Z375" s="432"/>
      <c r="AA375" s="432"/>
      <c r="AB375" s="432"/>
      <c r="AC375" s="432"/>
      <c r="AD375" s="432"/>
    </row>
    <row r="376">
      <c r="A376" s="432"/>
      <c r="B376" s="432"/>
      <c r="C376" s="432"/>
      <c r="D376" s="459"/>
      <c r="E376" s="459"/>
      <c r="F376" s="432"/>
      <c r="G376" s="432"/>
      <c r="H376" s="432"/>
      <c r="I376" s="432"/>
      <c r="J376" s="432"/>
      <c r="K376" s="432"/>
      <c r="L376" s="432"/>
      <c r="M376" s="432"/>
      <c r="N376" s="432"/>
      <c r="O376" s="459"/>
      <c r="P376" s="460"/>
      <c r="Q376" s="432"/>
      <c r="R376" s="432"/>
      <c r="S376" s="432"/>
      <c r="T376" s="432"/>
      <c r="U376" s="432"/>
      <c r="V376" s="432"/>
      <c r="W376" s="432"/>
      <c r="X376" s="432"/>
      <c r="Y376" s="432"/>
      <c r="Z376" s="432"/>
      <c r="AA376" s="432"/>
      <c r="AB376" s="432"/>
      <c r="AC376" s="432"/>
      <c r="AD376" s="432"/>
    </row>
    <row r="377">
      <c r="A377" s="432"/>
      <c r="B377" s="432"/>
      <c r="C377" s="432"/>
      <c r="D377" s="459"/>
      <c r="E377" s="459"/>
      <c r="F377" s="432"/>
      <c r="G377" s="432"/>
      <c r="H377" s="432"/>
      <c r="I377" s="432"/>
      <c r="J377" s="432"/>
      <c r="K377" s="432"/>
      <c r="L377" s="432"/>
      <c r="M377" s="432"/>
      <c r="N377" s="432"/>
      <c r="O377" s="459"/>
      <c r="P377" s="460"/>
      <c r="Q377" s="432"/>
      <c r="R377" s="432"/>
      <c r="S377" s="432"/>
      <c r="T377" s="432"/>
      <c r="U377" s="432"/>
      <c r="V377" s="432"/>
      <c r="W377" s="432"/>
      <c r="X377" s="432"/>
      <c r="Y377" s="432"/>
      <c r="Z377" s="432"/>
      <c r="AA377" s="432"/>
      <c r="AB377" s="432"/>
      <c r="AC377" s="432"/>
      <c r="AD377" s="432"/>
    </row>
    <row r="378">
      <c r="A378" s="432"/>
      <c r="B378" s="432"/>
      <c r="C378" s="432"/>
      <c r="D378" s="459"/>
      <c r="E378" s="459"/>
      <c r="F378" s="432"/>
      <c r="G378" s="432"/>
      <c r="H378" s="432"/>
      <c r="I378" s="432"/>
      <c r="J378" s="432"/>
      <c r="K378" s="432"/>
      <c r="L378" s="432"/>
      <c r="M378" s="432"/>
      <c r="N378" s="432"/>
      <c r="O378" s="459"/>
      <c r="P378" s="460"/>
      <c r="Q378" s="432"/>
      <c r="R378" s="432"/>
      <c r="S378" s="432"/>
      <c r="T378" s="432"/>
      <c r="U378" s="432"/>
      <c r="V378" s="432"/>
      <c r="W378" s="432"/>
      <c r="X378" s="432"/>
      <c r="Y378" s="432"/>
      <c r="Z378" s="432"/>
      <c r="AA378" s="432"/>
      <c r="AB378" s="432"/>
      <c r="AC378" s="432"/>
      <c r="AD378" s="432"/>
    </row>
    <row r="379">
      <c r="A379" s="432"/>
      <c r="B379" s="432"/>
      <c r="C379" s="432"/>
      <c r="D379" s="459"/>
      <c r="E379" s="459"/>
      <c r="F379" s="432"/>
      <c r="G379" s="432"/>
      <c r="H379" s="432"/>
      <c r="I379" s="432"/>
      <c r="J379" s="432"/>
      <c r="K379" s="432"/>
      <c r="L379" s="432"/>
      <c r="M379" s="432"/>
      <c r="N379" s="432"/>
      <c r="O379" s="459"/>
      <c r="P379" s="460"/>
      <c r="Q379" s="432"/>
      <c r="R379" s="432"/>
      <c r="S379" s="432"/>
      <c r="T379" s="432"/>
      <c r="U379" s="432"/>
      <c r="V379" s="432"/>
      <c r="W379" s="432"/>
      <c r="X379" s="432"/>
      <c r="Y379" s="432"/>
      <c r="Z379" s="432"/>
      <c r="AA379" s="432"/>
      <c r="AB379" s="432"/>
      <c r="AC379" s="432"/>
      <c r="AD379" s="432"/>
    </row>
    <row r="380">
      <c r="A380" s="432"/>
      <c r="B380" s="432"/>
      <c r="C380" s="432"/>
      <c r="D380" s="459"/>
      <c r="E380" s="459"/>
      <c r="F380" s="432"/>
      <c r="G380" s="432"/>
      <c r="H380" s="432"/>
      <c r="I380" s="432"/>
      <c r="J380" s="432"/>
      <c r="K380" s="432"/>
      <c r="L380" s="432"/>
      <c r="M380" s="432"/>
      <c r="N380" s="432"/>
      <c r="O380" s="459"/>
      <c r="P380" s="460"/>
      <c r="Q380" s="432"/>
      <c r="R380" s="432"/>
      <c r="S380" s="432"/>
      <c r="T380" s="432"/>
      <c r="U380" s="432"/>
      <c r="V380" s="432"/>
      <c r="W380" s="432"/>
      <c r="X380" s="432"/>
      <c r="Y380" s="432"/>
      <c r="Z380" s="432"/>
      <c r="AA380" s="432"/>
      <c r="AB380" s="432"/>
      <c r="AC380" s="432"/>
      <c r="AD380" s="432"/>
    </row>
    <row r="381">
      <c r="A381" s="432"/>
      <c r="B381" s="432"/>
      <c r="C381" s="432"/>
      <c r="D381" s="459"/>
      <c r="E381" s="459"/>
      <c r="F381" s="432"/>
      <c r="G381" s="432"/>
      <c r="H381" s="432"/>
      <c r="I381" s="432"/>
      <c r="J381" s="432"/>
      <c r="K381" s="432"/>
      <c r="L381" s="432"/>
      <c r="M381" s="432"/>
      <c r="N381" s="432"/>
      <c r="O381" s="459"/>
      <c r="P381" s="460"/>
      <c r="Q381" s="432"/>
      <c r="R381" s="432"/>
      <c r="S381" s="432"/>
      <c r="T381" s="432"/>
      <c r="U381" s="432"/>
      <c r="V381" s="432"/>
      <c r="W381" s="432"/>
      <c r="X381" s="432"/>
      <c r="Y381" s="432"/>
      <c r="Z381" s="432"/>
      <c r="AA381" s="432"/>
      <c r="AB381" s="432"/>
      <c r="AC381" s="432"/>
      <c r="AD381" s="432"/>
    </row>
    <row r="382">
      <c r="A382" s="432"/>
      <c r="B382" s="432"/>
      <c r="C382" s="432"/>
      <c r="D382" s="459"/>
      <c r="E382" s="459"/>
      <c r="F382" s="432"/>
      <c r="G382" s="432"/>
      <c r="H382" s="432"/>
      <c r="I382" s="432"/>
      <c r="J382" s="432"/>
      <c r="K382" s="432"/>
      <c r="L382" s="432"/>
      <c r="M382" s="432"/>
      <c r="N382" s="432"/>
      <c r="O382" s="459"/>
      <c r="P382" s="460"/>
      <c r="Q382" s="432"/>
      <c r="R382" s="432"/>
      <c r="S382" s="432"/>
      <c r="T382" s="432"/>
      <c r="U382" s="432"/>
      <c r="V382" s="432"/>
      <c r="W382" s="432"/>
      <c r="X382" s="432"/>
      <c r="Y382" s="432"/>
      <c r="Z382" s="432"/>
      <c r="AA382" s="432"/>
      <c r="AB382" s="432"/>
      <c r="AC382" s="432"/>
      <c r="AD382" s="432"/>
    </row>
    <row r="383">
      <c r="A383" s="432"/>
      <c r="B383" s="432"/>
      <c r="C383" s="432"/>
      <c r="D383" s="459"/>
      <c r="E383" s="459"/>
      <c r="F383" s="432"/>
      <c r="G383" s="432"/>
      <c r="H383" s="432"/>
      <c r="I383" s="432"/>
      <c r="J383" s="432"/>
      <c r="K383" s="432"/>
      <c r="L383" s="432"/>
      <c r="M383" s="432"/>
      <c r="N383" s="432"/>
      <c r="O383" s="459"/>
      <c r="P383" s="460"/>
      <c r="Q383" s="432"/>
      <c r="R383" s="432"/>
      <c r="S383" s="432"/>
      <c r="T383" s="432"/>
      <c r="U383" s="432"/>
      <c r="V383" s="432"/>
      <c r="W383" s="432"/>
      <c r="X383" s="432"/>
      <c r="Y383" s="432"/>
      <c r="Z383" s="432"/>
      <c r="AA383" s="432"/>
      <c r="AB383" s="432"/>
      <c r="AC383" s="432"/>
      <c r="AD383" s="432"/>
    </row>
    <row r="384">
      <c r="A384" s="432"/>
      <c r="B384" s="432"/>
      <c r="C384" s="432"/>
      <c r="D384" s="459"/>
      <c r="E384" s="459"/>
      <c r="F384" s="432"/>
      <c r="G384" s="432"/>
      <c r="H384" s="432"/>
      <c r="I384" s="432"/>
      <c r="J384" s="432"/>
      <c r="K384" s="432"/>
      <c r="L384" s="432"/>
      <c r="M384" s="432"/>
      <c r="N384" s="432"/>
      <c r="O384" s="459"/>
      <c r="P384" s="460"/>
      <c r="Q384" s="432"/>
      <c r="R384" s="432"/>
      <c r="S384" s="432"/>
      <c r="T384" s="432"/>
      <c r="U384" s="432"/>
      <c r="V384" s="432"/>
      <c r="W384" s="432"/>
      <c r="X384" s="432"/>
      <c r="Y384" s="432"/>
      <c r="Z384" s="432"/>
      <c r="AA384" s="432"/>
      <c r="AB384" s="432"/>
      <c r="AC384" s="432"/>
      <c r="AD384" s="432"/>
    </row>
    <row r="385">
      <c r="A385" s="432"/>
      <c r="B385" s="432"/>
      <c r="C385" s="432"/>
      <c r="D385" s="459"/>
      <c r="E385" s="459"/>
      <c r="F385" s="432"/>
      <c r="G385" s="432"/>
      <c r="H385" s="432"/>
      <c r="I385" s="432"/>
      <c r="J385" s="432"/>
      <c r="K385" s="432"/>
      <c r="L385" s="432"/>
      <c r="M385" s="432"/>
      <c r="N385" s="432"/>
      <c r="O385" s="459"/>
      <c r="P385" s="460"/>
      <c r="Q385" s="432"/>
      <c r="R385" s="432"/>
      <c r="S385" s="432"/>
      <c r="T385" s="432"/>
      <c r="U385" s="432"/>
      <c r="V385" s="432"/>
      <c r="W385" s="432"/>
      <c r="X385" s="432"/>
      <c r="Y385" s="432"/>
      <c r="Z385" s="432"/>
      <c r="AA385" s="432"/>
      <c r="AB385" s="432"/>
      <c r="AC385" s="432"/>
      <c r="AD385" s="432"/>
    </row>
    <row r="386">
      <c r="A386" s="432"/>
      <c r="B386" s="432"/>
      <c r="C386" s="432"/>
      <c r="D386" s="459"/>
      <c r="E386" s="459"/>
      <c r="F386" s="432"/>
      <c r="G386" s="432"/>
      <c r="H386" s="432"/>
      <c r="I386" s="432"/>
      <c r="J386" s="432"/>
      <c r="K386" s="432"/>
      <c r="L386" s="432"/>
      <c r="M386" s="432"/>
      <c r="N386" s="432"/>
      <c r="O386" s="459"/>
      <c r="P386" s="460"/>
      <c r="Q386" s="432"/>
      <c r="R386" s="432"/>
      <c r="S386" s="432"/>
      <c r="T386" s="432"/>
      <c r="U386" s="432"/>
      <c r="V386" s="432"/>
      <c r="W386" s="432"/>
      <c r="X386" s="432"/>
      <c r="Y386" s="432"/>
      <c r="Z386" s="432"/>
      <c r="AA386" s="432"/>
      <c r="AB386" s="432"/>
      <c r="AC386" s="432"/>
      <c r="AD386" s="432"/>
    </row>
    <row r="387">
      <c r="A387" s="432"/>
      <c r="B387" s="432"/>
      <c r="C387" s="432"/>
      <c r="D387" s="459"/>
      <c r="E387" s="459"/>
      <c r="F387" s="432"/>
      <c r="G387" s="432"/>
      <c r="H387" s="432"/>
      <c r="I387" s="432"/>
      <c r="J387" s="432"/>
      <c r="K387" s="432"/>
      <c r="L387" s="432"/>
      <c r="M387" s="432"/>
      <c r="N387" s="432"/>
      <c r="O387" s="459"/>
      <c r="P387" s="460"/>
      <c r="Q387" s="432"/>
      <c r="R387" s="432"/>
      <c r="S387" s="432"/>
      <c r="T387" s="432"/>
      <c r="U387" s="432"/>
      <c r="V387" s="432"/>
      <c r="W387" s="432"/>
      <c r="X387" s="432"/>
      <c r="Y387" s="432"/>
      <c r="Z387" s="432"/>
      <c r="AA387" s="432"/>
      <c r="AB387" s="432"/>
      <c r="AC387" s="432"/>
      <c r="AD387" s="432"/>
    </row>
    <row r="388">
      <c r="A388" s="432"/>
      <c r="B388" s="432"/>
      <c r="C388" s="432"/>
      <c r="D388" s="459"/>
      <c r="E388" s="459"/>
      <c r="F388" s="432"/>
      <c r="G388" s="432"/>
      <c r="H388" s="432"/>
      <c r="I388" s="432"/>
      <c r="J388" s="432"/>
      <c r="K388" s="432"/>
      <c r="L388" s="432"/>
      <c r="M388" s="432"/>
      <c r="N388" s="432"/>
      <c r="O388" s="459"/>
      <c r="P388" s="460"/>
      <c r="Q388" s="432"/>
      <c r="R388" s="432"/>
      <c r="S388" s="432"/>
      <c r="T388" s="432"/>
      <c r="U388" s="432"/>
      <c r="V388" s="432"/>
      <c r="W388" s="432"/>
      <c r="X388" s="432"/>
      <c r="Y388" s="432"/>
      <c r="Z388" s="432"/>
      <c r="AA388" s="432"/>
      <c r="AB388" s="432"/>
      <c r="AC388" s="432"/>
      <c r="AD388" s="432"/>
    </row>
    <row r="389">
      <c r="A389" s="432"/>
      <c r="B389" s="432"/>
      <c r="C389" s="432"/>
      <c r="D389" s="459"/>
      <c r="E389" s="459"/>
      <c r="F389" s="432"/>
      <c r="G389" s="432"/>
      <c r="H389" s="432"/>
      <c r="I389" s="432"/>
      <c r="J389" s="432"/>
      <c r="K389" s="432"/>
      <c r="L389" s="432"/>
      <c r="M389" s="432"/>
      <c r="N389" s="432"/>
      <c r="O389" s="459"/>
      <c r="P389" s="460"/>
      <c r="Q389" s="432"/>
      <c r="R389" s="432"/>
      <c r="S389" s="432"/>
      <c r="T389" s="432"/>
      <c r="U389" s="432"/>
      <c r="V389" s="432"/>
      <c r="W389" s="432"/>
      <c r="X389" s="432"/>
      <c r="Y389" s="432"/>
      <c r="Z389" s="432"/>
      <c r="AA389" s="432"/>
      <c r="AB389" s="432"/>
      <c r="AC389" s="432"/>
      <c r="AD389" s="432"/>
    </row>
    <row r="390">
      <c r="A390" s="432"/>
      <c r="B390" s="432"/>
      <c r="C390" s="432"/>
      <c r="D390" s="459"/>
      <c r="E390" s="459"/>
      <c r="F390" s="432"/>
      <c r="G390" s="432"/>
      <c r="H390" s="432"/>
      <c r="I390" s="432"/>
      <c r="J390" s="432"/>
      <c r="K390" s="432"/>
      <c r="L390" s="432"/>
      <c r="M390" s="432"/>
      <c r="N390" s="432"/>
      <c r="O390" s="459"/>
      <c r="P390" s="460"/>
      <c r="Q390" s="432"/>
      <c r="R390" s="432"/>
      <c r="S390" s="432"/>
      <c r="T390" s="432"/>
      <c r="U390" s="432"/>
      <c r="V390" s="432"/>
      <c r="W390" s="432"/>
      <c r="X390" s="432"/>
      <c r="Y390" s="432"/>
      <c r="Z390" s="432"/>
      <c r="AA390" s="432"/>
      <c r="AB390" s="432"/>
      <c r="AC390" s="432"/>
      <c r="AD390" s="432"/>
    </row>
    <row r="391">
      <c r="A391" s="432"/>
      <c r="B391" s="432"/>
      <c r="C391" s="432"/>
      <c r="D391" s="459"/>
      <c r="E391" s="459"/>
      <c r="F391" s="432"/>
      <c r="G391" s="432"/>
      <c r="H391" s="432"/>
      <c r="I391" s="432"/>
      <c r="J391" s="432"/>
      <c r="K391" s="432"/>
      <c r="L391" s="432"/>
      <c r="M391" s="432"/>
      <c r="N391" s="432"/>
      <c r="O391" s="459"/>
      <c r="P391" s="460"/>
      <c r="Q391" s="432"/>
      <c r="R391" s="432"/>
      <c r="S391" s="432"/>
      <c r="T391" s="432"/>
      <c r="U391" s="432"/>
      <c r="V391" s="432"/>
      <c r="W391" s="432"/>
      <c r="X391" s="432"/>
      <c r="Y391" s="432"/>
      <c r="Z391" s="432"/>
      <c r="AA391" s="432"/>
      <c r="AB391" s="432"/>
      <c r="AC391" s="432"/>
      <c r="AD391" s="432"/>
    </row>
    <row r="392">
      <c r="A392" s="432"/>
      <c r="B392" s="432"/>
      <c r="C392" s="432"/>
      <c r="D392" s="459"/>
      <c r="E392" s="459"/>
      <c r="F392" s="432"/>
      <c r="G392" s="432"/>
      <c r="H392" s="432"/>
      <c r="I392" s="432"/>
      <c r="J392" s="432"/>
      <c r="K392" s="432"/>
      <c r="L392" s="432"/>
      <c r="M392" s="432"/>
      <c r="N392" s="432"/>
      <c r="O392" s="459"/>
      <c r="P392" s="460"/>
      <c r="Q392" s="432"/>
      <c r="R392" s="432"/>
      <c r="S392" s="432"/>
      <c r="T392" s="432"/>
      <c r="U392" s="432"/>
      <c r="V392" s="432"/>
      <c r="W392" s="432"/>
      <c r="X392" s="432"/>
      <c r="Y392" s="432"/>
      <c r="Z392" s="432"/>
      <c r="AA392" s="432"/>
      <c r="AB392" s="432"/>
      <c r="AC392" s="432"/>
      <c r="AD392" s="432"/>
    </row>
    <row r="393">
      <c r="A393" s="432"/>
      <c r="B393" s="432"/>
      <c r="C393" s="432"/>
      <c r="D393" s="459"/>
      <c r="E393" s="459"/>
      <c r="F393" s="432"/>
      <c r="G393" s="432"/>
      <c r="H393" s="432"/>
      <c r="I393" s="432"/>
      <c r="J393" s="432"/>
      <c r="K393" s="432"/>
      <c r="L393" s="432"/>
      <c r="M393" s="432"/>
      <c r="N393" s="432"/>
      <c r="O393" s="459"/>
      <c r="P393" s="460"/>
      <c r="Q393" s="432"/>
      <c r="R393" s="432"/>
      <c r="S393" s="432"/>
      <c r="T393" s="432"/>
      <c r="U393" s="432"/>
      <c r="V393" s="432"/>
      <c r="W393" s="432"/>
      <c r="X393" s="432"/>
      <c r="Y393" s="432"/>
      <c r="Z393" s="432"/>
      <c r="AA393" s="432"/>
      <c r="AB393" s="432"/>
      <c r="AC393" s="432"/>
      <c r="AD393" s="432"/>
    </row>
    <row r="394">
      <c r="A394" s="432"/>
      <c r="B394" s="432"/>
      <c r="C394" s="432"/>
      <c r="D394" s="459"/>
      <c r="E394" s="459"/>
      <c r="F394" s="432"/>
      <c r="G394" s="432"/>
      <c r="H394" s="432"/>
      <c r="I394" s="432"/>
      <c r="J394" s="432"/>
      <c r="K394" s="432"/>
      <c r="L394" s="432"/>
      <c r="M394" s="432"/>
      <c r="N394" s="432"/>
      <c r="O394" s="459"/>
      <c r="P394" s="460"/>
      <c r="Q394" s="432"/>
      <c r="R394" s="432"/>
      <c r="S394" s="432"/>
      <c r="T394" s="432"/>
      <c r="U394" s="432"/>
      <c r="V394" s="432"/>
      <c r="W394" s="432"/>
      <c r="X394" s="432"/>
      <c r="Y394" s="432"/>
      <c r="Z394" s="432"/>
      <c r="AA394" s="432"/>
      <c r="AB394" s="432"/>
      <c r="AC394" s="432"/>
      <c r="AD394" s="432"/>
    </row>
    <row r="395">
      <c r="A395" s="432"/>
      <c r="B395" s="432"/>
      <c r="C395" s="432"/>
      <c r="D395" s="459"/>
      <c r="E395" s="459"/>
      <c r="F395" s="432"/>
      <c r="G395" s="432"/>
      <c r="H395" s="432"/>
      <c r="I395" s="432"/>
      <c r="J395" s="432"/>
      <c r="K395" s="432"/>
      <c r="L395" s="432"/>
      <c r="M395" s="432"/>
      <c r="N395" s="432"/>
      <c r="O395" s="459"/>
      <c r="P395" s="460"/>
      <c r="Q395" s="432"/>
      <c r="R395" s="432"/>
      <c r="S395" s="432"/>
      <c r="T395" s="432"/>
      <c r="U395" s="432"/>
      <c r="V395" s="432"/>
      <c r="W395" s="432"/>
      <c r="X395" s="432"/>
      <c r="Y395" s="432"/>
      <c r="Z395" s="432"/>
      <c r="AA395" s="432"/>
      <c r="AB395" s="432"/>
      <c r="AC395" s="432"/>
      <c r="AD395" s="432"/>
    </row>
    <row r="396">
      <c r="A396" s="432"/>
      <c r="B396" s="432"/>
      <c r="C396" s="432"/>
      <c r="D396" s="459"/>
      <c r="E396" s="459"/>
      <c r="F396" s="432"/>
      <c r="G396" s="432"/>
      <c r="H396" s="432"/>
      <c r="I396" s="432"/>
      <c r="J396" s="432"/>
      <c r="K396" s="432"/>
      <c r="L396" s="432"/>
      <c r="M396" s="432"/>
      <c r="N396" s="432"/>
      <c r="O396" s="459"/>
      <c r="P396" s="460"/>
      <c r="Q396" s="432"/>
      <c r="R396" s="432"/>
      <c r="S396" s="432"/>
      <c r="T396" s="432"/>
      <c r="U396" s="432"/>
      <c r="V396" s="432"/>
      <c r="W396" s="432"/>
      <c r="X396" s="432"/>
      <c r="Y396" s="432"/>
      <c r="Z396" s="432"/>
      <c r="AA396" s="432"/>
      <c r="AB396" s="432"/>
      <c r="AC396" s="432"/>
      <c r="AD396" s="432"/>
    </row>
    <row r="397">
      <c r="A397" s="432"/>
      <c r="B397" s="432"/>
      <c r="C397" s="432"/>
      <c r="D397" s="459"/>
      <c r="E397" s="459"/>
      <c r="F397" s="432"/>
      <c r="G397" s="432"/>
      <c r="H397" s="432"/>
      <c r="I397" s="432"/>
      <c r="J397" s="432"/>
      <c r="K397" s="432"/>
      <c r="L397" s="432"/>
      <c r="M397" s="432"/>
      <c r="N397" s="432"/>
      <c r="O397" s="459"/>
      <c r="P397" s="460"/>
      <c r="Q397" s="432"/>
      <c r="R397" s="432"/>
      <c r="S397" s="432"/>
      <c r="T397" s="432"/>
      <c r="U397" s="432"/>
      <c r="V397" s="432"/>
      <c r="W397" s="432"/>
      <c r="X397" s="432"/>
      <c r="Y397" s="432"/>
      <c r="Z397" s="432"/>
      <c r="AA397" s="432"/>
      <c r="AB397" s="432"/>
      <c r="AC397" s="432"/>
      <c r="AD397" s="432"/>
    </row>
    <row r="398">
      <c r="A398" s="432"/>
      <c r="B398" s="432"/>
      <c r="C398" s="432"/>
      <c r="D398" s="459"/>
      <c r="E398" s="459"/>
      <c r="F398" s="432"/>
      <c r="G398" s="432"/>
      <c r="H398" s="432"/>
      <c r="I398" s="432"/>
      <c r="J398" s="432"/>
      <c r="K398" s="432"/>
      <c r="L398" s="432"/>
      <c r="M398" s="432"/>
      <c r="N398" s="432"/>
      <c r="O398" s="459"/>
      <c r="P398" s="460"/>
      <c r="Q398" s="432"/>
      <c r="R398" s="432"/>
      <c r="S398" s="432"/>
      <c r="T398" s="432"/>
      <c r="U398" s="432"/>
      <c r="V398" s="432"/>
      <c r="W398" s="432"/>
      <c r="X398" s="432"/>
      <c r="Y398" s="432"/>
      <c r="Z398" s="432"/>
      <c r="AA398" s="432"/>
      <c r="AB398" s="432"/>
      <c r="AC398" s="432"/>
      <c r="AD398" s="432"/>
    </row>
    <row r="399">
      <c r="A399" s="432"/>
      <c r="B399" s="432"/>
      <c r="C399" s="432"/>
      <c r="D399" s="459"/>
      <c r="E399" s="459"/>
      <c r="F399" s="432"/>
      <c r="G399" s="432"/>
      <c r="H399" s="432"/>
      <c r="I399" s="432"/>
      <c r="J399" s="432"/>
      <c r="K399" s="432"/>
      <c r="L399" s="432"/>
      <c r="M399" s="432"/>
      <c r="N399" s="432"/>
      <c r="O399" s="459"/>
      <c r="P399" s="460"/>
      <c r="Q399" s="432"/>
      <c r="R399" s="432"/>
      <c r="S399" s="432"/>
      <c r="T399" s="432"/>
      <c r="U399" s="432"/>
      <c r="V399" s="432"/>
      <c r="W399" s="432"/>
      <c r="X399" s="432"/>
      <c r="Y399" s="432"/>
      <c r="Z399" s="432"/>
      <c r="AA399" s="432"/>
      <c r="AB399" s="432"/>
      <c r="AC399" s="432"/>
      <c r="AD399" s="432"/>
    </row>
    <row r="400">
      <c r="A400" s="432"/>
      <c r="B400" s="432"/>
      <c r="C400" s="432"/>
      <c r="D400" s="459"/>
      <c r="E400" s="459"/>
      <c r="F400" s="432"/>
      <c r="G400" s="432"/>
      <c r="H400" s="432"/>
      <c r="I400" s="432"/>
      <c r="J400" s="432"/>
      <c r="K400" s="432"/>
      <c r="L400" s="432"/>
      <c r="M400" s="432"/>
      <c r="N400" s="432"/>
      <c r="O400" s="459"/>
      <c r="P400" s="460"/>
      <c r="Q400" s="432"/>
      <c r="R400" s="432"/>
      <c r="S400" s="432"/>
      <c r="T400" s="432"/>
      <c r="U400" s="432"/>
      <c r="V400" s="432"/>
      <c r="W400" s="432"/>
      <c r="X400" s="432"/>
      <c r="Y400" s="432"/>
      <c r="Z400" s="432"/>
      <c r="AA400" s="432"/>
      <c r="AB400" s="432"/>
      <c r="AC400" s="432"/>
      <c r="AD400" s="432"/>
    </row>
    <row r="401">
      <c r="A401" s="432"/>
      <c r="B401" s="432"/>
      <c r="C401" s="432"/>
      <c r="D401" s="459"/>
      <c r="E401" s="459"/>
      <c r="F401" s="432"/>
      <c r="G401" s="432"/>
      <c r="H401" s="432"/>
      <c r="I401" s="432"/>
      <c r="J401" s="432"/>
      <c r="K401" s="432"/>
      <c r="L401" s="432"/>
      <c r="M401" s="432"/>
      <c r="N401" s="432"/>
      <c r="O401" s="459"/>
      <c r="P401" s="460"/>
      <c r="Q401" s="432"/>
      <c r="R401" s="432"/>
      <c r="S401" s="432"/>
      <c r="T401" s="432"/>
      <c r="U401" s="432"/>
      <c r="V401" s="432"/>
      <c r="W401" s="432"/>
      <c r="X401" s="432"/>
      <c r="Y401" s="432"/>
      <c r="Z401" s="432"/>
      <c r="AA401" s="432"/>
      <c r="AB401" s="432"/>
      <c r="AC401" s="432"/>
      <c r="AD401" s="432"/>
    </row>
    <row r="402">
      <c r="A402" s="432"/>
      <c r="B402" s="432"/>
      <c r="C402" s="432"/>
      <c r="D402" s="459"/>
      <c r="E402" s="459"/>
      <c r="F402" s="432"/>
      <c r="G402" s="432"/>
      <c r="H402" s="432"/>
      <c r="I402" s="432"/>
      <c r="J402" s="432"/>
      <c r="K402" s="432"/>
      <c r="L402" s="432"/>
      <c r="M402" s="432"/>
      <c r="N402" s="432"/>
      <c r="O402" s="459"/>
      <c r="P402" s="460"/>
      <c r="Q402" s="432"/>
      <c r="R402" s="432"/>
      <c r="S402" s="432"/>
      <c r="T402" s="432"/>
      <c r="U402" s="432"/>
      <c r="V402" s="432"/>
      <c r="W402" s="432"/>
      <c r="X402" s="432"/>
      <c r="Y402" s="432"/>
      <c r="Z402" s="432"/>
      <c r="AA402" s="432"/>
      <c r="AB402" s="432"/>
      <c r="AC402" s="432"/>
      <c r="AD402" s="432"/>
    </row>
    <row r="403">
      <c r="A403" s="432"/>
      <c r="B403" s="432"/>
      <c r="C403" s="432"/>
      <c r="D403" s="459"/>
      <c r="E403" s="459"/>
      <c r="F403" s="432"/>
      <c r="G403" s="432"/>
      <c r="H403" s="432"/>
      <c r="I403" s="432"/>
      <c r="J403" s="432"/>
      <c r="K403" s="432"/>
      <c r="L403" s="432"/>
      <c r="M403" s="432"/>
      <c r="N403" s="432"/>
      <c r="O403" s="459"/>
      <c r="P403" s="460"/>
      <c r="Q403" s="432"/>
      <c r="R403" s="432"/>
      <c r="S403" s="432"/>
      <c r="T403" s="432"/>
      <c r="U403" s="432"/>
      <c r="V403" s="432"/>
      <c r="W403" s="432"/>
      <c r="X403" s="432"/>
      <c r="Y403" s="432"/>
      <c r="Z403" s="432"/>
      <c r="AA403" s="432"/>
      <c r="AB403" s="432"/>
      <c r="AC403" s="432"/>
      <c r="AD403" s="432"/>
    </row>
    <row r="404">
      <c r="A404" s="432"/>
      <c r="B404" s="432"/>
      <c r="C404" s="432"/>
      <c r="D404" s="459"/>
      <c r="E404" s="459"/>
      <c r="F404" s="432"/>
      <c r="G404" s="432"/>
      <c r="H404" s="432"/>
      <c r="I404" s="432"/>
      <c r="J404" s="432"/>
      <c r="K404" s="432"/>
      <c r="L404" s="432"/>
      <c r="M404" s="432"/>
      <c r="N404" s="432"/>
      <c r="O404" s="459"/>
      <c r="P404" s="460"/>
      <c r="Q404" s="432"/>
      <c r="R404" s="432"/>
      <c r="S404" s="432"/>
      <c r="T404" s="432"/>
      <c r="U404" s="432"/>
      <c r="V404" s="432"/>
      <c r="W404" s="432"/>
      <c r="X404" s="432"/>
      <c r="Y404" s="432"/>
      <c r="Z404" s="432"/>
      <c r="AA404" s="432"/>
      <c r="AB404" s="432"/>
      <c r="AC404" s="432"/>
      <c r="AD404" s="432"/>
    </row>
    <row r="405">
      <c r="A405" s="432"/>
      <c r="B405" s="432"/>
      <c r="C405" s="432"/>
      <c r="D405" s="459"/>
      <c r="E405" s="459"/>
      <c r="F405" s="432"/>
      <c r="G405" s="432"/>
      <c r="H405" s="432"/>
      <c r="I405" s="432"/>
      <c r="J405" s="432"/>
      <c r="K405" s="432"/>
      <c r="L405" s="432"/>
      <c r="M405" s="432"/>
      <c r="N405" s="432"/>
      <c r="O405" s="459"/>
      <c r="P405" s="460"/>
      <c r="Q405" s="432"/>
      <c r="R405" s="432"/>
      <c r="S405" s="432"/>
      <c r="T405" s="432"/>
      <c r="U405" s="432"/>
      <c r="V405" s="432"/>
      <c r="W405" s="432"/>
      <c r="X405" s="432"/>
      <c r="Y405" s="432"/>
      <c r="Z405" s="432"/>
      <c r="AA405" s="432"/>
      <c r="AB405" s="432"/>
      <c r="AC405" s="432"/>
      <c r="AD405" s="432"/>
    </row>
    <row r="406">
      <c r="A406" s="432"/>
      <c r="B406" s="432"/>
      <c r="C406" s="432"/>
      <c r="D406" s="459"/>
      <c r="E406" s="459"/>
      <c r="F406" s="432"/>
      <c r="G406" s="432"/>
      <c r="H406" s="432"/>
      <c r="I406" s="432"/>
      <c r="J406" s="432"/>
      <c r="K406" s="432"/>
      <c r="L406" s="432"/>
      <c r="M406" s="432"/>
      <c r="N406" s="432"/>
      <c r="O406" s="459"/>
      <c r="P406" s="460"/>
      <c r="Q406" s="432"/>
      <c r="R406" s="432"/>
      <c r="S406" s="432"/>
      <c r="T406" s="432"/>
      <c r="U406" s="432"/>
      <c r="V406" s="432"/>
      <c r="W406" s="432"/>
      <c r="X406" s="432"/>
      <c r="Y406" s="432"/>
      <c r="Z406" s="432"/>
      <c r="AA406" s="432"/>
      <c r="AB406" s="432"/>
      <c r="AC406" s="432"/>
      <c r="AD406" s="432"/>
    </row>
    <row r="407">
      <c r="A407" s="432"/>
      <c r="B407" s="432"/>
      <c r="C407" s="432"/>
      <c r="D407" s="459"/>
      <c r="E407" s="459"/>
      <c r="F407" s="432"/>
      <c r="G407" s="432"/>
      <c r="H407" s="432"/>
      <c r="I407" s="432"/>
      <c r="J407" s="432"/>
      <c r="K407" s="432"/>
      <c r="L407" s="432"/>
      <c r="M407" s="432"/>
      <c r="N407" s="432"/>
      <c r="O407" s="459"/>
      <c r="P407" s="460"/>
      <c r="Q407" s="432"/>
      <c r="R407" s="432"/>
      <c r="S407" s="432"/>
      <c r="T407" s="432"/>
      <c r="U407" s="432"/>
      <c r="V407" s="432"/>
      <c r="W407" s="432"/>
      <c r="X407" s="432"/>
      <c r="Y407" s="432"/>
      <c r="Z407" s="432"/>
      <c r="AA407" s="432"/>
      <c r="AB407" s="432"/>
      <c r="AC407" s="432"/>
      <c r="AD407" s="432"/>
    </row>
    <row r="408">
      <c r="A408" s="432"/>
      <c r="B408" s="432"/>
      <c r="C408" s="432"/>
      <c r="D408" s="459"/>
      <c r="E408" s="459"/>
      <c r="F408" s="432"/>
      <c r="G408" s="432"/>
      <c r="H408" s="432"/>
      <c r="I408" s="432"/>
      <c r="J408" s="432"/>
      <c r="K408" s="432"/>
      <c r="L408" s="432"/>
      <c r="M408" s="432"/>
      <c r="N408" s="432"/>
      <c r="O408" s="459"/>
      <c r="P408" s="460"/>
      <c r="Q408" s="432"/>
      <c r="R408" s="432"/>
      <c r="S408" s="432"/>
      <c r="T408" s="432"/>
      <c r="U408" s="432"/>
      <c r="V408" s="432"/>
      <c r="W408" s="432"/>
      <c r="X408" s="432"/>
      <c r="Y408" s="432"/>
      <c r="Z408" s="432"/>
      <c r="AA408" s="432"/>
      <c r="AB408" s="432"/>
      <c r="AC408" s="432"/>
      <c r="AD408" s="432"/>
    </row>
    <row r="409">
      <c r="A409" s="432"/>
      <c r="B409" s="432"/>
      <c r="C409" s="432"/>
      <c r="D409" s="459"/>
      <c r="E409" s="459"/>
      <c r="F409" s="432"/>
      <c r="G409" s="432"/>
      <c r="H409" s="432"/>
      <c r="I409" s="432"/>
      <c r="J409" s="432"/>
      <c r="K409" s="432"/>
      <c r="L409" s="432"/>
      <c r="M409" s="432"/>
      <c r="N409" s="432"/>
      <c r="O409" s="459"/>
      <c r="P409" s="460"/>
      <c r="Q409" s="432"/>
      <c r="R409" s="432"/>
      <c r="S409" s="432"/>
      <c r="T409" s="432"/>
      <c r="U409" s="432"/>
      <c r="V409" s="432"/>
      <c r="W409" s="432"/>
      <c r="X409" s="432"/>
      <c r="Y409" s="432"/>
      <c r="Z409" s="432"/>
      <c r="AA409" s="432"/>
      <c r="AB409" s="432"/>
      <c r="AC409" s="432"/>
      <c r="AD409" s="432"/>
    </row>
    <row r="410">
      <c r="A410" s="432"/>
      <c r="B410" s="432"/>
      <c r="C410" s="432"/>
      <c r="D410" s="459"/>
      <c r="E410" s="459"/>
      <c r="F410" s="432"/>
      <c r="G410" s="432"/>
      <c r="H410" s="432"/>
      <c r="I410" s="432"/>
      <c r="J410" s="432"/>
      <c r="K410" s="432"/>
      <c r="L410" s="432"/>
      <c r="M410" s="432"/>
      <c r="N410" s="432"/>
      <c r="O410" s="459"/>
      <c r="P410" s="460"/>
      <c r="Q410" s="432"/>
      <c r="R410" s="432"/>
      <c r="S410" s="432"/>
      <c r="T410" s="432"/>
      <c r="U410" s="432"/>
      <c r="V410" s="432"/>
      <c r="W410" s="432"/>
      <c r="X410" s="432"/>
      <c r="Y410" s="432"/>
      <c r="Z410" s="432"/>
      <c r="AA410" s="432"/>
      <c r="AB410" s="432"/>
      <c r="AC410" s="432"/>
      <c r="AD410" s="432"/>
    </row>
    <row r="411">
      <c r="A411" s="432"/>
      <c r="B411" s="432"/>
      <c r="C411" s="432"/>
      <c r="D411" s="459"/>
      <c r="E411" s="459"/>
      <c r="F411" s="432"/>
      <c r="G411" s="432"/>
      <c r="H411" s="432"/>
      <c r="I411" s="432"/>
      <c r="J411" s="432"/>
      <c r="K411" s="432"/>
      <c r="L411" s="432"/>
      <c r="M411" s="432"/>
      <c r="N411" s="432"/>
      <c r="O411" s="459"/>
      <c r="P411" s="460"/>
      <c r="Q411" s="432"/>
      <c r="R411" s="432"/>
      <c r="S411" s="432"/>
      <c r="T411" s="432"/>
      <c r="U411" s="432"/>
      <c r="V411" s="432"/>
      <c r="W411" s="432"/>
      <c r="X411" s="432"/>
      <c r="Y411" s="432"/>
      <c r="Z411" s="432"/>
      <c r="AA411" s="432"/>
      <c r="AB411" s="432"/>
      <c r="AC411" s="432"/>
      <c r="AD411" s="432"/>
    </row>
    <row r="412">
      <c r="A412" s="432"/>
      <c r="B412" s="432"/>
      <c r="C412" s="432"/>
      <c r="D412" s="459"/>
      <c r="E412" s="459"/>
      <c r="F412" s="432"/>
      <c r="G412" s="432"/>
      <c r="H412" s="432"/>
      <c r="I412" s="432"/>
      <c r="J412" s="432"/>
      <c r="K412" s="432"/>
      <c r="L412" s="432"/>
      <c r="M412" s="432"/>
      <c r="N412" s="432"/>
      <c r="O412" s="459"/>
      <c r="P412" s="460"/>
      <c r="Q412" s="432"/>
      <c r="R412" s="432"/>
      <c r="S412" s="432"/>
      <c r="T412" s="432"/>
      <c r="U412" s="432"/>
      <c r="V412" s="432"/>
      <c r="W412" s="432"/>
      <c r="X412" s="432"/>
      <c r="Y412" s="432"/>
      <c r="Z412" s="432"/>
      <c r="AA412" s="432"/>
      <c r="AB412" s="432"/>
      <c r="AC412" s="432"/>
      <c r="AD412" s="432"/>
    </row>
    <row r="413">
      <c r="A413" s="432"/>
      <c r="B413" s="432"/>
      <c r="C413" s="432"/>
      <c r="D413" s="459"/>
      <c r="E413" s="459"/>
      <c r="F413" s="432"/>
      <c r="G413" s="432"/>
      <c r="H413" s="432"/>
      <c r="I413" s="432"/>
      <c r="J413" s="432"/>
      <c r="K413" s="432"/>
      <c r="L413" s="432"/>
      <c r="M413" s="432"/>
      <c r="N413" s="432"/>
      <c r="O413" s="459"/>
      <c r="P413" s="460"/>
      <c r="Q413" s="432"/>
      <c r="R413" s="432"/>
      <c r="S413" s="432"/>
      <c r="T413" s="432"/>
      <c r="U413" s="432"/>
      <c r="V413" s="432"/>
      <c r="W413" s="432"/>
      <c r="X413" s="432"/>
      <c r="Y413" s="432"/>
      <c r="Z413" s="432"/>
      <c r="AA413" s="432"/>
      <c r="AB413" s="432"/>
      <c r="AC413" s="432"/>
      <c r="AD413" s="432"/>
    </row>
    <row r="414">
      <c r="A414" s="432"/>
      <c r="B414" s="432"/>
      <c r="C414" s="432"/>
      <c r="D414" s="459"/>
      <c r="E414" s="459"/>
      <c r="F414" s="432"/>
      <c r="G414" s="432"/>
      <c r="H414" s="432"/>
      <c r="I414" s="432"/>
      <c r="J414" s="432"/>
      <c r="K414" s="432"/>
      <c r="L414" s="432"/>
      <c r="M414" s="432"/>
      <c r="N414" s="432"/>
      <c r="O414" s="459"/>
      <c r="P414" s="460"/>
      <c r="Q414" s="432"/>
      <c r="R414" s="432"/>
      <c r="S414" s="432"/>
      <c r="T414" s="432"/>
      <c r="U414" s="432"/>
      <c r="V414" s="432"/>
      <c r="W414" s="432"/>
      <c r="X414" s="432"/>
      <c r="Y414" s="432"/>
      <c r="Z414" s="432"/>
      <c r="AA414" s="432"/>
      <c r="AB414" s="432"/>
      <c r="AC414" s="432"/>
      <c r="AD414" s="432"/>
    </row>
    <row r="415">
      <c r="A415" s="432"/>
      <c r="B415" s="432"/>
      <c r="C415" s="432"/>
      <c r="D415" s="459"/>
      <c r="E415" s="459"/>
      <c r="F415" s="432"/>
      <c r="G415" s="432"/>
      <c r="H415" s="432"/>
      <c r="I415" s="432"/>
      <c r="J415" s="432"/>
      <c r="K415" s="432"/>
      <c r="L415" s="432"/>
      <c r="M415" s="432"/>
      <c r="N415" s="432"/>
      <c r="O415" s="459"/>
      <c r="P415" s="460"/>
      <c r="Q415" s="432"/>
      <c r="R415" s="432"/>
      <c r="S415" s="432"/>
      <c r="T415" s="432"/>
      <c r="U415" s="432"/>
      <c r="V415" s="432"/>
      <c r="W415" s="432"/>
      <c r="X415" s="432"/>
      <c r="Y415" s="432"/>
      <c r="Z415" s="432"/>
      <c r="AA415" s="432"/>
      <c r="AB415" s="432"/>
      <c r="AC415" s="432"/>
      <c r="AD415" s="432"/>
    </row>
    <row r="416">
      <c r="A416" s="432"/>
      <c r="B416" s="432"/>
      <c r="C416" s="432"/>
      <c r="D416" s="459"/>
      <c r="E416" s="459"/>
      <c r="F416" s="432"/>
      <c r="G416" s="432"/>
      <c r="H416" s="432"/>
      <c r="I416" s="432"/>
      <c r="J416" s="432"/>
      <c r="K416" s="432"/>
      <c r="L416" s="432"/>
      <c r="M416" s="432"/>
      <c r="N416" s="432"/>
      <c r="O416" s="459"/>
      <c r="P416" s="460"/>
      <c r="Q416" s="432"/>
      <c r="R416" s="432"/>
      <c r="S416" s="432"/>
      <c r="T416" s="432"/>
      <c r="U416" s="432"/>
      <c r="V416" s="432"/>
      <c r="W416" s="432"/>
      <c r="X416" s="432"/>
      <c r="Y416" s="432"/>
      <c r="Z416" s="432"/>
      <c r="AA416" s="432"/>
      <c r="AB416" s="432"/>
      <c r="AC416" s="432"/>
      <c r="AD416" s="432"/>
    </row>
    <row r="417">
      <c r="A417" s="432"/>
      <c r="B417" s="432"/>
      <c r="C417" s="432"/>
      <c r="D417" s="459"/>
      <c r="E417" s="459"/>
      <c r="F417" s="432"/>
      <c r="G417" s="432"/>
      <c r="H417" s="432"/>
      <c r="I417" s="432"/>
      <c r="J417" s="432"/>
      <c r="K417" s="432"/>
      <c r="L417" s="432"/>
      <c r="M417" s="432"/>
      <c r="N417" s="432"/>
      <c r="O417" s="459"/>
      <c r="P417" s="460"/>
      <c r="Q417" s="432"/>
      <c r="R417" s="432"/>
      <c r="S417" s="432"/>
      <c r="T417" s="432"/>
      <c r="U417" s="432"/>
      <c r="V417" s="432"/>
      <c r="W417" s="432"/>
      <c r="X417" s="432"/>
      <c r="Y417" s="432"/>
      <c r="Z417" s="432"/>
      <c r="AA417" s="432"/>
      <c r="AB417" s="432"/>
      <c r="AC417" s="432"/>
      <c r="AD417" s="432"/>
    </row>
    <row r="418">
      <c r="A418" s="432"/>
      <c r="B418" s="432"/>
      <c r="C418" s="432"/>
      <c r="D418" s="459"/>
      <c r="E418" s="459"/>
      <c r="F418" s="432"/>
      <c r="G418" s="432"/>
      <c r="H418" s="432"/>
      <c r="I418" s="432"/>
      <c r="J418" s="432"/>
      <c r="K418" s="432"/>
      <c r="L418" s="432"/>
      <c r="M418" s="432"/>
      <c r="N418" s="432"/>
      <c r="O418" s="459"/>
      <c r="P418" s="460"/>
      <c r="Q418" s="432"/>
      <c r="R418" s="432"/>
      <c r="S418" s="432"/>
      <c r="T418" s="432"/>
      <c r="U418" s="432"/>
      <c r="V418" s="432"/>
      <c r="W418" s="432"/>
      <c r="X418" s="432"/>
      <c r="Y418" s="432"/>
      <c r="Z418" s="432"/>
      <c r="AA418" s="432"/>
      <c r="AB418" s="432"/>
      <c r="AC418" s="432"/>
      <c r="AD418" s="432"/>
    </row>
    <row r="419">
      <c r="A419" s="432"/>
      <c r="B419" s="432"/>
      <c r="C419" s="432"/>
      <c r="D419" s="459"/>
      <c r="E419" s="459"/>
      <c r="F419" s="432"/>
      <c r="G419" s="432"/>
      <c r="H419" s="432"/>
      <c r="I419" s="432"/>
      <c r="J419" s="432"/>
      <c r="K419" s="432"/>
      <c r="L419" s="432"/>
      <c r="M419" s="432"/>
      <c r="N419" s="432"/>
      <c r="O419" s="459"/>
      <c r="P419" s="460"/>
      <c r="Q419" s="432"/>
      <c r="R419" s="432"/>
      <c r="S419" s="432"/>
      <c r="T419" s="432"/>
      <c r="U419" s="432"/>
      <c r="V419" s="432"/>
      <c r="W419" s="432"/>
      <c r="X419" s="432"/>
      <c r="Y419" s="432"/>
      <c r="Z419" s="432"/>
      <c r="AA419" s="432"/>
      <c r="AB419" s="432"/>
      <c r="AC419" s="432"/>
      <c r="AD419" s="432"/>
    </row>
    <row r="420">
      <c r="A420" s="432"/>
      <c r="B420" s="432"/>
      <c r="C420" s="432"/>
      <c r="D420" s="459"/>
      <c r="E420" s="459"/>
      <c r="F420" s="432"/>
      <c r="G420" s="432"/>
      <c r="H420" s="432"/>
      <c r="I420" s="432"/>
      <c r="J420" s="432"/>
      <c r="K420" s="432"/>
      <c r="L420" s="432"/>
      <c r="M420" s="432"/>
      <c r="N420" s="432"/>
      <c r="O420" s="459"/>
      <c r="P420" s="460"/>
      <c r="Q420" s="432"/>
      <c r="R420" s="432"/>
      <c r="S420" s="432"/>
      <c r="T420" s="432"/>
      <c r="U420" s="432"/>
      <c r="V420" s="432"/>
      <c r="W420" s="432"/>
      <c r="X420" s="432"/>
      <c r="Y420" s="432"/>
      <c r="Z420" s="432"/>
      <c r="AA420" s="432"/>
      <c r="AB420" s="432"/>
      <c r="AC420" s="432"/>
      <c r="AD420" s="432"/>
    </row>
    <row r="421">
      <c r="A421" s="432"/>
      <c r="B421" s="432"/>
      <c r="C421" s="432"/>
      <c r="D421" s="459"/>
      <c r="E421" s="459"/>
      <c r="F421" s="432"/>
      <c r="G421" s="432"/>
      <c r="H421" s="432"/>
      <c r="I421" s="432"/>
      <c r="J421" s="432"/>
      <c r="K421" s="432"/>
      <c r="L421" s="432"/>
      <c r="M421" s="432"/>
      <c r="N421" s="432"/>
      <c r="O421" s="459"/>
      <c r="P421" s="460"/>
      <c r="Q421" s="432"/>
      <c r="R421" s="432"/>
      <c r="S421" s="432"/>
      <c r="T421" s="432"/>
      <c r="U421" s="432"/>
      <c r="V421" s="432"/>
      <c r="W421" s="432"/>
      <c r="X421" s="432"/>
      <c r="Y421" s="432"/>
      <c r="Z421" s="432"/>
      <c r="AA421" s="432"/>
      <c r="AB421" s="432"/>
      <c r="AC421" s="432"/>
      <c r="AD421" s="432"/>
    </row>
    <row r="422">
      <c r="A422" s="432"/>
      <c r="B422" s="432"/>
      <c r="C422" s="432"/>
      <c r="D422" s="459"/>
      <c r="E422" s="459"/>
      <c r="F422" s="432"/>
      <c r="G422" s="432"/>
      <c r="H422" s="432"/>
      <c r="I422" s="432"/>
      <c r="J422" s="432"/>
      <c r="K422" s="432"/>
      <c r="L422" s="432"/>
      <c r="M422" s="432"/>
      <c r="N422" s="432"/>
      <c r="O422" s="459"/>
      <c r="P422" s="460"/>
      <c r="Q422" s="432"/>
      <c r="R422" s="432"/>
      <c r="S422" s="432"/>
      <c r="T422" s="432"/>
      <c r="U422" s="432"/>
      <c r="V422" s="432"/>
      <c r="W422" s="432"/>
      <c r="X422" s="432"/>
      <c r="Y422" s="432"/>
      <c r="Z422" s="432"/>
      <c r="AA422" s="432"/>
      <c r="AB422" s="432"/>
      <c r="AC422" s="432"/>
      <c r="AD422" s="432"/>
    </row>
    <row r="423">
      <c r="A423" s="432"/>
      <c r="B423" s="432"/>
      <c r="C423" s="432"/>
      <c r="D423" s="459"/>
      <c r="E423" s="459"/>
      <c r="F423" s="432"/>
      <c r="G423" s="432"/>
      <c r="H423" s="432"/>
      <c r="I423" s="432"/>
      <c r="J423" s="432"/>
      <c r="K423" s="432"/>
      <c r="L423" s="432"/>
      <c r="M423" s="432"/>
      <c r="N423" s="432"/>
      <c r="O423" s="459"/>
      <c r="P423" s="460"/>
      <c r="Q423" s="432"/>
      <c r="R423" s="432"/>
      <c r="S423" s="432"/>
      <c r="T423" s="432"/>
      <c r="U423" s="432"/>
      <c r="V423" s="432"/>
      <c r="W423" s="432"/>
      <c r="X423" s="432"/>
      <c r="Y423" s="432"/>
      <c r="Z423" s="432"/>
      <c r="AA423" s="432"/>
      <c r="AB423" s="432"/>
      <c r="AC423" s="432"/>
      <c r="AD423" s="432"/>
    </row>
    <row r="424">
      <c r="A424" s="432"/>
      <c r="B424" s="432"/>
      <c r="C424" s="432"/>
      <c r="D424" s="459"/>
      <c r="E424" s="459"/>
      <c r="F424" s="432"/>
      <c r="G424" s="432"/>
      <c r="H424" s="432"/>
      <c r="I424" s="432"/>
      <c r="J424" s="432"/>
      <c r="K424" s="432"/>
      <c r="L424" s="432"/>
      <c r="M424" s="432"/>
      <c r="N424" s="432"/>
      <c r="O424" s="459"/>
      <c r="P424" s="460"/>
      <c r="Q424" s="432"/>
      <c r="R424" s="432"/>
      <c r="S424" s="432"/>
      <c r="T424" s="432"/>
      <c r="U424" s="432"/>
      <c r="V424" s="432"/>
      <c r="W424" s="432"/>
      <c r="X424" s="432"/>
      <c r="Y424" s="432"/>
      <c r="Z424" s="432"/>
      <c r="AA424" s="432"/>
      <c r="AB424" s="432"/>
      <c r="AC424" s="432"/>
      <c r="AD424" s="432"/>
    </row>
    <row r="425">
      <c r="A425" s="432"/>
      <c r="B425" s="432"/>
      <c r="C425" s="432"/>
      <c r="D425" s="459"/>
      <c r="E425" s="459"/>
      <c r="F425" s="432"/>
      <c r="G425" s="432"/>
      <c r="H425" s="432"/>
      <c r="I425" s="432"/>
      <c r="J425" s="432"/>
      <c r="K425" s="432"/>
      <c r="L425" s="432"/>
      <c r="M425" s="432"/>
      <c r="N425" s="432"/>
      <c r="O425" s="459"/>
      <c r="P425" s="460"/>
      <c r="Q425" s="432"/>
      <c r="R425" s="432"/>
      <c r="S425" s="432"/>
      <c r="T425" s="432"/>
      <c r="U425" s="432"/>
      <c r="V425" s="432"/>
      <c r="W425" s="432"/>
      <c r="X425" s="432"/>
      <c r="Y425" s="432"/>
      <c r="Z425" s="432"/>
      <c r="AA425" s="432"/>
      <c r="AB425" s="432"/>
      <c r="AC425" s="432"/>
      <c r="AD425" s="432"/>
    </row>
    <row r="426">
      <c r="A426" s="432"/>
      <c r="B426" s="432"/>
      <c r="C426" s="432"/>
      <c r="D426" s="459"/>
      <c r="E426" s="459"/>
      <c r="F426" s="432"/>
      <c r="G426" s="432"/>
      <c r="H426" s="432"/>
      <c r="I426" s="432"/>
      <c r="J426" s="432"/>
      <c r="K426" s="432"/>
      <c r="L426" s="432"/>
      <c r="M426" s="432"/>
      <c r="N426" s="432"/>
      <c r="O426" s="459"/>
      <c r="P426" s="460"/>
      <c r="Q426" s="432"/>
      <c r="R426" s="432"/>
      <c r="S426" s="432"/>
      <c r="T426" s="432"/>
      <c r="U426" s="432"/>
      <c r="V426" s="432"/>
      <c r="W426" s="432"/>
      <c r="X426" s="432"/>
      <c r="Y426" s="432"/>
      <c r="Z426" s="432"/>
      <c r="AA426" s="432"/>
      <c r="AB426" s="432"/>
      <c r="AC426" s="432"/>
      <c r="AD426" s="432"/>
    </row>
    <row r="427">
      <c r="A427" s="432"/>
      <c r="B427" s="432"/>
      <c r="C427" s="432"/>
      <c r="D427" s="459"/>
      <c r="E427" s="459"/>
      <c r="F427" s="432"/>
      <c r="G427" s="432"/>
      <c r="H427" s="432"/>
      <c r="I427" s="432"/>
      <c r="J427" s="432"/>
      <c r="K427" s="432"/>
      <c r="L427" s="432"/>
      <c r="M427" s="432"/>
      <c r="N427" s="432"/>
      <c r="O427" s="459"/>
      <c r="P427" s="460"/>
      <c r="Q427" s="432"/>
      <c r="R427" s="432"/>
      <c r="S427" s="432"/>
      <c r="T427" s="432"/>
      <c r="U427" s="432"/>
      <c r="V427" s="432"/>
      <c r="W427" s="432"/>
      <c r="X427" s="432"/>
      <c r="Y427" s="432"/>
      <c r="Z427" s="432"/>
      <c r="AA427" s="432"/>
      <c r="AB427" s="432"/>
      <c r="AC427" s="432"/>
      <c r="AD427" s="432"/>
    </row>
    <row r="428">
      <c r="A428" s="432"/>
      <c r="B428" s="432"/>
      <c r="C428" s="432"/>
      <c r="D428" s="459"/>
      <c r="E428" s="459"/>
      <c r="F428" s="432"/>
      <c r="G428" s="432"/>
      <c r="H428" s="432"/>
      <c r="I428" s="432"/>
      <c r="J428" s="432"/>
      <c r="K428" s="432"/>
      <c r="L428" s="432"/>
      <c r="M428" s="432"/>
      <c r="N428" s="432"/>
      <c r="O428" s="459"/>
      <c r="P428" s="460"/>
      <c r="Q428" s="432"/>
      <c r="R428" s="432"/>
      <c r="S428" s="432"/>
      <c r="T428" s="432"/>
      <c r="U428" s="432"/>
      <c r="V428" s="432"/>
      <c r="W428" s="432"/>
      <c r="X428" s="432"/>
      <c r="Y428" s="432"/>
      <c r="Z428" s="432"/>
      <c r="AA428" s="432"/>
      <c r="AB428" s="432"/>
      <c r="AC428" s="432"/>
      <c r="AD428" s="432"/>
    </row>
    <row r="429">
      <c r="A429" s="432"/>
      <c r="B429" s="432"/>
      <c r="C429" s="432"/>
      <c r="D429" s="459"/>
      <c r="E429" s="459"/>
      <c r="F429" s="432"/>
      <c r="G429" s="432"/>
      <c r="H429" s="432"/>
      <c r="I429" s="432"/>
      <c r="J429" s="432"/>
      <c r="K429" s="432"/>
      <c r="L429" s="432"/>
      <c r="M429" s="432"/>
      <c r="N429" s="432"/>
      <c r="O429" s="459"/>
      <c r="P429" s="460"/>
      <c r="Q429" s="432"/>
      <c r="R429" s="432"/>
      <c r="S429" s="432"/>
      <c r="T429" s="432"/>
      <c r="U429" s="432"/>
      <c r="V429" s="432"/>
      <c r="W429" s="432"/>
      <c r="X429" s="432"/>
      <c r="Y429" s="432"/>
      <c r="Z429" s="432"/>
      <c r="AA429" s="432"/>
      <c r="AB429" s="432"/>
      <c r="AC429" s="432"/>
      <c r="AD429" s="432"/>
    </row>
    <row r="430">
      <c r="A430" s="432"/>
      <c r="B430" s="432"/>
      <c r="C430" s="432"/>
      <c r="D430" s="459"/>
      <c r="E430" s="459"/>
      <c r="F430" s="432"/>
      <c r="G430" s="432"/>
      <c r="H430" s="432"/>
      <c r="I430" s="432"/>
      <c r="J430" s="432"/>
      <c r="K430" s="432"/>
      <c r="L430" s="432"/>
      <c r="M430" s="432"/>
      <c r="N430" s="432"/>
      <c r="O430" s="459"/>
      <c r="P430" s="460"/>
      <c r="Q430" s="432"/>
      <c r="R430" s="432"/>
      <c r="S430" s="432"/>
      <c r="T430" s="432"/>
      <c r="U430" s="432"/>
      <c r="V430" s="432"/>
      <c r="W430" s="432"/>
      <c r="X430" s="432"/>
      <c r="Y430" s="432"/>
      <c r="Z430" s="432"/>
      <c r="AA430" s="432"/>
      <c r="AB430" s="432"/>
      <c r="AC430" s="432"/>
      <c r="AD430" s="432"/>
    </row>
    <row r="431">
      <c r="A431" s="432"/>
      <c r="B431" s="432"/>
      <c r="C431" s="432"/>
      <c r="D431" s="459"/>
      <c r="E431" s="459"/>
      <c r="F431" s="432"/>
      <c r="G431" s="432"/>
      <c r="H431" s="432"/>
      <c r="I431" s="432"/>
      <c r="J431" s="432"/>
      <c r="K431" s="432"/>
      <c r="L431" s="432"/>
      <c r="M431" s="432"/>
      <c r="N431" s="432"/>
      <c r="O431" s="459"/>
      <c r="P431" s="460"/>
      <c r="Q431" s="432"/>
      <c r="R431" s="432"/>
      <c r="S431" s="432"/>
      <c r="T431" s="432"/>
      <c r="U431" s="432"/>
      <c r="V431" s="432"/>
      <c r="W431" s="432"/>
      <c r="X431" s="432"/>
      <c r="Y431" s="432"/>
      <c r="Z431" s="432"/>
      <c r="AA431" s="432"/>
      <c r="AB431" s="432"/>
      <c r="AC431" s="432"/>
      <c r="AD431" s="432"/>
    </row>
    <row r="432">
      <c r="A432" s="432"/>
      <c r="B432" s="432"/>
      <c r="C432" s="432"/>
      <c r="D432" s="459"/>
      <c r="E432" s="459"/>
      <c r="F432" s="432"/>
      <c r="G432" s="432"/>
      <c r="H432" s="432"/>
      <c r="I432" s="432"/>
      <c r="J432" s="432"/>
      <c r="K432" s="432"/>
      <c r="L432" s="432"/>
      <c r="M432" s="432"/>
      <c r="N432" s="432"/>
      <c r="O432" s="459"/>
      <c r="P432" s="460"/>
      <c r="Q432" s="432"/>
      <c r="R432" s="432"/>
      <c r="S432" s="432"/>
      <c r="T432" s="432"/>
      <c r="U432" s="432"/>
      <c r="V432" s="432"/>
      <c r="W432" s="432"/>
      <c r="X432" s="432"/>
      <c r="Y432" s="432"/>
      <c r="Z432" s="432"/>
      <c r="AA432" s="432"/>
      <c r="AB432" s="432"/>
      <c r="AC432" s="432"/>
      <c r="AD432" s="432"/>
    </row>
    <row r="433">
      <c r="A433" s="432"/>
      <c r="B433" s="432"/>
      <c r="C433" s="432"/>
      <c r="D433" s="459"/>
      <c r="E433" s="459"/>
      <c r="F433" s="432"/>
      <c r="G433" s="432"/>
      <c r="H433" s="432"/>
      <c r="I433" s="432"/>
      <c r="J433" s="432"/>
      <c r="K433" s="432"/>
      <c r="L433" s="432"/>
      <c r="M433" s="432"/>
      <c r="N433" s="432"/>
      <c r="O433" s="459"/>
      <c r="P433" s="460"/>
      <c r="Q433" s="432"/>
      <c r="R433" s="432"/>
      <c r="S433" s="432"/>
      <c r="T433" s="432"/>
      <c r="U433" s="432"/>
      <c r="V433" s="432"/>
      <c r="W433" s="432"/>
      <c r="X433" s="432"/>
      <c r="Y433" s="432"/>
      <c r="Z433" s="432"/>
      <c r="AA433" s="432"/>
      <c r="AB433" s="432"/>
      <c r="AC433" s="432"/>
      <c r="AD433" s="432"/>
    </row>
    <row r="434">
      <c r="A434" s="432"/>
      <c r="B434" s="432"/>
      <c r="C434" s="432"/>
      <c r="D434" s="459"/>
      <c r="E434" s="459"/>
      <c r="F434" s="432"/>
      <c r="G434" s="432"/>
      <c r="H434" s="432"/>
      <c r="I434" s="432"/>
      <c r="J434" s="432"/>
      <c r="K434" s="432"/>
      <c r="L434" s="432"/>
      <c r="M434" s="432"/>
      <c r="N434" s="432"/>
      <c r="O434" s="459"/>
      <c r="P434" s="460"/>
      <c r="Q434" s="432"/>
      <c r="R434" s="432"/>
      <c r="S434" s="432"/>
      <c r="T434" s="432"/>
      <c r="U434" s="432"/>
      <c r="V434" s="432"/>
      <c r="W434" s="432"/>
      <c r="X434" s="432"/>
      <c r="Y434" s="432"/>
      <c r="Z434" s="432"/>
      <c r="AA434" s="432"/>
      <c r="AB434" s="432"/>
      <c r="AC434" s="432"/>
      <c r="AD434" s="432"/>
    </row>
    <row r="435">
      <c r="A435" s="432"/>
      <c r="B435" s="432"/>
      <c r="C435" s="432"/>
      <c r="D435" s="459"/>
      <c r="E435" s="459"/>
      <c r="F435" s="432"/>
      <c r="G435" s="432"/>
      <c r="H435" s="432"/>
      <c r="I435" s="432"/>
      <c r="J435" s="432"/>
      <c r="K435" s="432"/>
      <c r="L435" s="432"/>
      <c r="M435" s="432"/>
      <c r="N435" s="432"/>
      <c r="O435" s="459"/>
      <c r="P435" s="460"/>
      <c r="Q435" s="432"/>
      <c r="R435" s="432"/>
      <c r="S435" s="432"/>
      <c r="T435" s="432"/>
      <c r="U435" s="432"/>
      <c r="V435" s="432"/>
      <c r="W435" s="432"/>
      <c r="X435" s="432"/>
      <c r="Y435" s="432"/>
      <c r="Z435" s="432"/>
      <c r="AA435" s="432"/>
      <c r="AB435" s="432"/>
      <c r="AC435" s="432"/>
      <c r="AD435" s="432"/>
    </row>
    <row r="436">
      <c r="A436" s="432"/>
      <c r="B436" s="432"/>
      <c r="C436" s="432"/>
      <c r="D436" s="459"/>
      <c r="E436" s="459"/>
      <c r="F436" s="432"/>
      <c r="G436" s="432"/>
      <c r="H436" s="432"/>
      <c r="I436" s="432"/>
      <c r="J436" s="432"/>
      <c r="K436" s="432"/>
      <c r="L436" s="432"/>
      <c r="M436" s="432"/>
      <c r="N436" s="432"/>
      <c r="O436" s="459"/>
      <c r="P436" s="460"/>
      <c r="Q436" s="432"/>
      <c r="R436" s="432"/>
      <c r="S436" s="432"/>
      <c r="T436" s="432"/>
      <c r="U436" s="432"/>
      <c r="V436" s="432"/>
      <c r="W436" s="432"/>
      <c r="X436" s="432"/>
      <c r="Y436" s="432"/>
      <c r="Z436" s="432"/>
      <c r="AA436" s="432"/>
      <c r="AB436" s="432"/>
      <c r="AC436" s="432"/>
      <c r="AD436" s="432"/>
    </row>
    <row r="437">
      <c r="A437" s="432"/>
      <c r="B437" s="432"/>
      <c r="C437" s="432"/>
      <c r="D437" s="459"/>
      <c r="E437" s="459"/>
      <c r="F437" s="432"/>
      <c r="G437" s="432"/>
      <c r="H437" s="432"/>
      <c r="I437" s="432"/>
      <c r="J437" s="432"/>
      <c r="K437" s="432"/>
      <c r="L437" s="432"/>
      <c r="M437" s="432"/>
      <c r="N437" s="432"/>
      <c r="O437" s="459"/>
      <c r="P437" s="460"/>
      <c r="Q437" s="432"/>
      <c r="R437" s="432"/>
      <c r="S437" s="432"/>
      <c r="T437" s="432"/>
      <c r="U437" s="432"/>
      <c r="V437" s="432"/>
      <c r="W437" s="432"/>
      <c r="X437" s="432"/>
      <c r="Y437" s="432"/>
      <c r="Z437" s="432"/>
      <c r="AA437" s="432"/>
      <c r="AB437" s="432"/>
      <c r="AC437" s="432"/>
      <c r="AD437" s="432"/>
    </row>
    <row r="438">
      <c r="A438" s="432"/>
      <c r="B438" s="432"/>
      <c r="C438" s="432"/>
      <c r="D438" s="459"/>
      <c r="E438" s="459"/>
      <c r="F438" s="432"/>
      <c r="G438" s="432"/>
      <c r="H438" s="432"/>
      <c r="I438" s="432"/>
      <c r="J438" s="432"/>
      <c r="K438" s="432"/>
      <c r="L438" s="432"/>
      <c r="M438" s="432"/>
      <c r="N438" s="432"/>
      <c r="O438" s="459"/>
      <c r="P438" s="460"/>
      <c r="Q438" s="432"/>
      <c r="R438" s="432"/>
      <c r="S438" s="432"/>
      <c r="T438" s="432"/>
      <c r="U438" s="432"/>
      <c r="V438" s="432"/>
      <c r="W438" s="432"/>
      <c r="X438" s="432"/>
      <c r="Y438" s="432"/>
      <c r="Z438" s="432"/>
      <c r="AA438" s="432"/>
      <c r="AB438" s="432"/>
      <c r="AC438" s="432"/>
      <c r="AD438" s="432"/>
    </row>
    <row r="439">
      <c r="A439" s="432"/>
      <c r="B439" s="432"/>
      <c r="C439" s="432"/>
      <c r="D439" s="459"/>
      <c r="E439" s="459"/>
      <c r="F439" s="432"/>
      <c r="G439" s="432"/>
      <c r="H439" s="432"/>
      <c r="I439" s="432"/>
      <c r="J439" s="432"/>
      <c r="K439" s="432"/>
      <c r="L439" s="432"/>
      <c r="M439" s="432"/>
      <c r="N439" s="432"/>
      <c r="O439" s="459"/>
      <c r="P439" s="460"/>
      <c r="Q439" s="432"/>
      <c r="R439" s="432"/>
      <c r="S439" s="432"/>
      <c r="T439" s="432"/>
      <c r="U439" s="432"/>
      <c r="V439" s="432"/>
      <c r="W439" s="432"/>
      <c r="X439" s="432"/>
      <c r="Y439" s="432"/>
      <c r="Z439" s="432"/>
      <c r="AA439" s="432"/>
      <c r="AB439" s="432"/>
      <c r="AC439" s="432"/>
      <c r="AD439" s="432"/>
    </row>
    <row r="440">
      <c r="A440" s="432"/>
      <c r="B440" s="432"/>
      <c r="C440" s="432"/>
      <c r="D440" s="459"/>
      <c r="E440" s="459"/>
      <c r="F440" s="432"/>
      <c r="G440" s="432"/>
      <c r="H440" s="432"/>
      <c r="I440" s="432"/>
      <c r="J440" s="432"/>
      <c r="K440" s="432"/>
      <c r="L440" s="432"/>
      <c r="M440" s="432"/>
      <c r="N440" s="432"/>
      <c r="O440" s="459"/>
      <c r="P440" s="460"/>
      <c r="Q440" s="432"/>
      <c r="R440" s="432"/>
      <c r="S440" s="432"/>
      <c r="T440" s="432"/>
      <c r="U440" s="432"/>
      <c r="V440" s="432"/>
      <c r="W440" s="432"/>
      <c r="X440" s="432"/>
      <c r="Y440" s="432"/>
      <c r="Z440" s="432"/>
      <c r="AA440" s="432"/>
      <c r="AB440" s="432"/>
      <c r="AC440" s="432"/>
      <c r="AD440" s="432"/>
    </row>
    <row r="441">
      <c r="A441" s="432"/>
      <c r="B441" s="432"/>
      <c r="C441" s="432"/>
      <c r="D441" s="459"/>
      <c r="E441" s="459"/>
      <c r="F441" s="432"/>
      <c r="G441" s="432"/>
      <c r="H441" s="432"/>
      <c r="I441" s="432"/>
      <c r="J441" s="432"/>
      <c r="K441" s="432"/>
      <c r="L441" s="432"/>
      <c r="M441" s="432"/>
      <c r="N441" s="432"/>
      <c r="O441" s="459"/>
      <c r="P441" s="460"/>
      <c r="Q441" s="432"/>
      <c r="R441" s="432"/>
      <c r="S441" s="432"/>
      <c r="T441" s="432"/>
      <c r="U441" s="432"/>
      <c r="V441" s="432"/>
      <c r="W441" s="432"/>
      <c r="X441" s="432"/>
      <c r="Y441" s="432"/>
      <c r="Z441" s="432"/>
      <c r="AA441" s="432"/>
      <c r="AB441" s="432"/>
      <c r="AC441" s="432"/>
      <c r="AD441" s="432"/>
    </row>
    <row r="442">
      <c r="A442" s="432"/>
      <c r="B442" s="432"/>
      <c r="C442" s="432"/>
      <c r="D442" s="459"/>
      <c r="E442" s="459"/>
      <c r="F442" s="432"/>
      <c r="G442" s="432"/>
      <c r="H442" s="432"/>
      <c r="I442" s="432"/>
      <c r="J442" s="432"/>
      <c r="K442" s="432"/>
      <c r="L442" s="432"/>
      <c r="M442" s="432"/>
      <c r="N442" s="432"/>
      <c r="O442" s="459"/>
      <c r="P442" s="460"/>
      <c r="Q442" s="432"/>
      <c r="R442" s="432"/>
      <c r="S442" s="432"/>
      <c r="T442" s="432"/>
      <c r="U442" s="432"/>
      <c r="V442" s="432"/>
      <c r="W442" s="432"/>
      <c r="X442" s="432"/>
      <c r="Y442" s="432"/>
      <c r="Z442" s="432"/>
      <c r="AA442" s="432"/>
      <c r="AB442" s="432"/>
      <c r="AC442" s="432"/>
      <c r="AD442" s="432"/>
    </row>
    <row r="443">
      <c r="A443" s="432"/>
      <c r="B443" s="432"/>
      <c r="C443" s="432"/>
      <c r="D443" s="459"/>
      <c r="E443" s="459"/>
      <c r="F443" s="432"/>
      <c r="G443" s="432"/>
      <c r="H443" s="432"/>
      <c r="I443" s="432"/>
      <c r="J443" s="432"/>
      <c r="K443" s="432"/>
      <c r="L443" s="432"/>
      <c r="M443" s="432"/>
      <c r="N443" s="432"/>
      <c r="O443" s="459"/>
      <c r="P443" s="460"/>
      <c r="Q443" s="432"/>
      <c r="R443" s="432"/>
      <c r="S443" s="432"/>
      <c r="T443" s="432"/>
      <c r="U443" s="432"/>
      <c r="V443" s="432"/>
      <c r="W443" s="432"/>
      <c r="X443" s="432"/>
      <c r="Y443" s="432"/>
      <c r="Z443" s="432"/>
      <c r="AA443" s="432"/>
      <c r="AB443" s="432"/>
      <c r="AC443" s="432"/>
      <c r="AD443" s="432"/>
    </row>
    <row r="444">
      <c r="A444" s="432"/>
      <c r="B444" s="432"/>
      <c r="C444" s="432"/>
      <c r="D444" s="459"/>
      <c r="E444" s="459"/>
      <c r="F444" s="432"/>
      <c r="G444" s="432"/>
      <c r="H444" s="432"/>
      <c r="I444" s="432"/>
      <c r="J444" s="432"/>
      <c r="K444" s="432"/>
      <c r="L444" s="432"/>
      <c r="M444" s="432"/>
      <c r="N444" s="432"/>
      <c r="O444" s="459"/>
      <c r="P444" s="460"/>
      <c r="Q444" s="432"/>
      <c r="R444" s="432"/>
      <c r="S444" s="432"/>
      <c r="T444" s="432"/>
      <c r="U444" s="432"/>
      <c r="V444" s="432"/>
      <c r="W444" s="432"/>
      <c r="X444" s="432"/>
      <c r="Y444" s="432"/>
      <c r="Z444" s="432"/>
      <c r="AA444" s="432"/>
      <c r="AB444" s="432"/>
      <c r="AC444" s="432"/>
      <c r="AD444" s="432"/>
    </row>
    <row r="445">
      <c r="A445" s="432"/>
      <c r="B445" s="432"/>
      <c r="C445" s="432"/>
      <c r="D445" s="459"/>
      <c r="E445" s="459"/>
      <c r="F445" s="432"/>
      <c r="G445" s="432"/>
      <c r="H445" s="432"/>
      <c r="I445" s="432"/>
      <c r="J445" s="432"/>
      <c r="K445" s="432"/>
      <c r="L445" s="432"/>
      <c r="M445" s="432"/>
      <c r="N445" s="432"/>
      <c r="O445" s="459"/>
      <c r="P445" s="460"/>
      <c r="Q445" s="432"/>
      <c r="R445" s="432"/>
      <c r="S445" s="432"/>
      <c r="T445" s="432"/>
      <c r="U445" s="432"/>
      <c r="V445" s="432"/>
      <c r="W445" s="432"/>
      <c r="X445" s="432"/>
      <c r="Y445" s="432"/>
      <c r="Z445" s="432"/>
      <c r="AA445" s="432"/>
      <c r="AB445" s="432"/>
      <c r="AC445" s="432"/>
      <c r="AD445" s="432"/>
    </row>
    <row r="446">
      <c r="A446" s="432"/>
      <c r="B446" s="432"/>
      <c r="C446" s="432"/>
      <c r="D446" s="459"/>
      <c r="E446" s="459"/>
      <c r="F446" s="432"/>
      <c r="G446" s="432"/>
      <c r="H446" s="432"/>
      <c r="I446" s="432"/>
      <c r="J446" s="432"/>
      <c r="K446" s="432"/>
      <c r="L446" s="432"/>
      <c r="M446" s="432"/>
      <c r="N446" s="432"/>
      <c r="O446" s="459"/>
      <c r="P446" s="460"/>
      <c r="Q446" s="432"/>
      <c r="R446" s="432"/>
      <c r="S446" s="432"/>
      <c r="T446" s="432"/>
      <c r="U446" s="432"/>
      <c r="V446" s="432"/>
      <c r="W446" s="432"/>
      <c r="X446" s="432"/>
      <c r="Y446" s="432"/>
      <c r="Z446" s="432"/>
      <c r="AA446" s="432"/>
      <c r="AB446" s="432"/>
      <c r="AC446" s="432"/>
      <c r="AD446" s="432"/>
    </row>
    <row r="447">
      <c r="A447" s="432"/>
      <c r="B447" s="432"/>
      <c r="C447" s="432"/>
      <c r="D447" s="459"/>
      <c r="E447" s="459"/>
      <c r="F447" s="432"/>
      <c r="G447" s="432"/>
      <c r="H447" s="432"/>
      <c r="I447" s="432"/>
      <c r="J447" s="432"/>
      <c r="K447" s="432"/>
      <c r="L447" s="432"/>
      <c r="M447" s="432"/>
      <c r="N447" s="432"/>
      <c r="O447" s="459"/>
      <c r="P447" s="460"/>
      <c r="Q447" s="432"/>
      <c r="R447" s="432"/>
      <c r="S447" s="432"/>
      <c r="T447" s="432"/>
      <c r="U447" s="432"/>
      <c r="V447" s="432"/>
      <c r="W447" s="432"/>
      <c r="X447" s="432"/>
      <c r="Y447" s="432"/>
      <c r="Z447" s="432"/>
      <c r="AA447" s="432"/>
      <c r="AB447" s="432"/>
      <c r="AC447" s="432"/>
      <c r="AD447" s="432"/>
    </row>
    <row r="448">
      <c r="A448" s="432"/>
      <c r="B448" s="432"/>
      <c r="C448" s="432"/>
      <c r="D448" s="459"/>
      <c r="E448" s="459"/>
      <c r="F448" s="432"/>
      <c r="G448" s="432"/>
      <c r="H448" s="432"/>
      <c r="I448" s="432"/>
      <c r="J448" s="432"/>
      <c r="K448" s="432"/>
      <c r="L448" s="432"/>
      <c r="M448" s="432"/>
      <c r="N448" s="432"/>
      <c r="O448" s="459"/>
      <c r="P448" s="460"/>
      <c r="Q448" s="432"/>
      <c r="R448" s="432"/>
      <c r="S448" s="432"/>
      <c r="T448" s="432"/>
      <c r="U448" s="432"/>
      <c r="V448" s="432"/>
      <c r="W448" s="432"/>
      <c r="X448" s="432"/>
      <c r="Y448" s="432"/>
      <c r="Z448" s="432"/>
      <c r="AA448" s="432"/>
      <c r="AB448" s="432"/>
      <c r="AC448" s="432"/>
      <c r="AD448" s="432"/>
    </row>
    <row r="449">
      <c r="A449" s="432"/>
      <c r="B449" s="432"/>
      <c r="C449" s="432"/>
      <c r="D449" s="459"/>
      <c r="E449" s="459"/>
      <c r="F449" s="432"/>
      <c r="G449" s="432"/>
      <c r="H449" s="432"/>
      <c r="I449" s="432"/>
      <c r="J449" s="432"/>
      <c r="K449" s="432"/>
      <c r="L449" s="432"/>
      <c r="M449" s="432"/>
      <c r="N449" s="432"/>
      <c r="O449" s="459"/>
      <c r="P449" s="460"/>
      <c r="Q449" s="432"/>
      <c r="R449" s="432"/>
      <c r="S449" s="432"/>
      <c r="T449" s="432"/>
      <c r="U449" s="432"/>
      <c r="V449" s="432"/>
      <c r="W449" s="432"/>
      <c r="X449" s="432"/>
      <c r="Y449" s="432"/>
      <c r="Z449" s="432"/>
      <c r="AA449" s="432"/>
      <c r="AB449" s="432"/>
      <c r="AC449" s="432"/>
      <c r="AD449" s="432"/>
    </row>
    <row r="450">
      <c r="A450" s="432"/>
      <c r="B450" s="432"/>
      <c r="C450" s="432"/>
      <c r="D450" s="459"/>
      <c r="E450" s="459"/>
      <c r="F450" s="432"/>
      <c r="G450" s="432"/>
      <c r="H450" s="432"/>
      <c r="I450" s="432"/>
      <c r="J450" s="432"/>
      <c r="K450" s="432"/>
      <c r="L450" s="432"/>
      <c r="M450" s="432"/>
      <c r="N450" s="432"/>
      <c r="O450" s="459"/>
      <c r="P450" s="460"/>
      <c r="Q450" s="432"/>
      <c r="R450" s="432"/>
      <c r="S450" s="432"/>
      <c r="T450" s="432"/>
      <c r="U450" s="432"/>
      <c r="V450" s="432"/>
      <c r="W450" s="432"/>
      <c r="X450" s="432"/>
      <c r="Y450" s="432"/>
      <c r="Z450" s="432"/>
      <c r="AA450" s="432"/>
      <c r="AB450" s="432"/>
      <c r="AC450" s="432"/>
      <c r="AD450" s="432"/>
    </row>
    <row r="451">
      <c r="A451" s="432"/>
      <c r="B451" s="432"/>
      <c r="C451" s="432"/>
      <c r="D451" s="459"/>
      <c r="E451" s="459"/>
      <c r="F451" s="432"/>
      <c r="G451" s="432"/>
      <c r="H451" s="432"/>
      <c r="I451" s="432"/>
      <c r="J451" s="432"/>
      <c r="K451" s="432"/>
      <c r="L451" s="432"/>
      <c r="M451" s="432"/>
      <c r="N451" s="432"/>
      <c r="O451" s="459"/>
      <c r="P451" s="460"/>
      <c r="Q451" s="432"/>
      <c r="R451" s="432"/>
      <c r="S451" s="432"/>
      <c r="T451" s="432"/>
      <c r="U451" s="432"/>
      <c r="V451" s="432"/>
      <c r="W451" s="432"/>
      <c r="X451" s="432"/>
      <c r="Y451" s="432"/>
      <c r="Z451" s="432"/>
      <c r="AA451" s="432"/>
      <c r="AB451" s="432"/>
      <c r="AC451" s="432"/>
      <c r="AD451" s="432"/>
    </row>
    <row r="452">
      <c r="A452" s="432"/>
      <c r="B452" s="432"/>
      <c r="C452" s="432"/>
      <c r="D452" s="459"/>
      <c r="E452" s="459"/>
      <c r="F452" s="432"/>
      <c r="G452" s="432"/>
      <c r="H452" s="432"/>
      <c r="I452" s="432"/>
      <c r="J452" s="432"/>
      <c r="K452" s="432"/>
      <c r="L452" s="432"/>
      <c r="M452" s="432"/>
      <c r="N452" s="432"/>
      <c r="O452" s="459"/>
      <c r="P452" s="460"/>
      <c r="Q452" s="432"/>
      <c r="R452" s="432"/>
      <c r="S452" s="432"/>
      <c r="T452" s="432"/>
      <c r="U452" s="432"/>
      <c r="V452" s="432"/>
      <c r="W452" s="432"/>
      <c r="X452" s="432"/>
      <c r="Y452" s="432"/>
      <c r="Z452" s="432"/>
      <c r="AA452" s="432"/>
      <c r="AB452" s="432"/>
      <c r="AC452" s="432"/>
      <c r="AD452" s="432"/>
    </row>
    <row r="453">
      <c r="A453" s="432"/>
      <c r="B453" s="432"/>
      <c r="C453" s="432"/>
      <c r="D453" s="459"/>
      <c r="E453" s="459"/>
      <c r="F453" s="432"/>
      <c r="G453" s="432"/>
      <c r="H453" s="432"/>
      <c r="I453" s="432"/>
      <c r="J453" s="432"/>
      <c r="K453" s="432"/>
      <c r="L453" s="432"/>
      <c r="M453" s="432"/>
      <c r="N453" s="432"/>
      <c r="O453" s="459"/>
      <c r="P453" s="460"/>
      <c r="Q453" s="432"/>
      <c r="R453" s="432"/>
      <c r="S453" s="432"/>
      <c r="T453" s="432"/>
      <c r="U453" s="432"/>
      <c r="V453" s="432"/>
      <c r="W453" s="432"/>
      <c r="X453" s="432"/>
      <c r="Y453" s="432"/>
      <c r="Z453" s="432"/>
      <c r="AA453" s="432"/>
      <c r="AB453" s="432"/>
      <c r="AC453" s="432"/>
      <c r="AD453" s="432"/>
    </row>
    <row r="454">
      <c r="A454" s="432"/>
      <c r="B454" s="432"/>
      <c r="C454" s="432"/>
      <c r="D454" s="459"/>
      <c r="E454" s="459"/>
      <c r="F454" s="432"/>
      <c r="G454" s="432"/>
      <c r="H454" s="432"/>
      <c r="I454" s="432"/>
      <c r="J454" s="432"/>
      <c r="K454" s="432"/>
      <c r="L454" s="432"/>
      <c r="M454" s="432"/>
      <c r="N454" s="432"/>
      <c r="O454" s="459"/>
      <c r="P454" s="460"/>
      <c r="Q454" s="432"/>
      <c r="R454" s="432"/>
      <c r="S454" s="432"/>
      <c r="T454" s="432"/>
      <c r="U454" s="432"/>
      <c r="V454" s="432"/>
      <c r="W454" s="432"/>
      <c r="X454" s="432"/>
      <c r="Y454" s="432"/>
      <c r="Z454" s="432"/>
      <c r="AA454" s="432"/>
      <c r="AB454" s="432"/>
      <c r="AC454" s="432"/>
      <c r="AD454" s="432"/>
    </row>
    <row r="455">
      <c r="A455" s="432"/>
      <c r="B455" s="432"/>
      <c r="C455" s="432"/>
      <c r="D455" s="459"/>
      <c r="E455" s="459"/>
      <c r="F455" s="432"/>
      <c r="G455" s="432"/>
      <c r="H455" s="432"/>
      <c r="I455" s="432"/>
      <c r="J455" s="432"/>
      <c r="K455" s="432"/>
      <c r="L455" s="432"/>
      <c r="M455" s="432"/>
      <c r="N455" s="432"/>
      <c r="O455" s="459"/>
      <c r="P455" s="460"/>
      <c r="Q455" s="432"/>
      <c r="R455" s="432"/>
      <c r="S455" s="432"/>
      <c r="T455" s="432"/>
      <c r="U455" s="432"/>
      <c r="V455" s="432"/>
      <c r="W455" s="432"/>
      <c r="X455" s="432"/>
      <c r="Y455" s="432"/>
      <c r="Z455" s="432"/>
      <c r="AA455" s="432"/>
      <c r="AB455" s="432"/>
      <c r="AC455" s="432"/>
      <c r="AD455" s="432"/>
    </row>
    <row r="456">
      <c r="A456" s="432"/>
      <c r="B456" s="432"/>
      <c r="C456" s="432"/>
      <c r="D456" s="459"/>
      <c r="E456" s="459"/>
      <c r="F456" s="432"/>
      <c r="G456" s="432"/>
      <c r="H456" s="432"/>
      <c r="I456" s="432"/>
      <c r="J456" s="432"/>
      <c r="K456" s="432"/>
      <c r="L456" s="432"/>
      <c r="M456" s="432"/>
      <c r="N456" s="432"/>
      <c r="O456" s="459"/>
      <c r="P456" s="460"/>
      <c r="Q456" s="432"/>
      <c r="R456" s="432"/>
      <c r="S456" s="432"/>
      <c r="T456" s="432"/>
      <c r="U456" s="432"/>
      <c r="V456" s="432"/>
      <c r="W456" s="432"/>
      <c r="X456" s="432"/>
      <c r="Y456" s="432"/>
      <c r="Z456" s="432"/>
      <c r="AA456" s="432"/>
      <c r="AB456" s="432"/>
      <c r="AC456" s="432"/>
      <c r="AD456" s="432"/>
    </row>
    <row r="457">
      <c r="A457" s="432"/>
      <c r="B457" s="432"/>
      <c r="C457" s="432"/>
      <c r="D457" s="459"/>
      <c r="E457" s="459"/>
      <c r="F457" s="432"/>
      <c r="G457" s="432"/>
      <c r="H457" s="432"/>
      <c r="I457" s="432"/>
      <c r="J457" s="432"/>
      <c r="K457" s="432"/>
      <c r="L457" s="432"/>
      <c r="M457" s="432"/>
      <c r="N457" s="432"/>
      <c r="O457" s="459"/>
      <c r="P457" s="460"/>
      <c r="Q457" s="432"/>
      <c r="R457" s="432"/>
      <c r="S457" s="432"/>
      <c r="T457" s="432"/>
      <c r="U457" s="432"/>
      <c r="V457" s="432"/>
      <c r="W457" s="432"/>
      <c r="X457" s="432"/>
      <c r="Y457" s="432"/>
      <c r="Z457" s="432"/>
      <c r="AA457" s="432"/>
      <c r="AB457" s="432"/>
      <c r="AC457" s="432"/>
      <c r="AD457" s="432"/>
    </row>
    <row r="458">
      <c r="A458" s="432"/>
      <c r="B458" s="432"/>
      <c r="C458" s="432"/>
      <c r="D458" s="459"/>
      <c r="E458" s="459"/>
      <c r="F458" s="432"/>
      <c r="G458" s="432"/>
      <c r="H458" s="432"/>
      <c r="I458" s="432"/>
      <c r="J458" s="432"/>
      <c r="K458" s="432"/>
      <c r="L458" s="432"/>
      <c r="M458" s="432"/>
      <c r="N458" s="432"/>
      <c r="O458" s="459"/>
      <c r="P458" s="460"/>
      <c r="Q458" s="432"/>
      <c r="R458" s="432"/>
      <c r="S458" s="432"/>
      <c r="T458" s="432"/>
      <c r="U458" s="432"/>
      <c r="V458" s="432"/>
      <c r="W458" s="432"/>
      <c r="X458" s="432"/>
      <c r="Y458" s="432"/>
      <c r="Z458" s="432"/>
      <c r="AA458" s="432"/>
      <c r="AB458" s="432"/>
      <c r="AC458" s="432"/>
      <c r="AD458" s="432"/>
    </row>
    <row r="459">
      <c r="A459" s="432"/>
      <c r="B459" s="432"/>
      <c r="C459" s="432"/>
      <c r="D459" s="459"/>
      <c r="E459" s="459"/>
      <c r="F459" s="432"/>
      <c r="G459" s="432"/>
      <c r="H459" s="432"/>
      <c r="I459" s="432"/>
      <c r="J459" s="432"/>
      <c r="K459" s="432"/>
      <c r="L459" s="432"/>
      <c r="M459" s="432"/>
      <c r="N459" s="432"/>
      <c r="O459" s="459"/>
      <c r="P459" s="460"/>
      <c r="Q459" s="432"/>
      <c r="R459" s="432"/>
      <c r="S459" s="432"/>
      <c r="T459" s="432"/>
      <c r="U459" s="432"/>
      <c r="V459" s="432"/>
      <c r="W459" s="432"/>
      <c r="X459" s="432"/>
      <c r="Y459" s="432"/>
      <c r="Z459" s="432"/>
      <c r="AA459" s="432"/>
      <c r="AB459" s="432"/>
      <c r="AC459" s="432"/>
      <c r="AD459" s="432"/>
    </row>
    <row r="460">
      <c r="A460" s="432"/>
      <c r="B460" s="432"/>
      <c r="C460" s="432"/>
      <c r="D460" s="459"/>
      <c r="E460" s="459"/>
      <c r="F460" s="432"/>
      <c r="G460" s="432"/>
      <c r="H460" s="432"/>
      <c r="I460" s="432"/>
      <c r="J460" s="432"/>
      <c r="K460" s="432"/>
      <c r="L460" s="432"/>
      <c r="M460" s="432"/>
      <c r="N460" s="432"/>
      <c r="O460" s="459"/>
      <c r="P460" s="460"/>
      <c r="Q460" s="432"/>
      <c r="R460" s="432"/>
      <c r="S460" s="432"/>
      <c r="T460" s="432"/>
      <c r="U460" s="432"/>
      <c r="V460" s="432"/>
      <c r="W460" s="432"/>
      <c r="X460" s="432"/>
      <c r="Y460" s="432"/>
      <c r="Z460" s="432"/>
      <c r="AA460" s="432"/>
      <c r="AB460" s="432"/>
      <c r="AC460" s="432"/>
      <c r="AD460" s="432"/>
    </row>
    <row r="461">
      <c r="A461" s="432"/>
      <c r="B461" s="432"/>
      <c r="C461" s="432"/>
      <c r="D461" s="459"/>
      <c r="E461" s="459"/>
      <c r="F461" s="432"/>
      <c r="G461" s="432"/>
      <c r="H461" s="432"/>
      <c r="I461" s="432"/>
      <c r="J461" s="432"/>
      <c r="K461" s="432"/>
      <c r="L461" s="432"/>
      <c r="M461" s="432"/>
      <c r="N461" s="432"/>
      <c r="O461" s="459"/>
      <c r="P461" s="460"/>
      <c r="Q461" s="432"/>
      <c r="R461" s="432"/>
      <c r="S461" s="432"/>
      <c r="T461" s="432"/>
      <c r="U461" s="432"/>
      <c r="V461" s="432"/>
      <c r="W461" s="432"/>
      <c r="X461" s="432"/>
      <c r="Y461" s="432"/>
      <c r="Z461" s="432"/>
      <c r="AA461" s="432"/>
      <c r="AB461" s="432"/>
      <c r="AC461" s="432"/>
      <c r="AD461" s="432"/>
    </row>
    <row r="462">
      <c r="A462" s="432"/>
      <c r="B462" s="432"/>
      <c r="C462" s="432"/>
      <c r="D462" s="459"/>
      <c r="E462" s="459"/>
      <c r="F462" s="432"/>
      <c r="G462" s="432"/>
      <c r="H462" s="432"/>
      <c r="I462" s="432"/>
      <c r="J462" s="432"/>
      <c r="K462" s="432"/>
      <c r="L462" s="432"/>
      <c r="M462" s="432"/>
      <c r="N462" s="432"/>
      <c r="O462" s="459"/>
      <c r="P462" s="460"/>
      <c r="Q462" s="432"/>
      <c r="R462" s="432"/>
      <c r="S462" s="432"/>
      <c r="T462" s="432"/>
      <c r="U462" s="432"/>
      <c r="V462" s="432"/>
      <c r="W462" s="432"/>
      <c r="X462" s="432"/>
      <c r="Y462" s="432"/>
      <c r="Z462" s="432"/>
      <c r="AA462" s="432"/>
      <c r="AB462" s="432"/>
      <c r="AC462" s="432"/>
      <c r="AD462" s="432"/>
    </row>
    <row r="463">
      <c r="A463" s="432"/>
      <c r="B463" s="432"/>
      <c r="C463" s="432"/>
      <c r="D463" s="459"/>
      <c r="E463" s="459"/>
      <c r="F463" s="432"/>
      <c r="G463" s="432"/>
      <c r="H463" s="432"/>
      <c r="I463" s="432"/>
      <c r="J463" s="432"/>
      <c r="K463" s="432"/>
      <c r="L463" s="432"/>
      <c r="M463" s="432"/>
      <c r="N463" s="432"/>
      <c r="O463" s="459"/>
      <c r="P463" s="460"/>
      <c r="Q463" s="432"/>
      <c r="R463" s="432"/>
      <c r="S463" s="432"/>
      <c r="T463" s="432"/>
      <c r="U463" s="432"/>
      <c r="V463" s="432"/>
      <c r="W463" s="432"/>
      <c r="X463" s="432"/>
      <c r="Y463" s="432"/>
      <c r="Z463" s="432"/>
      <c r="AA463" s="432"/>
      <c r="AB463" s="432"/>
      <c r="AC463" s="432"/>
      <c r="AD463" s="432"/>
    </row>
    <row r="464">
      <c r="A464" s="432"/>
      <c r="B464" s="432"/>
      <c r="C464" s="432"/>
      <c r="D464" s="459"/>
      <c r="E464" s="459"/>
      <c r="F464" s="432"/>
      <c r="G464" s="432"/>
      <c r="H464" s="432"/>
      <c r="I464" s="432"/>
      <c r="J464" s="432"/>
      <c r="K464" s="432"/>
      <c r="L464" s="432"/>
      <c r="M464" s="432"/>
      <c r="N464" s="432"/>
      <c r="O464" s="459"/>
      <c r="P464" s="460"/>
      <c r="Q464" s="432"/>
      <c r="R464" s="432"/>
      <c r="S464" s="432"/>
      <c r="T464" s="432"/>
      <c r="U464" s="432"/>
      <c r="V464" s="432"/>
      <c r="W464" s="432"/>
      <c r="X464" s="432"/>
      <c r="Y464" s="432"/>
      <c r="Z464" s="432"/>
      <c r="AA464" s="432"/>
      <c r="AB464" s="432"/>
      <c r="AC464" s="432"/>
      <c r="AD464" s="432"/>
    </row>
    <row r="465">
      <c r="A465" s="432"/>
      <c r="B465" s="432"/>
      <c r="C465" s="432"/>
      <c r="D465" s="459"/>
      <c r="E465" s="459"/>
      <c r="F465" s="432"/>
      <c r="G465" s="432"/>
      <c r="H465" s="432"/>
      <c r="I465" s="432"/>
      <c r="J465" s="432"/>
      <c r="K465" s="432"/>
      <c r="L465" s="432"/>
      <c r="M465" s="432"/>
      <c r="N465" s="432"/>
      <c r="O465" s="459"/>
      <c r="P465" s="460"/>
      <c r="Q465" s="432"/>
      <c r="R465" s="432"/>
      <c r="S465" s="432"/>
      <c r="T465" s="432"/>
      <c r="U465" s="432"/>
      <c r="V465" s="432"/>
      <c r="W465" s="432"/>
      <c r="X465" s="432"/>
      <c r="Y465" s="432"/>
      <c r="Z465" s="432"/>
      <c r="AA465" s="432"/>
      <c r="AB465" s="432"/>
      <c r="AC465" s="432"/>
      <c r="AD465" s="432"/>
    </row>
    <row r="466">
      <c r="A466" s="432"/>
      <c r="B466" s="432"/>
      <c r="C466" s="432"/>
      <c r="D466" s="459"/>
      <c r="E466" s="459"/>
      <c r="F466" s="432"/>
      <c r="G466" s="432"/>
      <c r="H466" s="432"/>
      <c r="I466" s="432"/>
      <c r="J466" s="432"/>
      <c r="K466" s="432"/>
      <c r="L466" s="432"/>
      <c r="M466" s="432"/>
      <c r="N466" s="432"/>
      <c r="O466" s="459"/>
      <c r="P466" s="460"/>
      <c r="Q466" s="432"/>
      <c r="R466" s="432"/>
      <c r="S466" s="432"/>
      <c r="T466" s="432"/>
      <c r="U466" s="432"/>
      <c r="V466" s="432"/>
      <c r="W466" s="432"/>
      <c r="X466" s="432"/>
      <c r="Y466" s="432"/>
      <c r="Z466" s="432"/>
      <c r="AA466" s="432"/>
      <c r="AB466" s="432"/>
      <c r="AC466" s="432"/>
      <c r="AD466" s="432"/>
    </row>
    <row r="467">
      <c r="A467" s="432"/>
      <c r="B467" s="432"/>
      <c r="C467" s="432"/>
      <c r="D467" s="459"/>
      <c r="E467" s="459"/>
      <c r="F467" s="432"/>
      <c r="G467" s="432"/>
      <c r="H467" s="432"/>
      <c r="I467" s="432"/>
      <c r="J467" s="432"/>
      <c r="K467" s="432"/>
      <c r="L467" s="432"/>
      <c r="M467" s="432"/>
      <c r="N467" s="432"/>
      <c r="O467" s="459"/>
      <c r="P467" s="460"/>
      <c r="Q467" s="432"/>
      <c r="R467" s="432"/>
      <c r="S467" s="432"/>
      <c r="T467" s="432"/>
      <c r="U467" s="432"/>
      <c r="V467" s="432"/>
      <c r="W467" s="432"/>
      <c r="X467" s="432"/>
      <c r="Y467" s="432"/>
      <c r="Z467" s="432"/>
      <c r="AA467" s="432"/>
      <c r="AB467" s="432"/>
      <c r="AC467" s="432"/>
      <c r="AD467" s="432"/>
    </row>
    <row r="468">
      <c r="A468" s="432"/>
      <c r="B468" s="432"/>
      <c r="C468" s="432"/>
      <c r="D468" s="459"/>
      <c r="E468" s="459"/>
      <c r="F468" s="432"/>
      <c r="G468" s="432"/>
      <c r="H468" s="432"/>
      <c r="I468" s="432"/>
      <c r="J468" s="432"/>
      <c r="K468" s="432"/>
      <c r="L468" s="432"/>
      <c r="M468" s="432"/>
      <c r="N468" s="432"/>
      <c r="O468" s="459"/>
      <c r="P468" s="460"/>
      <c r="Q468" s="432"/>
      <c r="R468" s="432"/>
      <c r="S468" s="432"/>
      <c r="T468" s="432"/>
      <c r="U468" s="432"/>
      <c r="V468" s="432"/>
      <c r="W468" s="432"/>
      <c r="X468" s="432"/>
      <c r="Y468" s="432"/>
      <c r="Z468" s="432"/>
      <c r="AA468" s="432"/>
      <c r="AB468" s="432"/>
      <c r="AC468" s="432"/>
      <c r="AD468" s="432"/>
    </row>
    <row r="469">
      <c r="A469" s="432"/>
      <c r="B469" s="432"/>
      <c r="C469" s="432"/>
      <c r="D469" s="459"/>
      <c r="E469" s="459"/>
      <c r="F469" s="432"/>
      <c r="G469" s="432"/>
      <c r="H469" s="432"/>
      <c r="I469" s="432"/>
      <c r="J469" s="432"/>
      <c r="K469" s="432"/>
      <c r="L469" s="432"/>
      <c r="M469" s="432"/>
      <c r="N469" s="432"/>
      <c r="O469" s="459"/>
      <c r="P469" s="460"/>
      <c r="Q469" s="432"/>
      <c r="R469" s="432"/>
      <c r="S469" s="432"/>
      <c r="T469" s="432"/>
      <c r="U469" s="432"/>
      <c r="V469" s="432"/>
      <c r="W469" s="432"/>
      <c r="X469" s="432"/>
      <c r="Y469" s="432"/>
      <c r="Z469" s="432"/>
      <c r="AA469" s="432"/>
      <c r="AB469" s="432"/>
      <c r="AC469" s="432"/>
      <c r="AD469" s="432"/>
    </row>
    <row r="470">
      <c r="A470" s="432"/>
      <c r="B470" s="432"/>
      <c r="C470" s="432"/>
      <c r="D470" s="459"/>
      <c r="E470" s="459"/>
      <c r="F470" s="432"/>
      <c r="G470" s="432"/>
      <c r="H470" s="432"/>
      <c r="I470" s="432"/>
      <c r="J470" s="432"/>
      <c r="K470" s="432"/>
      <c r="L470" s="432"/>
      <c r="M470" s="432"/>
      <c r="N470" s="432"/>
      <c r="O470" s="459"/>
      <c r="P470" s="460"/>
      <c r="Q470" s="432"/>
      <c r="R470" s="432"/>
      <c r="S470" s="432"/>
      <c r="T470" s="432"/>
      <c r="U470" s="432"/>
      <c r="V470" s="432"/>
      <c r="W470" s="432"/>
      <c r="X470" s="432"/>
      <c r="Y470" s="432"/>
      <c r="Z470" s="432"/>
      <c r="AA470" s="432"/>
      <c r="AB470" s="432"/>
      <c r="AC470" s="432"/>
      <c r="AD470" s="432"/>
    </row>
    <row r="471">
      <c r="A471" s="432"/>
      <c r="B471" s="432"/>
      <c r="C471" s="432"/>
      <c r="D471" s="459"/>
      <c r="E471" s="459"/>
      <c r="F471" s="432"/>
      <c r="G471" s="432"/>
      <c r="H471" s="432"/>
      <c r="I471" s="432"/>
      <c r="J471" s="432"/>
      <c r="K471" s="432"/>
      <c r="L471" s="432"/>
      <c r="M471" s="432"/>
      <c r="N471" s="432"/>
      <c r="O471" s="459"/>
      <c r="P471" s="460"/>
      <c r="Q471" s="432"/>
      <c r="R471" s="432"/>
      <c r="S471" s="432"/>
      <c r="T471" s="432"/>
      <c r="U471" s="432"/>
      <c r="V471" s="432"/>
      <c r="W471" s="432"/>
      <c r="X471" s="432"/>
      <c r="Y471" s="432"/>
      <c r="Z471" s="432"/>
      <c r="AA471" s="432"/>
      <c r="AB471" s="432"/>
      <c r="AC471" s="432"/>
      <c r="AD471" s="432"/>
    </row>
    <row r="472">
      <c r="A472" s="432"/>
      <c r="B472" s="432"/>
      <c r="C472" s="432"/>
      <c r="D472" s="459"/>
      <c r="E472" s="459"/>
      <c r="F472" s="432"/>
      <c r="G472" s="432"/>
      <c r="H472" s="432"/>
      <c r="I472" s="432"/>
      <c r="J472" s="432"/>
      <c r="K472" s="432"/>
      <c r="L472" s="432"/>
      <c r="M472" s="432"/>
      <c r="N472" s="432"/>
      <c r="O472" s="459"/>
      <c r="P472" s="460"/>
      <c r="Q472" s="432"/>
      <c r="R472" s="432"/>
      <c r="S472" s="432"/>
      <c r="T472" s="432"/>
      <c r="U472" s="432"/>
      <c r="V472" s="432"/>
      <c r="W472" s="432"/>
      <c r="X472" s="432"/>
      <c r="Y472" s="432"/>
      <c r="Z472" s="432"/>
      <c r="AA472" s="432"/>
      <c r="AB472" s="432"/>
      <c r="AC472" s="432"/>
      <c r="AD472" s="432"/>
    </row>
    <row r="473">
      <c r="A473" s="432"/>
      <c r="B473" s="432"/>
      <c r="C473" s="432"/>
      <c r="D473" s="459"/>
      <c r="E473" s="459"/>
      <c r="F473" s="432"/>
      <c r="G473" s="432"/>
      <c r="H473" s="432"/>
      <c r="I473" s="432"/>
      <c r="J473" s="432"/>
      <c r="K473" s="432"/>
      <c r="L473" s="432"/>
      <c r="M473" s="432"/>
      <c r="N473" s="432"/>
      <c r="O473" s="459"/>
      <c r="P473" s="460"/>
      <c r="Q473" s="432"/>
      <c r="R473" s="432"/>
      <c r="S473" s="432"/>
      <c r="T473" s="432"/>
      <c r="U473" s="432"/>
      <c r="V473" s="432"/>
      <c r="W473" s="432"/>
      <c r="X473" s="432"/>
      <c r="Y473" s="432"/>
      <c r="Z473" s="432"/>
      <c r="AA473" s="432"/>
      <c r="AB473" s="432"/>
      <c r="AC473" s="432"/>
      <c r="AD473" s="432"/>
    </row>
    <row r="474">
      <c r="A474" s="432"/>
      <c r="B474" s="432"/>
      <c r="C474" s="432"/>
      <c r="D474" s="459"/>
      <c r="E474" s="459"/>
      <c r="F474" s="432"/>
      <c r="G474" s="432"/>
      <c r="H474" s="432"/>
      <c r="I474" s="432"/>
      <c r="J474" s="432"/>
      <c r="K474" s="432"/>
      <c r="L474" s="432"/>
      <c r="M474" s="432"/>
      <c r="N474" s="432"/>
      <c r="O474" s="459"/>
      <c r="P474" s="460"/>
      <c r="Q474" s="432"/>
      <c r="R474" s="432"/>
      <c r="S474" s="432"/>
      <c r="T474" s="432"/>
      <c r="U474" s="432"/>
      <c r="V474" s="432"/>
      <c r="W474" s="432"/>
      <c r="X474" s="432"/>
      <c r="Y474" s="432"/>
      <c r="Z474" s="432"/>
      <c r="AA474" s="432"/>
      <c r="AB474" s="432"/>
      <c r="AC474" s="432"/>
      <c r="AD474" s="432"/>
    </row>
    <row r="475">
      <c r="A475" s="432"/>
      <c r="B475" s="432"/>
      <c r="C475" s="432"/>
      <c r="D475" s="459"/>
      <c r="E475" s="459"/>
      <c r="F475" s="432"/>
      <c r="G475" s="432"/>
      <c r="H475" s="432"/>
      <c r="I475" s="432"/>
      <c r="J475" s="432"/>
      <c r="K475" s="432"/>
      <c r="L475" s="432"/>
      <c r="M475" s="432"/>
      <c r="N475" s="432"/>
      <c r="O475" s="459"/>
      <c r="P475" s="460"/>
      <c r="Q475" s="432"/>
      <c r="R475" s="432"/>
      <c r="S475" s="432"/>
      <c r="T475" s="432"/>
      <c r="U475" s="432"/>
      <c r="V475" s="432"/>
      <c r="W475" s="432"/>
      <c r="X475" s="432"/>
      <c r="Y475" s="432"/>
      <c r="Z475" s="432"/>
      <c r="AA475" s="432"/>
      <c r="AB475" s="432"/>
      <c r="AC475" s="432"/>
      <c r="AD475" s="432"/>
    </row>
    <row r="476">
      <c r="A476" s="432"/>
      <c r="B476" s="432"/>
      <c r="C476" s="432"/>
      <c r="D476" s="459"/>
      <c r="E476" s="459"/>
      <c r="F476" s="432"/>
      <c r="G476" s="432"/>
      <c r="H476" s="432"/>
      <c r="I476" s="432"/>
      <c r="J476" s="432"/>
      <c r="K476" s="432"/>
      <c r="L476" s="432"/>
      <c r="M476" s="432"/>
      <c r="N476" s="432"/>
      <c r="O476" s="459"/>
      <c r="P476" s="460"/>
      <c r="Q476" s="432"/>
      <c r="R476" s="432"/>
      <c r="S476" s="432"/>
      <c r="T476" s="432"/>
      <c r="U476" s="432"/>
      <c r="V476" s="432"/>
      <c r="W476" s="432"/>
      <c r="X476" s="432"/>
      <c r="Y476" s="432"/>
      <c r="Z476" s="432"/>
      <c r="AA476" s="432"/>
      <c r="AB476" s="432"/>
      <c r="AC476" s="432"/>
      <c r="AD476" s="432"/>
    </row>
    <row r="477">
      <c r="A477" s="432"/>
      <c r="B477" s="432"/>
      <c r="C477" s="432"/>
      <c r="D477" s="459"/>
      <c r="E477" s="459"/>
      <c r="F477" s="432"/>
      <c r="G477" s="432"/>
      <c r="H477" s="432"/>
      <c r="I477" s="432"/>
      <c r="J477" s="432"/>
      <c r="K477" s="432"/>
      <c r="L477" s="432"/>
      <c r="M477" s="432"/>
      <c r="N477" s="432"/>
      <c r="O477" s="459"/>
      <c r="P477" s="460"/>
      <c r="Q477" s="432"/>
      <c r="R477" s="432"/>
      <c r="S477" s="432"/>
      <c r="T477" s="432"/>
      <c r="U477" s="432"/>
      <c r="V477" s="432"/>
      <c r="W477" s="432"/>
      <c r="X477" s="432"/>
      <c r="Y477" s="432"/>
      <c r="Z477" s="432"/>
      <c r="AA477" s="432"/>
      <c r="AB477" s="432"/>
      <c r="AC477" s="432"/>
      <c r="AD477" s="432"/>
    </row>
    <row r="478">
      <c r="A478" s="432"/>
      <c r="B478" s="432"/>
      <c r="C478" s="432"/>
      <c r="D478" s="459"/>
      <c r="E478" s="459"/>
      <c r="F478" s="432"/>
      <c r="G478" s="432"/>
      <c r="H478" s="432"/>
      <c r="I478" s="432"/>
      <c r="J478" s="432"/>
      <c r="K478" s="432"/>
      <c r="L478" s="432"/>
      <c r="M478" s="432"/>
      <c r="N478" s="432"/>
      <c r="O478" s="459"/>
      <c r="P478" s="460"/>
      <c r="Q478" s="432"/>
      <c r="R478" s="432"/>
      <c r="S478" s="432"/>
      <c r="T478" s="432"/>
      <c r="U478" s="432"/>
      <c r="V478" s="432"/>
      <c r="W478" s="432"/>
      <c r="X478" s="432"/>
      <c r="Y478" s="432"/>
      <c r="Z478" s="432"/>
      <c r="AA478" s="432"/>
      <c r="AB478" s="432"/>
      <c r="AC478" s="432"/>
      <c r="AD478" s="432"/>
    </row>
    <row r="479">
      <c r="A479" s="432"/>
      <c r="B479" s="432"/>
      <c r="C479" s="432"/>
      <c r="D479" s="459"/>
      <c r="E479" s="459"/>
      <c r="F479" s="432"/>
      <c r="G479" s="432"/>
      <c r="H479" s="432"/>
      <c r="I479" s="432"/>
      <c r="J479" s="432"/>
      <c r="K479" s="432"/>
      <c r="L479" s="432"/>
      <c r="M479" s="432"/>
      <c r="N479" s="432"/>
      <c r="O479" s="459"/>
      <c r="P479" s="460"/>
      <c r="Q479" s="432"/>
      <c r="R479" s="432"/>
      <c r="S479" s="432"/>
      <c r="T479" s="432"/>
      <c r="U479" s="432"/>
      <c r="V479" s="432"/>
      <c r="W479" s="432"/>
      <c r="X479" s="432"/>
      <c r="Y479" s="432"/>
      <c r="Z479" s="432"/>
      <c r="AA479" s="432"/>
      <c r="AB479" s="432"/>
      <c r="AC479" s="432"/>
      <c r="AD479" s="432"/>
    </row>
    <row r="480">
      <c r="A480" s="432"/>
      <c r="B480" s="432"/>
      <c r="C480" s="432"/>
      <c r="D480" s="459"/>
      <c r="E480" s="459"/>
      <c r="F480" s="432"/>
      <c r="G480" s="432"/>
      <c r="H480" s="432"/>
      <c r="I480" s="432"/>
      <c r="J480" s="432"/>
      <c r="K480" s="432"/>
      <c r="L480" s="432"/>
      <c r="M480" s="432"/>
      <c r="N480" s="432"/>
      <c r="O480" s="459"/>
      <c r="P480" s="460"/>
      <c r="Q480" s="432"/>
      <c r="R480" s="432"/>
      <c r="S480" s="432"/>
      <c r="T480" s="432"/>
      <c r="U480" s="432"/>
      <c r="V480" s="432"/>
      <c r="W480" s="432"/>
      <c r="X480" s="432"/>
      <c r="Y480" s="432"/>
      <c r="Z480" s="432"/>
      <c r="AA480" s="432"/>
      <c r="AB480" s="432"/>
      <c r="AC480" s="432"/>
      <c r="AD480" s="432"/>
    </row>
    <row r="481">
      <c r="A481" s="432"/>
      <c r="B481" s="432"/>
      <c r="C481" s="432"/>
      <c r="D481" s="459"/>
      <c r="E481" s="459"/>
      <c r="F481" s="432"/>
      <c r="G481" s="432"/>
      <c r="H481" s="432"/>
      <c r="I481" s="432"/>
      <c r="J481" s="432"/>
      <c r="K481" s="432"/>
      <c r="L481" s="432"/>
      <c r="M481" s="432"/>
      <c r="N481" s="432"/>
      <c r="O481" s="459"/>
      <c r="P481" s="460"/>
      <c r="Q481" s="432"/>
      <c r="R481" s="432"/>
      <c r="S481" s="432"/>
      <c r="T481" s="432"/>
      <c r="U481" s="432"/>
      <c r="V481" s="432"/>
      <c r="W481" s="432"/>
      <c r="X481" s="432"/>
      <c r="Y481" s="432"/>
      <c r="Z481" s="432"/>
      <c r="AA481" s="432"/>
      <c r="AB481" s="432"/>
      <c r="AC481" s="432"/>
      <c r="AD481" s="432"/>
    </row>
    <row r="482">
      <c r="A482" s="432"/>
      <c r="B482" s="432"/>
      <c r="C482" s="432"/>
      <c r="D482" s="459"/>
      <c r="E482" s="459"/>
      <c r="F482" s="432"/>
      <c r="G482" s="432"/>
      <c r="H482" s="432"/>
      <c r="I482" s="432"/>
      <c r="J482" s="432"/>
      <c r="K482" s="432"/>
      <c r="L482" s="432"/>
      <c r="M482" s="432"/>
      <c r="N482" s="432"/>
      <c r="O482" s="459"/>
      <c r="P482" s="460"/>
      <c r="Q482" s="432"/>
      <c r="R482" s="432"/>
      <c r="S482" s="432"/>
      <c r="T482" s="432"/>
      <c r="U482" s="432"/>
      <c r="V482" s="432"/>
      <c r="W482" s="432"/>
      <c r="X482" s="432"/>
      <c r="Y482" s="432"/>
      <c r="Z482" s="432"/>
      <c r="AA482" s="432"/>
      <c r="AB482" s="432"/>
      <c r="AC482" s="432"/>
      <c r="AD482" s="432"/>
    </row>
    <row r="483">
      <c r="A483" s="432"/>
      <c r="B483" s="432"/>
      <c r="C483" s="432"/>
      <c r="D483" s="459"/>
      <c r="E483" s="459"/>
      <c r="F483" s="432"/>
      <c r="G483" s="432"/>
      <c r="H483" s="432"/>
      <c r="I483" s="432"/>
      <c r="J483" s="432"/>
      <c r="K483" s="432"/>
      <c r="L483" s="432"/>
      <c r="M483" s="432"/>
      <c r="N483" s="432"/>
      <c r="O483" s="459"/>
      <c r="P483" s="460"/>
      <c r="Q483" s="432"/>
      <c r="R483" s="432"/>
      <c r="S483" s="432"/>
      <c r="T483" s="432"/>
      <c r="U483" s="432"/>
      <c r="V483" s="432"/>
      <c r="W483" s="432"/>
      <c r="X483" s="432"/>
      <c r="Y483" s="432"/>
      <c r="Z483" s="432"/>
      <c r="AA483" s="432"/>
      <c r="AB483" s="432"/>
      <c r="AC483" s="432"/>
      <c r="AD483" s="432"/>
    </row>
    <row r="484">
      <c r="A484" s="432"/>
      <c r="B484" s="432"/>
      <c r="C484" s="432"/>
      <c r="D484" s="459"/>
      <c r="E484" s="459"/>
      <c r="F484" s="432"/>
      <c r="G484" s="432"/>
      <c r="H484" s="432"/>
      <c r="I484" s="432"/>
      <c r="J484" s="432"/>
      <c r="K484" s="432"/>
      <c r="L484" s="432"/>
      <c r="M484" s="432"/>
      <c r="N484" s="432"/>
      <c r="O484" s="459"/>
      <c r="P484" s="460"/>
      <c r="Q484" s="432"/>
      <c r="R484" s="432"/>
      <c r="S484" s="432"/>
      <c r="T484" s="432"/>
      <c r="U484" s="432"/>
      <c r="V484" s="432"/>
      <c r="W484" s="432"/>
      <c r="X484" s="432"/>
      <c r="Y484" s="432"/>
      <c r="Z484" s="432"/>
      <c r="AA484" s="432"/>
      <c r="AB484" s="432"/>
      <c r="AC484" s="432"/>
      <c r="AD484" s="432"/>
    </row>
    <row r="485">
      <c r="A485" s="432"/>
      <c r="B485" s="432"/>
      <c r="C485" s="432"/>
      <c r="D485" s="459"/>
      <c r="E485" s="459"/>
      <c r="F485" s="432"/>
      <c r="G485" s="432"/>
      <c r="H485" s="432"/>
      <c r="I485" s="432"/>
      <c r="J485" s="432"/>
      <c r="K485" s="432"/>
      <c r="L485" s="432"/>
      <c r="M485" s="432"/>
      <c r="N485" s="432"/>
      <c r="O485" s="459"/>
      <c r="P485" s="460"/>
      <c r="Q485" s="432"/>
      <c r="R485" s="432"/>
      <c r="S485" s="432"/>
      <c r="T485" s="432"/>
      <c r="U485" s="432"/>
      <c r="V485" s="432"/>
      <c r="W485" s="432"/>
      <c r="X485" s="432"/>
      <c r="Y485" s="432"/>
      <c r="Z485" s="432"/>
      <c r="AA485" s="432"/>
      <c r="AB485" s="432"/>
      <c r="AC485" s="432"/>
      <c r="AD485" s="432"/>
    </row>
    <row r="486">
      <c r="A486" s="432"/>
      <c r="B486" s="432"/>
      <c r="C486" s="432"/>
      <c r="D486" s="459"/>
      <c r="E486" s="459"/>
      <c r="F486" s="432"/>
      <c r="G486" s="432"/>
      <c r="H486" s="432"/>
      <c r="I486" s="432"/>
      <c r="J486" s="432"/>
      <c r="K486" s="432"/>
      <c r="L486" s="432"/>
      <c r="M486" s="432"/>
      <c r="N486" s="432"/>
      <c r="O486" s="459"/>
      <c r="P486" s="460"/>
      <c r="Q486" s="432"/>
      <c r="R486" s="432"/>
      <c r="S486" s="432"/>
      <c r="T486" s="432"/>
      <c r="U486" s="432"/>
      <c r="V486" s="432"/>
      <c r="W486" s="432"/>
      <c r="X486" s="432"/>
      <c r="Y486" s="432"/>
      <c r="Z486" s="432"/>
      <c r="AA486" s="432"/>
      <c r="AB486" s="432"/>
      <c r="AC486" s="432"/>
      <c r="AD486" s="432"/>
    </row>
    <row r="487">
      <c r="A487" s="432"/>
      <c r="B487" s="432"/>
      <c r="C487" s="432"/>
      <c r="D487" s="459"/>
      <c r="E487" s="459"/>
      <c r="F487" s="432"/>
      <c r="G487" s="432"/>
      <c r="H487" s="432"/>
      <c r="I487" s="432"/>
      <c r="J487" s="432"/>
      <c r="K487" s="432"/>
      <c r="L487" s="432"/>
      <c r="M487" s="432"/>
      <c r="N487" s="432"/>
      <c r="O487" s="459"/>
      <c r="P487" s="460"/>
      <c r="Q487" s="432"/>
      <c r="R487" s="432"/>
      <c r="S487" s="432"/>
      <c r="T487" s="432"/>
      <c r="U487" s="432"/>
      <c r="V487" s="432"/>
      <c r="W487" s="432"/>
      <c r="X487" s="432"/>
      <c r="Y487" s="432"/>
      <c r="Z487" s="432"/>
      <c r="AA487" s="432"/>
      <c r="AB487" s="432"/>
      <c r="AC487" s="432"/>
      <c r="AD487" s="432"/>
    </row>
    <row r="488">
      <c r="A488" s="432"/>
      <c r="B488" s="432"/>
      <c r="C488" s="432"/>
      <c r="D488" s="459"/>
      <c r="E488" s="459"/>
      <c r="F488" s="432"/>
      <c r="G488" s="432"/>
      <c r="H488" s="432"/>
      <c r="I488" s="432"/>
      <c r="J488" s="432"/>
      <c r="K488" s="432"/>
      <c r="L488" s="432"/>
      <c r="M488" s="432"/>
      <c r="N488" s="432"/>
      <c r="O488" s="459"/>
      <c r="P488" s="460"/>
      <c r="Q488" s="432"/>
      <c r="R488" s="432"/>
      <c r="S488" s="432"/>
      <c r="T488" s="432"/>
      <c r="U488" s="432"/>
      <c r="V488" s="432"/>
      <c r="W488" s="432"/>
      <c r="X488" s="432"/>
      <c r="Y488" s="432"/>
      <c r="Z488" s="432"/>
      <c r="AA488" s="432"/>
      <c r="AB488" s="432"/>
      <c r="AC488" s="432"/>
      <c r="AD488" s="432"/>
    </row>
    <row r="489">
      <c r="A489" s="432"/>
      <c r="B489" s="432"/>
      <c r="C489" s="432"/>
      <c r="D489" s="459"/>
      <c r="E489" s="459"/>
      <c r="F489" s="432"/>
      <c r="G489" s="432"/>
      <c r="H489" s="432"/>
      <c r="I489" s="432"/>
      <c r="J489" s="432"/>
      <c r="K489" s="432"/>
      <c r="L489" s="432"/>
      <c r="M489" s="432"/>
      <c r="N489" s="432"/>
      <c r="O489" s="459"/>
      <c r="P489" s="460"/>
      <c r="Q489" s="432"/>
      <c r="R489" s="432"/>
      <c r="S489" s="432"/>
      <c r="T489" s="432"/>
      <c r="U489" s="432"/>
      <c r="V489" s="432"/>
      <c r="W489" s="432"/>
      <c r="X489" s="432"/>
      <c r="Y489" s="432"/>
      <c r="Z489" s="432"/>
      <c r="AA489" s="432"/>
      <c r="AB489" s="432"/>
      <c r="AC489" s="432"/>
      <c r="AD489" s="432"/>
    </row>
    <row r="490">
      <c r="A490" s="432"/>
      <c r="B490" s="432"/>
      <c r="C490" s="432"/>
      <c r="D490" s="459"/>
      <c r="E490" s="459"/>
      <c r="F490" s="432"/>
      <c r="G490" s="432"/>
      <c r="H490" s="432"/>
      <c r="I490" s="432"/>
      <c r="J490" s="432"/>
      <c r="K490" s="432"/>
      <c r="L490" s="432"/>
      <c r="M490" s="432"/>
      <c r="N490" s="432"/>
      <c r="O490" s="459"/>
      <c r="P490" s="460"/>
      <c r="Q490" s="432"/>
      <c r="R490" s="432"/>
      <c r="S490" s="432"/>
      <c r="T490" s="432"/>
      <c r="U490" s="432"/>
      <c r="V490" s="432"/>
      <c r="W490" s="432"/>
      <c r="X490" s="432"/>
      <c r="Y490" s="432"/>
      <c r="Z490" s="432"/>
      <c r="AA490" s="432"/>
      <c r="AB490" s="432"/>
      <c r="AC490" s="432"/>
      <c r="AD490" s="432"/>
    </row>
    <row r="491">
      <c r="A491" s="432"/>
      <c r="B491" s="432"/>
      <c r="C491" s="432"/>
      <c r="D491" s="459"/>
      <c r="E491" s="459"/>
      <c r="F491" s="432"/>
      <c r="G491" s="432"/>
      <c r="H491" s="432"/>
      <c r="I491" s="432"/>
      <c r="J491" s="432"/>
      <c r="K491" s="432"/>
      <c r="L491" s="432"/>
      <c r="M491" s="432"/>
      <c r="N491" s="432"/>
      <c r="O491" s="459"/>
      <c r="P491" s="460"/>
      <c r="Q491" s="432"/>
      <c r="R491" s="432"/>
      <c r="S491" s="432"/>
      <c r="T491" s="432"/>
      <c r="U491" s="432"/>
      <c r="V491" s="432"/>
      <c r="W491" s="432"/>
      <c r="X491" s="432"/>
      <c r="Y491" s="432"/>
      <c r="Z491" s="432"/>
      <c r="AA491" s="432"/>
      <c r="AB491" s="432"/>
      <c r="AC491" s="432"/>
      <c r="AD491" s="432"/>
    </row>
    <row r="492">
      <c r="A492" s="432"/>
      <c r="B492" s="432"/>
      <c r="C492" s="432"/>
      <c r="D492" s="459"/>
      <c r="E492" s="459"/>
      <c r="F492" s="432"/>
      <c r="G492" s="432"/>
      <c r="H492" s="432"/>
      <c r="I492" s="432"/>
      <c r="J492" s="432"/>
      <c r="K492" s="432"/>
      <c r="L492" s="432"/>
      <c r="M492" s="432"/>
      <c r="N492" s="432"/>
      <c r="O492" s="459"/>
      <c r="P492" s="460"/>
      <c r="Q492" s="432"/>
      <c r="R492" s="432"/>
      <c r="S492" s="432"/>
      <c r="T492" s="432"/>
      <c r="U492" s="432"/>
      <c r="V492" s="432"/>
      <c r="W492" s="432"/>
      <c r="X492" s="432"/>
      <c r="Y492" s="432"/>
      <c r="Z492" s="432"/>
      <c r="AA492" s="432"/>
      <c r="AB492" s="432"/>
      <c r="AC492" s="432"/>
      <c r="AD492" s="432"/>
    </row>
    <row r="493">
      <c r="A493" s="432"/>
      <c r="B493" s="432"/>
      <c r="C493" s="432"/>
      <c r="D493" s="459"/>
      <c r="E493" s="459"/>
      <c r="F493" s="432"/>
      <c r="G493" s="432"/>
      <c r="H493" s="432"/>
      <c r="I493" s="432"/>
      <c r="J493" s="432"/>
      <c r="K493" s="432"/>
      <c r="L493" s="432"/>
      <c r="M493" s="432"/>
      <c r="N493" s="432"/>
      <c r="O493" s="459"/>
      <c r="P493" s="460"/>
      <c r="Q493" s="432"/>
      <c r="R493" s="432"/>
      <c r="S493" s="432"/>
      <c r="T493" s="432"/>
      <c r="U493" s="432"/>
      <c r="V493" s="432"/>
      <c r="W493" s="432"/>
      <c r="X493" s="432"/>
      <c r="Y493" s="432"/>
      <c r="Z493" s="432"/>
      <c r="AA493" s="432"/>
      <c r="AB493" s="432"/>
      <c r="AC493" s="432"/>
      <c r="AD493" s="432"/>
    </row>
    <row r="494">
      <c r="A494" s="432"/>
      <c r="B494" s="432"/>
      <c r="C494" s="432"/>
      <c r="D494" s="459"/>
      <c r="E494" s="459"/>
      <c r="F494" s="432"/>
      <c r="G494" s="432"/>
      <c r="H494" s="432"/>
      <c r="I494" s="432"/>
      <c r="J494" s="432"/>
      <c r="K494" s="432"/>
      <c r="L494" s="432"/>
      <c r="M494" s="432"/>
      <c r="N494" s="432"/>
      <c r="O494" s="459"/>
      <c r="P494" s="460"/>
      <c r="Q494" s="432"/>
      <c r="R494" s="432"/>
      <c r="S494" s="432"/>
      <c r="T494" s="432"/>
      <c r="U494" s="432"/>
      <c r="V494" s="432"/>
      <c r="W494" s="432"/>
      <c r="X494" s="432"/>
      <c r="Y494" s="432"/>
      <c r="Z494" s="432"/>
      <c r="AA494" s="432"/>
      <c r="AB494" s="432"/>
      <c r="AC494" s="432"/>
      <c r="AD494" s="432"/>
    </row>
    <row r="495">
      <c r="A495" s="432"/>
      <c r="B495" s="432"/>
      <c r="C495" s="432"/>
      <c r="D495" s="459"/>
      <c r="E495" s="459"/>
      <c r="F495" s="432"/>
      <c r="G495" s="432"/>
      <c r="H495" s="432"/>
      <c r="I495" s="432"/>
      <c r="J495" s="432"/>
      <c r="K495" s="432"/>
      <c r="L495" s="432"/>
      <c r="M495" s="432"/>
      <c r="N495" s="432"/>
      <c r="O495" s="459"/>
      <c r="P495" s="460"/>
      <c r="Q495" s="432"/>
      <c r="R495" s="432"/>
      <c r="S495" s="432"/>
      <c r="T495" s="432"/>
      <c r="U495" s="432"/>
      <c r="V495" s="432"/>
      <c r="W495" s="432"/>
      <c r="X495" s="432"/>
      <c r="Y495" s="432"/>
      <c r="Z495" s="432"/>
      <c r="AA495" s="432"/>
      <c r="AB495" s="432"/>
      <c r="AC495" s="432"/>
      <c r="AD495" s="432"/>
    </row>
    <row r="496">
      <c r="A496" s="432"/>
      <c r="B496" s="432"/>
      <c r="C496" s="432"/>
      <c r="D496" s="459"/>
      <c r="E496" s="459"/>
      <c r="F496" s="432"/>
      <c r="G496" s="432"/>
      <c r="H496" s="432"/>
      <c r="I496" s="432"/>
      <c r="J496" s="432"/>
      <c r="K496" s="432"/>
      <c r="L496" s="432"/>
      <c r="M496" s="432"/>
      <c r="N496" s="432"/>
      <c r="O496" s="459"/>
      <c r="P496" s="460"/>
      <c r="Q496" s="432"/>
      <c r="R496" s="432"/>
      <c r="S496" s="432"/>
      <c r="T496" s="432"/>
      <c r="U496" s="432"/>
      <c r="V496" s="432"/>
      <c r="W496" s="432"/>
      <c r="X496" s="432"/>
      <c r="Y496" s="432"/>
      <c r="Z496" s="432"/>
      <c r="AA496" s="432"/>
      <c r="AB496" s="432"/>
      <c r="AC496" s="432"/>
      <c r="AD496" s="432"/>
    </row>
    <row r="497">
      <c r="A497" s="432"/>
      <c r="B497" s="432"/>
      <c r="C497" s="432"/>
      <c r="D497" s="459"/>
      <c r="E497" s="459"/>
      <c r="F497" s="432"/>
      <c r="G497" s="432"/>
      <c r="H497" s="432"/>
      <c r="I497" s="432"/>
      <c r="J497" s="432"/>
      <c r="K497" s="432"/>
      <c r="L497" s="432"/>
      <c r="M497" s="432"/>
      <c r="N497" s="432"/>
      <c r="O497" s="459"/>
      <c r="P497" s="460"/>
      <c r="Q497" s="432"/>
      <c r="R497" s="432"/>
      <c r="S497" s="432"/>
      <c r="T497" s="432"/>
      <c r="U497" s="432"/>
      <c r="V497" s="432"/>
      <c r="W497" s="432"/>
      <c r="X497" s="432"/>
      <c r="Y497" s="432"/>
      <c r="Z497" s="432"/>
      <c r="AA497" s="432"/>
      <c r="AB497" s="432"/>
      <c r="AC497" s="432"/>
      <c r="AD497" s="432"/>
    </row>
    <row r="498">
      <c r="A498" s="432"/>
      <c r="B498" s="432"/>
      <c r="C498" s="432"/>
      <c r="D498" s="459"/>
      <c r="E498" s="459"/>
      <c r="F498" s="432"/>
      <c r="G498" s="432"/>
      <c r="H498" s="432"/>
      <c r="I498" s="432"/>
      <c r="J498" s="432"/>
      <c r="K498" s="432"/>
      <c r="L498" s="432"/>
      <c r="M498" s="432"/>
      <c r="N498" s="432"/>
      <c r="O498" s="459"/>
      <c r="P498" s="460"/>
      <c r="Q498" s="432"/>
      <c r="R498" s="432"/>
      <c r="S498" s="432"/>
      <c r="T498" s="432"/>
      <c r="U498" s="432"/>
      <c r="V498" s="432"/>
      <c r="W498" s="432"/>
      <c r="X498" s="432"/>
      <c r="Y498" s="432"/>
      <c r="Z498" s="432"/>
      <c r="AA498" s="432"/>
      <c r="AB498" s="432"/>
      <c r="AC498" s="432"/>
      <c r="AD498" s="432"/>
    </row>
    <row r="499">
      <c r="A499" s="432"/>
      <c r="B499" s="432"/>
      <c r="C499" s="432"/>
      <c r="D499" s="459"/>
      <c r="E499" s="459"/>
      <c r="F499" s="432"/>
      <c r="G499" s="432"/>
      <c r="H499" s="432"/>
      <c r="I499" s="432"/>
      <c r="J499" s="432"/>
      <c r="K499" s="432"/>
      <c r="L499" s="432"/>
      <c r="M499" s="432"/>
      <c r="N499" s="432"/>
      <c r="O499" s="459"/>
      <c r="P499" s="460"/>
      <c r="Q499" s="432"/>
      <c r="R499" s="432"/>
      <c r="S499" s="432"/>
      <c r="T499" s="432"/>
      <c r="U499" s="432"/>
      <c r="V499" s="432"/>
      <c r="W499" s="432"/>
      <c r="X499" s="432"/>
      <c r="Y499" s="432"/>
      <c r="Z499" s="432"/>
      <c r="AA499" s="432"/>
      <c r="AB499" s="432"/>
      <c r="AC499" s="432"/>
      <c r="AD499" s="432"/>
    </row>
    <row r="500">
      <c r="A500" s="432"/>
      <c r="B500" s="432"/>
      <c r="C500" s="432"/>
      <c r="D500" s="459"/>
      <c r="E500" s="459"/>
      <c r="F500" s="432"/>
      <c r="G500" s="432"/>
      <c r="H500" s="432"/>
      <c r="I500" s="432"/>
      <c r="J500" s="432"/>
      <c r="K500" s="432"/>
      <c r="L500" s="432"/>
      <c r="M500" s="432"/>
      <c r="N500" s="432"/>
      <c r="O500" s="459"/>
      <c r="P500" s="460"/>
      <c r="Q500" s="432"/>
      <c r="R500" s="432"/>
      <c r="S500" s="432"/>
      <c r="T500" s="432"/>
      <c r="U500" s="432"/>
      <c r="V500" s="432"/>
      <c r="W500" s="432"/>
      <c r="X500" s="432"/>
      <c r="Y500" s="432"/>
      <c r="Z500" s="432"/>
      <c r="AA500" s="432"/>
      <c r="AB500" s="432"/>
      <c r="AC500" s="432"/>
      <c r="AD500" s="432"/>
    </row>
    <row r="501">
      <c r="A501" s="432"/>
      <c r="B501" s="432"/>
      <c r="C501" s="432"/>
      <c r="D501" s="459"/>
      <c r="E501" s="459"/>
      <c r="F501" s="432"/>
      <c r="G501" s="432"/>
      <c r="H501" s="432"/>
      <c r="I501" s="432"/>
      <c r="J501" s="432"/>
      <c r="K501" s="432"/>
      <c r="L501" s="432"/>
      <c r="M501" s="432"/>
      <c r="N501" s="432"/>
      <c r="O501" s="459"/>
      <c r="P501" s="460"/>
      <c r="Q501" s="432"/>
      <c r="R501" s="432"/>
      <c r="S501" s="432"/>
      <c r="T501" s="432"/>
      <c r="U501" s="432"/>
      <c r="V501" s="432"/>
      <c r="W501" s="432"/>
      <c r="X501" s="432"/>
      <c r="Y501" s="432"/>
      <c r="Z501" s="432"/>
      <c r="AA501" s="432"/>
      <c r="AB501" s="432"/>
      <c r="AC501" s="432"/>
      <c r="AD501" s="432"/>
    </row>
    <row r="502">
      <c r="A502" s="432"/>
      <c r="B502" s="432"/>
      <c r="C502" s="432"/>
      <c r="D502" s="459"/>
      <c r="E502" s="459"/>
      <c r="F502" s="432"/>
      <c r="G502" s="432"/>
      <c r="H502" s="432"/>
      <c r="I502" s="432"/>
      <c r="J502" s="432"/>
      <c r="K502" s="432"/>
      <c r="L502" s="432"/>
      <c r="M502" s="432"/>
      <c r="N502" s="432"/>
      <c r="O502" s="459"/>
      <c r="P502" s="460"/>
      <c r="Q502" s="432"/>
      <c r="R502" s="432"/>
      <c r="S502" s="432"/>
      <c r="T502" s="432"/>
      <c r="U502" s="432"/>
      <c r="V502" s="432"/>
      <c r="W502" s="432"/>
      <c r="X502" s="432"/>
      <c r="Y502" s="432"/>
      <c r="Z502" s="432"/>
      <c r="AA502" s="432"/>
      <c r="AB502" s="432"/>
      <c r="AC502" s="432"/>
      <c r="AD502" s="432"/>
    </row>
    <row r="503">
      <c r="A503" s="432"/>
      <c r="B503" s="432"/>
      <c r="C503" s="432"/>
      <c r="D503" s="459"/>
      <c r="E503" s="459"/>
      <c r="F503" s="432"/>
      <c r="G503" s="432"/>
      <c r="H503" s="432"/>
      <c r="I503" s="432"/>
      <c r="J503" s="432"/>
      <c r="K503" s="432"/>
      <c r="L503" s="432"/>
      <c r="M503" s="432"/>
      <c r="N503" s="432"/>
      <c r="O503" s="459"/>
      <c r="P503" s="460"/>
      <c r="Q503" s="432"/>
      <c r="R503" s="432"/>
      <c r="S503" s="432"/>
      <c r="T503" s="432"/>
      <c r="U503" s="432"/>
      <c r="V503" s="432"/>
      <c r="W503" s="432"/>
      <c r="X503" s="432"/>
      <c r="Y503" s="432"/>
      <c r="Z503" s="432"/>
      <c r="AA503" s="432"/>
      <c r="AB503" s="432"/>
      <c r="AC503" s="432"/>
      <c r="AD503" s="432"/>
    </row>
    <row r="504">
      <c r="A504" s="432"/>
      <c r="B504" s="432"/>
      <c r="C504" s="432"/>
      <c r="D504" s="459"/>
      <c r="E504" s="459"/>
      <c r="F504" s="432"/>
      <c r="G504" s="432"/>
      <c r="H504" s="432"/>
      <c r="I504" s="432"/>
      <c r="J504" s="432"/>
      <c r="K504" s="432"/>
      <c r="L504" s="432"/>
      <c r="M504" s="432"/>
      <c r="N504" s="432"/>
      <c r="O504" s="459"/>
      <c r="P504" s="460"/>
      <c r="Q504" s="432"/>
      <c r="R504" s="432"/>
      <c r="S504" s="432"/>
      <c r="T504" s="432"/>
      <c r="U504" s="432"/>
      <c r="V504" s="432"/>
      <c r="W504" s="432"/>
      <c r="X504" s="432"/>
      <c r="Y504" s="432"/>
      <c r="Z504" s="432"/>
      <c r="AA504" s="432"/>
      <c r="AB504" s="432"/>
      <c r="AC504" s="432"/>
      <c r="AD504" s="432"/>
    </row>
    <row r="505">
      <c r="A505" s="432"/>
      <c r="B505" s="432"/>
      <c r="C505" s="432"/>
      <c r="D505" s="459"/>
      <c r="E505" s="459"/>
      <c r="F505" s="432"/>
      <c r="G505" s="432"/>
      <c r="H505" s="432"/>
      <c r="I505" s="432"/>
      <c r="J505" s="432"/>
      <c r="K505" s="432"/>
      <c r="L505" s="432"/>
      <c r="M505" s="432"/>
      <c r="N505" s="432"/>
      <c r="O505" s="459"/>
      <c r="P505" s="460"/>
      <c r="Q505" s="432"/>
      <c r="R505" s="432"/>
      <c r="S505" s="432"/>
      <c r="T505" s="432"/>
      <c r="U505" s="432"/>
      <c r="V505" s="432"/>
      <c r="W505" s="432"/>
      <c r="X505" s="432"/>
      <c r="Y505" s="432"/>
      <c r="Z505" s="432"/>
      <c r="AA505" s="432"/>
      <c r="AB505" s="432"/>
      <c r="AC505" s="432"/>
      <c r="AD505" s="432"/>
    </row>
    <row r="506">
      <c r="A506" s="432"/>
      <c r="B506" s="432"/>
      <c r="C506" s="432"/>
      <c r="D506" s="459"/>
      <c r="E506" s="459"/>
      <c r="F506" s="432"/>
      <c r="G506" s="432"/>
      <c r="H506" s="432"/>
      <c r="I506" s="432"/>
      <c r="J506" s="432"/>
      <c r="K506" s="432"/>
      <c r="L506" s="432"/>
      <c r="M506" s="432"/>
      <c r="N506" s="432"/>
      <c r="O506" s="459"/>
      <c r="P506" s="460"/>
      <c r="Q506" s="432"/>
      <c r="R506" s="432"/>
      <c r="S506" s="432"/>
      <c r="T506" s="432"/>
      <c r="U506" s="432"/>
      <c r="V506" s="432"/>
      <c r="W506" s="432"/>
      <c r="X506" s="432"/>
      <c r="Y506" s="432"/>
      <c r="Z506" s="432"/>
      <c r="AA506" s="432"/>
      <c r="AB506" s="432"/>
      <c r="AC506" s="432"/>
      <c r="AD506" s="432"/>
    </row>
    <row r="507">
      <c r="A507" s="432"/>
      <c r="B507" s="432"/>
      <c r="C507" s="432"/>
      <c r="D507" s="459"/>
      <c r="E507" s="459"/>
      <c r="F507" s="432"/>
      <c r="G507" s="432"/>
      <c r="H507" s="432"/>
      <c r="I507" s="432"/>
      <c r="J507" s="432"/>
      <c r="K507" s="432"/>
      <c r="L507" s="432"/>
      <c r="M507" s="432"/>
      <c r="N507" s="432"/>
      <c r="O507" s="459"/>
      <c r="P507" s="460"/>
      <c r="Q507" s="432"/>
      <c r="R507" s="432"/>
      <c r="S507" s="432"/>
      <c r="T507" s="432"/>
      <c r="U507" s="432"/>
      <c r="V507" s="432"/>
      <c r="W507" s="432"/>
      <c r="X507" s="432"/>
      <c r="Y507" s="432"/>
      <c r="Z507" s="432"/>
      <c r="AA507" s="432"/>
      <c r="AB507" s="432"/>
      <c r="AC507" s="432"/>
      <c r="AD507" s="432"/>
    </row>
    <row r="508">
      <c r="A508" s="432"/>
      <c r="B508" s="432"/>
      <c r="C508" s="432"/>
      <c r="D508" s="459"/>
      <c r="E508" s="459"/>
      <c r="F508" s="432"/>
      <c r="G508" s="432"/>
      <c r="H508" s="432"/>
      <c r="I508" s="432"/>
      <c r="J508" s="432"/>
      <c r="K508" s="432"/>
      <c r="L508" s="432"/>
      <c r="M508" s="432"/>
      <c r="N508" s="432"/>
      <c r="O508" s="459"/>
      <c r="P508" s="460"/>
      <c r="Q508" s="432"/>
      <c r="R508" s="432"/>
      <c r="S508" s="432"/>
      <c r="T508" s="432"/>
      <c r="U508" s="432"/>
      <c r="V508" s="432"/>
      <c r="W508" s="432"/>
      <c r="X508" s="432"/>
      <c r="Y508" s="432"/>
      <c r="Z508" s="432"/>
      <c r="AA508" s="432"/>
      <c r="AB508" s="432"/>
      <c r="AC508" s="432"/>
      <c r="AD508" s="432"/>
    </row>
    <row r="509">
      <c r="A509" s="432"/>
      <c r="B509" s="432"/>
      <c r="C509" s="432"/>
      <c r="D509" s="459"/>
      <c r="E509" s="459"/>
      <c r="F509" s="432"/>
      <c r="G509" s="432"/>
      <c r="H509" s="432"/>
      <c r="I509" s="432"/>
      <c r="J509" s="432"/>
      <c r="K509" s="432"/>
      <c r="L509" s="432"/>
      <c r="M509" s="432"/>
      <c r="N509" s="432"/>
      <c r="O509" s="459"/>
      <c r="P509" s="460"/>
      <c r="Q509" s="432"/>
      <c r="R509" s="432"/>
      <c r="S509" s="432"/>
      <c r="T509" s="432"/>
      <c r="U509" s="432"/>
      <c r="V509" s="432"/>
      <c r="W509" s="432"/>
      <c r="X509" s="432"/>
      <c r="Y509" s="432"/>
      <c r="Z509" s="432"/>
      <c r="AA509" s="432"/>
      <c r="AB509" s="432"/>
      <c r="AC509" s="432"/>
      <c r="AD509" s="432"/>
    </row>
    <row r="510">
      <c r="A510" s="432"/>
      <c r="B510" s="432"/>
      <c r="C510" s="432"/>
      <c r="D510" s="459"/>
      <c r="E510" s="459"/>
      <c r="F510" s="432"/>
      <c r="G510" s="432"/>
      <c r="H510" s="432"/>
      <c r="I510" s="432"/>
      <c r="J510" s="432"/>
      <c r="K510" s="432"/>
      <c r="L510" s="432"/>
      <c r="M510" s="432"/>
      <c r="N510" s="432"/>
      <c r="O510" s="459"/>
      <c r="P510" s="460"/>
      <c r="Q510" s="432"/>
      <c r="R510" s="432"/>
      <c r="S510" s="432"/>
      <c r="T510" s="432"/>
      <c r="U510" s="432"/>
      <c r="V510" s="432"/>
      <c r="W510" s="432"/>
      <c r="X510" s="432"/>
      <c r="Y510" s="432"/>
      <c r="Z510" s="432"/>
      <c r="AA510" s="432"/>
      <c r="AB510" s="432"/>
      <c r="AC510" s="432"/>
      <c r="AD510" s="432"/>
    </row>
    <row r="511">
      <c r="A511" s="432"/>
      <c r="B511" s="432"/>
      <c r="C511" s="432"/>
      <c r="D511" s="459"/>
      <c r="E511" s="459"/>
      <c r="F511" s="432"/>
      <c r="G511" s="432"/>
      <c r="H511" s="432"/>
      <c r="I511" s="432"/>
      <c r="J511" s="432"/>
      <c r="K511" s="432"/>
      <c r="L511" s="432"/>
      <c r="M511" s="432"/>
      <c r="N511" s="432"/>
      <c r="O511" s="459"/>
      <c r="P511" s="460"/>
      <c r="Q511" s="432"/>
      <c r="R511" s="432"/>
      <c r="S511" s="432"/>
      <c r="T511" s="432"/>
      <c r="U511" s="432"/>
      <c r="V511" s="432"/>
      <c r="W511" s="432"/>
      <c r="X511" s="432"/>
      <c r="Y511" s="432"/>
      <c r="Z511" s="432"/>
      <c r="AA511" s="432"/>
      <c r="AB511" s="432"/>
      <c r="AC511" s="432"/>
      <c r="AD511" s="432"/>
    </row>
    <row r="512">
      <c r="A512" s="432"/>
      <c r="B512" s="432"/>
      <c r="C512" s="432"/>
      <c r="D512" s="459"/>
      <c r="E512" s="459"/>
      <c r="F512" s="432"/>
      <c r="G512" s="432"/>
      <c r="H512" s="432"/>
      <c r="I512" s="432"/>
      <c r="J512" s="432"/>
      <c r="K512" s="432"/>
      <c r="L512" s="432"/>
      <c r="M512" s="432"/>
      <c r="N512" s="432"/>
      <c r="O512" s="459"/>
      <c r="P512" s="460"/>
      <c r="Q512" s="432"/>
      <c r="R512" s="432"/>
      <c r="S512" s="432"/>
      <c r="T512" s="432"/>
      <c r="U512" s="432"/>
      <c r="V512" s="432"/>
      <c r="W512" s="432"/>
      <c r="X512" s="432"/>
      <c r="Y512" s="432"/>
      <c r="Z512" s="432"/>
      <c r="AA512" s="432"/>
      <c r="AB512" s="432"/>
      <c r="AC512" s="432"/>
      <c r="AD512" s="432"/>
    </row>
    <row r="513">
      <c r="A513" s="432"/>
      <c r="B513" s="432"/>
      <c r="C513" s="432"/>
      <c r="D513" s="459"/>
      <c r="E513" s="459"/>
      <c r="F513" s="432"/>
      <c r="G513" s="432"/>
      <c r="H513" s="432"/>
      <c r="I513" s="432"/>
      <c r="J513" s="432"/>
      <c r="K513" s="432"/>
      <c r="L513" s="432"/>
      <c r="M513" s="432"/>
      <c r="N513" s="432"/>
      <c r="O513" s="459"/>
      <c r="P513" s="460"/>
      <c r="Q513" s="432"/>
      <c r="R513" s="432"/>
      <c r="S513" s="432"/>
      <c r="T513" s="432"/>
      <c r="U513" s="432"/>
      <c r="V513" s="432"/>
      <c r="W513" s="432"/>
      <c r="X513" s="432"/>
      <c r="Y513" s="432"/>
      <c r="Z513" s="432"/>
      <c r="AA513" s="432"/>
      <c r="AB513" s="432"/>
      <c r="AC513" s="432"/>
      <c r="AD513" s="432"/>
    </row>
    <row r="514">
      <c r="A514" s="432"/>
      <c r="B514" s="432"/>
      <c r="C514" s="432"/>
      <c r="D514" s="459"/>
      <c r="E514" s="459"/>
      <c r="F514" s="432"/>
      <c r="G514" s="432"/>
      <c r="H514" s="432"/>
      <c r="I514" s="432"/>
      <c r="J514" s="432"/>
      <c r="K514" s="432"/>
      <c r="L514" s="432"/>
      <c r="M514" s="432"/>
      <c r="N514" s="432"/>
      <c r="O514" s="459"/>
      <c r="P514" s="460"/>
      <c r="Q514" s="432"/>
      <c r="R514" s="432"/>
      <c r="S514" s="432"/>
      <c r="T514" s="432"/>
      <c r="U514" s="432"/>
      <c r="V514" s="432"/>
      <c r="W514" s="432"/>
      <c r="X514" s="432"/>
      <c r="Y514" s="432"/>
      <c r="Z514" s="432"/>
      <c r="AA514" s="432"/>
      <c r="AB514" s="432"/>
      <c r="AC514" s="432"/>
      <c r="AD514" s="432"/>
    </row>
    <row r="515">
      <c r="A515" s="432"/>
      <c r="B515" s="432"/>
      <c r="C515" s="432"/>
      <c r="D515" s="459"/>
      <c r="E515" s="459"/>
      <c r="F515" s="432"/>
      <c r="G515" s="432"/>
      <c r="H515" s="432"/>
      <c r="I515" s="432"/>
      <c r="J515" s="432"/>
      <c r="K515" s="432"/>
      <c r="L515" s="432"/>
      <c r="M515" s="432"/>
      <c r="N515" s="432"/>
      <c r="O515" s="459"/>
      <c r="P515" s="460"/>
      <c r="Q515" s="432"/>
      <c r="R515" s="432"/>
      <c r="S515" s="432"/>
      <c r="T515" s="432"/>
      <c r="U515" s="432"/>
      <c r="V515" s="432"/>
      <c r="W515" s="432"/>
      <c r="X515" s="432"/>
      <c r="Y515" s="432"/>
      <c r="Z515" s="432"/>
      <c r="AA515" s="432"/>
      <c r="AB515" s="432"/>
      <c r="AC515" s="432"/>
      <c r="AD515" s="432"/>
    </row>
    <row r="516">
      <c r="A516" s="432"/>
      <c r="B516" s="432"/>
      <c r="C516" s="432"/>
      <c r="D516" s="459"/>
      <c r="E516" s="459"/>
      <c r="F516" s="432"/>
      <c r="G516" s="432"/>
      <c r="H516" s="432"/>
      <c r="I516" s="432"/>
      <c r="J516" s="432"/>
      <c r="K516" s="432"/>
      <c r="L516" s="432"/>
      <c r="M516" s="432"/>
      <c r="N516" s="432"/>
      <c r="O516" s="459"/>
      <c r="P516" s="460"/>
      <c r="Q516" s="432"/>
      <c r="R516" s="432"/>
      <c r="S516" s="432"/>
      <c r="T516" s="432"/>
      <c r="U516" s="432"/>
      <c r="V516" s="432"/>
      <c r="W516" s="432"/>
      <c r="X516" s="432"/>
      <c r="Y516" s="432"/>
      <c r="Z516" s="432"/>
      <c r="AA516" s="432"/>
      <c r="AB516" s="432"/>
      <c r="AC516" s="432"/>
      <c r="AD516" s="432"/>
    </row>
    <row r="517">
      <c r="A517" s="432"/>
      <c r="B517" s="432"/>
      <c r="C517" s="432"/>
      <c r="D517" s="459"/>
      <c r="E517" s="459"/>
      <c r="F517" s="432"/>
      <c r="G517" s="432"/>
      <c r="H517" s="432"/>
      <c r="I517" s="432"/>
      <c r="J517" s="432"/>
      <c r="K517" s="432"/>
      <c r="L517" s="432"/>
      <c r="M517" s="432"/>
      <c r="N517" s="432"/>
      <c r="O517" s="459"/>
      <c r="P517" s="460"/>
      <c r="Q517" s="432"/>
      <c r="R517" s="432"/>
      <c r="S517" s="432"/>
      <c r="T517" s="432"/>
      <c r="U517" s="432"/>
      <c r="V517" s="432"/>
      <c r="W517" s="432"/>
      <c r="X517" s="432"/>
      <c r="Y517" s="432"/>
      <c r="Z517" s="432"/>
      <c r="AA517" s="432"/>
      <c r="AB517" s="432"/>
      <c r="AC517" s="432"/>
      <c r="AD517" s="432"/>
    </row>
    <row r="518">
      <c r="A518" s="432"/>
      <c r="B518" s="432"/>
      <c r="C518" s="432"/>
      <c r="D518" s="459"/>
      <c r="E518" s="459"/>
      <c r="F518" s="432"/>
      <c r="G518" s="432"/>
      <c r="H518" s="432"/>
      <c r="I518" s="432"/>
      <c r="J518" s="432"/>
      <c r="K518" s="432"/>
      <c r="L518" s="432"/>
      <c r="M518" s="432"/>
      <c r="N518" s="432"/>
      <c r="O518" s="459"/>
      <c r="P518" s="460"/>
      <c r="Q518" s="432"/>
      <c r="R518" s="432"/>
      <c r="S518" s="432"/>
      <c r="T518" s="432"/>
      <c r="U518" s="432"/>
      <c r="V518" s="432"/>
      <c r="W518" s="432"/>
      <c r="X518" s="432"/>
      <c r="Y518" s="432"/>
      <c r="Z518" s="432"/>
      <c r="AA518" s="432"/>
      <c r="AB518" s="432"/>
      <c r="AC518" s="432"/>
      <c r="AD518" s="432"/>
    </row>
    <row r="519">
      <c r="A519" s="432"/>
      <c r="B519" s="432"/>
      <c r="C519" s="432"/>
      <c r="D519" s="459"/>
      <c r="E519" s="459"/>
      <c r="F519" s="432"/>
      <c r="G519" s="432"/>
      <c r="H519" s="432"/>
      <c r="I519" s="432"/>
      <c r="J519" s="432"/>
      <c r="K519" s="432"/>
      <c r="L519" s="432"/>
      <c r="M519" s="432"/>
      <c r="N519" s="432"/>
      <c r="O519" s="459"/>
      <c r="P519" s="460"/>
      <c r="Q519" s="432"/>
      <c r="R519" s="432"/>
      <c r="S519" s="432"/>
      <c r="T519" s="432"/>
      <c r="U519" s="432"/>
      <c r="V519" s="432"/>
      <c r="W519" s="432"/>
      <c r="X519" s="432"/>
      <c r="Y519" s="432"/>
      <c r="Z519" s="432"/>
      <c r="AA519" s="432"/>
      <c r="AB519" s="432"/>
      <c r="AC519" s="432"/>
      <c r="AD519" s="432"/>
    </row>
    <row r="520">
      <c r="A520" s="432"/>
      <c r="B520" s="432"/>
      <c r="C520" s="432"/>
      <c r="D520" s="459"/>
      <c r="E520" s="459"/>
      <c r="F520" s="432"/>
      <c r="G520" s="432"/>
      <c r="H520" s="432"/>
      <c r="I520" s="432"/>
      <c r="J520" s="432"/>
      <c r="K520" s="432"/>
      <c r="L520" s="432"/>
      <c r="M520" s="432"/>
      <c r="N520" s="432"/>
      <c r="O520" s="459"/>
      <c r="P520" s="460"/>
      <c r="Q520" s="432"/>
      <c r="R520" s="432"/>
      <c r="S520" s="432"/>
      <c r="T520" s="432"/>
      <c r="U520" s="432"/>
      <c r="V520" s="432"/>
      <c r="W520" s="432"/>
      <c r="X520" s="432"/>
      <c r="Y520" s="432"/>
      <c r="Z520" s="432"/>
      <c r="AA520" s="432"/>
      <c r="AB520" s="432"/>
      <c r="AC520" s="432"/>
      <c r="AD520" s="432"/>
    </row>
    <row r="521">
      <c r="A521" s="432"/>
      <c r="B521" s="432"/>
      <c r="C521" s="432"/>
      <c r="D521" s="459"/>
      <c r="E521" s="459"/>
      <c r="F521" s="432"/>
      <c r="G521" s="432"/>
      <c r="H521" s="432"/>
      <c r="I521" s="432"/>
      <c r="J521" s="432"/>
      <c r="K521" s="432"/>
      <c r="L521" s="432"/>
      <c r="M521" s="432"/>
      <c r="N521" s="432"/>
      <c r="O521" s="459"/>
      <c r="P521" s="460"/>
      <c r="Q521" s="432"/>
      <c r="R521" s="432"/>
      <c r="S521" s="432"/>
      <c r="T521" s="432"/>
      <c r="U521" s="432"/>
      <c r="V521" s="432"/>
      <c r="W521" s="432"/>
      <c r="X521" s="432"/>
      <c r="Y521" s="432"/>
      <c r="Z521" s="432"/>
      <c r="AA521" s="432"/>
      <c r="AB521" s="432"/>
      <c r="AC521" s="432"/>
      <c r="AD521" s="432"/>
    </row>
    <row r="522">
      <c r="A522" s="432"/>
      <c r="B522" s="432"/>
      <c r="C522" s="432"/>
      <c r="D522" s="459"/>
      <c r="E522" s="459"/>
      <c r="F522" s="432"/>
      <c r="G522" s="432"/>
      <c r="H522" s="432"/>
      <c r="I522" s="432"/>
      <c r="J522" s="432"/>
      <c r="K522" s="432"/>
      <c r="L522" s="432"/>
      <c r="M522" s="432"/>
      <c r="N522" s="432"/>
      <c r="O522" s="459"/>
      <c r="P522" s="460"/>
      <c r="Q522" s="432"/>
      <c r="R522" s="432"/>
      <c r="S522" s="432"/>
      <c r="T522" s="432"/>
      <c r="U522" s="432"/>
      <c r="V522" s="432"/>
      <c r="W522" s="432"/>
      <c r="X522" s="432"/>
      <c r="Y522" s="432"/>
      <c r="Z522" s="432"/>
      <c r="AA522" s="432"/>
      <c r="AB522" s="432"/>
      <c r="AC522" s="432"/>
      <c r="AD522" s="432"/>
    </row>
    <row r="523">
      <c r="A523" s="432"/>
      <c r="B523" s="432"/>
      <c r="C523" s="432"/>
      <c r="D523" s="459"/>
      <c r="E523" s="459"/>
      <c r="F523" s="432"/>
      <c r="G523" s="432"/>
      <c r="H523" s="432"/>
      <c r="I523" s="432"/>
      <c r="J523" s="432"/>
      <c r="K523" s="432"/>
      <c r="L523" s="432"/>
      <c r="M523" s="432"/>
      <c r="N523" s="432"/>
      <c r="O523" s="459"/>
      <c r="P523" s="460"/>
      <c r="Q523" s="432"/>
      <c r="R523" s="432"/>
      <c r="S523" s="432"/>
      <c r="T523" s="432"/>
      <c r="U523" s="432"/>
      <c r="V523" s="432"/>
      <c r="W523" s="432"/>
      <c r="X523" s="432"/>
      <c r="Y523" s="432"/>
      <c r="Z523" s="432"/>
      <c r="AA523" s="432"/>
      <c r="AB523" s="432"/>
      <c r="AC523" s="432"/>
      <c r="AD523" s="432"/>
    </row>
    <row r="524">
      <c r="A524" s="432"/>
      <c r="B524" s="432"/>
      <c r="C524" s="432"/>
      <c r="D524" s="459"/>
      <c r="E524" s="459"/>
      <c r="F524" s="432"/>
      <c r="G524" s="432"/>
      <c r="H524" s="432"/>
      <c r="I524" s="432"/>
      <c r="J524" s="432"/>
      <c r="K524" s="432"/>
      <c r="L524" s="432"/>
      <c r="M524" s="432"/>
      <c r="N524" s="432"/>
      <c r="O524" s="459"/>
      <c r="P524" s="460"/>
      <c r="Q524" s="432"/>
      <c r="R524" s="432"/>
      <c r="S524" s="432"/>
      <c r="T524" s="432"/>
      <c r="U524" s="432"/>
      <c r="V524" s="432"/>
      <c r="W524" s="432"/>
      <c r="X524" s="432"/>
      <c r="Y524" s="432"/>
      <c r="Z524" s="432"/>
      <c r="AA524" s="432"/>
      <c r="AB524" s="432"/>
      <c r="AC524" s="432"/>
      <c r="AD524" s="432"/>
    </row>
    <row r="525">
      <c r="A525" s="432"/>
      <c r="B525" s="432"/>
      <c r="C525" s="432"/>
      <c r="D525" s="459"/>
      <c r="E525" s="459"/>
      <c r="F525" s="432"/>
      <c r="G525" s="432"/>
      <c r="H525" s="432"/>
      <c r="I525" s="432"/>
      <c r="J525" s="432"/>
      <c r="K525" s="432"/>
      <c r="L525" s="432"/>
      <c r="M525" s="432"/>
      <c r="N525" s="432"/>
      <c r="O525" s="459"/>
      <c r="P525" s="460"/>
      <c r="Q525" s="432"/>
      <c r="R525" s="432"/>
      <c r="S525" s="432"/>
      <c r="T525" s="432"/>
      <c r="U525" s="432"/>
      <c r="V525" s="432"/>
      <c r="W525" s="432"/>
      <c r="X525" s="432"/>
      <c r="Y525" s="432"/>
      <c r="Z525" s="432"/>
      <c r="AA525" s="432"/>
      <c r="AB525" s="432"/>
      <c r="AC525" s="432"/>
      <c r="AD525" s="432"/>
    </row>
    <row r="526">
      <c r="A526" s="432"/>
      <c r="B526" s="432"/>
      <c r="C526" s="432"/>
      <c r="D526" s="459"/>
      <c r="E526" s="459"/>
      <c r="F526" s="432"/>
      <c r="G526" s="432"/>
      <c r="H526" s="432"/>
      <c r="I526" s="432"/>
      <c r="J526" s="432"/>
      <c r="K526" s="432"/>
      <c r="L526" s="432"/>
      <c r="M526" s="432"/>
      <c r="N526" s="432"/>
      <c r="O526" s="459"/>
      <c r="P526" s="460"/>
      <c r="Q526" s="432"/>
      <c r="R526" s="432"/>
      <c r="S526" s="432"/>
      <c r="T526" s="432"/>
      <c r="U526" s="432"/>
      <c r="V526" s="432"/>
      <c r="W526" s="432"/>
      <c r="X526" s="432"/>
      <c r="Y526" s="432"/>
      <c r="Z526" s="432"/>
      <c r="AA526" s="432"/>
      <c r="AB526" s="432"/>
      <c r="AC526" s="432"/>
      <c r="AD526" s="432"/>
    </row>
    <row r="527">
      <c r="A527" s="432"/>
      <c r="B527" s="432"/>
      <c r="C527" s="432"/>
      <c r="D527" s="459"/>
      <c r="E527" s="459"/>
      <c r="F527" s="432"/>
      <c r="G527" s="432"/>
      <c r="H527" s="432"/>
      <c r="I527" s="432"/>
      <c r="J527" s="432"/>
      <c r="K527" s="432"/>
      <c r="L527" s="432"/>
      <c r="M527" s="432"/>
      <c r="N527" s="432"/>
      <c r="O527" s="459"/>
      <c r="P527" s="460"/>
      <c r="Q527" s="432"/>
      <c r="R527" s="432"/>
      <c r="S527" s="432"/>
      <c r="T527" s="432"/>
      <c r="U527" s="432"/>
      <c r="V527" s="432"/>
      <c r="W527" s="432"/>
      <c r="X527" s="432"/>
      <c r="Y527" s="432"/>
      <c r="Z527" s="432"/>
      <c r="AA527" s="432"/>
      <c r="AB527" s="432"/>
      <c r="AC527" s="432"/>
      <c r="AD527" s="432"/>
    </row>
    <row r="528">
      <c r="A528" s="432"/>
      <c r="B528" s="432"/>
      <c r="C528" s="432"/>
      <c r="D528" s="459"/>
      <c r="E528" s="459"/>
      <c r="F528" s="432"/>
      <c r="G528" s="432"/>
      <c r="H528" s="432"/>
      <c r="I528" s="432"/>
      <c r="J528" s="432"/>
      <c r="K528" s="432"/>
      <c r="L528" s="432"/>
      <c r="M528" s="432"/>
      <c r="N528" s="432"/>
      <c r="O528" s="459"/>
      <c r="P528" s="460"/>
      <c r="Q528" s="432"/>
      <c r="R528" s="432"/>
      <c r="S528" s="432"/>
      <c r="T528" s="432"/>
      <c r="U528" s="432"/>
      <c r="V528" s="432"/>
      <c r="W528" s="432"/>
      <c r="X528" s="432"/>
      <c r="Y528" s="432"/>
      <c r="Z528" s="432"/>
      <c r="AA528" s="432"/>
      <c r="AB528" s="432"/>
      <c r="AC528" s="432"/>
      <c r="AD528" s="432"/>
    </row>
    <row r="529">
      <c r="A529" s="432"/>
      <c r="B529" s="432"/>
      <c r="C529" s="432"/>
      <c r="D529" s="459"/>
      <c r="E529" s="459"/>
      <c r="F529" s="432"/>
      <c r="G529" s="432"/>
      <c r="H529" s="432"/>
      <c r="I529" s="432"/>
      <c r="J529" s="432"/>
      <c r="K529" s="432"/>
      <c r="L529" s="432"/>
      <c r="M529" s="432"/>
      <c r="N529" s="432"/>
      <c r="O529" s="459"/>
      <c r="P529" s="460"/>
      <c r="Q529" s="432"/>
      <c r="R529" s="432"/>
      <c r="S529" s="432"/>
      <c r="T529" s="432"/>
      <c r="U529" s="432"/>
      <c r="V529" s="432"/>
      <c r="W529" s="432"/>
      <c r="X529" s="432"/>
      <c r="Y529" s="432"/>
      <c r="Z529" s="432"/>
      <c r="AA529" s="432"/>
      <c r="AB529" s="432"/>
      <c r="AC529" s="432"/>
      <c r="AD529" s="432"/>
    </row>
    <row r="530">
      <c r="A530" s="432"/>
      <c r="B530" s="432"/>
      <c r="C530" s="432"/>
      <c r="D530" s="459"/>
      <c r="E530" s="459"/>
      <c r="F530" s="432"/>
      <c r="G530" s="432"/>
      <c r="H530" s="432"/>
      <c r="I530" s="432"/>
      <c r="J530" s="432"/>
      <c r="K530" s="432"/>
      <c r="L530" s="432"/>
      <c r="M530" s="432"/>
      <c r="N530" s="432"/>
      <c r="O530" s="459"/>
      <c r="P530" s="460"/>
      <c r="Q530" s="432"/>
      <c r="R530" s="432"/>
      <c r="S530" s="432"/>
      <c r="T530" s="432"/>
      <c r="U530" s="432"/>
      <c r="V530" s="432"/>
      <c r="W530" s="432"/>
      <c r="X530" s="432"/>
      <c r="Y530" s="432"/>
      <c r="Z530" s="432"/>
      <c r="AA530" s="432"/>
      <c r="AB530" s="432"/>
      <c r="AC530" s="432"/>
      <c r="AD530" s="432"/>
    </row>
    <row r="531">
      <c r="A531" s="432"/>
      <c r="B531" s="432"/>
      <c r="C531" s="432"/>
      <c r="D531" s="459"/>
      <c r="E531" s="459"/>
      <c r="F531" s="432"/>
      <c r="G531" s="432"/>
      <c r="H531" s="432"/>
      <c r="I531" s="432"/>
      <c r="J531" s="432"/>
      <c r="K531" s="432"/>
      <c r="L531" s="432"/>
      <c r="M531" s="432"/>
      <c r="N531" s="432"/>
      <c r="O531" s="459"/>
      <c r="P531" s="460"/>
      <c r="Q531" s="432"/>
      <c r="R531" s="432"/>
      <c r="S531" s="432"/>
      <c r="T531" s="432"/>
      <c r="U531" s="432"/>
      <c r="V531" s="432"/>
      <c r="W531" s="432"/>
      <c r="X531" s="432"/>
      <c r="Y531" s="432"/>
      <c r="Z531" s="432"/>
      <c r="AA531" s="432"/>
      <c r="AB531" s="432"/>
      <c r="AC531" s="432"/>
      <c r="AD531" s="432"/>
    </row>
    <row r="532">
      <c r="A532" s="432"/>
      <c r="B532" s="432"/>
      <c r="C532" s="432"/>
      <c r="D532" s="459"/>
      <c r="E532" s="459"/>
      <c r="F532" s="432"/>
      <c r="G532" s="432"/>
      <c r="H532" s="432"/>
      <c r="I532" s="432"/>
      <c r="J532" s="432"/>
      <c r="K532" s="432"/>
      <c r="L532" s="432"/>
      <c r="M532" s="432"/>
      <c r="N532" s="432"/>
      <c r="O532" s="459"/>
      <c r="P532" s="460"/>
      <c r="Q532" s="432"/>
      <c r="R532" s="432"/>
      <c r="S532" s="432"/>
      <c r="T532" s="432"/>
      <c r="U532" s="432"/>
      <c r="V532" s="432"/>
      <c r="W532" s="432"/>
      <c r="X532" s="432"/>
      <c r="Y532" s="432"/>
      <c r="Z532" s="432"/>
      <c r="AA532" s="432"/>
      <c r="AB532" s="432"/>
      <c r="AC532" s="432"/>
      <c r="AD532" s="432"/>
    </row>
    <row r="533">
      <c r="A533" s="432"/>
      <c r="B533" s="432"/>
      <c r="C533" s="432"/>
      <c r="D533" s="459"/>
      <c r="E533" s="459"/>
      <c r="F533" s="432"/>
      <c r="G533" s="432"/>
      <c r="H533" s="432"/>
      <c r="I533" s="432"/>
      <c r="J533" s="432"/>
      <c r="K533" s="432"/>
      <c r="L533" s="432"/>
      <c r="M533" s="432"/>
      <c r="N533" s="432"/>
      <c r="O533" s="459"/>
      <c r="P533" s="460"/>
      <c r="Q533" s="432"/>
      <c r="R533" s="432"/>
      <c r="S533" s="432"/>
      <c r="T533" s="432"/>
      <c r="U533" s="432"/>
      <c r="V533" s="432"/>
      <c r="W533" s="432"/>
      <c r="X533" s="432"/>
      <c r="Y533" s="432"/>
      <c r="Z533" s="432"/>
      <c r="AA533" s="432"/>
      <c r="AB533" s="432"/>
      <c r="AC533" s="432"/>
      <c r="AD533" s="432"/>
    </row>
    <row r="534">
      <c r="A534" s="432"/>
      <c r="B534" s="432"/>
      <c r="C534" s="432"/>
      <c r="D534" s="459"/>
      <c r="E534" s="459"/>
      <c r="F534" s="432"/>
      <c r="G534" s="432"/>
      <c r="H534" s="432"/>
      <c r="I534" s="432"/>
      <c r="J534" s="432"/>
      <c r="K534" s="432"/>
      <c r="L534" s="432"/>
      <c r="M534" s="432"/>
      <c r="N534" s="432"/>
      <c r="O534" s="459"/>
      <c r="P534" s="460"/>
      <c r="Q534" s="432"/>
      <c r="R534" s="432"/>
      <c r="S534" s="432"/>
      <c r="T534" s="432"/>
      <c r="U534" s="432"/>
      <c r="V534" s="432"/>
      <c r="W534" s="432"/>
      <c r="X534" s="432"/>
      <c r="Y534" s="432"/>
      <c r="Z534" s="432"/>
      <c r="AA534" s="432"/>
      <c r="AB534" s="432"/>
      <c r="AC534" s="432"/>
      <c r="AD534" s="432"/>
    </row>
    <row r="535">
      <c r="A535" s="432"/>
      <c r="B535" s="432"/>
      <c r="C535" s="432"/>
      <c r="D535" s="459"/>
      <c r="E535" s="459"/>
      <c r="F535" s="432"/>
      <c r="G535" s="432"/>
      <c r="H535" s="432"/>
      <c r="I535" s="432"/>
      <c r="J535" s="432"/>
      <c r="K535" s="432"/>
      <c r="L535" s="432"/>
      <c r="M535" s="432"/>
      <c r="N535" s="432"/>
      <c r="O535" s="459"/>
      <c r="P535" s="460"/>
      <c r="Q535" s="432"/>
      <c r="R535" s="432"/>
      <c r="S535" s="432"/>
      <c r="T535" s="432"/>
      <c r="U535" s="432"/>
      <c r="V535" s="432"/>
      <c r="W535" s="432"/>
      <c r="X535" s="432"/>
      <c r="Y535" s="432"/>
      <c r="Z535" s="432"/>
      <c r="AA535" s="432"/>
      <c r="AB535" s="432"/>
      <c r="AC535" s="432"/>
      <c r="AD535" s="432"/>
    </row>
    <row r="536">
      <c r="A536" s="432"/>
      <c r="B536" s="432"/>
      <c r="C536" s="432"/>
      <c r="D536" s="459"/>
      <c r="E536" s="459"/>
      <c r="F536" s="432"/>
      <c r="G536" s="432"/>
      <c r="H536" s="432"/>
      <c r="I536" s="432"/>
      <c r="J536" s="432"/>
      <c r="K536" s="432"/>
      <c r="L536" s="432"/>
      <c r="M536" s="432"/>
      <c r="N536" s="432"/>
      <c r="O536" s="459"/>
      <c r="P536" s="460"/>
      <c r="Q536" s="432"/>
      <c r="R536" s="432"/>
      <c r="S536" s="432"/>
      <c r="T536" s="432"/>
      <c r="U536" s="432"/>
      <c r="V536" s="432"/>
      <c r="W536" s="432"/>
      <c r="X536" s="432"/>
      <c r="Y536" s="432"/>
      <c r="Z536" s="432"/>
      <c r="AA536" s="432"/>
      <c r="AB536" s="432"/>
      <c r="AC536" s="432"/>
      <c r="AD536" s="432"/>
    </row>
    <row r="537">
      <c r="A537" s="432"/>
      <c r="B537" s="432"/>
      <c r="C537" s="432"/>
      <c r="D537" s="459"/>
      <c r="E537" s="459"/>
      <c r="F537" s="432"/>
      <c r="G537" s="432"/>
      <c r="H537" s="432"/>
      <c r="I537" s="432"/>
      <c r="J537" s="432"/>
      <c r="K537" s="432"/>
      <c r="L537" s="432"/>
      <c r="M537" s="432"/>
      <c r="N537" s="432"/>
      <c r="O537" s="459"/>
      <c r="P537" s="460"/>
      <c r="Q537" s="432"/>
      <c r="R537" s="432"/>
      <c r="S537" s="432"/>
      <c r="T537" s="432"/>
      <c r="U537" s="432"/>
      <c r="V537" s="432"/>
      <c r="W537" s="432"/>
      <c r="X537" s="432"/>
      <c r="Y537" s="432"/>
      <c r="Z537" s="432"/>
      <c r="AA537" s="432"/>
      <c r="AB537" s="432"/>
      <c r="AC537" s="432"/>
      <c r="AD537" s="432"/>
    </row>
    <row r="538">
      <c r="A538" s="432"/>
      <c r="B538" s="432"/>
      <c r="C538" s="432"/>
      <c r="D538" s="459"/>
      <c r="E538" s="459"/>
      <c r="F538" s="432"/>
      <c r="G538" s="432"/>
      <c r="H538" s="432"/>
      <c r="I538" s="432"/>
      <c r="J538" s="432"/>
      <c r="K538" s="432"/>
      <c r="L538" s="432"/>
      <c r="M538" s="432"/>
      <c r="N538" s="432"/>
      <c r="O538" s="459"/>
      <c r="P538" s="460"/>
      <c r="Q538" s="432"/>
      <c r="R538" s="432"/>
      <c r="S538" s="432"/>
      <c r="T538" s="432"/>
      <c r="U538" s="432"/>
      <c r="V538" s="432"/>
      <c r="W538" s="432"/>
      <c r="X538" s="432"/>
      <c r="Y538" s="432"/>
      <c r="Z538" s="432"/>
      <c r="AA538" s="432"/>
      <c r="AB538" s="432"/>
      <c r="AC538" s="432"/>
      <c r="AD538" s="432"/>
    </row>
    <row r="539">
      <c r="A539" s="432"/>
      <c r="B539" s="432"/>
      <c r="C539" s="432"/>
      <c r="D539" s="459"/>
      <c r="E539" s="459"/>
      <c r="F539" s="432"/>
      <c r="G539" s="432"/>
      <c r="H539" s="432"/>
      <c r="I539" s="432"/>
      <c r="J539" s="432"/>
      <c r="K539" s="432"/>
      <c r="L539" s="432"/>
      <c r="M539" s="432"/>
      <c r="N539" s="432"/>
      <c r="O539" s="459"/>
      <c r="P539" s="460"/>
      <c r="Q539" s="432"/>
      <c r="R539" s="432"/>
      <c r="S539" s="432"/>
      <c r="T539" s="432"/>
      <c r="U539" s="432"/>
      <c r="V539" s="432"/>
      <c r="W539" s="432"/>
      <c r="X539" s="432"/>
      <c r="Y539" s="432"/>
      <c r="Z539" s="432"/>
      <c r="AA539" s="432"/>
      <c r="AB539" s="432"/>
      <c r="AC539" s="432"/>
      <c r="AD539" s="432"/>
    </row>
    <row r="540">
      <c r="A540" s="432"/>
      <c r="B540" s="432"/>
      <c r="C540" s="432"/>
      <c r="D540" s="459"/>
      <c r="E540" s="459"/>
      <c r="F540" s="432"/>
      <c r="G540" s="432"/>
      <c r="H540" s="432"/>
      <c r="I540" s="432"/>
      <c r="J540" s="432"/>
      <c r="K540" s="432"/>
      <c r="L540" s="432"/>
      <c r="M540" s="432"/>
      <c r="N540" s="432"/>
      <c r="O540" s="459"/>
      <c r="P540" s="460"/>
      <c r="Q540" s="432"/>
      <c r="R540" s="432"/>
      <c r="S540" s="432"/>
      <c r="T540" s="432"/>
      <c r="U540" s="432"/>
      <c r="V540" s="432"/>
      <c r="W540" s="432"/>
      <c r="X540" s="432"/>
      <c r="Y540" s="432"/>
      <c r="Z540" s="432"/>
      <c r="AA540" s="432"/>
      <c r="AB540" s="432"/>
      <c r="AC540" s="432"/>
      <c r="AD540" s="432"/>
    </row>
    <row r="541">
      <c r="A541" s="432"/>
      <c r="B541" s="432"/>
      <c r="C541" s="432"/>
      <c r="D541" s="459"/>
      <c r="E541" s="459"/>
      <c r="F541" s="432"/>
      <c r="G541" s="432"/>
      <c r="H541" s="432"/>
      <c r="I541" s="432"/>
      <c r="J541" s="432"/>
      <c r="K541" s="432"/>
      <c r="L541" s="432"/>
      <c r="M541" s="432"/>
      <c r="N541" s="432"/>
      <c r="O541" s="459"/>
      <c r="P541" s="460"/>
      <c r="Q541" s="432"/>
      <c r="R541" s="432"/>
      <c r="S541" s="432"/>
      <c r="T541" s="432"/>
      <c r="U541" s="432"/>
      <c r="V541" s="432"/>
      <c r="W541" s="432"/>
      <c r="X541" s="432"/>
      <c r="Y541" s="432"/>
      <c r="Z541" s="432"/>
      <c r="AA541" s="432"/>
      <c r="AB541" s="432"/>
      <c r="AC541" s="432"/>
      <c r="AD541" s="432"/>
    </row>
    <row r="542">
      <c r="A542" s="432"/>
      <c r="B542" s="432"/>
      <c r="C542" s="432"/>
      <c r="D542" s="459"/>
      <c r="E542" s="459"/>
      <c r="F542" s="432"/>
      <c r="G542" s="432"/>
      <c r="H542" s="432"/>
      <c r="I542" s="432"/>
      <c r="J542" s="432"/>
      <c r="K542" s="432"/>
      <c r="L542" s="432"/>
      <c r="M542" s="432"/>
      <c r="N542" s="432"/>
      <c r="O542" s="459"/>
      <c r="P542" s="460"/>
      <c r="Q542" s="432"/>
      <c r="R542" s="432"/>
      <c r="S542" s="432"/>
      <c r="T542" s="432"/>
      <c r="U542" s="432"/>
      <c r="V542" s="432"/>
      <c r="W542" s="432"/>
      <c r="X542" s="432"/>
      <c r="Y542" s="432"/>
      <c r="Z542" s="432"/>
      <c r="AA542" s="432"/>
      <c r="AB542" s="432"/>
      <c r="AC542" s="432"/>
      <c r="AD542" s="432"/>
    </row>
    <row r="543">
      <c r="A543" s="432"/>
      <c r="B543" s="432"/>
      <c r="C543" s="432"/>
      <c r="D543" s="459"/>
      <c r="E543" s="459"/>
      <c r="F543" s="432"/>
      <c r="G543" s="432"/>
      <c r="H543" s="432"/>
      <c r="I543" s="432"/>
      <c r="J543" s="432"/>
      <c r="K543" s="432"/>
      <c r="L543" s="432"/>
      <c r="M543" s="432"/>
      <c r="N543" s="432"/>
      <c r="O543" s="459"/>
      <c r="P543" s="460"/>
      <c r="Q543" s="432"/>
      <c r="R543" s="432"/>
      <c r="S543" s="432"/>
      <c r="T543" s="432"/>
      <c r="U543" s="432"/>
      <c r="V543" s="432"/>
      <c r="W543" s="432"/>
      <c r="X543" s="432"/>
      <c r="Y543" s="432"/>
      <c r="Z543" s="432"/>
      <c r="AA543" s="432"/>
      <c r="AB543" s="432"/>
      <c r="AC543" s="432"/>
      <c r="AD543" s="432"/>
    </row>
    <row r="544">
      <c r="A544" s="432"/>
      <c r="B544" s="432"/>
      <c r="C544" s="432"/>
      <c r="D544" s="459"/>
      <c r="E544" s="459"/>
      <c r="F544" s="432"/>
      <c r="G544" s="432"/>
      <c r="H544" s="432"/>
      <c r="I544" s="432"/>
      <c r="J544" s="432"/>
      <c r="K544" s="432"/>
      <c r="L544" s="432"/>
      <c r="M544" s="432"/>
      <c r="N544" s="432"/>
      <c r="O544" s="459"/>
      <c r="P544" s="460"/>
      <c r="Q544" s="432"/>
      <c r="R544" s="432"/>
      <c r="S544" s="432"/>
      <c r="T544" s="432"/>
      <c r="U544" s="432"/>
      <c r="V544" s="432"/>
      <c r="W544" s="432"/>
      <c r="X544" s="432"/>
      <c r="Y544" s="432"/>
      <c r="Z544" s="432"/>
      <c r="AA544" s="432"/>
      <c r="AB544" s="432"/>
      <c r="AC544" s="432"/>
      <c r="AD544" s="432"/>
    </row>
    <row r="545">
      <c r="A545" s="432"/>
      <c r="B545" s="432"/>
      <c r="C545" s="432"/>
      <c r="D545" s="459"/>
      <c r="E545" s="459"/>
      <c r="F545" s="432"/>
      <c r="G545" s="432"/>
      <c r="H545" s="432"/>
      <c r="I545" s="432"/>
      <c r="J545" s="432"/>
      <c r="K545" s="432"/>
      <c r="L545" s="432"/>
      <c r="M545" s="432"/>
      <c r="N545" s="432"/>
      <c r="O545" s="459"/>
      <c r="P545" s="460"/>
      <c r="Q545" s="432"/>
      <c r="R545" s="432"/>
      <c r="S545" s="432"/>
      <c r="T545" s="432"/>
      <c r="U545" s="432"/>
      <c r="V545" s="432"/>
      <c r="W545" s="432"/>
      <c r="X545" s="432"/>
      <c r="Y545" s="432"/>
      <c r="Z545" s="432"/>
      <c r="AA545" s="432"/>
      <c r="AB545" s="432"/>
      <c r="AC545" s="432"/>
      <c r="AD545" s="432"/>
    </row>
    <row r="546">
      <c r="A546" s="432"/>
      <c r="B546" s="432"/>
      <c r="C546" s="432"/>
      <c r="D546" s="459"/>
      <c r="E546" s="459"/>
      <c r="F546" s="432"/>
      <c r="G546" s="432"/>
      <c r="H546" s="432"/>
      <c r="I546" s="432"/>
      <c r="J546" s="432"/>
      <c r="K546" s="432"/>
      <c r="L546" s="432"/>
      <c r="M546" s="432"/>
      <c r="N546" s="432"/>
      <c r="O546" s="459"/>
      <c r="P546" s="460"/>
      <c r="Q546" s="432"/>
      <c r="R546" s="432"/>
      <c r="S546" s="432"/>
      <c r="T546" s="432"/>
      <c r="U546" s="432"/>
      <c r="V546" s="432"/>
      <c r="W546" s="432"/>
      <c r="X546" s="432"/>
      <c r="Y546" s="432"/>
      <c r="Z546" s="432"/>
      <c r="AA546" s="432"/>
      <c r="AB546" s="432"/>
      <c r="AC546" s="432"/>
      <c r="AD546" s="432"/>
    </row>
    <row r="547">
      <c r="A547" s="432"/>
      <c r="B547" s="432"/>
      <c r="C547" s="432"/>
      <c r="D547" s="459"/>
      <c r="E547" s="459"/>
      <c r="F547" s="432"/>
      <c r="G547" s="432"/>
      <c r="H547" s="432"/>
      <c r="I547" s="432"/>
      <c r="J547" s="432"/>
      <c r="K547" s="432"/>
      <c r="L547" s="432"/>
      <c r="M547" s="432"/>
      <c r="N547" s="432"/>
      <c r="O547" s="459"/>
      <c r="P547" s="460"/>
      <c r="Q547" s="432"/>
      <c r="R547" s="432"/>
      <c r="S547" s="432"/>
      <c r="T547" s="432"/>
      <c r="U547" s="432"/>
      <c r="V547" s="432"/>
      <c r="W547" s="432"/>
      <c r="X547" s="432"/>
      <c r="Y547" s="432"/>
      <c r="Z547" s="432"/>
      <c r="AA547" s="432"/>
      <c r="AB547" s="432"/>
      <c r="AC547" s="432"/>
      <c r="AD547" s="432"/>
    </row>
    <row r="548">
      <c r="A548" s="432"/>
      <c r="B548" s="432"/>
      <c r="C548" s="432"/>
      <c r="D548" s="459"/>
      <c r="E548" s="459"/>
      <c r="F548" s="432"/>
      <c r="G548" s="432"/>
      <c r="H548" s="432"/>
      <c r="I548" s="432"/>
      <c r="J548" s="432"/>
      <c r="K548" s="432"/>
      <c r="L548" s="432"/>
      <c r="M548" s="432"/>
      <c r="N548" s="432"/>
      <c r="O548" s="459"/>
      <c r="P548" s="460"/>
      <c r="Q548" s="432"/>
      <c r="R548" s="432"/>
      <c r="S548" s="432"/>
      <c r="T548" s="432"/>
      <c r="U548" s="432"/>
      <c r="V548" s="432"/>
      <c r="W548" s="432"/>
      <c r="X548" s="432"/>
      <c r="Y548" s="432"/>
      <c r="Z548" s="432"/>
      <c r="AA548" s="432"/>
      <c r="AB548" s="432"/>
      <c r="AC548" s="432"/>
      <c r="AD548" s="432"/>
    </row>
    <row r="549">
      <c r="A549" s="432"/>
      <c r="B549" s="432"/>
      <c r="C549" s="432"/>
      <c r="D549" s="459"/>
      <c r="E549" s="459"/>
      <c r="F549" s="432"/>
      <c r="G549" s="432"/>
      <c r="H549" s="432"/>
      <c r="I549" s="432"/>
      <c r="J549" s="432"/>
      <c r="K549" s="432"/>
      <c r="L549" s="432"/>
      <c r="M549" s="432"/>
      <c r="N549" s="432"/>
      <c r="O549" s="459"/>
      <c r="P549" s="460"/>
      <c r="Q549" s="432"/>
      <c r="R549" s="432"/>
      <c r="S549" s="432"/>
      <c r="T549" s="432"/>
      <c r="U549" s="432"/>
      <c r="V549" s="432"/>
      <c r="W549" s="432"/>
      <c r="X549" s="432"/>
      <c r="Y549" s="432"/>
      <c r="Z549" s="432"/>
      <c r="AA549" s="432"/>
      <c r="AB549" s="432"/>
      <c r="AC549" s="432"/>
      <c r="AD549" s="432"/>
    </row>
    <row r="550">
      <c r="A550" s="432"/>
      <c r="B550" s="432"/>
      <c r="C550" s="432"/>
      <c r="D550" s="459"/>
      <c r="E550" s="459"/>
      <c r="F550" s="432"/>
      <c r="G550" s="432"/>
      <c r="H550" s="432"/>
      <c r="I550" s="432"/>
      <c r="J550" s="432"/>
      <c r="K550" s="432"/>
      <c r="L550" s="432"/>
      <c r="M550" s="432"/>
      <c r="N550" s="432"/>
      <c r="O550" s="459"/>
      <c r="P550" s="460"/>
      <c r="Q550" s="432"/>
      <c r="R550" s="432"/>
      <c r="S550" s="432"/>
      <c r="T550" s="432"/>
      <c r="U550" s="432"/>
      <c r="V550" s="432"/>
      <c r="W550" s="432"/>
      <c r="X550" s="432"/>
      <c r="Y550" s="432"/>
      <c r="Z550" s="432"/>
      <c r="AA550" s="432"/>
      <c r="AB550" s="432"/>
      <c r="AC550" s="432"/>
      <c r="AD550" s="432"/>
    </row>
    <row r="551">
      <c r="A551" s="432"/>
      <c r="B551" s="432"/>
      <c r="C551" s="432"/>
      <c r="D551" s="459"/>
      <c r="E551" s="459"/>
      <c r="F551" s="432"/>
      <c r="G551" s="432"/>
      <c r="H551" s="432"/>
      <c r="I551" s="432"/>
      <c r="J551" s="432"/>
      <c r="K551" s="432"/>
      <c r="L551" s="432"/>
      <c r="M551" s="432"/>
      <c r="N551" s="432"/>
      <c r="O551" s="459"/>
      <c r="P551" s="460"/>
      <c r="Q551" s="432"/>
      <c r="R551" s="432"/>
      <c r="S551" s="432"/>
      <c r="T551" s="432"/>
      <c r="U551" s="432"/>
      <c r="V551" s="432"/>
      <c r="W551" s="432"/>
      <c r="X551" s="432"/>
      <c r="Y551" s="432"/>
      <c r="Z551" s="432"/>
      <c r="AA551" s="432"/>
      <c r="AB551" s="432"/>
      <c r="AC551" s="432"/>
      <c r="AD551" s="432"/>
    </row>
    <row r="552">
      <c r="A552" s="432"/>
      <c r="B552" s="432"/>
      <c r="C552" s="432"/>
      <c r="D552" s="459"/>
      <c r="E552" s="459"/>
      <c r="F552" s="432"/>
      <c r="G552" s="432"/>
      <c r="H552" s="432"/>
      <c r="I552" s="432"/>
      <c r="J552" s="432"/>
      <c r="K552" s="432"/>
      <c r="L552" s="432"/>
      <c r="M552" s="432"/>
      <c r="N552" s="432"/>
      <c r="O552" s="459"/>
      <c r="P552" s="460"/>
      <c r="Q552" s="432"/>
      <c r="R552" s="432"/>
      <c r="S552" s="432"/>
      <c r="T552" s="432"/>
      <c r="U552" s="432"/>
      <c r="V552" s="432"/>
      <c r="W552" s="432"/>
      <c r="X552" s="432"/>
      <c r="Y552" s="432"/>
      <c r="Z552" s="432"/>
      <c r="AA552" s="432"/>
      <c r="AB552" s="432"/>
      <c r="AC552" s="432"/>
      <c r="AD552" s="432"/>
    </row>
    <row r="553">
      <c r="A553" s="432"/>
      <c r="B553" s="432"/>
      <c r="C553" s="432"/>
      <c r="D553" s="459"/>
      <c r="E553" s="459"/>
      <c r="F553" s="432"/>
      <c r="G553" s="432"/>
      <c r="H553" s="432"/>
      <c r="I553" s="432"/>
      <c r="J553" s="432"/>
      <c r="K553" s="432"/>
      <c r="L553" s="432"/>
      <c r="M553" s="432"/>
      <c r="N553" s="432"/>
      <c r="O553" s="459"/>
      <c r="P553" s="460"/>
      <c r="Q553" s="432"/>
      <c r="R553" s="432"/>
      <c r="S553" s="432"/>
      <c r="T553" s="432"/>
      <c r="U553" s="432"/>
      <c r="V553" s="432"/>
      <c r="W553" s="432"/>
      <c r="X553" s="432"/>
      <c r="Y553" s="432"/>
      <c r="Z553" s="432"/>
      <c r="AA553" s="432"/>
      <c r="AB553" s="432"/>
      <c r="AC553" s="432"/>
      <c r="AD553" s="432"/>
    </row>
    <row r="554">
      <c r="A554" s="432"/>
      <c r="B554" s="432"/>
      <c r="C554" s="432"/>
      <c r="D554" s="459"/>
      <c r="E554" s="459"/>
      <c r="F554" s="432"/>
      <c r="G554" s="432"/>
      <c r="H554" s="432"/>
      <c r="I554" s="432"/>
      <c r="J554" s="432"/>
      <c r="K554" s="432"/>
      <c r="L554" s="432"/>
      <c r="M554" s="432"/>
      <c r="N554" s="432"/>
      <c r="O554" s="459"/>
      <c r="P554" s="460"/>
      <c r="Q554" s="432"/>
      <c r="R554" s="432"/>
      <c r="S554" s="432"/>
      <c r="T554" s="432"/>
      <c r="U554" s="432"/>
      <c r="V554" s="432"/>
      <c r="W554" s="432"/>
      <c r="X554" s="432"/>
      <c r="Y554" s="432"/>
      <c r="Z554" s="432"/>
      <c r="AA554" s="432"/>
      <c r="AB554" s="432"/>
      <c r="AC554" s="432"/>
      <c r="AD554" s="432"/>
    </row>
    <row r="555">
      <c r="A555" s="432"/>
      <c r="B555" s="432"/>
      <c r="C555" s="432"/>
      <c r="D555" s="459"/>
      <c r="E555" s="459"/>
      <c r="F555" s="432"/>
      <c r="G555" s="432"/>
      <c r="H555" s="432"/>
      <c r="I555" s="432"/>
      <c r="J555" s="432"/>
      <c r="K555" s="432"/>
      <c r="L555" s="432"/>
      <c r="M555" s="432"/>
      <c r="N555" s="432"/>
      <c r="O555" s="459"/>
      <c r="P555" s="460"/>
      <c r="Q555" s="432"/>
      <c r="R555" s="432"/>
      <c r="S555" s="432"/>
      <c r="T555" s="432"/>
      <c r="U555" s="432"/>
      <c r="V555" s="432"/>
      <c r="W555" s="432"/>
      <c r="X555" s="432"/>
      <c r="Y555" s="432"/>
      <c r="Z555" s="432"/>
      <c r="AA555" s="432"/>
      <c r="AB555" s="432"/>
      <c r="AC555" s="432"/>
      <c r="AD555" s="432"/>
    </row>
    <row r="556">
      <c r="A556" s="432"/>
      <c r="B556" s="432"/>
      <c r="C556" s="432"/>
      <c r="D556" s="459"/>
      <c r="E556" s="459"/>
      <c r="F556" s="432"/>
      <c r="G556" s="432"/>
      <c r="H556" s="432"/>
      <c r="I556" s="432"/>
      <c r="J556" s="432"/>
      <c r="K556" s="432"/>
      <c r="L556" s="432"/>
      <c r="M556" s="432"/>
      <c r="N556" s="432"/>
      <c r="O556" s="459"/>
      <c r="P556" s="460"/>
      <c r="Q556" s="432"/>
      <c r="R556" s="432"/>
      <c r="S556" s="432"/>
      <c r="T556" s="432"/>
      <c r="U556" s="432"/>
      <c r="V556" s="432"/>
      <c r="W556" s="432"/>
      <c r="X556" s="432"/>
      <c r="Y556" s="432"/>
      <c r="Z556" s="432"/>
      <c r="AA556" s="432"/>
      <c r="AB556" s="432"/>
      <c r="AC556" s="432"/>
      <c r="AD556" s="432"/>
    </row>
    <row r="557">
      <c r="A557" s="432"/>
      <c r="B557" s="432"/>
      <c r="C557" s="432"/>
      <c r="D557" s="459"/>
      <c r="E557" s="459"/>
      <c r="F557" s="432"/>
      <c r="G557" s="432"/>
      <c r="H557" s="432"/>
      <c r="I557" s="432"/>
      <c r="J557" s="432"/>
      <c r="K557" s="432"/>
      <c r="L557" s="432"/>
      <c r="M557" s="432"/>
      <c r="N557" s="432"/>
      <c r="O557" s="459"/>
      <c r="P557" s="460"/>
      <c r="Q557" s="432"/>
      <c r="R557" s="432"/>
      <c r="S557" s="432"/>
      <c r="T557" s="432"/>
      <c r="U557" s="432"/>
      <c r="V557" s="432"/>
      <c r="W557" s="432"/>
      <c r="X557" s="432"/>
      <c r="Y557" s="432"/>
      <c r="Z557" s="432"/>
      <c r="AA557" s="432"/>
      <c r="AB557" s="432"/>
      <c r="AC557" s="432"/>
      <c r="AD557" s="432"/>
    </row>
    <row r="558">
      <c r="A558" s="432"/>
      <c r="B558" s="432"/>
      <c r="C558" s="432"/>
      <c r="D558" s="459"/>
      <c r="E558" s="459"/>
      <c r="F558" s="432"/>
      <c r="G558" s="432"/>
      <c r="H558" s="432"/>
      <c r="I558" s="432"/>
      <c r="J558" s="432"/>
      <c r="K558" s="432"/>
      <c r="L558" s="432"/>
      <c r="M558" s="432"/>
      <c r="N558" s="432"/>
      <c r="O558" s="459"/>
      <c r="P558" s="460"/>
      <c r="Q558" s="432"/>
      <c r="R558" s="432"/>
      <c r="S558" s="432"/>
      <c r="T558" s="432"/>
      <c r="U558" s="432"/>
      <c r="V558" s="432"/>
      <c r="W558" s="432"/>
      <c r="X558" s="432"/>
      <c r="Y558" s="432"/>
      <c r="Z558" s="432"/>
      <c r="AA558" s="432"/>
      <c r="AB558" s="432"/>
      <c r="AC558" s="432"/>
      <c r="AD558" s="432"/>
    </row>
    <row r="559">
      <c r="A559" s="432"/>
      <c r="B559" s="432"/>
      <c r="C559" s="432"/>
      <c r="D559" s="459"/>
      <c r="E559" s="459"/>
      <c r="F559" s="432"/>
      <c r="G559" s="432"/>
      <c r="H559" s="432"/>
      <c r="I559" s="432"/>
      <c r="J559" s="432"/>
      <c r="K559" s="432"/>
      <c r="L559" s="432"/>
      <c r="M559" s="432"/>
      <c r="N559" s="432"/>
      <c r="O559" s="459"/>
      <c r="P559" s="460"/>
      <c r="Q559" s="432"/>
      <c r="R559" s="432"/>
      <c r="S559" s="432"/>
      <c r="T559" s="432"/>
      <c r="U559" s="432"/>
      <c r="V559" s="432"/>
      <c r="W559" s="432"/>
      <c r="X559" s="432"/>
      <c r="Y559" s="432"/>
      <c r="Z559" s="432"/>
      <c r="AA559" s="432"/>
      <c r="AB559" s="432"/>
      <c r="AC559" s="432"/>
      <c r="AD559" s="432"/>
    </row>
    <row r="560">
      <c r="A560" s="432"/>
      <c r="B560" s="432"/>
      <c r="C560" s="432"/>
      <c r="D560" s="459"/>
      <c r="E560" s="459"/>
      <c r="F560" s="432"/>
      <c r="G560" s="432"/>
      <c r="H560" s="432"/>
      <c r="I560" s="432"/>
      <c r="J560" s="432"/>
      <c r="K560" s="432"/>
      <c r="L560" s="432"/>
      <c r="M560" s="432"/>
      <c r="N560" s="432"/>
      <c r="O560" s="459"/>
      <c r="P560" s="460"/>
      <c r="Q560" s="432"/>
      <c r="R560" s="432"/>
      <c r="S560" s="432"/>
      <c r="T560" s="432"/>
      <c r="U560" s="432"/>
      <c r="V560" s="432"/>
      <c r="W560" s="432"/>
      <c r="X560" s="432"/>
      <c r="Y560" s="432"/>
      <c r="Z560" s="432"/>
      <c r="AA560" s="432"/>
      <c r="AB560" s="432"/>
      <c r="AC560" s="432"/>
      <c r="AD560" s="432"/>
    </row>
    <row r="561">
      <c r="A561" s="432"/>
      <c r="B561" s="432"/>
      <c r="C561" s="432"/>
      <c r="D561" s="459"/>
      <c r="E561" s="459"/>
      <c r="F561" s="432"/>
      <c r="G561" s="432"/>
      <c r="H561" s="432"/>
      <c r="I561" s="432"/>
      <c r="J561" s="432"/>
      <c r="K561" s="432"/>
      <c r="L561" s="432"/>
      <c r="M561" s="432"/>
      <c r="N561" s="432"/>
      <c r="O561" s="459"/>
      <c r="P561" s="460"/>
      <c r="Q561" s="432"/>
      <c r="R561" s="432"/>
      <c r="S561" s="432"/>
      <c r="T561" s="432"/>
      <c r="U561" s="432"/>
      <c r="V561" s="432"/>
      <c r="W561" s="432"/>
      <c r="X561" s="432"/>
      <c r="Y561" s="432"/>
      <c r="Z561" s="432"/>
      <c r="AA561" s="432"/>
      <c r="AB561" s="432"/>
      <c r="AC561" s="432"/>
      <c r="AD561" s="432"/>
    </row>
    <row r="562">
      <c r="A562" s="432"/>
      <c r="B562" s="432"/>
      <c r="C562" s="432"/>
      <c r="D562" s="459"/>
      <c r="E562" s="459"/>
      <c r="F562" s="432"/>
      <c r="G562" s="432"/>
      <c r="H562" s="432"/>
      <c r="I562" s="432"/>
      <c r="J562" s="432"/>
      <c r="K562" s="432"/>
      <c r="L562" s="432"/>
      <c r="M562" s="432"/>
      <c r="N562" s="432"/>
      <c r="O562" s="459"/>
      <c r="P562" s="460"/>
      <c r="Q562" s="432"/>
      <c r="R562" s="432"/>
      <c r="S562" s="432"/>
      <c r="T562" s="432"/>
      <c r="U562" s="432"/>
      <c r="V562" s="432"/>
      <c r="W562" s="432"/>
      <c r="X562" s="432"/>
      <c r="Y562" s="432"/>
      <c r="Z562" s="432"/>
      <c r="AA562" s="432"/>
      <c r="AB562" s="432"/>
      <c r="AC562" s="432"/>
      <c r="AD562" s="432"/>
    </row>
    <row r="563">
      <c r="A563" s="432"/>
      <c r="B563" s="432"/>
      <c r="C563" s="432"/>
      <c r="D563" s="459"/>
      <c r="E563" s="459"/>
      <c r="F563" s="432"/>
      <c r="G563" s="432"/>
      <c r="H563" s="432"/>
      <c r="I563" s="432"/>
      <c r="J563" s="432"/>
      <c r="K563" s="432"/>
      <c r="L563" s="432"/>
      <c r="M563" s="432"/>
      <c r="N563" s="432"/>
      <c r="O563" s="459"/>
      <c r="P563" s="460"/>
      <c r="Q563" s="432"/>
      <c r="R563" s="432"/>
      <c r="S563" s="432"/>
      <c r="T563" s="432"/>
      <c r="U563" s="432"/>
      <c r="V563" s="432"/>
      <c r="W563" s="432"/>
      <c r="X563" s="432"/>
      <c r="Y563" s="432"/>
      <c r="Z563" s="432"/>
      <c r="AA563" s="432"/>
      <c r="AB563" s="432"/>
      <c r="AC563" s="432"/>
      <c r="AD563" s="432"/>
    </row>
    <row r="564">
      <c r="A564" s="432"/>
      <c r="B564" s="432"/>
      <c r="C564" s="432"/>
      <c r="D564" s="459"/>
      <c r="E564" s="459"/>
      <c r="F564" s="432"/>
      <c r="G564" s="432"/>
      <c r="H564" s="432"/>
      <c r="I564" s="432"/>
      <c r="J564" s="432"/>
      <c r="K564" s="432"/>
      <c r="L564" s="432"/>
      <c r="M564" s="432"/>
      <c r="N564" s="432"/>
      <c r="O564" s="459"/>
      <c r="P564" s="460"/>
      <c r="Q564" s="432"/>
      <c r="R564" s="432"/>
      <c r="S564" s="432"/>
      <c r="T564" s="432"/>
      <c r="U564" s="432"/>
      <c r="V564" s="432"/>
      <c r="W564" s="432"/>
      <c r="X564" s="432"/>
      <c r="Y564" s="432"/>
      <c r="Z564" s="432"/>
      <c r="AA564" s="432"/>
      <c r="AB564" s="432"/>
      <c r="AC564" s="432"/>
      <c r="AD564" s="432"/>
    </row>
    <row r="565">
      <c r="A565" s="432"/>
      <c r="B565" s="432"/>
      <c r="C565" s="432"/>
      <c r="D565" s="459"/>
      <c r="E565" s="459"/>
      <c r="F565" s="432"/>
      <c r="G565" s="432"/>
      <c r="H565" s="432"/>
      <c r="I565" s="432"/>
      <c r="J565" s="432"/>
      <c r="K565" s="432"/>
      <c r="L565" s="432"/>
      <c r="M565" s="432"/>
      <c r="N565" s="432"/>
      <c r="O565" s="459"/>
      <c r="P565" s="460"/>
      <c r="Q565" s="432"/>
      <c r="R565" s="432"/>
      <c r="S565" s="432"/>
      <c r="T565" s="432"/>
      <c r="U565" s="432"/>
      <c r="V565" s="432"/>
      <c r="W565" s="432"/>
      <c r="X565" s="432"/>
      <c r="Y565" s="432"/>
      <c r="Z565" s="432"/>
      <c r="AA565" s="432"/>
      <c r="AB565" s="432"/>
      <c r="AC565" s="432"/>
      <c r="AD565" s="432"/>
    </row>
    <row r="566">
      <c r="A566" s="432"/>
      <c r="B566" s="432"/>
      <c r="C566" s="432"/>
      <c r="D566" s="459"/>
      <c r="E566" s="459"/>
      <c r="F566" s="432"/>
      <c r="G566" s="432"/>
      <c r="H566" s="432"/>
      <c r="I566" s="432"/>
      <c r="J566" s="432"/>
      <c r="K566" s="432"/>
      <c r="L566" s="432"/>
      <c r="M566" s="432"/>
      <c r="N566" s="432"/>
      <c r="O566" s="459"/>
      <c r="P566" s="460"/>
      <c r="Q566" s="432"/>
      <c r="R566" s="432"/>
      <c r="S566" s="432"/>
      <c r="T566" s="432"/>
      <c r="U566" s="432"/>
      <c r="V566" s="432"/>
      <c r="W566" s="432"/>
      <c r="X566" s="432"/>
      <c r="Y566" s="432"/>
      <c r="Z566" s="432"/>
      <c r="AA566" s="432"/>
      <c r="AB566" s="432"/>
      <c r="AC566" s="432"/>
      <c r="AD566" s="432"/>
    </row>
    <row r="567">
      <c r="A567" s="432"/>
      <c r="B567" s="432"/>
      <c r="C567" s="432"/>
      <c r="D567" s="459"/>
      <c r="E567" s="459"/>
      <c r="F567" s="432"/>
      <c r="G567" s="432"/>
      <c r="H567" s="432"/>
      <c r="I567" s="432"/>
      <c r="J567" s="432"/>
      <c r="K567" s="432"/>
      <c r="L567" s="432"/>
      <c r="M567" s="432"/>
      <c r="N567" s="432"/>
      <c r="O567" s="459"/>
      <c r="P567" s="460"/>
      <c r="Q567" s="432"/>
      <c r="R567" s="432"/>
      <c r="S567" s="432"/>
      <c r="T567" s="432"/>
      <c r="U567" s="432"/>
      <c r="V567" s="432"/>
      <c r="W567" s="432"/>
      <c r="X567" s="432"/>
      <c r="Y567" s="432"/>
      <c r="Z567" s="432"/>
      <c r="AA567" s="432"/>
      <c r="AB567" s="432"/>
      <c r="AC567" s="432"/>
      <c r="AD567" s="432"/>
    </row>
    <row r="568">
      <c r="A568" s="432"/>
      <c r="B568" s="432"/>
      <c r="C568" s="432"/>
      <c r="D568" s="459"/>
      <c r="E568" s="459"/>
      <c r="F568" s="432"/>
      <c r="G568" s="432"/>
      <c r="H568" s="432"/>
      <c r="I568" s="432"/>
      <c r="J568" s="432"/>
      <c r="K568" s="432"/>
      <c r="L568" s="432"/>
      <c r="M568" s="432"/>
      <c r="N568" s="432"/>
      <c r="O568" s="459"/>
      <c r="P568" s="460"/>
      <c r="Q568" s="432"/>
      <c r="R568" s="432"/>
      <c r="S568" s="432"/>
      <c r="T568" s="432"/>
      <c r="U568" s="432"/>
      <c r="V568" s="432"/>
      <c r="W568" s="432"/>
      <c r="X568" s="432"/>
      <c r="Y568" s="432"/>
      <c r="Z568" s="432"/>
      <c r="AA568" s="432"/>
      <c r="AB568" s="432"/>
      <c r="AC568" s="432"/>
      <c r="AD568" s="432"/>
    </row>
    <row r="569">
      <c r="A569" s="432"/>
      <c r="B569" s="432"/>
      <c r="C569" s="432"/>
      <c r="D569" s="459"/>
      <c r="E569" s="459"/>
      <c r="F569" s="432"/>
      <c r="G569" s="432"/>
      <c r="H569" s="432"/>
      <c r="I569" s="432"/>
      <c r="J569" s="432"/>
      <c r="K569" s="432"/>
      <c r="L569" s="432"/>
      <c r="M569" s="432"/>
      <c r="N569" s="432"/>
      <c r="O569" s="459"/>
      <c r="P569" s="460"/>
      <c r="Q569" s="432"/>
      <c r="R569" s="432"/>
      <c r="S569" s="432"/>
      <c r="T569" s="432"/>
      <c r="U569" s="432"/>
      <c r="V569" s="432"/>
      <c r="W569" s="432"/>
      <c r="X569" s="432"/>
      <c r="Y569" s="432"/>
      <c r="Z569" s="432"/>
      <c r="AA569" s="432"/>
      <c r="AB569" s="432"/>
      <c r="AC569" s="432"/>
      <c r="AD569" s="432"/>
    </row>
    <row r="570">
      <c r="A570" s="432"/>
      <c r="B570" s="432"/>
      <c r="C570" s="432"/>
      <c r="D570" s="459"/>
      <c r="E570" s="459"/>
      <c r="F570" s="432"/>
      <c r="G570" s="432"/>
      <c r="H570" s="432"/>
      <c r="I570" s="432"/>
      <c r="J570" s="432"/>
      <c r="K570" s="432"/>
      <c r="L570" s="432"/>
      <c r="M570" s="432"/>
      <c r="N570" s="432"/>
      <c r="O570" s="459"/>
      <c r="P570" s="460"/>
      <c r="Q570" s="432"/>
      <c r="R570" s="432"/>
      <c r="S570" s="432"/>
      <c r="T570" s="432"/>
      <c r="U570" s="432"/>
      <c r="V570" s="432"/>
      <c r="W570" s="432"/>
      <c r="X570" s="432"/>
      <c r="Y570" s="432"/>
      <c r="Z570" s="432"/>
      <c r="AA570" s="432"/>
      <c r="AB570" s="432"/>
      <c r="AC570" s="432"/>
      <c r="AD570" s="432"/>
    </row>
    <row r="571">
      <c r="A571" s="432"/>
      <c r="B571" s="432"/>
      <c r="C571" s="432"/>
      <c r="D571" s="459"/>
      <c r="E571" s="459"/>
      <c r="F571" s="432"/>
      <c r="G571" s="432"/>
      <c r="H571" s="432"/>
      <c r="I571" s="432"/>
      <c r="J571" s="432"/>
      <c r="K571" s="432"/>
      <c r="L571" s="432"/>
      <c r="M571" s="432"/>
      <c r="N571" s="432"/>
      <c r="O571" s="459"/>
      <c r="P571" s="460"/>
      <c r="Q571" s="432"/>
      <c r="R571" s="432"/>
      <c r="S571" s="432"/>
      <c r="T571" s="432"/>
      <c r="U571" s="432"/>
      <c r="V571" s="432"/>
      <c r="W571" s="432"/>
      <c r="X571" s="432"/>
      <c r="Y571" s="432"/>
      <c r="Z571" s="432"/>
      <c r="AA571" s="432"/>
      <c r="AB571" s="432"/>
      <c r="AC571" s="432"/>
      <c r="AD571" s="432"/>
    </row>
    <row r="572">
      <c r="A572" s="432"/>
      <c r="B572" s="432"/>
      <c r="C572" s="432"/>
      <c r="D572" s="459"/>
      <c r="E572" s="459"/>
      <c r="F572" s="432"/>
      <c r="G572" s="432"/>
      <c r="H572" s="432"/>
      <c r="I572" s="432"/>
      <c r="J572" s="432"/>
      <c r="K572" s="432"/>
      <c r="L572" s="432"/>
      <c r="M572" s="432"/>
      <c r="N572" s="432"/>
      <c r="O572" s="459"/>
      <c r="P572" s="460"/>
      <c r="Q572" s="432"/>
      <c r="R572" s="432"/>
      <c r="S572" s="432"/>
      <c r="T572" s="432"/>
      <c r="U572" s="432"/>
      <c r="V572" s="432"/>
      <c r="W572" s="432"/>
      <c r="X572" s="432"/>
      <c r="Y572" s="432"/>
      <c r="Z572" s="432"/>
      <c r="AA572" s="432"/>
      <c r="AB572" s="432"/>
      <c r="AC572" s="432"/>
      <c r="AD572" s="432"/>
    </row>
    <row r="573">
      <c r="A573" s="432"/>
      <c r="B573" s="432"/>
      <c r="C573" s="432"/>
      <c r="D573" s="459"/>
      <c r="E573" s="459"/>
      <c r="F573" s="432"/>
      <c r="G573" s="432"/>
      <c r="H573" s="432"/>
      <c r="I573" s="432"/>
      <c r="J573" s="432"/>
      <c r="K573" s="432"/>
      <c r="L573" s="432"/>
      <c r="M573" s="432"/>
      <c r="N573" s="432"/>
      <c r="O573" s="459"/>
      <c r="P573" s="460"/>
      <c r="Q573" s="432"/>
      <c r="R573" s="432"/>
      <c r="S573" s="432"/>
      <c r="T573" s="432"/>
      <c r="U573" s="432"/>
      <c r="V573" s="432"/>
      <c r="W573" s="432"/>
      <c r="X573" s="432"/>
      <c r="Y573" s="432"/>
      <c r="Z573" s="432"/>
      <c r="AA573" s="432"/>
      <c r="AB573" s="432"/>
      <c r="AC573" s="432"/>
      <c r="AD573" s="432"/>
    </row>
    <row r="574">
      <c r="A574" s="432"/>
      <c r="B574" s="432"/>
      <c r="C574" s="432"/>
      <c r="D574" s="459"/>
      <c r="E574" s="459"/>
      <c r="F574" s="432"/>
      <c r="G574" s="432"/>
      <c r="H574" s="432"/>
      <c r="I574" s="432"/>
      <c r="J574" s="432"/>
      <c r="K574" s="432"/>
      <c r="L574" s="432"/>
      <c r="M574" s="432"/>
      <c r="N574" s="432"/>
      <c r="O574" s="459"/>
      <c r="P574" s="460"/>
      <c r="Q574" s="432"/>
      <c r="R574" s="432"/>
      <c r="S574" s="432"/>
      <c r="T574" s="432"/>
      <c r="U574" s="432"/>
      <c r="V574" s="432"/>
      <c r="W574" s="432"/>
      <c r="X574" s="432"/>
      <c r="Y574" s="432"/>
      <c r="Z574" s="432"/>
      <c r="AA574" s="432"/>
      <c r="AB574" s="432"/>
      <c r="AC574" s="432"/>
      <c r="AD574" s="432"/>
    </row>
    <row r="575">
      <c r="A575" s="432"/>
      <c r="B575" s="432"/>
      <c r="C575" s="432"/>
      <c r="D575" s="459"/>
      <c r="E575" s="459"/>
      <c r="F575" s="432"/>
      <c r="G575" s="432"/>
      <c r="H575" s="432"/>
      <c r="I575" s="432"/>
      <c r="J575" s="432"/>
      <c r="K575" s="432"/>
      <c r="L575" s="432"/>
      <c r="M575" s="432"/>
      <c r="N575" s="432"/>
      <c r="O575" s="459"/>
      <c r="P575" s="460"/>
      <c r="Q575" s="432"/>
      <c r="R575" s="432"/>
      <c r="S575" s="432"/>
      <c r="T575" s="432"/>
      <c r="U575" s="432"/>
      <c r="V575" s="432"/>
      <c r="W575" s="432"/>
      <c r="X575" s="432"/>
      <c r="Y575" s="432"/>
      <c r="Z575" s="432"/>
      <c r="AA575" s="432"/>
      <c r="AB575" s="432"/>
      <c r="AC575" s="432"/>
      <c r="AD575" s="432"/>
    </row>
    <row r="576">
      <c r="A576" s="432"/>
      <c r="B576" s="432"/>
      <c r="C576" s="432"/>
      <c r="D576" s="459"/>
      <c r="E576" s="459"/>
      <c r="F576" s="432"/>
      <c r="G576" s="432"/>
      <c r="H576" s="432"/>
      <c r="I576" s="432"/>
      <c r="J576" s="432"/>
      <c r="K576" s="432"/>
      <c r="L576" s="432"/>
      <c r="M576" s="432"/>
      <c r="N576" s="432"/>
      <c r="O576" s="459"/>
      <c r="P576" s="460"/>
      <c r="Q576" s="432"/>
      <c r="R576" s="432"/>
      <c r="S576" s="432"/>
      <c r="T576" s="432"/>
      <c r="U576" s="432"/>
      <c r="V576" s="432"/>
      <c r="W576" s="432"/>
      <c r="X576" s="432"/>
      <c r="Y576" s="432"/>
      <c r="Z576" s="432"/>
      <c r="AA576" s="432"/>
      <c r="AB576" s="432"/>
      <c r="AC576" s="432"/>
      <c r="AD576" s="432"/>
    </row>
    <row r="577">
      <c r="A577" s="432"/>
      <c r="B577" s="432"/>
      <c r="C577" s="432"/>
      <c r="D577" s="459"/>
      <c r="E577" s="459"/>
      <c r="F577" s="432"/>
      <c r="G577" s="432"/>
      <c r="H577" s="432"/>
      <c r="I577" s="432"/>
      <c r="J577" s="432"/>
      <c r="K577" s="432"/>
      <c r="L577" s="432"/>
      <c r="M577" s="432"/>
      <c r="N577" s="432"/>
      <c r="O577" s="459"/>
      <c r="P577" s="460"/>
      <c r="Q577" s="432"/>
      <c r="R577" s="432"/>
      <c r="S577" s="432"/>
      <c r="T577" s="432"/>
      <c r="U577" s="432"/>
      <c r="V577" s="432"/>
      <c r="W577" s="432"/>
      <c r="X577" s="432"/>
      <c r="Y577" s="432"/>
      <c r="Z577" s="432"/>
      <c r="AA577" s="432"/>
      <c r="AB577" s="432"/>
      <c r="AC577" s="432"/>
      <c r="AD577" s="432"/>
    </row>
    <row r="578">
      <c r="A578" s="432"/>
      <c r="B578" s="432"/>
      <c r="C578" s="432"/>
      <c r="D578" s="459"/>
      <c r="E578" s="459"/>
      <c r="F578" s="432"/>
      <c r="G578" s="432"/>
      <c r="H578" s="432"/>
      <c r="I578" s="432"/>
      <c r="J578" s="432"/>
      <c r="K578" s="432"/>
      <c r="L578" s="432"/>
      <c r="M578" s="432"/>
      <c r="N578" s="432"/>
      <c r="O578" s="459"/>
      <c r="P578" s="460"/>
      <c r="Q578" s="432"/>
      <c r="R578" s="432"/>
      <c r="S578" s="432"/>
      <c r="T578" s="432"/>
      <c r="U578" s="432"/>
      <c r="V578" s="432"/>
      <c r="W578" s="432"/>
      <c r="X578" s="432"/>
      <c r="Y578" s="432"/>
      <c r="Z578" s="432"/>
      <c r="AA578" s="432"/>
      <c r="AB578" s="432"/>
      <c r="AC578" s="432"/>
      <c r="AD578" s="432"/>
    </row>
    <row r="579">
      <c r="A579" s="432"/>
      <c r="B579" s="432"/>
      <c r="C579" s="432"/>
      <c r="D579" s="459"/>
      <c r="E579" s="459"/>
      <c r="F579" s="432"/>
      <c r="G579" s="432"/>
      <c r="H579" s="432"/>
      <c r="I579" s="432"/>
      <c r="J579" s="432"/>
      <c r="K579" s="432"/>
      <c r="L579" s="432"/>
      <c r="M579" s="432"/>
      <c r="N579" s="432"/>
      <c r="O579" s="459"/>
      <c r="P579" s="460"/>
      <c r="Q579" s="432"/>
      <c r="R579" s="432"/>
      <c r="S579" s="432"/>
      <c r="T579" s="432"/>
      <c r="U579" s="432"/>
      <c r="V579" s="432"/>
      <c r="W579" s="432"/>
      <c r="X579" s="432"/>
      <c r="Y579" s="432"/>
      <c r="Z579" s="432"/>
      <c r="AA579" s="432"/>
      <c r="AB579" s="432"/>
      <c r="AC579" s="432"/>
      <c r="AD579" s="432"/>
    </row>
    <row r="580">
      <c r="A580" s="432"/>
      <c r="B580" s="432"/>
      <c r="C580" s="432"/>
      <c r="D580" s="459"/>
      <c r="E580" s="459"/>
      <c r="F580" s="432"/>
      <c r="G580" s="432"/>
      <c r="H580" s="432"/>
      <c r="I580" s="432"/>
      <c r="J580" s="432"/>
      <c r="K580" s="432"/>
      <c r="L580" s="432"/>
      <c r="M580" s="432"/>
      <c r="N580" s="432"/>
      <c r="O580" s="459"/>
      <c r="P580" s="460"/>
      <c r="Q580" s="432"/>
      <c r="R580" s="432"/>
      <c r="S580" s="432"/>
      <c r="T580" s="432"/>
      <c r="U580" s="432"/>
      <c r="V580" s="432"/>
      <c r="W580" s="432"/>
      <c r="X580" s="432"/>
      <c r="Y580" s="432"/>
      <c r="Z580" s="432"/>
      <c r="AA580" s="432"/>
      <c r="AB580" s="432"/>
      <c r="AC580" s="432"/>
      <c r="AD580" s="432"/>
    </row>
    <row r="581">
      <c r="A581" s="432"/>
      <c r="B581" s="432"/>
      <c r="C581" s="432"/>
      <c r="D581" s="459"/>
      <c r="E581" s="459"/>
      <c r="F581" s="432"/>
      <c r="G581" s="432"/>
      <c r="H581" s="432"/>
      <c r="I581" s="432"/>
      <c r="J581" s="432"/>
      <c r="K581" s="432"/>
      <c r="L581" s="432"/>
      <c r="M581" s="432"/>
      <c r="N581" s="432"/>
      <c r="O581" s="459"/>
      <c r="P581" s="460"/>
      <c r="Q581" s="432"/>
      <c r="R581" s="432"/>
      <c r="S581" s="432"/>
      <c r="T581" s="432"/>
      <c r="U581" s="432"/>
      <c r="V581" s="432"/>
      <c r="W581" s="432"/>
      <c r="X581" s="432"/>
      <c r="Y581" s="432"/>
      <c r="Z581" s="432"/>
      <c r="AA581" s="432"/>
      <c r="AB581" s="432"/>
      <c r="AC581" s="432"/>
      <c r="AD581" s="432"/>
    </row>
    <row r="582">
      <c r="A582" s="432"/>
      <c r="B582" s="432"/>
      <c r="C582" s="432"/>
      <c r="D582" s="459"/>
      <c r="E582" s="459"/>
      <c r="F582" s="432"/>
      <c r="G582" s="432"/>
      <c r="H582" s="432"/>
      <c r="I582" s="432"/>
      <c r="J582" s="432"/>
      <c r="K582" s="432"/>
      <c r="L582" s="432"/>
      <c r="M582" s="432"/>
      <c r="N582" s="432"/>
      <c r="O582" s="459"/>
      <c r="P582" s="460"/>
      <c r="Q582" s="432"/>
      <c r="R582" s="432"/>
      <c r="S582" s="432"/>
      <c r="T582" s="432"/>
      <c r="U582" s="432"/>
      <c r="V582" s="432"/>
      <c r="W582" s="432"/>
      <c r="X582" s="432"/>
      <c r="Y582" s="432"/>
      <c r="Z582" s="432"/>
      <c r="AA582" s="432"/>
      <c r="AB582" s="432"/>
      <c r="AC582" s="432"/>
      <c r="AD582" s="432"/>
    </row>
    <row r="583">
      <c r="A583" s="432"/>
      <c r="B583" s="432"/>
      <c r="C583" s="432"/>
      <c r="D583" s="459"/>
      <c r="E583" s="459"/>
      <c r="F583" s="432"/>
      <c r="G583" s="432"/>
      <c r="H583" s="432"/>
      <c r="I583" s="432"/>
      <c r="J583" s="432"/>
      <c r="K583" s="432"/>
      <c r="L583" s="432"/>
      <c r="M583" s="432"/>
      <c r="N583" s="432"/>
      <c r="O583" s="459"/>
      <c r="P583" s="460"/>
      <c r="Q583" s="432"/>
      <c r="R583" s="432"/>
      <c r="S583" s="432"/>
      <c r="T583" s="432"/>
      <c r="U583" s="432"/>
      <c r="V583" s="432"/>
      <c r="W583" s="432"/>
      <c r="X583" s="432"/>
      <c r="Y583" s="432"/>
      <c r="Z583" s="432"/>
      <c r="AA583" s="432"/>
      <c r="AB583" s="432"/>
      <c r="AC583" s="432"/>
      <c r="AD583" s="432"/>
    </row>
    <row r="584">
      <c r="A584" s="432"/>
      <c r="B584" s="432"/>
      <c r="C584" s="432"/>
      <c r="D584" s="459"/>
      <c r="E584" s="459"/>
      <c r="F584" s="432"/>
      <c r="G584" s="432"/>
      <c r="H584" s="432"/>
      <c r="I584" s="432"/>
      <c r="J584" s="432"/>
      <c r="K584" s="432"/>
      <c r="L584" s="432"/>
      <c r="M584" s="432"/>
      <c r="N584" s="432"/>
      <c r="O584" s="459"/>
      <c r="P584" s="460"/>
      <c r="Q584" s="432"/>
      <c r="R584" s="432"/>
      <c r="S584" s="432"/>
      <c r="T584" s="432"/>
      <c r="U584" s="432"/>
      <c r="V584" s="432"/>
      <c r="W584" s="432"/>
      <c r="X584" s="432"/>
      <c r="Y584" s="432"/>
      <c r="Z584" s="432"/>
      <c r="AA584" s="432"/>
      <c r="AB584" s="432"/>
      <c r="AC584" s="432"/>
      <c r="AD584" s="432"/>
    </row>
    <row r="585">
      <c r="A585" s="432"/>
      <c r="B585" s="432"/>
      <c r="C585" s="432"/>
      <c r="D585" s="459"/>
      <c r="E585" s="459"/>
      <c r="F585" s="432"/>
      <c r="G585" s="432"/>
      <c r="H585" s="432"/>
      <c r="I585" s="432"/>
      <c r="J585" s="432"/>
      <c r="K585" s="432"/>
      <c r="L585" s="432"/>
      <c r="M585" s="432"/>
      <c r="N585" s="432"/>
      <c r="O585" s="459"/>
      <c r="P585" s="460"/>
      <c r="Q585" s="432"/>
      <c r="R585" s="432"/>
      <c r="S585" s="432"/>
      <c r="T585" s="432"/>
      <c r="U585" s="432"/>
      <c r="V585" s="432"/>
      <c r="W585" s="432"/>
      <c r="X585" s="432"/>
      <c r="Y585" s="432"/>
      <c r="Z585" s="432"/>
      <c r="AA585" s="432"/>
      <c r="AB585" s="432"/>
      <c r="AC585" s="432"/>
      <c r="AD585" s="432"/>
    </row>
    <row r="586">
      <c r="A586" s="432"/>
      <c r="B586" s="432"/>
      <c r="C586" s="432"/>
      <c r="D586" s="459"/>
      <c r="E586" s="459"/>
      <c r="F586" s="432"/>
      <c r="G586" s="432"/>
      <c r="H586" s="432"/>
      <c r="I586" s="432"/>
      <c r="J586" s="432"/>
      <c r="K586" s="432"/>
      <c r="L586" s="432"/>
      <c r="M586" s="432"/>
      <c r="N586" s="432"/>
      <c r="O586" s="459"/>
      <c r="P586" s="460"/>
      <c r="Q586" s="432"/>
      <c r="R586" s="432"/>
      <c r="S586" s="432"/>
      <c r="T586" s="432"/>
      <c r="U586" s="432"/>
      <c r="V586" s="432"/>
      <c r="W586" s="432"/>
      <c r="X586" s="432"/>
      <c r="Y586" s="432"/>
      <c r="Z586" s="432"/>
      <c r="AA586" s="432"/>
      <c r="AB586" s="432"/>
      <c r="AC586" s="432"/>
      <c r="AD586" s="432"/>
    </row>
    <row r="587">
      <c r="A587" s="432"/>
      <c r="B587" s="432"/>
      <c r="C587" s="432"/>
      <c r="D587" s="459"/>
      <c r="E587" s="459"/>
      <c r="F587" s="432"/>
      <c r="G587" s="432"/>
      <c r="H587" s="432"/>
      <c r="I587" s="432"/>
      <c r="J587" s="432"/>
      <c r="K587" s="432"/>
      <c r="L587" s="432"/>
      <c r="M587" s="432"/>
      <c r="N587" s="432"/>
      <c r="O587" s="459"/>
      <c r="P587" s="460"/>
      <c r="Q587" s="432"/>
      <c r="R587" s="432"/>
      <c r="S587" s="432"/>
      <c r="T587" s="432"/>
      <c r="U587" s="432"/>
      <c r="V587" s="432"/>
      <c r="W587" s="432"/>
      <c r="X587" s="432"/>
      <c r="Y587" s="432"/>
      <c r="Z587" s="432"/>
      <c r="AA587" s="432"/>
      <c r="AB587" s="432"/>
      <c r="AC587" s="432"/>
      <c r="AD587" s="432"/>
    </row>
    <row r="588">
      <c r="A588" s="432"/>
      <c r="B588" s="432"/>
      <c r="C588" s="432"/>
      <c r="D588" s="459"/>
      <c r="E588" s="459"/>
      <c r="F588" s="432"/>
      <c r="G588" s="432"/>
      <c r="H588" s="432"/>
      <c r="I588" s="432"/>
      <c r="J588" s="432"/>
      <c r="K588" s="432"/>
      <c r="L588" s="432"/>
      <c r="M588" s="432"/>
      <c r="N588" s="432"/>
      <c r="O588" s="459"/>
      <c r="P588" s="460"/>
      <c r="Q588" s="432"/>
      <c r="R588" s="432"/>
      <c r="S588" s="432"/>
      <c r="T588" s="432"/>
      <c r="U588" s="432"/>
      <c r="V588" s="432"/>
      <c r="W588" s="432"/>
      <c r="X588" s="432"/>
      <c r="Y588" s="432"/>
      <c r="Z588" s="432"/>
      <c r="AA588" s="432"/>
      <c r="AB588" s="432"/>
      <c r="AC588" s="432"/>
      <c r="AD588" s="432"/>
    </row>
    <row r="589">
      <c r="A589" s="432"/>
      <c r="B589" s="432"/>
      <c r="C589" s="432"/>
      <c r="D589" s="459"/>
      <c r="E589" s="459"/>
      <c r="F589" s="432"/>
      <c r="G589" s="432"/>
      <c r="H589" s="432"/>
      <c r="I589" s="432"/>
      <c r="J589" s="432"/>
      <c r="K589" s="432"/>
      <c r="L589" s="432"/>
      <c r="M589" s="432"/>
      <c r="N589" s="432"/>
      <c r="O589" s="459"/>
      <c r="P589" s="460"/>
      <c r="Q589" s="432"/>
      <c r="R589" s="432"/>
      <c r="S589" s="432"/>
      <c r="T589" s="432"/>
      <c r="U589" s="432"/>
      <c r="V589" s="432"/>
      <c r="W589" s="432"/>
      <c r="X589" s="432"/>
      <c r="Y589" s="432"/>
      <c r="Z589" s="432"/>
      <c r="AA589" s="432"/>
      <c r="AB589" s="432"/>
      <c r="AC589" s="432"/>
      <c r="AD589" s="432"/>
    </row>
    <row r="590">
      <c r="A590" s="432"/>
      <c r="B590" s="432"/>
      <c r="C590" s="432"/>
      <c r="D590" s="459"/>
      <c r="E590" s="459"/>
      <c r="F590" s="432"/>
      <c r="G590" s="432"/>
      <c r="H590" s="432"/>
      <c r="I590" s="432"/>
      <c r="J590" s="432"/>
      <c r="K590" s="432"/>
      <c r="L590" s="432"/>
      <c r="M590" s="432"/>
      <c r="N590" s="432"/>
      <c r="O590" s="459"/>
      <c r="P590" s="460"/>
      <c r="Q590" s="432"/>
      <c r="R590" s="432"/>
      <c r="S590" s="432"/>
      <c r="T590" s="432"/>
      <c r="U590" s="432"/>
      <c r="V590" s="432"/>
      <c r="W590" s="432"/>
      <c r="X590" s="432"/>
      <c r="Y590" s="432"/>
      <c r="Z590" s="432"/>
      <c r="AA590" s="432"/>
      <c r="AB590" s="432"/>
      <c r="AC590" s="432"/>
      <c r="AD590" s="432"/>
    </row>
    <row r="591">
      <c r="A591" s="432"/>
      <c r="B591" s="432"/>
      <c r="C591" s="432"/>
      <c r="D591" s="459"/>
      <c r="E591" s="459"/>
      <c r="F591" s="432"/>
      <c r="G591" s="432"/>
      <c r="H591" s="432"/>
      <c r="I591" s="432"/>
      <c r="J591" s="432"/>
      <c r="K591" s="432"/>
      <c r="L591" s="432"/>
      <c r="M591" s="432"/>
      <c r="N591" s="432"/>
      <c r="O591" s="459"/>
      <c r="P591" s="460"/>
      <c r="Q591" s="432"/>
      <c r="R591" s="432"/>
      <c r="S591" s="432"/>
      <c r="T591" s="432"/>
      <c r="U591" s="432"/>
      <c r="V591" s="432"/>
      <c r="W591" s="432"/>
      <c r="X591" s="432"/>
      <c r="Y591" s="432"/>
      <c r="Z591" s="432"/>
      <c r="AA591" s="432"/>
      <c r="AB591" s="432"/>
      <c r="AC591" s="432"/>
      <c r="AD591" s="432"/>
    </row>
    <row r="592">
      <c r="A592" s="432"/>
      <c r="B592" s="432"/>
      <c r="C592" s="432"/>
      <c r="D592" s="459"/>
      <c r="E592" s="459"/>
      <c r="F592" s="432"/>
      <c r="G592" s="432"/>
      <c r="H592" s="432"/>
      <c r="I592" s="432"/>
      <c r="J592" s="432"/>
      <c r="K592" s="432"/>
      <c r="L592" s="432"/>
      <c r="M592" s="432"/>
      <c r="N592" s="432"/>
      <c r="O592" s="459"/>
      <c r="P592" s="460"/>
      <c r="Q592" s="432"/>
      <c r="R592" s="432"/>
      <c r="S592" s="432"/>
      <c r="T592" s="432"/>
      <c r="U592" s="432"/>
      <c r="V592" s="432"/>
      <c r="W592" s="432"/>
      <c r="X592" s="432"/>
      <c r="Y592" s="432"/>
      <c r="Z592" s="432"/>
      <c r="AA592" s="432"/>
      <c r="AB592" s="432"/>
      <c r="AC592" s="432"/>
      <c r="AD592" s="432"/>
    </row>
    <row r="593">
      <c r="A593" s="432"/>
      <c r="B593" s="432"/>
      <c r="C593" s="432"/>
      <c r="D593" s="459"/>
      <c r="E593" s="459"/>
      <c r="F593" s="432"/>
      <c r="G593" s="432"/>
      <c r="H593" s="432"/>
      <c r="I593" s="432"/>
      <c r="J593" s="432"/>
      <c r="K593" s="432"/>
      <c r="L593" s="432"/>
      <c r="M593" s="432"/>
      <c r="N593" s="432"/>
      <c r="O593" s="459"/>
      <c r="P593" s="460"/>
      <c r="Q593" s="432"/>
      <c r="R593" s="432"/>
      <c r="S593" s="432"/>
      <c r="T593" s="432"/>
      <c r="U593" s="432"/>
      <c r="V593" s="432"/>
      <c r="W593" s="432"/>
      <c r="X593" s="432"/>
      <c r="Y593" s="432"/>
      <c r="Z593" s="432"/>
      <c r="AA593" s="432"/>
      <c r="AB593" s="432"/>
      <c r="AC593" s="432"/>
      <c r="AD593" s="432"/>
    </row>
    <row r="594">
      <c r="A594" s="432"/>
      <c r="B594" s="432"/>
      <c r="C594" s="432"/>
      <c r="D594" s="459"/>
      <c r="E594" s="459"/>
      <c r="F594" s="432"/>
      <c r="G594" s="432"/>
      <c r="H594" s="432"/>
      <c r="I594" s="432"/>
      <c r="J594" s="432"/>
      <c r="K594" s="432"/>
      <c r="L594" s="432"/>
      <c r="M594" s="432"/>
      <c r="N594" s="432"/>
      <c r="O594" s="459"/>
      <c r="P594" s="460"/>
      <c r="Q594" s="432"/>
      <c r="R594" s="432"/>
      <c r="S594" s="432"/>
      <c r="T594" s="432"/>
      <c r="U594" s="432"/>
      <c r="V594" s="432"/>
      <c r="W594" s="432"/>
      <c r="X594" s="432"/>
      <c r="Y594" s="432"/>
      <c r="Z594" s="432"/>
      <c r="AA594" s="432"/>
      <c r="AB594" s="432"/>
      <c r="AC594" s="432"/>
      <c r="AD594" s="432"/>
    </row>
    <row r="595">
      <c r="A595" s="432"/>
      <c r="B595" s="432"/>
      <c r="C595" s="432"/>
      <c r="D595" s="459"/>
      <c r="E595" s="459"/>
      <c r="F595" s="432"/>
      <c r="G595" s="432"/>
      <c r="H595" s="432"/>
      <c r="I595" s="432"/>
      <c r="J595" s="432"/>
      <c r="K595" s="432"/>
      <c r="L595" s="432"/>
      <c r="M595" s="432"/>
      <c r="N595" s="432"/>
      <c r="O595" s="459"/>
      <c r="P595" s="460"/>
      <c r="Q595" s="432"/>
      <c r="R595" s="432"/>
      <c r="S595" s="432"/>
      <c r="T595" s="432"/>
      <c r="U595" s="432"/>
      <c r="V595" s="432"/>
      <c r="W595" s="432"/>
      <c r="X595" s="432"/>
      <c r="Y595" s="432"/>
      <c r="Z595" s="432"/>
      <c r="AA595" s="432"/>
      <c r="AB595" s="432"/>
      <c r="AC595" s="432"/>
      <c r="AD595" s="432"/>
    </row>
    <row r="596">
      <c r="A596" s="432"/>
      <c r="B596" s="432"/>
      <c r="C596" s="432"/>
      <c r="D596" s="459"/>
      <c r="E596" s="459"/>
      <c r="F596" s="432"/>
      <c r="G596" s="432"/>
      <c r="H596" s="432"/>
      <c r="I596" s="432"/>
      <c r="J596" s="432"/>
      <c r="K596" s="432"/>
      <c r="L596" s="432"/>
      <c r="M596" s="432"/>
      <c r="N596" s="432"/>
      <c r="O596" s="459"/>
      <c r="P596" s="460"/>
      <c r="Q596" s="432"/>
      <c r="R596" s="432"/>
      <c r="S596" s="432"/>
      <c r="T596" s="432"/>
      <c r="U596" s="432"/>
      <c r="V596" s="432"/>
      <c r="W596" s="432"/>
      <c r="X596" s="432"/>
      <c r="Y596" s="432"/>
      <c r="Z596" s="432"/>
      <c r="AA596" s="432"/>
      <c r="AB596" s="432"/>
      <c r="AC596" s="432"/>
      <c r="AD596" s="432"/>
    </row>
    <row r="597">
      <c r="A597" s="432"/>
      <c r="B597" s="432"/>
      <c r="C597" s="432"/>
      <c r="D597" s="459"/>
      <c r="E597" s="459"/>
      <c r="F597" s="432"/>
      <c r="G597" s="432"/>
      <c r="H597" s="432"/>
      <c r="I597" s="432"/>
      <c r="J597" s="432"/>
      <c r="K597" s="432"/>
      <c r="L597" s="432"/>
      <c r="M597" s="432"/>
      <c r="N597" s="432"/>
      <c r="O597" s="459"/>
      <c r="P597" s="460"/>
      <c r="Q597" s="432"/>
      <c r="R597" s="432"/>
      <c r="S597" s="432"/>
      <c r="T597" s="432"/>
      <c r="U597" s="432"/>
      <c r="V597" s="432"/>
      <c r="W597" s="432"/>
      <c r="X597" s="432"/>
      <c r="Y597" s="432"/>
      <c r="Z597" s="432"/>
      <c r="AA597" s="432"/>
      <c r="AB597" s="432"/>
      <c r="AC597" s="432"/>
      <c r="AD597" s="432"/>
    </row>
    <row r="598">
      <c r="A598" s="432"/>
      <c r="B598" s="432"/>
      <c r="C598" s="432"/>
      <c r="D598" s="459"/>
      <c r="E598" s="459"/>
      <c r="F598" s="432"/>
      <c r="G598" s="432"/>
      <c r="H598" s="432"/>
      <c r="I598" s="432"/>
      <c r="J598" s="432"/>
      <c r="K598" s="432"/>
      <c r="L598" s="432"/>
      <c r="M598" s="432"/>
      <c r="N598" s="432"/>
      <c r="O598" s="459"/>
      <c r="P598" s="460"/>
      <c r="Q598" s="432"/>
      <c r="R598" s="432"/>
      <c r="S598" s="432"/>
      <c r="T598" s="432"/>
      <c r="U598" s="432"/>
      <c r="V598" s="432"/>
      <c r="W598" s="432"/>
      <c r="X598" s="432"/>
      <c r="Y598" s="432"/>
      <c r="Z598" s="432"/>
      <c r="AA598" s="432"/>
      <c r="AB598" s="432"/>
      <c r="AC598" s="432"/>
      <c r="AD598" s="432"/>
    </row>
    <row r="599">
      <c r="A599" s="432"/>
      <c r="B599" s="432"/>
      <c r="C599" s="432"/>
      <c r="D599" s="459"/>
      <c r="E599" s="459"/>
      <c r="F599" s="432"/>
      <c r="G599" s="432"/>
      <c r="H599" s="432"/>
      <c r="I599" s="432"/>
      <c r="J599" s="432"/>
      <c r="K599" s="432"/>
      <c r="L599" s="432"/>
      <c r="M599" s="432"/>
      <c r="N599" s="432"/>
      <c r="O599" s="459"/>
      <c r="P599" s="460"/>
      <c r="Q599" s="432"/>
      <c r="R599" s="432"/>
      <c r="S599" s="432"/>
      <c r="T599" s="432"/>
      <c r="U599" s="432"/>
      <c r="V599" s="432"/>
      <c r="W599" s="432"/>
      <c r="X599" s="432"/>
      <c r="Y599" s="432"/>
      <c r="Z599" s="432"/>
      <c r="AA599" s="432"/>
      <c r="AB599" s="432"/>
      <c r="AC599" s="432"/>
      <c r="AD599" s="432"/>
    </row>
    <row r="600">
      <c r="A600" s="432"/>
      <c r="B600" s="432"/>
      <c r="C600" s="432"/>
      <c r="D600" s="459"/>
      <c r="E600" s="459"/>
      <c r="F600" s="432"/>
      <c r="G600" s="432"/>
      <c r="H600" s="432"/>
      <c r="I600" s="432"/>
      <c r="J600" s="432"/>
      <c r="K600" s="432"/>
      <c r="L600" s="432"/>
      <c r="M600" s="432"/>
      <c r="N600" s="432"/>
      <c r="O600" s="459"/>
      <c r="P600" s="460"/>
      <c r="Q600" s="432"/>
      <c r="R600" s="432"/>
      <c r="S600" s="432"/>
      <c r="T600" s="432"/>
      <c r="U600" s="432"/>
      <c r="V600" s="432"/>
      <c r="W600" s="432"/>
      <c r="X600" s="432"/>
      <c r="Y600" s="432"/>
      <c r="Z600" s="432"/>
      <c r="AA600" s="432"/>
      <c r="AB600" s="432"/>
      <c r="AC600" s="432"/>
      <c r="AD600" s="432"/>
    </row>
    <row r="601">
      <c r="A601" s="432"/>
      <c r="B601" s="432"/>
      <c r="C601" s="432"/>
      <c r="D601" s="459"/>
      <c r="E601" s="459"/>
      <c r="F601" s="432"/>
      <c r="G601" s="432"/>
      <c r="H601" s="432"/>
      <c r="I601" s="432"/>
      <c r="J601" s="432"/>
      <c r="K601" s="432"/>
      <c r="L601" s="432"/>
      <c r="M601" s="432"/>
      <c r="N601" s="432"/>
      <c r="O601" s="459"/>
      <c r="P601" s="460"/>
      <c r="Q601" s="432"/>
      <c r="R601" s="432"/>
      <c r="S601" s="432"/>
      <c r="T601" s="432"/>
      <c r="U601" s="432"/>
      <c r="V601" s="432"/>
      <c r="W601" s="432"/>
      <c r="X601" s="432"/>
      <c r="Y601" s="432"/>
      <c r="Z601" s="432"/>
      <c r="AA601" s="432"/>
      <c r="AB601" s="432"/>
      <c r="AC601" s="432"/>
      <c r="AD601" s="432"/>
    </row>
    <row r="602">
      <c r="A602" s="432"/>
      <c r="B602" s="432"/>
      <c r="C602" s="432"/>
      <c r="D602" s="459"/>
      <c r="E602" s="459"/>
      <c r="F602" s="432"/>
      <c r="G602" s="432"/>
      <c r="H602" s="432"/>
      <c r="I602" s="432"/>
      <c r="J602" s="432"/>
      <c r="K602" s="432"/>
      <c r="L602" s="432"/>
      <c r="M602" s="432"/>
      <c r="N602" s="432"/>
      <c r="O602" s="459"/>
      <c r="P602" s="460"/>
      <c r="Q602" s="432"/>
      <c r="R602" s="432"/>
      <c r="S602" s="432"/>
      <c r="T602" s="432"/>
      <c r="U602" s="432"/>
      <c r="V602" s="432"/>
      <c r="W602" s="432"/>
      <c r="X602" s="432"/>
      <c r="Y602" s="432"/>
      <c r="Z602" s="432"/>
      <c r="AA602" s="432"/>
      <c r="AB602" s="432"/>
      <c r="AC602" s="432"/>
      <c r="AD602" s="432"/>
    </row>
    <row r="603">
      <c r="A603" s="432"/>
      <c r="B603" s="432"/>
      <c r="C603" s="432"/>
      <c r="D603" s="459"/>
      <c r="E603" s="459"/>
      <c r="F603" s="432"/>
      <c r="G603" s="432"/>
      <c r="H603" s="432"/>
      <c r="I603" s="432"/>
      <c r="J603" s="432"/>
      <c r="K603" s="432"/>
      <c r="L603" s="432"/>
      <c r="M603" s="432"/>
      <c r="N603" s="432"/>
      <c r="O603" s="459"/>
      <c r="P603" s="460"/>
      <c r="Q603" s="432"/>
      <c r="R603" s="432"/>
      <c r="S603" s="432"/>
      <c r="T603" s="432"/>
      <c r="U603" s="432"/>
      <c r="V603" s="432"/>
      <c r="W603" s="432"/>
      <c r="X603" s="432"/>
      <c r="Y603" s="432"/>
      <c r="Z603" s="432"/>
      <c r="AA603" s="432"/>
      <c r="AB603" s="432"/>
      <c r="AC603" s="432"/>
      <c r="AD603" s="432"/>
    </row>
    <row r="604">
      <c r="A604" s="432"/>
      <c r="B604" s="432"/>
      <c r="C604" s="432"/>
      <c r="D604" s="459"/>
      <c r="E604" s="459"/>
      <c r="F604" s="432"/>
      <c r="G604" s="432"/>
      <c r="H604" s="432"/>
      <c r="I604" s="432"/>
      <c r="J604" s="432"/>
      <c r="K604" s="432"/>
      <c r="L604" s="432"/>
      <c r="M604" s="432"/>
      <c r="N604" s="432"/>
      <c r="O604" s="459"/>
      <c r="P604" s="460"/>
      <c r="Q604" s="432"/>
      <c r="R604" s="432"/>
      <c r="S604" s="432"/>
      <c r="T604" s="432"/>
      <c r="U604" s="432"/>
      <c r="V604" s="432"/>
      <c r="W604" s="432"/>
      <c r="X604" s="432"/>
      <c r="Y604" s="432"/>
      <c r="Z604" s="432"/>
      <c r="AA604" s="432"/>
      <c r="AB604" s="432"/>
      <c r="AC604" s="432"/>
      <c r="AD604" s="432"/>
    </row>
    <row r="605">
      <c r="A605" s="432"/>
      <c r="B605" s="432"/>
      <c r="C605" s="432"/>
      <c r="D605" s="459"/>
      <c r="E605" s="459"/>
      <c r="F605" s="432"/>
      <c r="G605" s="432"/>
      <c r="H605" s="432"/>
      <c r="I605" s="432"/>
      <c r="J605" s="432"/>
      <c r="K605" s="432"/>
      <c r="L605" s="432"/>
      <c r="M605" s="432"/>
      <c r="N605" s="432"/>
      <c r="O605" s="459"/>
      <c r="P605" s="460"/>
      <c r="Q605" s="432"/>
      <c r="R605" s="432"/>
      <c r="S605" s="432"/>
      <c r="T605" s="432"/>
      <c r="U605" s="432"/>
      <c r="V605" s="432"/>
      <c r="W605" s="432"/>
      <c r="X605" s="432"/>
      <c r="Y605" s="432"/>
      <c r="Z605" s="432"/>
      <c r="AA605" s="432"/>
      <c r="AB605" s="432"/>
      <c r="AC605" s="432"/>
      <c r="AD605" s="432"/>
    </row>
    <row r="606">
      <c r="A606" s="432"/>
      <c r="B606" s="432"/>
      <c r="C606" s="432"/>
      <c r="D606" s="459"/>
      <c r="E606" s="459"/>
      <c r="F606" s="432"/>
      <c r="G606" s="432"/>
      <c r="H606" s="432"/>
      <c r="I606" s="432"/>
      <c r="J606" s="432"/>
      <c r="K606" s="432"/>
      <c r="L606" s="432"/>
      <c r="M606" s="432"/>
      <c r="N606" s="432"/>
      <c r="O606" s="459"/>
      <c r="P606" s="460"/>
      <c r="Q606" s="432"/>
      <c r="R606" s="432"/>
      <c r="S606" s="432"/>
      <c r="T606" s="432"/>
      <c r="U606" s="432"/>
      <c r="V606" s="432"/>
      <c r="W606" s="432"/>
      <c r="X606" s="432"/>
      <c r="Y606" s="432"/>
      <c r="Z606" s="432"/>
      <c r="AA606" s="432"/>
      <c r="AB606" s="432"/>
      <c r="AC606" s="432"/>
      <c r="AD606" s="432"/>
    </row>
    <row r="607">
      <c r="A607" s="432"/>
      <c r="B607" s="432"/>
      <c r="C607" s="432"/>
      <c r="D607" s="459"/>
      <c r="E607" s="459"/>
      <c r="F607" s="432"/>
      <c r="G607" s="432"/>
      <c r="H607" s="432"/>
      <c r="I607" s="432"/>
      <c r="J607" s="432"/>
      <c r="K607" s="432"/>
      <c r="L607" s="432"/>
      <c r="M607" s="432"/>
      <c r="N607" s="432"/>
      <c r="O607" s="459"/>
      <c r="P607" s="460"/>
      <c r="Q607" s="432"/>
      <c r="R607" s="432"/>
      <c r="S607" s="432"/>
      <c r="T607" s="432"/>
      <c r="U607" s="432"/>
      <c r="V607" s="432"/>
      <c r="W607" s="432"/>
      <c r="X607" s="432"/>
      <c r="Y607" s="432"/>
      <c r="Z607" s="432"/>
      <c r="AA607" s="432"/>
      <c r="AB607" s="432"/>
      <c r="AC607" s="432"/>
      <c r="AD607" s="432"/>
    </row>
    <row r="608">
      <c r="A608" s="432"/>
      <c r="B608" s="432"/>
      <c r="C608" s="432"/>
      <c r="D608" s="459"/>
      <c r="E608" s="459"/>
      <c r="F608" s="432"/>
      <c r="G608" s="432"/>
      <c r="H608" s="432"/>
      <c r="I608" s="432"/>
      <c r="J608" s="432"/>
      <c r="K608" s="432"/>
      <c r="L608" s="432"/>
      <c r="M608" s="432"/>
      <c r="N608" s="432"/>
      <c r="O608" s="459"/>
      <c r="P608" s="460"/>
      <c r="Q608" s="432"/>
      <c r="R608" s="432"/>
      <c r="S608" s="432"/>
      <c r="T608" s="432"/>
      <c r="U608" s="432"/>
      <c r="V608" s="432"/>
      <c r="W608" s="432"/>
      <c r="X608" s="432"/>
      <c r="Y608" s="432"/>
      <c r="Z608" s="432"/>
      <c r="AA608" s="432"/>
      <c r="AB608" s="432"/>
      <c r="AC608" s="432"/>
      <c r="AD608" s="432"/>
    </row>
    <row r="609">
      <c r="A609" s="432"/>
      <c r="B609" s="432"/>
      <c r="C609" s="432"/>
      <c r="D609" s="459"/>
      <c r="E609" s="459"/>
      <c r="F609" s="432"/>
      <c r="G609" s="432"/>
      <c r="H609" s="432"/>
      <c r="I609" s="432"/>
      <c r="J609" s="432"/>
      <c r="K609" s="432"/>
      <c r="L609" s="432"/>
      <c r="M609" s="432"/>
      <c r="N609" s="432"/>
      <c r="O609" s="459"/>
      <c r="P609" s="460"/>
      <c r="Q609" s="432"/>
      <c r="R609" s="432"/>
      <c r="S609" s="432"/>
      <c r="T609" s="432"/>
      <c r="U609" s="432"/>
      <c r="V609" s="432"/>
      <c r="W609" s="432"/>
      <c r="X609" s="432"/>
      <c r="Y609" s="432"/>
      <c r="Z609" s="432"/>
      <c r="AA609" s="432"/>
      <c r="AB609" s="432"/>
      <c r="AC609" s="432"/>
      <c r="AD609" s="432"/>
    </row>
    <row r="610">
      <c r="A610" s="432"/>
      <c r="B610" s="432"/>
      <c r="C610" s="432"/>
      <c r="D610" s="459"/>
      <c r="E610" s="459"/>
      <c r="F610" s="432"/>
      <c r="G610" s="432"/>
      <c r="H610" s="432"/>
      <c r="I610" s="432"/>
      <c r="J610" s="432"/>
      <c r="K610" s="432"/>
      <c r="L610" s="432"/>
      <c r="M610" s="432"/>
      <c r="N610" s="432"/>
      <c r="O610" s="459"/>
      <c r="P610" s="460"/>
      <c r="Q610" s="432"/>
      <c r="R610" s="432"/>
      <c r="S610" s="432"/>
      <c r="T610" s="432"/>
      <c r="U610" s="432"/>
      <c r="V610" s="432"/>
      <c r="W610" s="432"/>
      <c r="X610" s="432"/>
      <c r="Y610" s="432"/>
      <c r="Z610" s="432"/>
      <c r="AA610" s="432"/>
      <c r="AB610" s="432"/>
      <c r="AC610" s="432"/>
      <c r="AD610" s="432"/>
    </row>
    <row r="611">
      <c r="A611" s="432"/>
      <c r="B611" s="432"/>
      <c r="C611" s="432"/>
      <c r="D611" s="459"/>
      <c r="E611" s="459"/>
      <c r="F611" s="432"/>
      <c r="G611" s="432"/>
      <c r="H611" s="432"/>
      <c r="I611" s="432"/>
      <c r="J611" s="432"/>
      <c r="K611" s="432"/>
      <c r="L611" s="432"/>
      <c r="M611" s="432"/>
      <c r="N611" s="432"/>
      <c r="O611" s="459"/>
      <c r="P611" s="460"/>
      <c r="Q611" s="432"/>
      <c r="R611" s="432"/>
      <c r="S611" s="432"/>
      <c r="T611" s="432"/>
      <c r="U611" s="432"/>
      <c r="V611" s="432"/>
      <c r="W611" s="432"/>
      <c r="X611" s="432"/>
      <c r="Y611" s="432"/>
      <c r="Z611" s="432"/>
      <c r="AA611" s="432"/>
      <c r="AB611" s="432"/>
      <c r="AC611" s="432"/>
      <c r="AD611" s="432"/>
    </row>
    <row r="612">
      <c r="A612" s="432"/>
      <c r="B612" s="432"/>
      <c r="C612" s="432"/>
      <c r="D612" s="459"/>
      <c r="E612" s="459"/>
      <c r="F612" s="432"/>
      <c r="G612" s="432"/>
      <c r="H612" s="432"/>
      <c r="I612" s="432"/>
      <c r="J612" s="432"/>
      <c r="K612" s="432"/>
      <c r="L612" s="432"/>
      <c r="M612" s="432"/>
      <c r="N612" s="432"/>
      <c r="O612" s="459"/>
      <c r="P612" s="460"/>
      <c r="Q612" s="432"/>
      <c r="R612" s="432"/>
      <c r="S612" s="432"/>
      <c r="T612" s="432"/>
      <c r="U612" s="432"/>
      <c r="V612" s="432"/>
      <c r="W612" s="432"/>
      <c r="X612" s="432"/>
      <c r="Y612" s="432"/>
      <c r="Z612" s="432"/>
      <c r="AA612" s="432"/>
      <c r="AB612" s="432"/>
      <c r="AC612" s="432"/>
      <c r="AD612" s="432"/>
    </row>
    <row r="613">
      <c r="A613" s="432"/>
      <c r="B613" s="432"/>
      <c r="C613" s="432"/>
      <c r="D613" s="459"/>
      <c r="E613" s="459"/>
      <c r="F613" s="432"/>
      <c r="G613" s="432"/>
      <c r="H613" s="432"/>
      <c r="I613" s="432"/>
      <c r="J613" s="432"/>
      <c r="K613" s="432"/>
      <c r="L613" s="432"/>
      <c r="M613" s="432"/>
      <c r="N613" s="432"/>
      <c r="O613" s="459"/>
      <c r="P613" s="460"/>
      <c r="Q613" s="432"/>
      <c r="R613" s="432"/>
      <c r="S613" s="432"/>
      <c r="T613" s="432"/>
      <c r="U613" s="432"/>
      <c r="V613" s="432"/>
      <c r="W613" s="432"/>
      <c r="X613" s="432"/>
      <c r="Y613" s="432"/>
      <c r="Z613" s="432"/>
      <c r="AA613" s="432"/>
      <c r="AB613" s="432"/>
      <c r="AC613" s="432"/>
      <c r="AD613" s="432"/>
    </row>
    <row r="614">
      <c r="A614" s="432"/>
      <c r="B614" s="432"/>
      <c r="C614" s="432"/>
      <c r="D614" s="459"/>
      <c r="E614" s="459"/>
      <c r="F614" s="432"/>
      <c r="G614" s="432"/>
      <c r="H614" s="432"/>
      <c r="I614" s="432"/>
      <c r="J614" s="432"/>
      <c r="K614" s="432"/>
      <c r="L614" s="432"/>
      <c r="M614" s="432"/>
      <c r="N614" s="432"/>
      <c r="O614" s="459"/>
      <c r="P614" s="460"/>
      <c r="Q614" s="432"/>
      <c r="R614" s="432"/>
      <c r="S614" s="432"/>
      <c r="T614" s="432"/>
      <c r="U614" s="432"/>
      <c r="V614" s="432"/>
      <c r="W614" s="432"/>
      <c r="X614" s="432"/>
      <c r="Y614" s="432"/>
      <c r="Z614" s="432"/>
      <c r="AA614" s="432"/>
      <c r="AB614" s="432"/>
      <c r="AC614" s="432"/>
      <c r="AD614" s="432"/>
    </row>
    <row r="615">
      <c r="A615" s="432"/>
      <c r="B615" s="432"/>
      <c r="C615" s="432"/>
      <c r="D615" s="459"/>
      <c r="E615" s="459"/>
      <c r="F615" s="432"/>
      <c r="G615" s="432"/>
      <c r="H615" s="432"/>
      <c r="I615" s="432"/>
      <c r="J615" s="432"/>
      <c r="K615" s="432"/>
      <c r="L615" s="432"/>
      <c r="M615" s="432"/>
      <c r="N615" s="432"/>
      <c r="O615" s="459"/>
      <c r="P615" s="460"/>
      <c r="Q615" s="432"/>
      <c r="R615" s="432"/>
      <c r="S615" s="432"/>
      <c r="T615" s="432"/>
      <c r="U615" s="432"/>
      <c r="V615" s="432"/>
      <c r="W615" s="432"/>
      <c r="X615" s="432"/>
      <c r="Y615" s="432"/>
      <c r="Z615" s="432"/>
      <c r="AA615" s="432"/>
      <c r="AB615" s="432"/>
      <c r="AC615" s="432"/>
      <c r="AD615" s="432"/>
    </row>
    <row r="616">
      <c r="A616" s="432"/>
      <c r="B616" s="432"/>
      <c r="C616" s="432"/>
      <c r="D616" s="459"/>
      <c r="E616" s="459"/>
      <c r="F616" s="432"/>
      <c r="G616" s="432"/>
      <c r="H616" s="432"/>
      <c r="I616" s="432"/>
      <c r="J616" s="432"/>
      <c r="K616" s="432"/>
      <c r="L616" s="432"/>
      <c r="M616" s="432"/>
      <c r="N616" s="432"/>
      <c r="O616" s="459"/>
      <c r="P616" s="460"/>
      <c r="Q616" s="432"/>
      <c r="R616" s="432"/>
      <c r="S616" s="432"/>
      <c r="T616" s="432"/>
      <c r="U616" s="432"/>
      <c r="V616" s="432"/>
      <c r="W616" s="432"/>
      <c r="X616" s="432"/>
      <c r="Y616" s="432"/>
      <c r="Z616" s="432"/>
      <c r="AA616" s="432"/>
      <c r="AB616" s="432"/>
      <c r="AC616" s="432"/>
      <c r="AD616" s="432"/>
    </row>
    <row r="617">
      <c r="A617" s="432"/>
      <c r="B617" s="432"/>
      <c r="C617" s="432"/>
      <c r="D617" s="459"/>
      <c r="E617" s="459"/>
      <c r="F617" s="432"/>
      <c r="G617" s="432"/>
      <c r="H617" s="432"/>
      <c r="I617" s="432"/>
      <c r="J617" s="432"/>
      <c r="K617" s="432"/>
      <c r="L617" s="432"/>
      <c r="M617" s="432"/>
      <c r="N617" s="432"/>
      <c r="O617" s="459"/>
      <c r="P617" s="460"/>
      <c r="Q617" s="432"/>
      <c r="R617" s="432"/>
      <c r="S617" s="432"/>
      <c r="T617" s="432"/>
      <c r="U617" s="432"/>
      <c r="V617" s="432"/>
      <c r="W617" s="432"/>
      <c r="X617" s="432"/>
      <c r="Y617" s="432"/>
      <c r="Z617" s="432"/>
      <c r="AA617" s="432"/>
      <c r="AB617" s="432"/>
      <c r="AC617" s="432"/>
      <c r="AD617" s="432"/>
    </row>
    <row r="618">
      <c r="A618" s="432"/>
      <c r="B618" s="432"/>
      <c r="C618" s="432"/>
      <c r="D618" s="459"/>
      <c r="E618" s="459"/>
      <c r="F618" s="432"/>
      <c r="G618" s="432"/>
      <c r="H618" s="432"/>
      <c r="I618" s="432"/>
      <c r="J618" s="432"/>
      <c r="K618" s="432"/>
      <c r="L618" s="432"/>
      <c r="M618" s="432"/>
      <c r="N618" s="432"/>
      <c r="O618" s="459"/>
      <c r="P618" s="460"/>
      <c r="Q618" s="432"/>
      <c r="R618" s="432"/>
      <c r="S618" s="432"/>
      <c r="T618" s="432"/>
      <c r="U618" s="432"/>
      <c r="V618" s="432"/>
      <c r="W618" s="432"/>
      <c r="X618" s="432"/>
      <c r="Y618" s="432"/>
      <c r="Z618" s="432"/>
      <c r="AA618" s="432"/>
      <c r="AB618" s="432"/>
      <c r="AC618" s="432"/>
      <c r="AD618" s="432"/>
    </row>
    <row r="619">
      <c r="A619" s="432"/>
      <c r="B619" s="432"/>
      <c r="C619" s="432"/>
      <c r="D619" s="459"/>
      <c r="E619" s="459"/>
      <c r="F619" s="432"/>
      <c r="G619" s="432"/>
      <c r="H619" s="432"/>
      <c r="I619" s="432"/>
      <c r="J619" s="432"/>
      <c r="K619" s="432"/>
      <c r="L619" s="432"/>
      <c r="M619" s="432"/>
      <c r="N619" s="432"/>
      <c r="O619" s="459"/>
      <c r="P619" s="460"/>
      <c r="Q619" s="432"/>
      <c r="R619" s="432"/>
      <c r="S619" s="432"/>
      <c r="T619" s="432"/>
      <c r="U619" s="432"/>
      <c r="V619" s="432"/>
      <c r="W619" s="432"/>
      <c r="X619" s="432"/>
      <c r="Y619" s="432"/>
      <c r="Z619" s="432"/>
      <c r="AA619" s="432"/>
      <c r="AB619" s="432"/>
      <c r="AC619" s="432"/>
      <c r="AD619" s="432"/>
    </row>
    <row r="620">
      <c r="A620" s="432"/>
      <c r="B620" s="432"/>
      <c r="C620" s="432"/>
      <c r="D620" s="459"/>
      <c r="E620" s="459"/>
      <c r="F620" s="432"/>
      <c r="G620" s="432"/>
      <c r="H620" s="432"/>
      <c r="I620" s="432"/>
      <c r="J620" s="432"/>
      <c r="K620" s="432"/>
      <c r="L620" s="432"/>
      <c r="M620" s="432"/>
      <c r="N620" s="432"/>
      <c r="O620" s="459"/>
      <c r="P620" s="460"/>
      <c r="Q620" s="432"/>
      <c r="R620" s="432"/>
      <c r="S620" s="432"/>
      <c r="T620" s="432"/>
      <c r="U620" s="432"/>
      <c r="V620" s="432"/>
      <c r="W620" s="432"/>
      <c r="X620" s="432"/>
      <c r="Y620" s="432"/>
      <c r="Z620" s="432"/>
      <c r="AA620" s="432"/>
      <c r="AB620" s="432"/>
      <c r="AC620" s="432"/>
      <c r="AD620" s="432"/>
    </row>
    <row r="621">
      <c r="A621" s="432"/>
      <c r="B621" s="432"/>
      <c r="C621" s="432"/>
      <c r="D621" s="459"/>
      <c r="E621" s="459"/>
      <c r="F621" s="432"/>
      <c r="G621" s="432"/>
      <c r="H621" s="432"/>
      <c r="I621" s="432"/>
      <c r="J621" s="432"/>
      <c r="K621" s="432"/>
      <c r="L621" s="432"/>
      <c r="M621" s="432"/>
      <c r="N621" s="432"/>
      <c r="O621" s="459"/>
      <c r="P621" s="460"/>
      <c r="Q621" s="432"/>
      <c r="R621" s="432"/>
      <c r="S621" s="432"/>
      <c r="T621" s="432"/>
      <c r="U621" s="432"/>
      <c r="V621" s="432"/>
      <c r="W621" s="432"/>
      <c r="X621" s="432"/>
      <c r="Y621" s="432"/>
      <c r="Z621" s="432"/>
      <c r="AA621" s="432"/>
      <c r="AB621" s="432"/>
      <c r="AC621" s="432"/>
      <c r="AD621" s="432"/>
    </row>
    <row r="622">
      <c r="A622" s="432"/>
      <c r="B622" s="432"/>
      <c r="C622" s="432"/>
      <c r="D622" s="459"/>
      <c r="E622" s="459"/>
      <c r="F622" s="432"/>
      <c r="G622" s="432"/>
      <c r="H622" s="432"/>
      <c r="I622" s="432"/>
      <c r="J622" s="432"/>
      <c r="K622" s="432"/>
      <c r="L622" s="432"/>
      <c r="M622" s="432"/>
      <c r="N622" s="432"/>
      <c r="O622" s="459"/>
      <c r="P622" s="460"/>
      <c r="Q622" s="432"/>
      <c r="R622" s="432"/>
      <c r="S622" s="432"/>
      <c r="T622" s="432"/>
      <c r="U622" s="432"/>
      <c r="V622" s="432"/>
      <c r="W622" s="432"/>
      <c r="X622" s="432"/>
      <c r="Y622" s="432"/>
      <c r="Z622" s="432"/>
      <c r="AA622" s="432"/>
      <c r="AB622" s="432"/>
      <c r="AC622" s="432"/>
      <c r="AD622" s="432"/>
    </row>
    <row r="623">
      <c r="A623" s="432"/>
      <c r="B623" s="432"/>
      <c r="C623" s="432"/>
      <c r="D623" s="459"/>
      <c r="E623" s="459"/>
      <c r="F623" s="432"/>
      <c r="G623" s="432"/>
      <c r="H623" s="432"/>
      <c r="I623" s="432"/>
      <c r="J623" s="432"/>
      <c r="K623" s="432"/>
      <c r="L623" s="432"/>
      <c r="M623" s="432"/>
      <c r="N623" s="432"/>
      <c r="O623" s="459"/>
      <c r="P623" s="460"/>
      <c r="Q623" s="432"/>
      <c r="R623" s="432"/>
      <c r="S623" s="432"/>
      <c r="T623" s="432"/>
      <c r="U623" s="432"/>
      <c r="V623" s="432"/>
      <c r="W623" s="432"/>
      <c r="X623" s="432"/>
      <c r="Y623" s="432"/>
      <c r="Z623" s="432"/>
      <c r="AA623" s="432"/>
      <c r="AB623" s="432"/>
      <c r="AC623" s="432"/>
      <c r="AD623" s="432"/>
    </row>
    <row r="624">
      <c r="A624" s="432"/>
      <c r="B624" s="432"/>
      <c r="C624" s="432"/>
      <c r="D624" s="459"/>
      <c r="E624" s="459"/>
      <c r="F624" s="432"/>
      <c r="G624" s="432"/>
      <c r="H624" s="432"/>
      <c r="I624" s="432"/>
      <c r="J624" s="432"/>
      <c r="K624" s="432"/>
      <c r="L624" s="432"/>
      <c r="M624" s="432"/>
      <c r="N624" s="432"/>
      <c r="O624" s="459"/>
      <c r="P624" s="460"/>
      <c r="Q624" s="432"/>
      <c r="R624" s="432"/>
      <c r="S624" s="432"/>
      <c r="T624" s="432"/>
      <c r="U624" s="432"/>
      <c r="V624" s="432"/>
      <c r="W624" s="432"/>
      <c r="X624" s="432"/>
      <c r="Y624" s="432"/>
      <c r="Z624" s="432"/>
      <c r="AA624" s="432"/>
      <c r="AB624" s="432"/>
      <c r="AC624" s="432"/>
      <c r="AD624" s="432"/>
    </row>
    <row r="625">
      <c r="A625" s="432"/>
      <c r="B625" s="432"/>
      <c r="C625" s="432"/>
      <c r="D625" s="459"/>
      <c r="E625" s="459"/>
      <c r="F625" s="432"/>
      <c r="G625" s="432"/>
      <c r="H625" s="432"/>
      <c r="I625" s="432"/>
      <c r="J625" s="432"/>
      <c r="K625" s="432"/>
      <c r="L625" s="432"/>
      <c r="M625" s="432"/>
      <c r="N625" s="432"/>
      <c r="O625" s="459"/>
      <c r="P625" s="460"/>
      <c r="Q625" s="432"/>
      <c r="R625" s="432"/>
      <c r="S625" s="432"/>
      <c r="T625" s="432"/>
      <c r="U625" s="432"/>
      <c r="V625" s="432"/>
      <c r="W625" s="432"/>
      <c r="X625" s="432"/>
      <c r="Y625" s="432"/>
      <c r="Z625" s="432"/>
      <c r="AA625" s="432"/>
      <c r="AB625" s="432"/>
      <c r="AC625" s="432"/>
      <c r="AD625" s="432"/>
    </row>
    <row r="626">
      <c r="A626" s="432"/>
      <c r="B626" s="432"/>
      <c r="C626" s="432"/>
      <c r="D626" s="459"/>
      <c r="E626" s="459"/>
      <c r="F626" s="432"/>
      <c r="G626" s="432"/>
      <c r="H626" s="432"/>
      <c r="I626" s="432"/>
      <c r="J626" s="432"/>
      <c r="K626" s="432"/>
      <c r="L626" s="432"/>
      <c r="M626" s="432"/>
      <c r="N626" s="432"/>
      <c r="O626" s="459"/>
      <c r="P626" s="460"/>
      <c r="Q626" s="432"/>
      <c r="R626" s="432"/>
      <c r="S626" s="432"/>
      <c r="T626" s="432"/>
      <c r="U626" s="432"/>
      <c r="V626" s="432"/>
      <c r="W626" s="432"/>
      <c r="X626" s="432"/>
      <c r="Y626" s="432"/>
      <c r="Z626" s="432"/>
      <c r="AA626" s="432"/>
      <c r="AB626" s="432"/>
      <c r="AC626" s="432"/>
      <c r="AD626" s="432"/>
    </row>
    <row r="627">
      <c r="A627" s="432"/>
      <c r="B627" s="432"/>
      <c r="C627" s="432"/>
      <c r="D627" s="459"/>
      <c r="E627" s="459"/>
      <c r="F627" s="432"/>
      <c r="G627" s="432"/>
      <c r="H627" s="432"/>
      <c r="I627" s="432"/>
      <c r="J627" s="432"/>
      <c r="K627" s="432"/>
      <c r="L627" s="432"/>
      <c r="M627" s="432"/>
      <c r="N627" s="432"/>
      <c r="O627" s="459"/>
      <c r="P627" s="460"/>
      <c r="Q627" s="432"/>
      <c r="R627" s="432"/>
      <c r="S627" s="432"/>
      <c r="T627" s="432"/>
      <c r="U627" s="432"/>
      <c r="V627" s="432"/>
      <c r="W627" s="432"/>
      <c r="X627" s="432"/>
      <c r="Y627" s="432"/>
      <c r="Z627" s="432"/>
      <c r="AA627" s="432"/>
      <c r="AB627" s="432"/>
      <c r="AC627" s="432"/>
      <c r="AD627" s="432"/>
    </row>
    <row r="628">
      <c r="A628" s="432"/>
      <c r="B628" s="432"/>
      <c r="C628" s="432"/>
      <c r="D628" s="459"/>
      <c r="E628" s="459"/>
      <c r="F628" s="432"/>
      <c r="G628" s="432"/>
      <c r="H628" s="432"/>
      <c r="I628" s="432"/>
      <c r="J628" s="432"/>
      <c r="K628" s="432"/>
      <c r="L628" s="432"/>
      <c r="M628" s="432"/>
      <c r="N628" s="432"/>
      <c r="O628" s="459"/>
      <c r="P628" s="460"/>
      <c r="Q628" s="432"/>
      <c r="R628" s="432"/>
      <c r="S628" s="432"/>
      <c r="T628" s="432"/>
      <c r="U628" s="432"/>
      <c r="V628" s="432"/>
      <c r="W628" s="432"/>
      <c r="X628" s="432"/>
      <c r="Y628" s="432"/>
      <c r="Z628" s="432"/>
      <c r="AA628" s="432"/>
      <c r="AB628" s="432"/>
      <c r="AC628" s="432"/>
      <c r="AD628" s="432"/>
    </row>
    <row r="629">
      <c r="A629" s="432"/>
      <c r="B629" s="432"/>
      <c r="C629" s="432"/>
      <c r="D629" s="459"/>
      <c r="E629" s="459"/>
      <c r="F629" s="432"/>
      <c r="G629" s="432"/>
      <c r="H629" s="432"/>
      <c r="I629" s="432"/>
      <c r="J629" s="432"/>
      <c r="K629" s="432"/>
      <c r="L629" s="432"/>
      <c r="M629" s="432"/>
      <c r="N629" s="432"/>
      <c r="O629" s="459"/>
      <c r="P629" s="460"/>
      <c r="Q629" s="432"/>
      <c r="R629" s="432"/>
      <c r="S629" s="432"/>
      <c r="T629" s="432"/>
      <c r="U629" s="432"/>
      <c r="V629" s="432"/>
      <c r="W629" s="432"/>
      <c r="X629" s="432"/>
      <c r="Y629" s="432"/>
      <c r="Z629" s="432"/>
      <c r="AA629" s="432"/>
      <c r="AB629" s="432"/>
      <c r="AC629" s="432"/>
      <c r="AD629" s="432"/>
    </row>
    <row r="630">
      <c r="A630" s="432"/>
      <c r="B630" s="432"/>
      <c r="C630" s="432"/>
      <c r="D630" s="459"/>
      <c r="E630" s="459"/>
      <c r="F630" s="432"/>
      <c r="G630" s="432"/>
      <c r="H630" s="432"/>
      <c r="I630" s="432"/>
      <c r="J630" s="432"/>
      <c r="K630" s="432"/>
      <c r="L630" s="432"/>
      <c r="M630" s="432"/>
      <c r="N630" s="432"/>
      <c r="O630" s="459"/>
      <c r="P630" s="460"/>
      <c r="Q630" s="432"/>
      <c r="R630" s="432"/>
      <c r="S630" s="432"/>
      <c r="T630" s="432"/>
      <c r="U630" s="432"/>
      <c r="V630" s="432"/>
      <c r="W630" s="432"/>
      <c r="X630" s="432"/>
      <c r="Y630" s="432"/>
      <c r="Z630" s="432"/>
      <c r="AA630" s="432"/>
      <c r="AB630" s="432"/>
      <c r="AC630" s="432"/>
      <c r="AD630" s="432"/>
    </row>
    <row r="631">
      <c r="A631" s="432"/>
      <c r="B631" s="432"/>
      <c r="C631" s="432"/>
      <c r="D631" s="459"/>
      <c r="E631" s="459"/>
      <c r="F631" s="432"/>
      <c r="G631" s="432"/>
      <c r="H631" s="432"/>
      <c r="I631" s="432"/>
      <c r="J631" s="432"/>
      <c r="K631" s="432"/>
      <c r="L631" s="432"/>
      <c r="M631" s="432"/>
      <c r="N631" s="432"/>
      <c r="O631" s="459"/>
      <c r="P631" s="460"/>
      <c r="Q631" s="432"/>
      <c r="R631" s="432"/>
      <c r="S631" s="432"/>
      <c r="T631" s="432"/>
      <c r="U631" s="432"/>
      <c r="V631" s="432"/>
      <c r="W631" s="432"/>
      <c r="X631" s="432"/>
      <c r="Y631" s="432"/>
      <c r="Z631" s="432"/>
      <c r="AA631" s="432"/>
      <c r="AB631" s="432"/>
      <c r="AC631" s="432"/>
      <c r="AD631" s="432"/>
    </row>
    <row r="632">
      <c r="A632" s="432"/>
      <c r="B632" s="432"/>
      <c r="C632" s="432"/>
      <c r="D632" s="459"/>
      <c r="E632" s="459"/>
      <c r="F632" s="432"/>
      <c r="G632" s="432"/>
      <c r="H632" s="432"/>
      <c r="I632" s="432"/>
      <c r="J632" s="432"/>
      <c r="K632" s="432"/>
      <c r="L632" s="432"/>
      <c r="M632" s="432"/>
      <c r="N632" s="432"/>
      <c r="O632" s="459"/>
      <c r="P632" s="460"/>
      <c r="Q632" s="432"/>
      <c r="R632" s="432"/>
      <c r="S632" s="432"/>
      <c r="T632" s="432"/>
      <c r="U632" s="432"/>
      <c r="V632" s="432"/>
      <c r="W632" s="432"/>
      <c r="X632" s="432"/>
      <c r="Y632" s="432"/>
      <c r="Z632" s="432"/>
      <c r="AA632" s="432"/>
      <c r="AB632" s="432"/>
      <c r="AC632" s="432"/>
      <c r="AD632" s="432"/>
    </row>
    <row r="633">
      <c r="A633" s="432"/>
      <c r="B633" s="432"/>
      <c r="C633" s="432"/>
      <c r="D633" s="459"/>
      <c r="E633" s="459"/>
      <c r="F633" s="432"/>
      <c r="G633" s="432"/>
      <c r="H633" s="432"/>
      <c r="I633" s="432"/>
      <c r="J633" s="432"/>
      <c r="K633" s="432"/>
      <c r="L633" s="432"/>
      <c r="M633" s="432"/>
      <c r="N633" s="432"/>
      <c r="O633" s="459"/>
      <c r="P633" s="460"/>
      <c r="Q633" s="432"/>
      <c r="R633" s="432"/>
      <c r="S633" s="432"/>
      <c r="T633" s="432"/>
      <c r="U633" s="432"/>
      <c r="V633" s="432"/>
      <c r="W633" s="432"/>
      <c r="X633" s="432"/>
      <c r="Y633" s="432"/>
      <c r="Z633" s="432"/>
      <c r="AA633" s="432"/>
      <c r="AB633" s="432"/>
      <c r="AC633" s="432"/>
      <c r="AD633" s="432"/>
    </row>
    <row r="634">
      <c r="A634" s="432"/>
      <c r="B634" s="432"/>
      <c r="C634" s="432"/>
      <c r="D634" s="459"/>
      <c r="E634" s="459"/>
      <c r="F634" s="432"/>
      <c r="G634" s="432"/>
      <c r="H634" s="432"/>
      <c r="I634" s="432"/>
      <c r="J634" s="432"/>
      <c r="K634" s="432"/>
      <c r="L634" s="432"/>
      <c r="M634" s="432"/>
      <c r="N634" s="432"/>
      <c r="O634" s="459"/>
      <c r="P634" s="460"/>
      <c r="Q634" s="432"/>
      <c r="R634" s="432"/>
      <c r="S634" s="432"/>
      <c r="T634" s="432"/>
      <c r="U634" s="432"/>
      <c r="V634" s="432"/>
      <c r="W634" s="432"/>
      <c r="X634" s="432"/>
      <c r="Y634" s="432"/>
      <c r="Z634" s="432"/>
      <c r="AA634" s="432"/>
      <c r="AB634" s="432"/>
      <c r="AC634" s="432"/>
      <c r="AD634" s="432"/>
    </row>
    <row r="635">
      <c r="A635" s="432"/>
      <c r="B635" s="432"/>
      <c r="C635" s="432"/>
      <c r="D635" s="459"/>
      <c r="E635" s="459"/>
      <c r="F635" s="432"/>
      <c r="G635" s="432"/>
      <c r="H635" s="432"/>
      <c r="I635" s="432"/>
      <c r="J635" s="432"/>
      <c r="K635" s="432"/>
      <c r="L635" s="432"/>
      <c r="M635" s="432"/>
      <c r="N635" s="432"/>
      <c r="O635" s="459"/>
      <c r="P635" s="460"/>
      <c r="Q635" s="432"/>
      <c r="R635" s="432"/>
      <c r="S635" s="432"/>
      <c r="T635" s="432"/>
      <c r="U635" s="432"/>
      <c r="V635" s="432"/>
      <c r="W635" s="432"/>
      <c r="X635" s="432"/>
      <c r="Y635" s="432"/>
      <c r="Z635" s="432"/>
      <c r="AA635" s="432"/>
      <c r="AB635" s="432"/>
      <c r="AC635" s="432"/>
      <c r="AD635" s="432"/>
    </row>
    <row r="636">
      <c r="A636" s="432"/>
      <c r="B636" s="432"/>
      <c r="C636" s="432"/>
      <c r="D636" s="459"/>
      <c r="E636" s="459"/>
      <c r="F636" s="432"/>
      <c r="G636" s="432"/>
      <c r="H636" s="432"/>
      <c r="I636" s="432"/>
      <c r="J636" s="432"/>
      <c r="K636" s="432"/>
      <c r="L636" s="432"/>
      <c r="M636" s="432"/>
      <c r="N636" s="432"/>
      <c r="O636" s="459"/>
      <c r="P636" s="460"/>
      <c r="Q636" s="432"/>
      <c r="R636" s="432"/>
      <c r="S636" s="432"/>
      <c r="T636" s="432"/>
      <c r="U636" s="432"/>
      <c r="V636" s="432"/>
      <c r="W636" s="432"/>
      <c r="X636" s="432"/>
      <c r="Y636" s="432"/>
      <c r="Z636" s="432"/>
      <c r="AA636" s="432"/>
      <c r="AB636" s="432"/>
      <c r="AC636" s="432"/>
      <c r="AD636" s="432"/>
    </row>
    <row r="637">
      <c r="A637" s="432"/>
      <c r="B637" s="432"/>
      <c r="C637" s="432"/>
      <c r="D637" s="459"/>
      <c r="E637" s="459"/>
      <c r="F637" s="432"/>
      <c r="G637" s="432"/>
      <c r="H637" s="432"/>
      <c r="I637" s="432"/>
      <c r="J637" s="432"/>
      <c r="K637" s="432"/>
      <c r="L637" s="432"/>
      <c r="M637" s="432"/>
      <c r="N637" s="432"/>
      <c r="O637" s="459"/>
      <c r="P637" s="460"/>
      <c r="Q637" s="432"/>
      <c r="R637" s="432"/>
      <c r="S637" s="432"/>
      <c r="T637" s="432"/>
      <c r="U637" s="432"/>
      <c r="V637" s="432"/>
      <c r="W637" s="432"/>
      <c r="X637" s="432"/>
      <c r="Y637" s="432"/>
      <c r="Z637" s="432"/>
      <c r="AA637" s="432"/>
      <c r="AB637" s="432"/>
      <c r="AC637" s="432"/>
      <c r="AD637" s="432"/>
    </row>
    <row r="638">
      <c r="A638" s="432"/>
      <c r="B638" s="432"/>
      <c r="C638" s="432"/>
      <c r="D638" s="459"/>
      <c r="E638" s="459"/>
      <c r="F638" s="432"/>
      <c r="G638" s="432"/>
      <c r="H638" s="432"/>
      <c r="I638" s="432"/>
      <c r="J638" s="432"/>
      <c r="K638" s="432"/>
      <c r="L638" s="432"/>
      <c r="M638" s="432"/>
      <c r="N638" s="432"/>
      <c r="O638" s="459"/>
      <c r="P638" s="460"/>
      <c r="Q638" s="432"/>
      <c r="R638" s="432"/>
      <c r="S638" s="432"/>
      <c r="T638" s="432"/>
      <c r="U638" s="432"/>
      <c r="V638" s="432"/>
      <c r="W638" s="432"/>
      <c r="X638" s="432"/>
      <c r="Y638" s="432"/>
      <c r="Z638" s="432"/>
      <c r="AA638" s="432"/>
      <c r="AB638" s="432"/>
      <c r="AC638" s="432"/>
      <c r="AD638" s="432"/>
    </row>
    <row r="639">
      <c r="A639" s="432"/>
      <c r="B639" s="432"/>
      <c r="C639" s="432"/>
      <c r="D639" s="459"/>
      <c r="E639" s="459"/>
      <c r="F639" s="432"/>
      <c r="G639" s="432"/>
      <c r="H639" s="432"/>
      <c r="I639" s="432"/>
      <c r="J639" s="432"/>
      <c r="K639" s="432"/>
      <c r="L639" s="432"/>
      <c r="M639" s="432"/>
      <c r="N639" s="432"/>
      <c r="O639" s="459"/>
      <c r="P639" s="460"/>
      <c r="Q639" s="432"/>
      <c r="R639" s="432"/>
      <c r="S639" s="432"/>
      <c r="T639" s="432"/>
      <c r="U639" s="432"/>
      <c r="V639" s="432"/>
      <c r="W639" s="432"/>
      <c r="X639" s="432"/>
      <c r="Y639" s="432"/>
      <c r="Z639" s="432"/>
      <c r="AA639" s="432"/>
      <c r="AB639" s="432"/>
      <c r="AC639" s="432"/>
      <c r="AD639" s="432"/>
    </row>
    <row r="640">
      <c r="A640" s="432"/>
      <c r="B640" s="432"/>
      <c r="C640" s="432"/>
      <c r="D640" s="459"/>
      <c r="E640" s="459"/>
      <c r="F640" s="432"/>
      <c r="G640" s="432"/>
      <c r="H640" s="432"/>
      <c r="I640" s="432"/>
      <c r="J640" s="432"/>
      <c r="K640" s="432"/>
      <c r="L640" s="432"/>
      <c r="M640" s="432"/>
      <c r="N640" s="432"/>
      <c r="O640" s="459"/>
      <c r="P640" s="460"/>
      <c r="Q640" s="432"/>
      <c r="R640" s="432"/>
      <c r="S640" s="432"/>
      <c r="T640" s="432"/>
      <c r="U640" s="432"/>
      <c r="V640" s="432"/>
      <c r="W640" s="432"/>
      <c r="X640" s="432"/>
      <c r="Y640" s="432"/>
      <c r="Z640" s="432"/>
      <c r="AA640" s="432"/>
      <c r="AB640" s="432"/>
      <c r="AC640" s="432"/>
      <c r="AD640" s="432"/>
    </row>
    <row r="641">
      <c r="A641" s="432"/>
      <c r="B641" s="432"/>
      <c r="C641" s="432"/>
      <c r="D641" s="459"/>
      <c r="E641" s="459"/>
      <c r="F641" s="432"/>
      <c r="G641" s="432"/>
      <c r="H641" s="432"/>
      <c r="I641" s="432"/>
      <c r="J641" s="432"/>
      <c r="K641" s="432"/>
      <c r="L641" s="432"/>
      <c r="M641" s="432"/>
      <c r="N641" s="432"/>
      <c r="O641" s="459"/>
      <c r="P641" s="460"/>
      <c r="Q641" s="432"/>
      <c r="R641" s="432"/>
      <c r="S641" s="432"/>
      <c r="T641" s="432"/>
      <c r="U641" s="432"/>
      <c r="V641" s="432"/>
      <c r="W641" s="432"/>
      <c r="X641" s="432"/>
      <c r="Y641" s="432"/>
      <c r="Z641" s="432"/>
      <c r="AA641" s="432"/>
      <c r="AB641" s="432"/>
      <c r="AC641" s="432"/>
      <c r="AD641" s="432"/>
    </row>
    <row r="642">
      <c r="A642" s="432"/>
      <c r="B642" s="432"/>
      <c r="C642" s="432"/>
      <c r="D642" s="459"/>
      <c r="E642" s="459"/>
      <c r="F642" s="432"/>
      <c r="G642" s="432"/>
      <c r="H642" s="432"/>
      <c r="I642" s="432"/>
      <c r="J642" s="432"/>
      <c r="K642" s="432"/>
      <c r="L642" s="432"/>
      <c r="M642" s="432"/>
      <c r="N642" s="432"/>
      <c r="O642" s="459"/>
      <c r="P642" s="460"/>
      <c r="Q642" s="432"/>
      <c r="R642" s="432"/>
      <c r="S642" s="432"/>
      <c r="T642" s="432"/>
      <c r="U642" s="432"/>
      <c r="V642" s="432"/>
      <c r="W642" s="432"/>
      <c r="X642" s="432"/>
      <c r="Y642" s="432"/>
      <c r="Z642" s="432"/>
      <c r="AA642" s="432"/>
      <c r="AB642" s="432"/>
      <c r="AC642" s="432"/>
      <c r="AD642" s="432"/>
    </row>
    <row r="643">
      <c r="A643" s="432"/>
      <c r="B643" s="432"/>
      <c r="C643" s="432"/>
      <c r="D643" s="459"/>
      <c r="E643" s="459"/>
      <c r="F643" s="432"/>
      <c r="G643" s="432"/>
      <c r="H643" s="432"/>
      <c r="I643" s="432"/>
      <c r="J643" s="432"/>
      <c r="K643" s="432"/>
      <c r="L643" s="432"/>
      <c r="M643" s="432"/>
      <c r="N643" s="432"/>
      <c r="O643" s="459"/>
      <c r="P643" s="460"/>
      <c r="Q643" s="432"/>
      <c r="R643" s="432"/>
      <c r="S643" s="432"/>
      <c r="T643" s="432"/>
      <c r="U643" s="432"/>
      <c r="V643" s="432"/>
      <c r="W643" s="432"/>
      <c r="X643" s="432"/>
      <c r="Y643" s="432"/>
      <c r="Z643" s="432"/>
      <c r="AA643" s="432"/>
      <c r="AB643" s="432"/>
      <c r="AC643" s="432"/>
      <c r="AD643" s="432"/>
    </row>
    <row r="644">
      <c r="A644" s="432"/>
      <c r="B644" s="432"/>
      <c r="C644" s="432"/>
      <c r="D644" s="459"/>
      <c r="E644" s="459"/>
      <c r="F644" s="432"/>
      <c r="G644" s="432"/>
      <c r="H644" s="432"/>
      <c r="I644" s="432"/>
      <c r="J644" s="432"/>
      <c r="K644" s="432"/>
      <c r="L644" s="432"/>
      <c r="M644" s="432"/>
      <c r="N644" s="432"/>
      <c r="O644" s="459"/>
      <c r="P644" s="460"/>
      <c r="Q644" s="432"/>
      <c r="R644" s="432"/>
      <c r="S644" s="432"/>
      <c r="T644" s="432"/>
      <c r="U644" s="432"/>
      <c r="V644" s="432"/>
      <c r="W644" s="432"/>
      <c r="X644" s="432"/>
      <c r="Y644" s="432"/>
      <c r="Z644" s="432"/>
      <c r="AA644" s="432"/>
      <c r="AB644" s="432"/>
      <c r="AC644" s="432"/>
      <c r="AD644" s="432"/>
    </row>
    <row r="645">
      <c r="A645" s="432"/>
      <c r="B645" s="432"/>
      <c r="C645" s="432"/>
      <c r="D645" s="459"/>
      <c r="E645" s="459"/>
      <c r="F645" s="432"/>
      <c r="G645" s="432"/>
      <c r="H645" s="432"/>
      <c r="I645" s="432"/>
      <c r="J645" s="432"/>
      <c r="K645" s="432"/>
      <c r="L645" s="432"/>
      <c r="M645" s="432"/>
      <c r="N645" s="432"/>
      <c r="O645" s="459"/>
      <c r="P645" s="460"/>
      <c r="Q645" s="432"/>
      <c r="R645" s="432"/>
      <c r="S645" s="432"/>
      <c r="T645" s="432"/>
      <c r="U645" s="432"/>
      <c r="V645" s="432"/>
      <c r="W645" s="432"/>
      <c r="X645" s="432"/>
      <c r="Y645" s="432"/>
      <c r="Z645" s="432"/>
      <c r="AA645" s="432"/>
      <c r="AB645" s="432"/>
      <c r="AC645" s="432"/>
      <c r="AD645" s="432"/>
    </row>
    <row r="646">
      <c r="A646" s="432"/>
      <c r="B646" s="432"/>
      <c r="C646" s="432"/>
      <c r="D646" s="459"/>
      <c r="E646" s="459"/>
      <c r="F646" s="432"/>
      <c r="G646" s="432"/>
      <c r="H646" s="432"/>
      <c r="I646" s="432"/>
      <c r="J646" s="432"/>
      <c r="K646" s="432"/>
      <c r="L646" s="432"/>
      <c r="M646" s="432"/>
      <c r="N646" s="432"/>
      <c r="O646" s="459"/>
      <c r="P646" s="460"/>
      <c r="Q646" s="432"/>
      <c r="R646" s="432"/>
      <c r="S646" s="432"/>
      <c r="T646" s="432"/>
      <c r="U646" s="432"/>
      <c r="V646" s="432"/>
      <c r="W646" s="432"/>
      <c r="X646" s="432"/>
      <c r="Y646" s="432"/>
      <c r="Z646" s="432"/>
      <c r="AA646" s="432"/>
      <c r="AB646" s="432"/>
      <c r="AC646" s="432"/>
      <c r="AD646" s="432"/>
    </row>
    <row r="647">
      <c r="A647" s="432"/>
      <c r="B647" s="432"/>
      <c r="C647" s="432"/>
      <c r="D647" s="459"/>
      <c r="E647" s="459"/>
      <c r="F647" s="432"/>
      <c r="G647" s="432"/>
      <c r="H647" s="432"/>
      <c r="I647" s="432"/>
      <c r="J647" s="432"/>
      <c r="K647" s="432"/>
      <c r="L647" s="432"/>
      <c r="M647" s="432"/>
      <c r="N647" s="432"/>
      <c r="O647" s="459"/>
      <c r="P647" s="460"/>
      <c r="Q647" s="432"/>
      <c r="R647" s="432"/>
      <c r="S647" s="432"/>
      <c r="T647" s="432"/>
      <c r="U647" s="432"/>
      <c r="V647" s="432"/>
      <c r="W647" s="432"/>
      <c r="X647" s="432"/>
      <c r="Y647" s="432"/>
      <c r="Z647" s="432"/>
      <c r="AA647" s="432"/>
      <c r="AB647" s="432"/>
      <c r="AC647" s="432"/>
      <c r="AD647" s="432"/>
    </row>
    <row r="648">
      <c r="A648" s="432"/>
      <c r="B648" s="432"/>
      <c r="C648" s="432"/>
      <c r="D648" s="459"/>
      <c r="E648" s="459"/>
      <c r="F648" s="432"/>
      <c r="G648" s="432"/>
      <c r="H648" s="432"/>
      <c r="I648" s="432"/>
      <c r="J648" s="432"/>
      <c r="K648" s="432"/>
      <c r="L648" s="432"/>
      <c r="M648" s="432"/>
      <c r="N648" s="432"/>
      <c r="O648" s="459"/>
      <c r="P648" s="460"/>
      <c r="Q648" s="432"/>
      <c r="R648" s="432"/>
      <c r="S648" s="432"/>
      <c r="T648" s="432"/>
      <c r="U648" s="432"/>
      <c r="V648" s="432"/>
      <c r="W648" s="432"/>
      <c r="X648" s="432"/>
      <c r="Y648" s="432"/>
      <c r="Z648" s="432"/>
      <c r="AA648" s="432"/>
      <c r="AB648" s="432"/>
      <c r="AC648" s="432"/>
      <c r="AD648" s="432"/>
    </row>
    <row r="649">
      <c r="A649" s="432"/>
      <c r="B649" s="432"/>
      <c r="C649" s="432"/>
      <c r="D649" s="459"/>
      <c r="E649" s="459"/>
      <c r="F649" s="432"/>
      <c r="G649" s="432"/>
      <c r="H649" s="432"/>
      <c r="I649" s="432"/>
      <c r="J649" s="432"/>
      <c r="K649" s="432"/>
      <c r="L649" s="432"/>
      <c r="M649" s="432"/>
      <c r="N649" s="432"/>
      <c r="O649" s="459"/>
      <c r="P649" s="460"/>
      <c r="Q649" s="432"/>
      <c r="R649" s="432"/>
      <c r="S649" s="432"/>
      <c r="T649" s="432"/>
      <c r="U649" s="432"/>
      <c r="V649" s="432"/>
      <c r="W649" s="432"/>
      <c r="X649" s="432"/>
      <c r="Y649" s="432"/>
      <c r="Z649" s="432"/>
      <c r="AA649" s="432"/>
      <c r="AB649" s="432"/>
      <c r="AC649" s="432"/>
      <c r="AD649" s="432"/>
    </row>
    <row r="650">
      <c r="A650" s="432"/>
      <c r="B650" s="432"/>
      <c r="C650" s="432"/>
      <c r="D650" s="459"/>
      <c r="E650" s="459"/>
      <c r="F650" s="432"/>
      <c r="G650" s="432"/>
      <c r="H650" s="432"/>
      <c r="I650" s="432"/>
      <c r="J650" s="432"/>
      <c r="K650" s="432"/>
      <c r="L650" s="432"/>
      <c r="M650" s="432"/>
      <c r="N650" s="432"/>
      <c r="O650" s="459"/>
      <c r="P650" s="460"/>
      <c r="Q650" s="432"/>
      <c r="R650" s="432"/>
      <c r="S650" s="432"/>
      <c r="T650" s="432"/>
      <c r="U650" s="432"/>
      <c r="V650" s="432"/>
      <c r="W650" s="432"/>
      <c r="X650" s="432"/>
      <c r="Y650" s="432"/>
      <c r="Z650" s="432"/>
      <c r="AA650" s="432"/>
      <c r="AB650" s="432"/>
      <c r="AC650" s="432"/>
      <c r="AD650" s="432"/>
    </row>
    <row r="651">
      <c r="A651" s="432"/>
      <c r="B651" s="432"/>
      <c r="C651" s="432"/>
      <c r="D651" s="459"/>
      <c r="E651" s="459"/>
      <c r="F651" s="432"/>
      <c r="G651" s="432"/>
      <c r="H651" s="432"/>
      <c r="I651" s="432"/>
      <c r="J651" s="432"/>
      <c r="K651" s="432"/>
      <c r="L651" s="432"/>
      <c r="M651" s="432"/>
      <c r="N651" s="432"/>
      <c r="O651" s="459"/>
      <c r="P651" s="460"/>
      <c r="Q651" s="432"/>
      <c r="R651" s="432"/>
      <c r="S651" s="432"/>
      <c r="T651" s="432"/>
      <c r="U651" s="432"/>
      <c r="V651" s="432"/>
      <c r="W651" s="432"/>
      <c r="X651" s="432"/>
      <c r="Y651" s="432"/>
      <c r="Z651" s="432"/>
      <c r="AA651" s="432"/>
      <c r="AB651" s="432"/>
      <c r="AC651" s="432"/>
      <c r="AD651" s="432"/>
    </row>
    <row r="652">
      <c r="A652" s="432"/>
      <c r="B652" s="432"/>
      <c r="C652" s="432"/>
      <c r="D652" s="459"/>
      <c r="E652" s="459"/>
      <c r="F652" s="432"/>
      <c r="G652" s="432"/>
      <c r="H652" s="432"/>
      <c r="I652" s="432"/>
      <c r="J652" s="432"/>
      <c r="K652" s="432"/>
      <c r="L652" s="432"/>
      <c r="M652" s="432"/>
      <c r="N652" s="432"/>
      <c r="O652" s="459"/>
      <c r="P652" s="460"/>
      <c r="Q652" s="432"/>
      <c r="R652" s="432"/>
      <c r="S652" s="432"/>
      <c r="T652" s="432"/>
      <c r="U652" s="432"/>
      <c r="V652" s="432"/>
      <c r="W652" s="432"/>
      <c r="X652" s="432"/>
      <c r="Y652" s="432"/>
      <c r="Z652" s="432"/>
      <c r="AA652" s="432"/>
      <c r="AB652" s="432"/>
      <c r="AC652" s="432"/>
      <c r="AD652" s="432"/>
    </row>
    <row r="653">
      <c r="A653" s="432"/>
      <c r="B653" s="432"/>
      <c r="C653" s="432"/>
      <c r="D653" s="459"/>
      <c r="E653" s="459"/>
      <c r="F653" s="432"/>
      <c r="G653" s="432"/>
      <c r="H653" s="432"/>
      <c r="I653" s="432"/>
      <c r="J653" s="432"/>
      <c r="K653" s="432"/>
      <c r="L653" s="432"/>
      <c r="M653" s="432"/>
      <c r="N653" s="432"/>
      <c r="O653" s="459"/>
      <c r="P653" s="460"/>
      <c r="Q653" s="432"/>
      <c r="R653" s="432"/>
      <c r="S653" s="432"/>
      <c r="T653" s="432"/>
      <c r="U653" s="432"/>
      <c r="V653" s="432"/>
      <c r="W653" s="432"/>
      <c r="X653" s="432"/>
      <c r="Y653" s="432"/>
      <c r="Z653" s="432"/>
      <c r="AA653" s="432"/>
      <c r="AB653" s="432"/>
      <c r="AC653" s="432"/>
      <c r="AD653" s="432"/>
    </row>
    <row r="654">
      <c r="A654" s="432"/>
      <c r="B654" s="432"/>
      <c r="C654" s="432"/>
      <c r="D654" s="459"/>
      <c r="E654" s="459"/>
      <c r="F654" s="432"/>
      <c r="G654" s="432"/>
      <c r="H654" s="432"/>
      <c r="I654" s="432"/>
      <c r="J654" s="432"/>
      <c r="K654" s="432"/>
      <c r="L654" s="432"/>
      <c r="M654" s="432"/>
      <c r="N654" s="432"/>
      <c r="O654" s="459"/>
      <c r="P654" s="460"/>
      <c r="Q654" s="432"/>
      <c r="R654" s="432"/>
      <c r="S654" s="432"/>
      <c r="T654" s="432"/>
      <c r="U654" s="432"/>
      <c r="V654" s="432"/>
      <c r="W654" s="432"/>
      <c r="X654" s="432"/>
      <c r="Y654" s="432"/>
      <c r="Z654" s="432"/>
      <c r="AA654" s="432"/>
      <c r="AB654" s="432"/>
      <c r="AC654" s="432"/>
      <c r="AD654" s="432"/>
    </row>
    <row r="655">
      <c r="A655" s="432"/>
      <c r="B655" s="432"/>
      <c r="C655" s="432"/>
      <c r="D655" s="459"/>
      <c r="E655" s="459"/>
      <c r="F655" s="432"/>
      <c r="G655" s="432"/>
      <c r="H655" s="432"/>
      <c r="I655" s="432"/>
      <c r="J655" s="432"/>
      <c r="K655" s="432"/>
      <c r="L655" s="432"/>
      <c r="M655" s="432"/>
      <c r="N655" s="432"/>
      <c r="O655" s="459"/>
      <c r="P655" s="460"/>
      <c r="Q655" s="432"/>
      <c r="R655" s="432"/>
      <c r="S655" s="432"/>
      <c r="T655" s="432"/>
      <c r="U655" s="432"/>
      <c r="V655" s="432"/>
      <c r="W655" s="432"/>
      <c r="X655" s="432"/>
      <c r="Y655" s="432"/>
      <c r="Z655" s="432"/>
      <c r="AA655" s="432"/>
      <c r="AB655" s="432"/>
      <c r="AC655" s="432"/>
      <c r="AD655" s="432"/>
    </row>
    <row r="656">
      <c r="A656" s="432"/>
      <c r="B656" s="432"/>
      <c r="C656" s="432"/>
      <c r="D656" s="459"/>
      <c r="E656" s="459"/>
      <c r="F656" s="432"/>
      <c r="G656" s="432"/>
      <c r="H656" s="432"/>
      <c r="I656" s="432"/>
      <c r="J656" s="432"/>
      <c r="K656" s="432"/>
      <c r="L656" s="432"/>
      <c r="M656" s="432"/>
      <c r="N656" s="432"/>
      <c r="O656" s="459"/>
      <c r="P656" s="460"/>
      <c r="Q656" s="432"/>
      <c r="R656" s="432"/>
      <c r="S656" s="432"/>
      <c r="T656" s="432"/>
      <c r="U656" s="432"/>
      <c r="V656" s="432"/>
      <c r="W656" s="432"/>
      <c r="X656" s="432"/>
      <c r="Y656" s="432"/>
      <c r="Z656" s="432"/>
      <c r="AA656" s="432"/>
      <c r="AB656" s="432"/>
      <c r="AC656" s="432"/>
      <c r="AD656" s="432"/>
    </row>
    <row r="657">
      <c r="A657" s="432"/>
      <c r="B657" s="432"/>
      <c r="C657" s="432"/>
      <c r="D657" s="459"/>
      <c r="E657" s="459"/>
      <c r="F657" s="432"/>
      <c r="G657" s="432"/>
      <c r="H657" s="432"/>
      <c r="I657" s="432"/>
      <c r="J657" s="432"/>
      <c r="K657" s="432"/>
      <c r="L657" s="432"/>
      <c r="M657" s="432"/>
      <c r="N657" s="432"/>
      <c r="O657" s="459"/>
      <c r="P657" s="460"/>
      <c r="Q657" s="432"/>
      <c r="R657" s="432"/>
      <c r="S657" s="432"/>
      <c r="T657" s="432"/>
      <c r="U657" s="432"/>
      <c r="V657" s="432"/>
      <c r="W657" s="432"/>
      <c r="X657" s="432"/>
      <c r="Y657" s="432"/>
      <c r="Z657" s="432"/>
      <c r="AA657" s="432"/>
      <c r="AB657" s="432"/>
      <c r="AC657" s="432"/>
      <c r="AD657" s="432"/>
    </row>
    <row r="658">
      <c r="A658" s="432"/>
      <c r="B658" s="432"/>
      <c r="C658" s="432"/>
      <c r="D658" s="459"/>
      <c r="E658" s="459"/>
      <c r="F658" s="432"/>
      <c r="G658" s="432"/>
      <c r="H658" s="432"/>
      <c r="I658" s="432"/>
      <c r="J658" s="432"/>
      <c r="K658" s="432"/>
      <c r="L658" s="432"/>
      <c r="M658" s="432"/>
      <c r="N658" s="432"/>
      <c r="O658" s="459"/>
      <c r="P658" s="460"/>
      <c r="Q658" s="432"/>
      <c r="R658" s="432"/>
      <c r="S658" s="432"/>
      <c r="T658" s="432"/>
      <c r="U658" s="432"/>
      <c r="V658" s="432"/>
      <c r="W658" s="432"/>
      <c r="X658" s="432"/>
      <c r="Y658" s="432"/>
      <c r="Z658" s="432"/>
      <c r="AA658" s="432"/>
      <c r="AB658" s="432"/>
      <c r="AC658" s="432"/>
      <c r="AD658" s="432"/>
    </row>
    <row r="659">
      <c r="A659" s="432"/>
      <c r="B659" s="432"/>
      <c r="C659" s="432"/>
      <c r="D659" s="459"/>
      <c r="E659" s="459"/>
      <c r="F659" s="432"/>
      <c r="G659" s="432"/>
      <c r="H659" s="432"/>
      <c r="I659" s="432"/>
      <c r="J659" s="432"/>
      <c r="K659" s="432"/>
      <c r="L659" s="432"/>
      <c r="M659" s="432"/>
      <c r="N659" s="432"/>
      <c r="O659" s="459"/>
      <c r="P659" s="460"/>
      <c r="Q659" s="432"/>
      <c r="R659" s="432"/>
      <c r="S659" s="432"/>
      <c r="T659" s="432"/>
      <c r="U659" s="432"/>
      <c r="V659" s="432"/>
      <c r="W659" s="432"/>
      <c r="X659" s="432"/>
      <c r="Y659" s="432"/>
      <c r="Z659" s="432"/>
      <c r="AA659" s="432"/>
      <c r="AB659" s="432"/>
      <c r="AC659" s="432"/>
      <c r="AD659" s="432"/>
    </row>
    <row r="660">
      <c r="A660" s="432"/>
      <c r="B660" s="432"/>
      <c r="C660" s="432"/>
      <c r="D660" s="459"/>
      <c r="E660" s="459"/>
      <c r="F660" s="432"/>
      <c r="G660" s="432"/>
      <c r="H660" s="432"/>
      <c r="I660" s="432"/>
      <c r="J660" s="432"/>
      <c r="K660" s="432"/>
      <c r="L660" s="432"/>
      <c r="M660" s="432"/>
      <c r="N660" s="432"/>
      <c r="O660" s="459"/>
      <c r="P660" s="460"/>
      <c r="Q660" s="432"/>
      <c r="R660" s="432"/>
      <c r="S660" s="432"/>
      <c r="T660" s="432"/>
      <c r="U660" s="432"/>
      <c r="V660" s="432"/>
      <c r="W660" s="432"/>
      <c r="X660" s="432"/>
      <c r="Y660" s="432"/>
      <c r="Z660" s="432"/>
      <c r="AA660" s="432"/>
      <c r="AB660" s="432"/>
      <c r="AC660" s="432"/>
      <c r="AD660" s="432"/>
    </row>
    <row r="661">
      <c r="A661" s="432"/>
      <c r="B661" s="432"/>
      <c r="C661" s="432"/>
      <c r="D661" s="459"/>
      <c r="E661" s="459"/>
      <c r="F661" s="432"/>
      <c r="G661" s="432"/>
      <c r="H661" s="432"/>
      <c r="I661" s="432"/>
      <c r="J661" s="432"/>
      <c r="K661" s="432"/>
      <c r="L661" s="432"/>
      <c r="M661" s="432"/>
      <c r="N661" s="432"/>
      <c r="O661" s="459"/>
      <c r="P661" s="460"/>
      <c r="Q661" s="432"/>
      <c r="R661" s="432"/>
      <c r="S661" s="432"/>
      <c r="T661" s="432"/>
      <c r="U661" s="432"/>
      <c r="V661" s="432"/>
      <c r="W661" s="432"/>
      <c r="X661" s="432"/>
      <c r="Y661" s="432"/>
      <c r="Z661" s="432"/>
      <c r="AA661" s="432"/>
      <c r="AB661" s="432"/>
      <c r="AC661" s="432"/>
      <c r="AD661" s="432"/>
    </row>
    <row r="662">
      <c r="A662" s="432"/>
      <c r="B662" s="432"/>
      <c r="C662" s="432"/>
      <c r="D662" s="459"/>
      <c r="E662" s="459"/>
      <c r="F662" s="432"/>
      <c r="G662" s="432"/>
      <c r="H662" s="432"/>
      <c r="I662" s="432"/>
      <c r="J662" s="432"/>
      <c r="K662" s="432"/>
      <c r="L662" s="432"/>
      <c r="M662" s="432"/>
      <c r="N662" s="432"/>
      <c r="O662" s="459"/>
      <c r="P662" s="460"/>
      <c r="Q662" s="432"/>
      <c r="R662" s="432"/>
      <c r="S662" s="432"/>
      <c r="T662" s="432"/>
      <c r="U662" s="432"/>
      <c r="V662" s="432"/>
      <c r="W662" s="432"/>
      <c r="X662" s="432"/>
      <c r="Y662" s="432"/>
      <c r="Z662" s="432"/>
      <c r="AA662" s="432"/>
      <c r="AB662" s="432"/>
      <c r="AC662" s="432"/>
      <c r="AD662" s="432"/>
    </row>
    <row r="663">
      <c r="A663" s="432"/>
      <c r="B663" s="432"/>
      <c r="C663" s="432"/>
      <c r="D663" s="459"/>
      <c r="E663" s="459"/>
      <c r="F663" s="432"/>
      <c r="G663" s="432"/>
      <c r="H663" s="432"/>
      <c r="I663" s="432"/>
      <c r="J663" s="432"/>
      <c r="K663" s="432"/>
      <c r="L663" s="432"/>
      <c r="M663" s="432"/>
      <c r="N663" s="432"/>
      <c r="O663" s="459"/>
      <c r="P663" s="460"/>
      <c r="Q663" s="432"/>
      <c r="R663" s="432"/>
      <c r="S663" s="432"/>
      <c r="T663" s="432"/>
      <c r="U663" s="432"/>
      <c r="V663" s="432"/>
      <c r="W663" s="432"/>
      <c r="X663" s="432"/>
      <c r="Y663" s="432"/>
      <c r="Z663" s="432"/>
      <c r="AA663" s="432"/>
      <c r="AB663" s="432"/>
      <c r="AC663" s="432"/>
      <c r="AD663" s="432"/>
    </row>
    <row r="664">
      <c r="A664" s="432"/>
      <c r="B664" s="432"/>
      <c r="C664" s="432"/>
      <c r="D664" s="459"/>
      <c r="E664" s="459"/>
      <c r="F664" s="432"/>
      <c r="G664" s="432"/>
      <c r="H664" s="432"/>
      <c r="I664" s="432"/>
      <c r="J664" s="432"/>
      <c r="K664" s="432"/>
      <c r="L664" s="432"/>
      <c r="M664" s="432"/>
      <c r="N664" s="432"/>
      <c r="O664" s="459"/>
      <c r="P664" s="460"/>
      <c r="Q664" s="432"/>
      <c r="R664" s="432"/>
      <c r="S664" s="432"/>
      <c r="T664" s="432"/>
      <c r="U664" s="432"/>
      <c r="V664" s="432"/>
      <c r="W664" s="432"/>
      <c r="X664" s="432"/>
      <c r="Y664" s="432"/>
      <c r="Z664" s="432"/>
      <c r="AA664" s="432"/>
      <c r="AB664" s="432"/>
      <c r="AC664" s="432"/>
      <c r="AD664" s="432"/>
    </row>
    <row r="665">
      <c r="A665" s="432"/>
      <c r="B665" s="432"/>
      <c r="C665" s="432"/>
      <c r="D665" s="459"/>
      <c r="E665" s="459"/>
      <c r="F665" s="432"/>
      <c r="G665" s="432"/>
      <c r="H665" s="432"/>
      <c r="I665" s="432"/>
      <c r="J665" s="432"/>
      <c r="K665" s="432"/>
      <c r="L665" s="432"/>
      <c r="M665" s="432"/>
      <c r="N665" s="432"/>
      <c r="O665" s="459"/>
      <c r="P665" s="460"/>
      <c r="Q665" s="432"/>
      <c r="R665" s="432"/>
      <c r="S665" s="432"/>
      <c r="T665" s="432"/>
      <c r="U665" s="432"/>
      <c r="V665" s="432"/>
      <c r="W665" s="432"/>
      <c r="X665" s="432"/>
      <c r="Y665" s="432"/>
      <c r="Z665" s="432"/>
      <c r="AA665" s="432"/>
      <c r="AB665" s="432"/>
      <c r="AC665" s="432"/>
      <c r="AD665" s="432"/>
    </row>
    <row r="666">
      <c r="A666" s="432"/>
      <c r="B666" s="432"/>
      <c r="C666" s="432"/>
      <c r="D666" s="459"/>
      <c r="E666" s="459"/>
      <c r="F666" s="432"/>
      <c r="G666" s="432"/>
      <c r="H666" s="432"/>
      <c r="I666" s="432"/>
      <c r="J666" s="432"/>
      <c r="K666" s="432"/>
      <c r="L666" s="432"/>
      <c r="M666" s="432"/>
      <c r="N666" s="432"/>
      <c r="O666" s="459"/>
      <c r="P666" s="460"/>
      <c r="Q666" s="432"/>
      <c r="R666" s="432"/>
      <c r="S666" s="432"/>
      <c r="T666" s="432"/>
      <c r="U666" s="432"/>
      <c r="V666" s="432"/>
      <c r="W666" s="432"/>
      <c r="X666" s="432"/>
      <c r="Y666" s="432"/>
      <c r="Z666" s="432"/>
      <c r="AA666" s="432"/>
      <c r="AB666" s="432"/>
      <c r="AC666" s="432"/>
      <c r="AD666" s="432"/>
    </row>
    <row r="667">
      <c r="A667" s="432"/>
      <c r="B667" s="432"/>
      <c r="C667" s="432"/>
      <c r="D667" s="459"/>
      <c r="E667" s="459"/>
      <c r="F667" s="432"/>
      <c r="G667" s="432"/>
      <c r="H667" s="432"/>
      <c r="I667" s="432"/>
      <c r="J667" s="432"/>
      <c r="K667" s="432"/>
      <c r="L667" s="432"/>
      <c r="M667" s="432"/>
      <c r="N667" s="432"/>
      <c r="O667" s="459"/>
      <c r="P667" s="460"/>
      <c r="Q667" s="432"/>
      <c r="R667" s="432"/>
      <c r="S667" s="432"/>
      <c r="T667" s="432"/>
      <c r="U667" s="432"/>
      <c r="V667" s="432"/>
      <c r="W667" s="432"/>
      <c r="X667" s="432"/>
      <c r="Y667" s="432"/>
      <c r="Z667" s="432"/>
      <c r="AA667" s="432"/>
      <c r="AB667" s="432"/>
      <c r="AC667" s="432"/>
      <c r="AD667" s="432"/>
    </row>
    <row r="668">
      <c r="A668" s="432"/>
      <c r="B668" s="432"/>
      <c r="C668" s="432"/>
      <c r="D668" s="459"/>
      <c r="E668" s="459"/>
      <c r="F668" s="432"/>
      <c r="G668" s="432"/>
      <c r="H668" s="432"/>
      <c r="I668" s="432"/>
      <c r="J668" s="432"/>
      <c r="K668" s="432"/>
      <c r="L668" s="432"/>
      <c r="M668" s="432"/>
      <c r="N668" s="432"/>
      <c r="O668" s="459"/>
      <c r="P668" s="460"/>
      <c r="Q668" s="432"/>
      <c r="R668" s="432"/>
      <c r="S668" s="432"/>
      <c r="T668" s="432"/>
      <c r="U668" s="432"/>
      <c r="V668" s="432"/>
      <c r="W668" s="432"/>
      <c r="X668" s="432"/>
      <c r="Y668" s="432"/>
      <c r="Z668" s="432"/>
      <c r="AA668" s="432"/>
      <c r="AB668" s="432"/>
      <c r="AC668" s="432"/>
      <c r="AD668" s="432"/>
    </row>
    <row r="669">
      <c r="A669" s="432"/>
      <c r="B669" s="432"/>
      <c r="C669" s="432"/>
      <c r="D669" s="459"/>
      <c r="E669" s="459"/>
      <c r="F669" s="432"/>
      <c r="G669" s="432"/>
      <c r="H669" s="432"/>
      <c r="I669" s="432"/>
      <c r="J669" s="432"/>
      <c r="K669" s="432"/>
      <c r="L669" s="432"/>
      <c r="M669" s="432"/>
      <c r="N669" s="432"/>
      <c r="O669" s="459"/>
      <c r="P669" s="460"/>
      <c r="Q669" s="432"/>
      <c r="R669" s="432"/>
      <c r="S669" s="432"/>
      <c r="T669" s="432"/>
      <c r="U669" s="432"/>
      <c r="V669" s="432"/>
      <c r="W669" s="432"/>
      <c r="X669" s="432"/>
      <c r="Y669" s="432"/>
      <c r="Z669" s="432"/>
      <c r="AA669" s="432"/>
      <c r="AB669" s="432"/>
      <c r="AC669" s="432"/>
      <c r="AD669" s="432"/>
    </row>
    <row r="670">
      <c r="A670" s="432"/>
      <c r="B670" s="432"/>
      <c r="C670" s="432"/>
      <c r="D670" s="459"/>
      <c r="E670" s="459"/>
      <c r="F670" s="432"/>
      <c r="G670" s="432"/>
      <c r="H670" s="432"/>
      <c r="I670" s="432"/>
      <c r="J670" s="432"/>
      <c r="K670" s="432"/>
      <c r="L670" s="432"/>
      <c r="M670" s="432"/>
      <c r="N670" s="432"/>
      <c r="O670" s="459"/>
      <c r="P670" s="460"/>
      <c r="Q670" s="432"/>
      <c r="R670" s="432"/>
      <c r="S670" s="432"/>
      <c r="T670" s="432"/>
      <c r="U670" s="432"/>
      <c r="V670" s="432"/>
      <c r="W670" s="432"/>
      <c r="X670" s="432"/>
      <c r="Y670" s="432"/>
      <c r="Z670" s="432"/>
      <c r="AA670" s="432"/>
      <c r="AB670" s="432"/>
      <c r="AC670" s="432"/>
      <c r="AD670" s="432"/>
    </row>
    <row r="671">
      <c r="A671" s="432"/>
      <c r="B671" s="432"/>
      <c r="C671" s="432"/>
      <c r="D671" s="459"/>
      <c r="E671" s="459"/>
      <c r="F671" s="432"/>
      <c r="G671" s="432"/>
      <c r="H671" s="432"/>
      <c r="I671" s="432"/>
      <c r="J671" s="432"/>
      <c r="K671" s="432"/>
      <c r="L671" s="432"/>
      <c r="M671" s="432"/>
      <c r="N671" s="432"/>
      <c r="O671" s="459"/>
      <c r="P671" s="460"/>
      <c r="Q671" s="432"/>
      <c r="R671" s="432"/>
      <c r="S671" s="432"/>
      <c r="T671" s="432"/>
      <c r="U671" s="432"/>
      <c r="V671" s="432"/>
      <c r="W671" s="432"/>
      <c r="X671" s="432"/>
      <c r="Y671" s="432"/>
      <c r="Z671" s="432"/>
      <c r="AA671" s="432"/>
      <c r="AB671" s="432"/>
      <c r="AC671" s="432"/>
      <c r="AD671" s="432"/>
    </row>
    <row r="672">
      <c r="A672" s="432"/>
      <c r="B672" s="432"/>
      <c r="C672" s="432"/>
      <c r="D672" s="459"/>
      <c r="E672" s="459"/>
      <c r="F672" s="432"/>
      <c r="G672" s="432"/>
      <c r="H672" s="432"/>
      <c r="I672" s="432"/>
      <c r="J672" s="432"/>
      <c r="K672" s="432"/>
      <c r="L672" s="432"/>
      <c r="M672" s="432"/>
      <c r="N672" s="432"/>
      <c r="O672" s="459"/>
      <c r="P672" s="460"/>
      <c r="Q672" s="432"/>
      <c r="R672" s="432"/>
      <c r="S672" s="432"/>
      <c r="T672" s="432"/>
      <c r="U672" s="432"/>
      <c r="V672" s="432"/>
      <c r="W672" s="432"/>
      <c r="X672" s="432"/>
      <c r="Y672" s="432"/>
      <c r="Z672" s="432"/>
      <c r="AA672" s="432"/>
      <c r="AB672" s="432"/>
      <c r="AC672" s="432"/>
      <c r="AD672" s="432"/>
    </row>
    <row r="673">
      <c r="A673" s="432"/>
      <c r="B673" s="432"/>
      <c r="C673" s="432"/>
      <c r="D673" s="459"/>
      <c r="E673" s="459"/>
      <c r="F673" s="432"/>
      <c r="G673" s="432"/>
      <c r="H673" s="432"/>
      <c r="I673" s="432"/>
      <c r="J673" s="432"/>
      <c r="K673" s="432"/>
      <c r="L673" s="432"/>
      <c r="M673" s="432"/>
      <c r="N673" s="432"/>
      <c r="O673" s="459"/>
      <c r="P673" s="460"/>
      <c r="Q673" s="432"/>
      <c r="R673" s="432"/>
      <c r="S673" s="432"/>
      <c r="T673" s="432"/>
      <c r="U673" s="432"/>
      <c r="V673" s="432"/>
      <c r="W673" s="432"/>
      <c r="X673" s="432"/>
      <c r="Y673" s="432"/>
      <c r="Z673" s="432"/>
      <c r="AA673" s="432"/>
      <c r="AB673" s="432"/>
      <c r="AC673" s="432"/>
      <c r="AD673" s="432"/>
    </row>
    <row r="674">
      <c r="A674" s="432"/>
      <c r="B674" s="432"/>
      <c r="C674" s="432"/>
      <c r="D674" s="459"/>
      <c r="E674" s="459"/>
      <c r="F674" s="432"/>
      <c r="G674" s="432"/>
      <c r="H674" s="432"/>
      <c r="I674" s="432"/>
      <c r="J674" s="432"/>
      <c r="K674" s="432"/>
      <c r="L674" s="432"/>
      <c r="M674" s="432"/>
      <c r="N674" s="432"/>
      <c r="O674" s="459"/>
      <c r="P674" s="460"/>
      <c r="Q674" s="432"/>
      <c r="R674" s="432"/>
      <c r="S674" s="432"/>
      <c r="T674" s="432"/>
      <c r="U674" s="432"/>
      <c r="V674" s="432"/>
      <c r="W674" s="432"/>
      <c r="X674" s="432"/>
      <c r="Y674" s="432"/>
      <c r="Z674" s="432"/>
      <c r="AA674" s="432"/>
      <c r="AB674" s="432"/>
      <c r="AC674" s="432"/>
      <c r="AD674" s="432"/>
    </row>
    <row r="675">
      <c r="A675" s="432"/>
      <c r="B675" s="432"/>
      <c r="C675" s="432"/>
      <c r="D675" s="459"/>
      <c r="E675" s="459"/>
      <c r="F675" s="432"/>
      <c r="G675" s="432"/>
      <c r="H675" s="432"/>
      <c r="I675" s="432"/>
      <c r="J675" s="432"/>
      <c r="K675" s="432"/>
      <c r="L675" s="432"/>
      <c r="M675" s="432"/>
      <c r="N675" s="432"/>
      <c r="O675" s="459"/>
      <c r="P675" s="460"/>
      <c r="Q675" s="432"/>
      <c r="R675" s="432"/>
      <c r="S675" s="432"/>
      <c r="T675" s="432"/>
      <c r="U675" s="432"/>
      <c r="V675" s="432"/>
      <c r="W675" s="432"/>
      <c r="X675" s="432"/>
      <c r="Y675" s="432"/>
      <c r="Z675" s="432"/>
      <c r="AA675" s="432"/>
      <c r="AB675" s="432"/>
      <c r="AC675" s="432"/>
      <c r="AD675" s="432"/>
    </row>
    <row r="676">
      <c r="A676" s="432"/>
      <c r="B676" s="432"/>
      <c r="C676" s="432"/>
      <c r="D676" s="459"/>
      <c r="E676" s="459"/>
      <c r="F676" s="432"/>
      <c r="G676" s="432"/>
      <c r="H676" s="432"/>
      <c r="I676" s="432"/>
      <c r="J676" s="432"/>
      <c r="K676" s="432"/>
      <c r="L676" s="432"/>
      <c r="M676" s="432"/>
      <c r="N676" s="432"/>
      <c r="O676" s="459"/>
      <c r="P676" s="460"/>
      <c r="Q676" s="432"/>
      <c r="R676" s="432"/>
      <c r="S676" s="432"/>
      <c r="T676" s="432"/>
      <c r="U676" s="432"/>
      <c r="V676" s="432"/>
      <c r="W676" s="432"/>
      <c r="X676" s="432"/>
      <c r="Y676" s="432"/>
      <c r="Z676" s="432"/>
      <c r="AA676" s="432"/>
      <c r="AB676" s="432"/>
      <c r="AC676" s="432"/>
      <c r="AD676" s="432"/>
    </row>
    <row r="677">
      <c r="A677" s="432"/>
      <c r="B677" s="432"/>
      <c r="C677" s="432"/>
      <c r="D677" s="459"/>
      <c r="E677" s="459"/>
      <c r="F677" s="432"/>
      <c r="G677" s="432"/>
      <c r="H677" s="432"/>
      <c r="I677" s="432"/>
      <c r="J677" s="432"/>
      <c r="K677" s="432"/>
      <c r="L677" s="432"/>
      <c r="M677" s="432"/>
      <c r="N677" s="432"/>
      <c r="O677" s="459"/>
      <c r="P677" s="460"/>
      <c r="Q677" s="432"/>
      <c r="R677" s="432"/>
      <c r="S677" s="432"/>
      <c r="T677" s="432"/>
      <c r="U677" s="432"/>
      <c r="V677" s="432"/>
      <c r="W677" s="432"/>
      <c r="X677" s="432"/>
      <c r="Y677" s="432"/>
      <c r="Z677" s="432"/>
      <c r="AA677" s="432"/>
      <c r="AB677" s="432"/>
      <c r="AC677" s="432"/>
      <c r="AD677" s="432"/>
    </row>
    <row r="678">
      <c r="A678" s="432"/>
      <c r="B678" s="432"/>
      <c r="C678" s="432"/>
      <c r="D678" s="459"/>
      <c r="E678" s="459"/>
      <c r="F678" s="432"/>
      <c r="G678" s="432"/>
      <c r="H678" s="432"/>
      <c r="I678" s="432"/>
      <c r="J678" s="432"/>
      <c r="K678" s="432"/>
      <c r="L678" s="432"/>
      <c r="M678" s="432"/>
      <c r="N678" s="432"/>
      <c r="O678" s="459"/>
      <c r="P678" s="460"/>
      <c r="Q678" s="432"/>
      <c r="R678" s="432"/>
      <c r="S678" s="432"/>
      <c r="T678" s="432"/>
      <c r="U678" s="432"/>
      <c r="V678" s="432"/>
      <c r="W678" s="432"/>
      <c r="X678" s="432"/>
      <c r="Y678" s="432"/>
      <c r="Z678" s="432"/>
      <c r="AA678" s="432"/>
      <c r="AB678" s="432"/>
      <c r="AC678" s="432"/>
      <c r="AD678" s="432"/>
    </row>
    <row r="679">
      <c r="A679" s="432"/>
      <c r="B679" s="432"/>
      <c r="C679" s="432"/>
      <c r="D679" s="459"/>
      <c r="E679" s="459"/>
      <c r="F679" s="432"/>
      <c r="G679" s="432"/>
      <c r="H679" s="432"/>
      <c r="I679" s="432"/>
      <c r="J679" s="432"/>
      <c r="K679" s="432"/>
      <c r="L679" s="432"/>
      <c r="M679" s="432"/>
      <c r="N679" s="432"/>
      <c r="O679" s="459"/>
      <c r="P679" s="460"/>
      <c r="Q679" s="432"/>
      <c r="R679" s="432"/>
      <c r="S679" s="432"/>
      <c r="T679" s="432"/>
      <c r="U679" s="432"/>
      <c r="V679" s="432"/>
      <c r="W679" s="432"/>
      <c r="X679" s="432"/>
      <c r="Y679" s="432"/>
      <c r="Z679" s="432"/>
      <c r="AA679" s="432"/>
      <c r="AB679" s="432"/>
      <c r="AC679" s="432"/>
      <c r="AD679" s="432"/>
    </row>
    <row r="680">
      <c r="A680" s="432"/>
      <c r="B680" s="432"/>
      <c r="C680" s="432"/>
      <c r="D680" s="459"/>
      <c r="E680" s="459"/>
      <c r="F680" s="432"/>
      <c r="G680" s="432"/>
      <c r="H680" s="432"/>
      <c r="I680" s="432"/>
      <c r="J680" s="432"/>
      <c r="K680" s="432"/>
      <c r="L680" s="432"/>
      <c r="M680" s="432"/>
      <c r="N680" s="432"/>
      <c r="O680" s="459"/>
      <c r="P680" s="460"/>
      <c r="Q680" s="432"/>
      <c r="R680" s="432"/>
      <c r="S680" s="432"/>
      <c r="T680" s="432"/>
      <c r="U680" s="432"/>
      <c r="V680" s="432"/>
      <c r="W680" s="432"/>
      <c r="X680" s="432"/>
      <c r="Y680" s="432"/>
      <c r="Z680" s="432"/>
      <c r="AA680" s="432"/>
      <c r="AB680" s="432"/>
      <c r="AC680" s="432"/>
      <c r="AD680" s="432"/>
    </row>
    <row r="681">
      <c r="A681" s="432"/>
      <c r="B681" s="432"/>
      <c r="C681" s="432"/>
      <c r="D681" s="459"/>
      <c r="E681" s="459"/>
      <c r="F681" s="432"/>
      <c r="G681" s="432"/>
      <c r="H681" s="432"/>
      <c r="I681" s="432"/>
      <c r="J681" s="432"/>
      <c r="K681" s="432"/>
      <c r="L681" s="432"/>
      <c r="M681" s="432"/>
      <c r="N681" s="432"/>
      <c r="O681" s="459"/>
      <c r="P681" s="460"/>
      <c r="Q681" s="432"/>
      <c r="R681" s="432"/>
      <c r="S681" s="432"/>
      <c r="T681" s="432"/>
      <c r="U681" s="432"/>
      <c r="V681" s="432"/>
      <c r="W681" s="432"/>
      <c r="X681" s="432"/>
      <c r="Y681" s="432"/>
      <c r="Z681" s="432"/>
      <c r="AA681" s="432"/>
      <c r="AB681" s="432"/>
      <c r="AC681" s="432"/>
      <c r="AD681" s="432"/>
    </row>
    <row r="682">
      <c r="A682" s="432"/>
      <c r="B682" s="432"/>
      <c r="C682" s="432"/>
      <c r="D682" s="459"/>
      <c r="E682" s="459"/>
      <c r="F682" s="432"/>
      <c r="G682" s="432"/>
      <c r="H682" s="432"/>
      <c r="I682" s="432"/>
      <c r="J682" s="432"/>
      <c r="K682" s="432"/>
      <c r="L682" s="432"/>
      <c r="M682" s="432"/>
      <c r="N682" s="432"/>
      <c r="O682" s="459"/>
      <c r="P682" s="460"/>
      <c r="Q682" s="432"/>
      <c r="R682" s="432"/>
      <c r="S682" s="432"/>
      <c r="T682" s="432"/>
      <c r="U682" s="432"/>
      <c r="V682" s="432"/>
      <c r="W682" s="432"/>
      <c r="X682" s="432"/>
      <c r="Y682" s="432"/>
      <c r="Z682" s="432"/>
      <c r="AA682" s="432"/>
      <c r="AB682" s="432"/>
      <c r="AC682" s="432"/>
      <c r="AD682" s="432"/>
    </row>
    <row r="683">
      <c r="A683" s="432"/>
      <c r="B683" s="432"/>
      <c r="C683" s="432"/>
      <c r="D683" s="459"/>
      <c r="E683" s="459"/>
      <c r="F683" s="432"/>
      <c r="G683" s="432"/>
      <c r="H683" s="432"/>
      <c r="I683" s="432"/>
      <c r="J683" s="432"/>
      <c r="K683" s="432"/>
      <c r="L683" s="432"/>
      <c r="M683" s="432"/>
      <c r="N683" s="432"/>
      <c r="O683" s="459"/>
      <c r="P683" s="460"/>
      <c r="Q683" s="432"/>
      <c r="R683" s="432"/>
      <c r="S683" s="432"/>
      <c r="T683" s="432"/>
      <c r="U683" s="432"/>
      <c r="V683" s="432"/>
      <c r="W683" s="432"/>
      <c r="X683" s="432"/>
      <c r="Y683" s="432"/>
      <c r="Z683" s="432"/>
      <c r="AA683" s="432"/>
      <c r="AB683" s="432"/>
      <c r="AC683" s="432"/>
      <c r="AD683" s="432"/>
    </row>
    <row r="684">
      <c r="A684" s="432"/>
      <c r="B684" s="432"/>
      <c r="C684" s="432"/>
      <c r="D684" s="459"/>
      <c r="E684" s="459"/>
      <c r="F684" s="432"/>
      <c r="G684" s="432"/>
      <c r="H684" s="432"/>
      <c r="I684" s="432"/>
      <c r="J684" s="432"/>
      <c r="K684" s="432"/>
      <c r="L684" s="432"/>
      <c r="M684" s="432"/>
      <c r="N684" s="432"/>
      <c r="O684" s="459"/>
      <c r="P684" s="460"/>
      <c r="Q684" s="432"/>
      <c r="R684" s="432"/>
      <c r="S684" s="432"/>
      <c r="T684" s="432"/>
      <c r="U684" s="432"/>
      <c r="V684" s="432"/>
      <c r="W684" s="432"/>
      <c r="X684" s="432"/>
      <c r="Y684" s="432"/>
      <c r="Z684" s="432"/>
      <c r="AA684" s="432"/>
      <c r="AB684" s="432"/>
      <c r="AC684" s="432"/>
      <c r="AD684" s="432"/>
    </row>
    <row r="685">
      <c r="A685" s="432"/>
      <c r="B685" s="432"/>
      <c r="C685" s="432"/>
      <c r="D685" s="459"/>
      <c r="E685" s="459"/>
      <c r="F685" s="432"/>
      <c r="G685" s="432"/>
      <c r="H685" s="432"/>
      <c r="I685" s="432"/>
      <c r="J685" s="432"/>
      <c r="K685" s="432"/>
      <c r="L685" s="432"/>
      <c r="M685" s="432"/>
      <c r="N685" s="432"/>
      <c r="O685" s="459"/>
      <c r="P685" s="460"/>
      <c r="Q685" s="432"/>
      <c r="R685" s="432"/>
      <c r="S685" s="432"/>
      <c r="T685" s="432"/>
      <c r="U685" s="432"/>
      <c r="V685" s="432"/>
      <c r="W685" s="432"/>
      <c r="X685" s="432"/>
      <c r="Y685" s="432"/>
      <c r="Z685" s="432"/>
      <c r="AA685" s="432"/>
      <c r="AB685" s="432"/>
      <c r="AC685" s="432"/>
      <c r="AD685" s="432"/>
    </row>
    <row r="686">
      <c r="A686" s="432"/>
      <c r="B686" s="432"/>
      <c r="C686" s="432"/>
      <c r="D686" s="459"/>
      <c r="E686" s="459"/>
      <c r="F686" s="432"/>
      <c r="G686" s="432"/>
      <c r="H686" s="432"/>
      <c r="I686" s="432"/>
      <c r="J686" s="432"/>
      <c r="K686" s="432"/>
      <c r="L686" s="432"/>
      <c r="M686" s="432"/>
      <c r="N686" s="432"/>
      <c r="O686" s="459"/>
      <c r="P686" s="460"/>
      <c r="Q686" s="432"/>
      <c r="R686" s="432"/>
      <c r="S686" s="432"/>
      <c r="T686" s="432"/>
      <c r="U686" s="432"/>
      <c r="V686" s="432"/>
      <c r="W686" s="432"/>
      <c r="X686" s="432"/>
      <c r="Y686" s="432"/>
      <c r="Z686" s="432"/>
      <c r="AA686" s="432"/>
      <c r="AB686" s="432"/>
      <c r="AC686" s="432"/>
      <c r="AD686" s="432"/>
    </row>
    <row r="687">
      <c r="A687" s="432"/>
      <c r="B687" s="432"/>
      <c r="C687" s="432"/>
      <c r="D687" s="459"/>
      <c r="E687" s="459"/>
      <c r="F687" s="432"/>
      <c r="G687" s="432"/>
      <c r="H687" s="432"/>
      <c r="I687" s="432"/>
      <c r="J687" s="432"/>
      <c r="K687" s="432"/>
      <c r="L687" s="432"/>
      <c r="M687" s="432"/>
      <c r="N687" s="432"/>
      <c r="O687" s="459"/>
      <c r="P687" s="460"/>
      <c r="Q687" s="432"/>
      <c r="R687" s="432"/>
      <c r="S687" s="432"/>
      <c r="T687" s="432"/>
      <c r="U687" s="432"/>
      <c r="V687" s="432"/>
      <c r="W687" s="432"/>
      <c r="X687" s="432"/>
      <c r="Y687" s="432"/>
      <c r="Z687" s="432"/>
      <c r="AA687" s="432"/>
      <c r="AB687" s="432"/>
      <c r="AC687" s="432"/>
      <c r="AD687" s="432"/>
    </row>
    <row r="688">
      <c r="A688" s="432"/>
      <c r="B688" s="432"/>
      <c r="C688" s="432"/>
      <c r="D688" s="459"/>
      <c r="E688" s="459"/>
      <c r="F688" s="432"/>
      <c r="G688" s="432"/>
      <c r="H688" s="432"/>
      <c r="I688" s="432"/>
      <c r="J688" s="432"/>
      <c r="K688" s="432"/>
      <c r="L688" s="432"/>
      <c r="M688" s="432"/>
      <c r="N688" s="432"/>
      <c r="O688" s="459"/>
      <c r="P688" s="460"/>
      <c r="Q688" s="432"/>
      <c r="R688" s="432"/>
      <c r="S688" s="432"/>
      <c r="T688" s="432"/>
      <c r="U688" s="432"/>
      <c r="V688" s="432"/>
      <c r="W688" s="432"/>
      <c r="X688" s="432"/>
      <c r="Y688" s="432"/>
      <c r="Z688" s="432"/>
      <c r="AA688" s="432"/>
      <c r="AB688" s="432"/>
      <c r="AC688" s="432"/>
      <c r="AD688" s="432"/>
    </row>
    <row r="689">
      <c r="A689" s="432"/>
      <c r="B689" s="432"/>
      <c r="C689" s="432"/>
      <c r="D689" s="459"/>
      <c r="E689" s="459"/>
      <c r="F689" s="432"/>
      <c r="G689" s="432"/>
      <c r="H689" s="432"/>
      <c r="I689" s="432"/>
      <c r="J689" s="432"/>
      <c r="K689" s="432"/>
      <c r="L689" s="432"/>
      <c r="M689" s="432"/>
      <c r="N689" s="432"/>
      <c r="O689" s="459"/>
      <c r="P689" s="460"/>
      <c r="Q689" s="432"/>
      <c r="R689" s="432"/>
      <c r="S689" s="432"/>
      <c r="T689" s="432"/>
      <c r="U689" s="432"/>
      <c r="V689" s="432"/>
      <c r="W689" s="432"/>
      <c r="X689" s="432"/>
      <c r="Y689" s="432"/>
      <c r="Z689" s="432"/>
      <c r="AA689" s="432"/>
      <c r="AB689" s="432"/>
      <c r="AC689" s="432"/>
      <c r="AD689" s="432"/>
    </row>
    <row r="690">
      <c r="A690" s="432"/>
      <c r="B690" s="432"/>
      <c r="C690" s="432"/>
      <c r="D690" s="459"/>
      <c r="E690" s="459"/>
      <c r="F690" s="432"/>
      <c r="G690" s="432"/>
      <c r="H690" s="432"/>
      <c r="I690" s="432"/>
      <c r="J690" s="432"/>
      <c r="K690" s="432"/>
      <c r="L690" s="432"/>
      <c r="M690" s="432"/>
      <c r="N690" s="432"/>
      <c r="O690" s="459"/>
      <c r="P690" s="460"/>
      <c r="Q690" s="432"/>
      <c r="R690" s="432"/>
      <c r="S690" s="432"/>
      <c r="T690" s="432"/>
      <c r="U690" s="432"/>
      <c r="V690" s="432"/>
      <c r="W690" s="432"/>
      <c r="X690" s="432"/>
      <c r="Y690" s="432"/>
      <c r="Z690" s="432"/>
      <c r="AA690" s="432"/>
      <c r="AB690" s="432"/>
      <c r="AC690" s="432"/>
      <c r="AD690" s="432"/>
    </row>
    <row r="691">
      <c r="A691" s="432"/>
      <c r="B691" s="432"/>
      <c r="C691" s="432"/>
      <c r="D691" s="459"/>
      <c r="E691" s="459"/>
      <c r="F691" s="432"/>
      <c r="G691" s="432"/>
      <c r="H691" s="432"/>
      <c r="I691" s="432"/>
      <c r="J691" s="432"/>
      <c r="K691" s="432"/>
      <c r="L691" s="432"/>
      <c r="M691" s="432"/>
      <c r="N691" s="432"/>
      <c r="O691" s="459"/>
      <c r="P691" s="460"/>
      <c r="Q691" s="432"/>
      <c r="R691" s="432"/>
      <c r="S691" s="432"/>
      <c r="T691" s="432"/>
      <c r="U691" s="432"/>
      <c r="V691" s="432"/>
      <c r="W691" s="432"/>
      <c r="X691" s="432"/>
      <c r="Y691" s="432"/>
      <c r="Z691" s="432"/>
      <c r="AA691" s="432"/>
      <c r="AB691" s="432"/>
      <c r="AC691" s="432"/>
      <c r="AD691" s="432"/>
    </row>
    <row r="692">
      <c r="A692" s="432"/>
      <c r="B692" s="432"/>
      <c r="C692" s="432"/>
      <c r="D692" s="459"/>
      <c r="E692" s="459"/>
      <c r="F692" s="432"/>
      <c r="G692" s="432"/>
      <c r="H692" s="432"/>
      <c r="I692" s="432"/>
      <c r="J692" s="432"/>
      <c r="K692" s="432"/>
      <c r="L692" s="432"/>
      <c r="M692" s="432"/>
      <c r="N692" s="432"/>
      <c r="O692" s="459"/>
      <c r="P692" s="460"/>
      <c r="Q692" s="432"/>
      <c r="R692" s="432"/>
      <c r="S692" s="432"/>
      <c r="T692" s="432"/>
      <c r="U692" s="432"/>
      <c r="V692" s="432"/>
      <c r="W692" s="432"/>
      <c r="X692" s="432"/>
      <c r="Y692" s="432"/>
      <c r="Z692" s="432"/>
      <c r="AA692" s="432"/>
      <c r="AB692" s="432"/>
      <c r="AC692" s="432"/>
      <c r="AD692" s="432"/>
    </row>
    <row r="693">
      <c r="A693" s="432"/>
      <c r="B693" s="432"/>
      <c r="C693" s="432"/>
      <c r="D693" s="459"/>
      <c r="E693" s="459"/>
      <c r="F693" s="432"/>
      <c r="G693" s="432"/>
      <c r="H693" s="432"/>
      <c r="I693" s="432"/>
      <c r="J693" s="432"/>
      <c r="K693" s="432"/>
      <c r="L693" s="432"/>
      <c r="M693" s="432"/>
      <c r="N693" s="432"/>
      <c r="O693" s="459"/>
      <c r="P693" s="460"/>
      <c r="Q693" s="432"/>
      <c r="R693" s="432"/>
      <c r="S693" s="432"/>
      <c r="T693" s="432"/>
      <c r="U693" s="432"/>
      <c r="V693" s="432"/>
      <c r="W693" s="432"/>
      <c r="X693" s="432"/>
      <c r="Y693" s="432"/>
      <c r="Z693" s="432"/>
      <c r="AA693" s="432"/>
      <c r="AB693" s="432"/>
      <c r="AC693" s="432"/>
      <c r="AD693" s="432"/>
    </row>
    <row r="694">
      <c r="A694" s="432"/>
      <c r="B694" s="432"/>
      <c r="C694" s="432"/>
      <c r="D694" s="459"/>
      <c r="E694" s="459"/>
      <c r="F694" s="432"/>
      <c r="G694" s="432"/>
      <c r="H694" s="432"/>
      <c r="I694" s="432"/>
      <c r="J694" s="432"/>
      <c r="K694" s="432"/>
      <c r="L694" s="432"/>
      <c r="M694" s="432"/>
      <c r="N694" s="432"/>
      <c r="O694" s="459"/>
      <c r="P694" s="460"/>
      <c r="Q694" s="432"/>
      <c r="R694" s="432"/>
      <c r="S694" s="432"/>
      <c r="T694" s="432"/>
      <c r="U694" s="432"/>
      <c r="V694" s="432"/>
      <c r="W694" s="432"/>
      <c r="X694" s="432"/>
      <c r="Y694" s="432"/>
      <c r="Z694" s="432"/>
      <c r="AA694" s="432"/>
      <c r="AB694" s="432"/>
      <c r="AC694" s="432"/>
      <c r="AD694" s="432"/>
    </row>
    <row r="695">
      <c r="A695" s="432"/>
      <c r="B695" s="432"/>
      <c r="C695" s="432"/>
      <c r="D695" s="459"/>
      <c r="E695" s="459"/>
      <c r="F695" s="432"/>
      <c r="G695" s="432"/>
      <c r="H695" s="432"/>
      <c r="I695" s="432"/>
      <c r="J695" s="432"/>
      <c r="K695" s="432"/>
      <c r="L695" s="432"/>
      <c r="M695" s="432"/>
      <c r="N695" s="432"/>
      <c r="O695" s="459"/>
      <c r="P695" s="460"/>
      <c r="Q695" s="432"/>
      <c r="R695" s="432"/>
      <c r="S695" s="432"/>
      <c r="T695" s="432"/>
      <c r="U695" s="432"/>
      <c r="V695" s="432"/>
      <c r="W695" s="432"/>
      <c r="X695" s="432"/>
      <c r="Y695" s="432"/>
      <c r="Z695" s="432"/>
      <c r="AA695" s="432"/>
      <c r="AB695" s="432"/>
      <c r="AC695" s="432"/>
      <c r="AD695" s="432"/>
    </row>
    <row r="696">
      <c r="A696" s="432"/>
      <c r="B696" s="432"/>
      <c r="C696" s="432"/>
      <c r="D696" s="459"/>
      <c r="E696" s="459"/>
      <c r="F696" s="432"/>
      <c r="G696" s="432"/>
      <c r="H696" s="432"/>
      <c r="I696" s="432"/>
      <c r="J696" s="432"/>
      <c r="K696" s="432"/>
      <c r="L696" s="432"/>
      <c r="M696" s="432"/>
      <c r="N696" s="432"/>
      <c r="O696" s="459"/>
      <c r="P696" s="460"/>
      <c r="Q696" s="432"/>
      <c r="R696" s="432"/>
      <c r="S696" s="432"/>
      <c r="T696" s="432"/>
      <c r="U696" s="432"/>
      <c r="V696" s="432"/>
      <c r="W696" s="432"/>
      <c r="X696" s="432"/>
      <c r="Y696" s="432"/>
      <c r="Z696" s="432"/>
      <c r="AA696" s="432"/>
      <c r="AB696" s="432"/>
      <c r="AC696" s="432"/>
      <c r="AD696" s="432"/>
    </row>
    <row r="697">
      <c r="A697" s="432"/>
      <c r="B697" s="432"/>
      <c r="C697" s="432"/>
      <c r="D697" s="459"/>
      <c r="E697" s="459"/>
      <c r="F697" s="432"/>
      <c r="G697" s="432"/>
      <c r="H697" s="432"/>
      <c r="I697" s="432"/>
      <c r="J697" s="432"/>
      <c r="K697" s="432"/>
      <c r="L697" s="432"/>
      <c r="M697" s="432"/>
      <c r="N697" s="432"/>
      <c r="O697" s="459"/>
      <c r="P697" s="460"/>
      <c r="Q697" s="432"/>
      <c r="R697" s="432"/>
      <c r="S697" s="432"/>
      <c r="T697" s="432"/>
      <c r="U697" s="432"/>
      <c r="V697" s="432"/>
      <c r="W697" s="432"/>
      <c r="X697" s="432"/>
      <c r="Y697" s="432"/>
      <c r="Z697" s="432"/>
      <c r="AA697" s="432"/>
      <c r="AB697" s="432"/>
      <c r="AC697" s="432"/>
      <c r="AD697" s="432"/>
    </row>
    <row r="698">
      <c r="A698" s="432"/>
      <c r="B698" s="432"/>
      <c r="C698" s="432"/>
      <c r="D698" s="459"/>
      <c r="E698" s="459"/>
      <c r="F698" s="432"/>
      <c r="G698" s="432"/>
      <c r="H698" s="432"/>
      <c r="I698" s="432"/>
      <c r="J698" s="432"/>
      <c r="K698" s="432"/>
      <c r="L698" s="432"/>
      <c r="M698" s="432"/>
      <c r="N698" s="432"/>
      <c r="O698" s="459"/>
      <c r="P698" s="460"/>
      <c r="Q698" s="432"/>
      <c r="R698" s="432"/>
      <c r="S698" s="432"/>
      <c r="T698" s="432"/>
      <c r="U698" s="432"/>
      <c r="V698" s="432"/>
      <c r="W698" s="432"/>
      <c r="X698" s="432"/>
      <c r="Y698" s="432"/>
      <c r="Z698" s="432"/>
      <c r="AA698" s="432"/>
      <c r="AB698" s="432"/>
      <c r="AC698" s="432"/>
      <c r="AD698" s="432"/>
    </row>
    <row r="699">
      <c r="A699" s="432"/>
      <c r="B699" s="432"/>
      <c r="C699" s="432"/>
      <c r="D699" s="459"/>
      <c r="E699" s="459"/>
      <c r="F699" s="432"/>
      <c r="G699" s="432"/>
      <c r="H699" s="432"/>
      <c r="I699" s="432"/>
      <c r="J699" s="432"/>
      <c r="K699" s="432"/>
      <c r="L699" s="432"/>
      <c r="M699" s="432"/>
      <c r="N699" s="432"/>
      <c r="O699" s="459"/>
      <c r="P699" s="460"/>
      <c r="Q699" s="432"/>
      <c r="R699" s="432"/>
      <c r="S699" s="432"/>
      <c r="T699" s="432"/>
      <c r="U699" s="432"/>
      <c r="V699" s="432"/>
      <c r="W699" s="432"/>
      <c r="X699" s="432"/>
      <c r="Y699" s="432"/>
      <c r="Z699" s="432"/>
      <c r="AA699" s="432"/>
      <c r="AB699" s="432"/>
      <c r="AC699" s="432"/>
      <c r="AD699" s="432"/>
    </row>
    <row r="700">
      <c r="A700" s="432"/>
      <c r="B700" s="432"/>
      <c r="C700" s="432"/>
      <c r="D700" s="459"/>
      <c r="E700" s="459"/>
      <c r="F700" s="432"/>
      <c r="G700" s="432"/>
      <c r="H700" s="432"/>
      <c r="I700" s="432"/>
      <c r="J700" s="432"/>
      <c r="K700" s="432"/>
      <c r="L700" s="432"/>
      <c r="M700" s="432"/>
      <c r="N700" s="432"/>
      <c r="O700" s="459"/>
      <c r="P700" s="460"/>
      <c r="Q700" s="432"/>
      <c r="R700" s="432"/>
      <c r="S700" s="432"/>
      <c r="T700" s="432"/>
      <c r="U700" s="432"/>
      <c r="V700" s="432"/>
      <c r="W700" s="432"/>
      <c r="X700" s="432"/>
      <c r="Y700" s="432"/>
      <c r="Z700" s="432"/>
      <c r="AA700" s="432"/>
      <c r="AB700" s="432"/>
      <c r="AC700" s="432"/>
      <c r="AD700" s="432"/>
    </row>
    <row r="701">
      <c r="A701" s="432"/>
      <c r="B701" s="432"/>
      <c r="C701" s="432"/>
      <c r="D701" s="459"/>
      <c r="E701" s="459"/>
      <c r="F701" s="432"/>
      <c r="G701" s="432"/>
      <c r="H701" s="432"/>
      <c r="I701" s="432"/>
      <c r="J701" s="432"/>
      <c r="K701" s="432"/>
      <c r="L701" s="432"/>
      <c r="M701" s="432"/>
      <c r="N701" s="432"/>
      <c r="O701" s="459"/>
      <c r="P701" s="460"/>
      <c r="Q701" s="432"/>
      <c r="R701" s="432"/>
      <c r="S701" s="432"/>
      <c r="T701" s="432"/>
      <c r="U701" s="432"/>
      <c r="V701" s="432"/>
      <c r="W701" s="432"/>
      <c r="X701" s="432"/>
      <c r="Y701" s="432"/>
      <c r="Z701" s="432"/>
      <c r="AA701" s="432"/>
      <c r="AB701" s="432"/>
      <c r="AC701" s="432"/>
      <c r="AD701" s="432"/>
    </row>
    <row r="702">
      <c r="A702" s="432"/>
      <c r="B702" s="432"/>
      <c r="C702" s="432"/>
      <c r="D702" s="459"/>
      <c r="E702" s="459"/>
      <c r="F702" s="432"/>
      <c r="G702" s="432"/>
      <c r="H702" s="432"/>
      <c r="I702" s="432"/>
      <c r="J702" s="432"/>
      <c r="K702" s="432"/>
      <c r="L702" s="432"/>
      <c r="M702" s="432"/>
      <c r="N702" s="432"/>
      <c r="O702" s="459"/>
      <c r="P702" s="460"/>
      <c r="Q702" s="432"/>
      <c r="R702" s="432"/>
      <c r="S702" s="432"/>
      <c r="T702" s="432"/>
      <c r="U702" s="432"/>
      <c r="V702" s="432"/>
      <c r="W702" s="432"/>
      <c r="X702" s="432"/>
      <c r="Y702" s="432"/>
      <c r="Z702" s="432"/>
      <c r="AA702" s="432"/>
      <c r="AB702" s="432"/>
      <c r="AC702" s="432"/>
      <c r="AD702" s="432"/>
    </row>
    <row r="703">
      <c r="A703" s="432"/>
      <c r="B703" s="432"/>
      <c r="C703" s="432"/>
      <c r="D703" s="459"/>
      <c r="E703" s="459"/>
      <c r="F703" s="432"/>
      <c r="G703" s="432"/>
      <c r="H703" s="432"/>
      <c r="I703" s="432"/>
      <c r="J703" s="432"/>
      <c r="K703" s="432"/>
      <c r="L703" s="432"/>
      <c r="M703" s="432"/>
      <c r="N703" s="432"/>
      <c r="O703" s="459"/>
      <c r="P703" s="460"/>
      <c r="Q703" s="432"/>
      <c r="R703" s="432"/>
      <c r="S703" s="432"/>
      <c r="T703" s="432"/>
      <c r="U703" s="432"/>
      <c r="V703" s="432"/>
      <c r="W703" s="432"/>
      <c r="X703" s="432"/>
      <c r="Y703" s="432"/>
      <c r="Z703" s="432"/>
      <c r="AA703" s="432"/>
      <c r="AB703" s="432"/>
      <c r="AC703" s="432"/>
      <c r="AD703" s="432"/>
    </row>
    <row r="704">
      <c r="A704" s="432"/>
      <c r="B704" s="432"/>
      <c r="C704" s="432"/>
      <c r="D704" s="459"/>
      <c r="E704" s="459"/>
      <c r="F704" s="432"/>
      <c r="G704" s="432"/>
      <c r="H704" s="432"/>
      <c r="I704" s="432"/>
      <c r="J704" s="432"/>
      <c r="K704" s="432"/>
      <c r="L704" s="432"/>
      <c r="M704" s="432"/>
      <c r="N704" s="432"/>
      <c r="O704" s="459"/>
      <c r="P704" s="460"/>
      <c r="Q704" s="432"/>
      <c r="R704" s="432"/>
      <c r="S704" s="432"/>
      <c r="T704" s="432"/>
      <c r="U704" s="432"/>
      <c r="V704" s="432"/>
      <c r="W704" s="432"/>
      <c r="X704" s="432"/>
      <c r="Y704" s="432"/>
      <c r="Z704" s="432"/>
      <c r="AA704" s="432"/>
      <c r="AB704" s="432"/>
      <c r="AC704" s="432"/>
      <c r="AD704" s="432"/>
    </row>
    <row r="705">
      <c r="A705" s="432"/>
      <c r="B705" s="432"/>
      <c r="C705" s="432"/>
      <c r="D705" s="459"/>
      <c r="E705" s="459"/>
      <c r="F705" s="432"/>
      <c r="G705" s="432"/>
      <c r="H705" s="432"/>
      <c r="I705" s="432"/>
      <c r="J705" s="432"/>
      <c r="K705" s="432"/>
      <c r="L705" s="432"/>
      <c r="M705" s="432"/>
      <c r="N705" s="432"/>
      <c r="O705" s="459"/>
      <c r="P705" s="460"/>
      <c r="Q705" s="432"/>
      <c r="R705" s="432"/>
      <c r="S705" s="432"/>
      <c r="T705" s="432"/>
      <c r="U705" s="432"/>
      <c r="V705" s="432"/>
      <c r="W705" s="432"/>
      <c r="X705" s="432"/>
      <c r="Y705" s="432"/>
      <c r="Z705" s="432"/>
      <c r="AA705" s="432"/>
      <c r="AB705" s="432"/>
      <c r="AC705" s="432"/>
      <c r="AD705" s="432"/>
    </row>
    <row r="706">
      <c r="A706" s="432"/>
      <c r="B706" s="432"/>
      <c r="C706" s="432"/>
      <c r="D706" s="459"/>
      <c r="E706" s="459"/>
      <c r="F706" s="432"/>
      <c r="G706" s="432"/>
      <c r="H706" s="432"/>
      <c r="I706" s="432"/>
      <c r="J706" s="432"/>
      <c r="K706" s="432"/>
      <c r="L706" s="432"/>
      <c r="M706" s="432"/>
      <c r="N706" s="432"/>
      <c r="O706" s="459"/>
      <c r="P706" s="460"/>
      <c r="Q706" s="432"/>
      <c r="R706" s="432"/>
      <c r="S706" s="432"/>
      <c r="T706" s="432"/>
      <c r="U706" s="432"/>
      <c r="V706" s="432"/>
      <c r="W706" s="432"/>
      <c r="X706" s="432"/>
      <c r="Y706" s="432"/>
      <c r="Z706" s="432"/>
      <c r="AA706" s="432"/>
      <c r="AB706" s="432"/>
      <c r="AC706" s="432"/>
      <c r="AD706" s="432"/>
    </row>
    <row r="707">
      <c r="A707" s="432"/>
      <c r="B707" s="432"/>
      <c r="C707" s="432"/>
      <c r="D707" s="459"/>
      <c r="E707" s="459"/>
      <c r="F707" s="432"/>
      <c r="G707" s="432"/>
      <c r="H707" s="432"/>
      <c r="I707" s="432"/>
      <c r="J707" s="432"/>
      <c r="K707" s="432"/>
      <c r="L707" s="432"/>
      <c r="M707" s="432"/>
      <c r="N707" s="432"/>
      <c r="O707" s="459"/>
      <c r="P707" s="460"/>
      <c r="Q707" s="432"/>
      <c r="R707" s="432"/>
      <c r="S707" s="432"/>
      <c r="T707" s="432"/>
      <c r="U707" s="432"/>
      <c r="V707" s="432"/>
      <c r="W707" s="432"/>
      <c r="X707" s="432"/>
      <c r="Y707" s="432"/>
      <c r="Z707" s="432"/>
      <c r="AA707" s="432"/>
      <c r="AB707" s="432"/>
      <c r="AC707" s="432"/>
      <c r="AD707" s="432"/>
    </row>
    <row r="708">
      <c r="A708" s="432"/>
      <c r="B708" s="432"/>
      <c r="C708" s="432"/>
      <c r="D708" s="459"/>
      <c r="E708" s="459"/>
      <c r="F708" s="432"/>
      <c r="G708" s="432"/>
      <c r="H708" s="432"/>
      <c r="I708" s="432"/>
      <c r="J708" s="432"/>
      <c r="K708" s="432"/>
      <c r="L708" s="432"/>
      <c r="M708" s="432"/>
      <c r="N708" s="432"/>
      <c r="O708" s="459"/>
      <c r="P708" s="460"/>
      <c r="Q708" s="432"/>
      <c r="R708" s="432"/>
      <c r="S708" s="432"/>
      <c r="T708" s="432"/>
      <c r="U708" s="432"/>
      <c r="V708" s="432"/>
      <c r="W708" s="432"/>
      <c r="X708" s="432"/>
      <c r="Y708" s="432"/>
      <c r="Z708" s="432"/>
      <c r="AA708" s="432"/>
      <c r="AB708" s="432"/>
      <c r="AC708" s="432"/>
      <c r="AD708" s="432"/>
    </row>
    <row r="709">
      <c r="A709" s="432"/>
      <c r="B709" s="432"/>
      <c r="C709" s="432"/>
      <c r="D709" s="459"/>
      <c r="E709" s="459"/>
      <c r="F709" s="432"/>
      <c r="G709" s="432"/>
      <c r="H709" s="432"/>
      <c r="I709" s="432"/>
      <c r="J709" s="432"/>
      <c r="K709" s="432"/>
      <c r="L709" s="432"/>
      <c r="M709" s="432"/>
      <c r="N709" s="432"/>
      <c r="O709" s="459"/>
      <c r="P709" s="460"/>
      <c r="Q709" s="432"/>
      <c r="R709" s="432"/>
      <c r="S709" s="432"/>
      <c r="T709" s="432"/>
      <c r="U709" s="432"/>
      <c r="V709" s="432"/>
      <c r="W709" s="432"/>
      <c r="X709" s="432"/>
      <c r="Y709" s="432"/>
      <c r="Z709" s="432"/>
      <c r="AA709" s="432"/>
      <c r="AB709" s="432"/>
      <c r="AC709" s="432"/>
      <c r="AD709" s="432"/>
    </row>
    <row r="710">
      <c r="A710" s="432"/>
      <c r="B710" s="432"/>
      <c r="C710" s="432"/>
      <c r="D710" s="459"/>
      <c r="E710" s="459"/>
      <c r="F710" s="432"/>
      <c r="G710" s="432"/>
      <c r="H710" s="432"/>
      <c r="I710" s="432"/>
      <c r="J710" s="432"/>
      <c r="K710" s="432"/>
      <c r="L710" s="432"/>
      <c r="M710" s="432"/>
      <c r="N710" s="432"/>
      <c r="O710" s="459"/>
      <c r="P710" s="460"/>
      <c r="Q710" s="432"/>
      <c r="R710" s="432"/>
      <c r="S710" s="432"/>
      <c r="T710" s="432"/>
      <c r="U710" s="432"/>
      <c r="V710" s="432"/>
      <c r="W710" s="432"/>
      <c r="X710" s="432"/>
      <c r="Y710" s="432"/>
      <c r="Z710" s="432"/>
      <c r="AA710" s="432"/>
      <c r="AB710" s="432"/>
      <c r="AC710" s="432"/>
      <c r="AD710" s="432"/>
    </row>
    <row r="711">
      <c r="A711" s="432"/>
      <c r="B711" s="432"/>
      <c r="C711" s="432"/>
      <c r="D711" s="459"/>
      <c r="E711" s="459"/>
      <c r="F711" s="432"/>
      <c r="G711" s="432"/>
      <c r="H711" s="432"/>
      <c r="I711" s="432"/>
      <c r="J711" s="432"/>
      <c r="K711" s="432"/>
      <c r="L711" s="432"/>
      <c r="M711" s="432"/>
      <c r="N711" s="432"/>
      <c r="O711" s="459"/>
      <c r="P711" s="460"/>
      <c r="Q711" s="432"/>
      <c r="R711" s="432"/>
      <c r="S711" s="432"/>
      <c r="T711" s="432"/>
      <c r="U711" s="432"/>
      <c r="V711" s="432"/>
      <c r="W711" s="432"/>
      <c r="X711" s="432"/>
      <c r="Y711" s="432"/>
      <c r="Z711" s="432"/>
      <c r="AA711" s="432"/>
      <c r="AB711" s="432"/>
      <c r="AC711" s="432"/>
      <c r="AD711" s="432"/>
    </row>
    <row r="712">
      <c r="A712" s="432"/>
      <c r="B712" s="432"/>
      <c r="C712" s="432"/>
      <c r="D712" s="459"/>
      <c r="E712" s="459"/>
      <c r="F712" s="432"/>
      <c r="G712" s="432"/>
      <c r="H712" s="432"/>
      <c r="I712" s="432"/>
      <c r="J712" s="432"/>
      <c r="K712" s="432"/>
      <c r="L712" s="432"/>
      <c r="M712" s="432"/>
      <c r="N712" s="432"/>
      <c r="O712" s="459"/>
      <c r="P712" s="460"/>
      <c r="Q712" s="432"/>
      <c r="R712" s="432"/>
      <c r="S712" s="432"/>
      <c r="T712" s="432"/>
      <c r="U712" s="432"/>
      <c r="V712" s="432"/>
      <c r="W712" s="432"/>
      <c r="X712" s="432"/>
      <c r="Y712" s="432"/>
      <c r="Z712" s="432"/>
      <c r="AA712" s="432"/>
      <c r="AB712" s="432"/>
      <c r="AC712" s="432"/>
      <c r="AD712" s="432"/>
    </row>
    <row r="713">
      <c r="A713" s="432"/>
      <c r="B713" s="432"/>
      <c r="C713" s="432"/>
      <c r="D713" s="459"/>
      <c r="E713" s="459"/>
      <c r="F713" s="432"/>
      <c r="G713" s="432"/>
      <c r="H713" s="432"/>
      <c r="I713" s="432"/>
      <c r="J713" s="432"/>
      <c r="K713" s="432"/>
      <c r="L713" s="432"/>
      <c r="M713" s="432"/>
      <c r="N713" s="432"/>
      <c r="O713" s="459"/>
      <c r="P713" s="460"/>
      <c r="Q713" s="432"/>
      <c r="R713" s="432"/>
      <c r="S713" s="432"/>
      <c r="T713" s="432"/>
      <c r="U713" s="432"/>
      <c r="V713" s="432"/>
      <c r="W713" s="432"/>
      <c r="X713" s="432"/>
      <c r="Y713" s="432"/>
      <c r="Z713" s="432"/>
      <c r="AA713" s="432"/>
      <c r="AB713" s="432"/>
      <c r="AC713" s="432"/>
      <c r="AD713" s="432"/>
    </row>
    <row r="714">
      <c r="A714" s="432"/>
      <c r="B714" s="432"/>
      <c r="C714" s="432"/>
      <c r="D714" s="459"/>
      <c r="E714" s="459"/>
      <c r="F714" s="432"/>
      <c r="G714" s="432"/>
      <c r="H714" s="432"/>
      <c r="I714" s="432"/>
      <c r="J714" s="432"/>
      <c r="K714" s="432"/>
      <c r="L714" s="432"/>
      <c r="M714" s="432"/>
      <c r="N714" s="432"/>
      <c r="O714" s="459"/>
      <c r="P714" s="460"/>
      <c r="Q714" s="432"/>
      <c r="R714" s="432"/>
      <c r="S714" s="432"/>
      <c r="T714" s="432"/>
      <c r="U714" s="432"/>
      <c r="V714" s="432"/>
      <c r="W714" s="432"/>
      <c r="X714" s="432"/>
      <c r="Y714" s="432"/>
      <c r="Z714" s="432"/>
      <c r="AA714" s="432"/>
      <c r="AB714" s="432"/>
      <c r="AC714" s="432"/>
      <c r="AD714" s="432"/>
    </row>
    <row r="715">
      <c r="A715" s="432"/>
      <c r="B715" s="432"/>
      <c r="C715" s="432"/>
      <c r="D715" s="459"/>
      <c r="E715" s="459"/>
      <c r="F715" s="432"/>
      <c r="G715" s="432"/>
      <c r="H715" s="432"/>
      <c r="I715" s="432"/>
      <c r="J715" s="432"/>
      <c r="K715" s="432"/>
      <c r="L715" s="432"/>
      <c r="M715" s="432"/>
      <c r="N715" s="432"/>
      <c r="O715" s="459"/>
      <c r="P715" s="460"/>
      <c r="Q715" s="432"/>
      <c r="R715" s="432"/>
      <c r="S715" s="432"/>
      <c r="T715" s="432"/>
      <c r="U715" s="432"/>
      <c r="V715" s="432"/>
      <c r="W715" s="432"/>
      <c r="X715" s="432"/>
      <c r="Y715" s="432"/>
      <c r="Z715" s="432"/>
      <c r="AA715" s="432"/>
      <c r="AB715" s="432"/>
      <c r="AC715" s="432"/>
      <c r="AD715" s="432"/>
    </row>
    <row r="716">
      <c r="A716" s="432"/>
      <c r="B716" s="432"/>
      <c r="C716" s="432"/>
      <c r="D716" s="459"/>
      <c r="E716" s="459"/>
      <c r="F716" s="432"/>
      <c r="G716" s="432"/>
      <c r="H716" s="432"/>
      <c r="I716" s="432"/>
      <c r="J716" s="432"/>
      <c r="K716" s="432"/>
      <c r="L716" s="432"/>
      <c r="M716" s="432"/>
      <c r="N716" s="432"/>
      <c r="O716" s="459"/>
      <c r="P716" s="460"/>
      <c r="Q716" s="432"/>
      <c r="R716" s="432"/>
      <c r="S716" s="432"/>
      <c r="T716" s="432"/>
      <c r="U716" s="432"/>
      <c r="V716" s="432"/>
      <c r="W716" s="432"/>
      <c r="X716" s="432"/>
      <c r="Y716" s="432"/>
      <c r="Z716" s="432"/>
      <c r="AA716" s="432"/>
      <c r="AB716" s="432"/>
      <c r="AC716" s="432"/>
      <c r="AD716" s="432"/>
    </row>
    <row r="717">
      <c r="A717" s="432"/>
      <c r="B717" s="432"/>
      <c r="C717" s="432"/>
      <c r="D717" s="459"/>
      <c r="E717" s="459"/>
      <c r="F717" s="432"/>
      <c r="G717" s="432"/>
      <c r="H717" s="432"/>
      <c r="I717" s="432"/>
      <c r="J717" s="432"/>
      <c r="K717" s="432"/>
      <c r="L717" s="432"/>
      <c r="M717" s="432"/>
      <c r="N717" s="432"/>
      <c r="O717" s="459"/>
      <c r="P717" s="460"/>
      <c r="Q717" s="432"/>
      <c r="R717" s="432"/>
      <c r="S717" s="432"/>
      <c r="T717" s="432"/>
      <c r="U717" s="432"/>
      <c r="V717" s="432"/>
      <c r="W717" s="432"/>
      <c r="X717" s="432"/>
      <c r="Y717" s="432"/>
      <c r="Z717" s="432"/>
      <c r="AA717" s="432"/>
      <c r="AB717" s="432"/>
      <c r="AC717" s="432"/>
      <c r="AD717" s="432"/>
    </row>
    <row r="718">
      <c r="A718" s="432"/>
      <c r="B718" s="432"/>
      <c r="C718" s="432"/>
      <c r="D718" s="459"/>
      <c r="E718" s="459"/>
      <c r="F718" s="432"/>
      <c r="G718" s="432"/>
      <c r="H718" s="432"/>
      <c r="I718" s="432"/>
      <c r="J718" s="432"/>
      <c r="K718" s="432"/>
      <c r="L718" s="432"/>
      <c r="M718" s="432"/>
      <c r="N718" s="432"/>
      <c r="O718" s="459"/>
      <c r="P718" s="460"/>
      <c r="Q718" s="432"/>
      <c r="R718" s="432"/>
      <c r="S718" s="432"/>
      <c r="T718" s="432"/>
      <c r="U718" s="432"/>
      <c r="V718" s="432"/>
      <c r="W718" s="432"/>
      <c r="X718" s="432"/>
      <c r="Y718" s="432"/>
      <c r="Z718" s="432"/>
      <c r="AA718" s="432"/>
      <c r="AB718" s="432"/>
      <c r="AC718" s="432"/>
      <c r="AD718" s="432"/>
    </row>
    <row r="719">
      <c r="A719" s="432"/>
      <c r="B719" s="432"/>
      <c r="C719" s="432"/>
      <c r="D719" s="459"/>
      <c r="E719" s="459"/>
      <c r="F719" s="432"/>
      <c r="G719" s="432"/>
      <c r="H719" s="432"/>
      <c r="I719" s="432"/>
      <c r="J719" s="432"/>
      <c r="K719" s="432"/>
      <c r="L719" s="432"/>
      <c r="M719" s="432"/>
      <c r="N719" s="432"/>
      <c r="O719" s="459"/>
      <c r="P719" s="460"/>
      <c r="Q719" s="432"/>
      <c r="R719" s="432"/>
      <c r="S719" s="432"/>
      <c r="T719" s="432"/>
      <c r="U719" s="432"/>
      <c r="V719" s="432"/>
      <c r="W719" s="432"/>
      <c r="X719" s="432"/>
      <c r="Y719" s="432"/>
      <c r="Z719" s="432"/>
      <c r="AA719" s="432"/>
      <c r="AB719" s="432"/>
      <c r="AC719" s="432"/>
      <c r="AD719" s="432"/>
    </row>
    <row r="720">
      <c r="A720" s="432"/>
      <c r="B720" s="432"/>
      <c r="C720" s="432"/>
      <c r="D720" s="459"/>
      <c r="E720" s="459"/>
      <c r="F720" s="432"/>
      <c r="G720" s="432"/>
      <c r="H720" s="432"/>
      <c r="I720" s="432"/>
      <c r="J720" s="432"/>
      <c r="K720" s="432"/>
      <c r="L720" s="432"/>
      <c r="M720" s="432"/>
      <c r="N720" s="432"/>
      <c r="O720" s="459"/>
      <c r="P720" s="460"/>
      <c r="Q720" s="432"/>
      <c r="R720" s="432"/>
      <c r="S720" s="432"/>
      <c r="T720" s="432"/>
      <c r="U720" s="432"/>
      <c r="V720" s="432"/>
      <c r="W720" s="432"/>
      <c r="X720" s="432"/>
      <c r="Y720" s="432"/>
      <c r="Z720" s="432"/>
      <c r="AA720" s="432"/>
      <c r="AB720" s="432"/>
      <c r="AC720" s="432"/>
      <c r="AD720" s="432"/>
    </row>
    <row r="721">
      <c r="A721" s="432"/>
      <c r="B721" s="432"/>
      <c r="C721" s="432"/>
      <c r="D721" s="459"/>
      <c r="E721" s="459"/>
      <c r="F721" s="432"/>
      <c r="G721" s="432"/>
      <c r="H721" s="432"/>
      <c r="I721" s="432"/>
      <c r="J721" s="432"/>
      <c r="K721" s="432"/>
      <c r="L721" s="432"/>
      <c r="M721" s="432"/>
      <c r="N721" s="432"/>
      <c r="O721" s="459"/>
      <c r="P721" s="460"/>
      <c r="Q721" s="432"/>
      <c r="R721" s="432"/>
      <c r="S721" s="432"/>
      <c r="T721" s="432"/>
      <c r="U721" s="432"/>
      <c r="V721" s="432"/>
      <c r="W721" s="432"/>
      <c r="X721" s="432"/>
      <c r="Y721" s="432"/>
      <c r="Z721" s="432"/>
      <c r="AA721" s="432"/>
      <c r="AB721" s="432"/>
      <c r="AC721" s="432"/>
      <c r="AD721" s="432"/>
    </row>
    <row r="722">
      <c r="A722" s="432"/>
      <c r="B722" s="432"/>
      <c r="C722" s="432"/>
      <c r="D722" s="459"/>
      <c r="E722" s="459"/>
      <c r="F722" s="432"/>
      <c r="G722" s="432"/>
      <c r="H722" s="432"/>
      <c r="I722" s="432"/>
      <c r="J722" s="432"/>
      <c r="K722" s="432"/>
      <c r="L722" s="432"/>
      <c r="M722" s="432"/>
      <c r="N722" s="432"/>
      <c r="O722" s="459"/>
      <c r="P722" s="460"/>
      <c r="Q722" s="432"/>
      <c r="R722" s="432"/>
      <c r="S722" s="432"/>
      <c r="T722" s="432"/>
      <c r="U722" s="432"/>
      <c r="V722" s="432"/>
      <c r="W722" s="432"/>
      <c r="X722" s="432"/>
      <c r="Y722" s="432"/>
      <c r="Z722" s="432"/>
      <c r="AA722" s="432"/>
      <c r="AB722" s="432"/>
      <c r="AC722" s="432"/>
      <c r="AD722" s="432"/>
    </row>
    <row r="723">
      <c r="A723" s="432"/>
      <c r="B723" s="432"/>
      <c r="C723" s="432"/>
      <c r="D723" s="459"/>
      <c r="E723" s="459"/>
      <c r="F723" s="432"/>
      <c r="G723" s="432"/>
      <c r="H723" s="432"/>
      <c r="I723" s="432"/>
      <c r="J723" s="432"/>
      <c r="K723" s="432"/>
      <c r="L723" s="432"/>
      <c r="M723" s="432"/>
      <c r="N723" s="432"/>
      <c r="O723" s="459"/>
      <c r="P723" s="460"/>
      <c r="Q723" s="432"/>
      <c r="R723" s="432"/>
      <c r="S723" s="432"/>
      <c r="T723" s="432"/>
      <c r="U723" s="432"/>
      <c r="V723" s="432"/>
      <c r="W723" s="432"/>
      <c r="X723" s="432"/>
      <c r="Y723" s="432"/>
      <c r="Z723" s="432"/>
      <c r="AA723" s="432"/>
      <c r="AB723" s="432"/>
      <c r="AC723" s="432"/>
      <c r="AD723" s="432"/>
    </row>
    <row r="724">
      <c r="A724" s="432"/>
      <c r="B724" s="432"/>
      <c r="C724" s="432"/>
      <c r="D724" s="459"/>
      <c r="E724" s="459"/>
      <c r="F724" s="432"/>
      <c r="G724" s="432"/>
      <c r="H724" s="432"/>
      <c r="I724" s="432"/>
      <c r="J724" s="432"/>
      <c r="K724" s="432"/>
      <c r="L724" s="432"/>
      <c r="M724" s="432"/>
      <c r="N724" s="432"/>
      <c r="O724" s="459"/>
      <c r="P724" s="460"/>
      <c r="Q724" s="432"/>
      <c r="R724" s="432"/>
      <c r="S724" s="432"/>
      <c r="T724" s="432"/>
      <c r="U724" s="432"/>
      <c r="V724" s="432"/>
      <c r="W724" s="432"/>
      <c r="X724" s="432"/>
      <c r="Y724" s="432"/>
      <c r="Z724" s="432"/>
      <c r="AA724" s="432"/>
      <c r="AB724" s="432"/>
      <c r="AC724" s="432"/>
      <c r="AD724" s="432"/>
    </row>
    <row r="725">
      <c r="A725" s="432"/>
      <c r="B725" s="432"/>
      <c r="C725" s="432"/>
      <c r="D725" s="459"/>
      <c r="E725" s="459"/>
      <c r="F725" s="432"/>
      <c r="G725" s="432"/>
      <c r="H725" s="432"/>
      <c r="I725" s="432"/>
      <c r="J725" s="432"/>
      <c r="K725" s="432"/>
      <c r="L725" s="432"/>
      <c r="M725" s="432"/>
      <c r="N725" s="432"/>
      <c r="O725" s="459"/>
      <c r="P725" s="460"/>
      <c r="Q725" s="432"/>
      <c r="R725" s="432"/>
      <c r="S725" s="432"/>
      <c r="T725" s="432"/>
      <c r="U725" s="432"/>
      <c r="V725" s="432"/>
      <c r="W725" s="432"/>
      <c r="X725" s="432"/>
      <c r="Y725" s="432"/>
      <c r="Z725" s="432"/>
      <c r="AA725" s="432"/>
      <c r="AB725" s="432"/>
      <c r="AC725" s="432"/>
      <c r="AD725" s="432"/>
    </row>
    <row r="726">
      <c r="A726" s="432"/>
      <c r="B726" s="432"/>
      <c r="C726" s="432"/>
      <c r="D726" s="459"/>
      <c r="E726" s="459"/>
      <c r="F726" s="432"/>
      <c r="G726" s="432"/>
      <c r="H726" s="432"/>
      <c r="I726" s="432"/>
      <c r="J726" s="432"/>
      <c r="K726" s="432"/>
      <c r="L726" s="432"/>
      <c r="M726" s="432"/>
      <c r="N726" s="432"/>
      <c r="O726" s="459"/>
      <c r="P726" s="460"/>
      <c r="Q726" s="432"/>
      <c r="R726" s="432"/>
      <c r="S726" s="432"/>
      <c r="T726" s="432"/>
      <c r="U726" s="432"/>
      <c r="V726" s="432"/>
      <c r="W726" s="432"/>
      <c r="X726" s="432"/>
      <c r="Y726" s="432"/>
      <c r="Z726" s="432"/>
      <c r="AA726" s="432"/>
      <c r="AB726" s="432"/>
      <c r="AC726" s="432"/>
      <c r="AD726" s="432"/>
    </row>
    <row r="727">
      <c r="A727" s="432"/>
      <c r="B727" s="432"/>
      <c r="C727" s="432"/>
      <c r="D727" s="459"/>
      <c r="E727" s="459"/>
      <c r="F727" s="432"/>
      <c r="G727" s="432"/>
      <c r="H727" s="432"/>
      <c r="I727" s="432"/>
      <c r="J727" s="432"/>
      <c r="K727" s="432"/>
      <c r="L727" s="432"/>
      <c r="M727" s="432"/>
      <c r="N727" s="432"/>
      <c r="O727" s="459"/>
      <c r="P727" s="460"/>
      <c r="Q727" s="432"/>
      <c r="R727" s="432"/>
      <c r="S727" s="432"/>
      <c r="T727" s="432"/>
      <c r="U727" s="432"/>
      <c r="V727" s="432"/>
      <c r="W727" s="432"/>
      <c r="X727" s="432"/>
      <c r="Y727" s="432"/>
      <c r="Z727" s="432"/>
      <c r="AA727" s="432"/>
      <c r="AB727" s="432"/>
      <c r="AC727" s="432"/>
      <c r="AD727" s="432"/>
    </row>
    <row r="728">
      <c r="A728" s="432"/>
      <c r="B728" s="432"/>
      <c r="C728" s="432"/>
      <c r="D728" s="459"/>
      <c r="E728" s="459"/>
      <c r="F728" s="432"/>
      <c r="G728" s="432"/>
      <c r="H728" s="432"/>
      <c r="I728" s="432"/>
      <c r="J728" s="432"/>
      <c r="K728" s="432"/>
      <c r="L728" s="432"/>
      <c r="M728" s="432"/>
      <c r="N728" s="432"/>
      <c r="O728" s="459"/>
      <c r="P728" s="460"/>
      <c r="Q728" s="432"/>
      <c r="R728" s="432"/>
      <c r="S728" s="432"/>
      <c r="T728" s="432"/>
      <c r="U728" s="432"/>
      <c r="V728" s="432"/>
      <c r="W728" s="432"/>
      <c r="X728" s="432"/>
      <c r="Y728" s="432"/>
      <c r="Z728" s="432"/>
      <c r="AA728" s="432"/>
      <c r="AB728" s="432"/>
      <c r="AC728" s="432"/>
      <c r="AD728" s="432"/>
    </row>
    <row r="729">
      <c r="A729" s="432"/>
      <c r="B729" s="432"/>
      <c r="C729" s="432"/>
      <c r="D729" s="459"/>
      <c r="E729" s="459"/>
      <c r="F729" s="432"/>
      <c r="G729" s="432"/>
      <c r="H729" s="432"/>
      <c r="I729" s="432"/>
      <c r="J729" s="432"/>
      <c r="K729" s="432"/>
      <c r="L729" s="432"/>
      <c r="M729" s="432"/>
      <c r="N729" s="432"/>
      <c r="O729" s="459"/>
      <c r="P729" s="460"/>
      <c r="Q729" s="432"/>
      <c r="R729" s="432"/>
      <c r="S729" s="432"/>
      <c r="T729" s="432"/>
      <c r="U729" s="432"/>
      <c r="V729" s="432"/>
      <c r="W729" s="432"/>
      <c r="X729" s="432"/>
      <c r="Y729" s="432"/>
      <c r="Z729" s="432"/>
      <c r="AA729" s="432"/>
      <c r="AB729" s="432"/>
      <c r="AC729" s="432"/>
      <c r="AD729" s="432"/>
    </row>
    <row r="730">
      <c r="A730" s="432"/>
      <c r="B730" s="432"/>
      <c r="C730" s="432"/>
      <c r="D730" s="459"/>
      <c r="E730" s="459"/>
      <c r="F730" s="432"/>
      <c r="G730" s="432"/>
      <c r="H730" s="432"/>
      <c r="I730" s="432"/>
      <c r="J730" s="432"/>
      <c r="K730" s="432"/>
      <c r="L730" s="432"/>
      <c r="M730" s="432"/>
      <c r="N730" s="432"/>
      <c r="O730" s="459"/>
      <c r="P730" s="460"/>
      <c r="Q730" s="432"/>
      <c r="R730" s="432"/>
      <c r="S730" s="432"/>
      <c r="T730" s="432"/>
      <c r="U730" s="432"/>
      <c r="V730" s="432"/>
      <c r="W730" s="432"/>
      <c r="X730" s="432"/>
      <c r="Y730" s="432"/>
      <c r="Z730" s="432"/>
      <c r="AA730" s="432"/>
      <c r="AB730" s="432"/>
      <c r="AC730" s="432"/>
      <c r="AD730" s="432"/>
    </row>
    <row r="731">
      <c r="A731" s="432"/>
      <c r="B731" s="432"/>
      <c r="C731" s="432"/>
      <c r="D731" s="459"/>
      <c r="E731" s="459"/>
      <c r="F731" s="432"/>
      <c r="G731" s="432"/>
      <c r="H731" s="432"/>
      <c r="I731" s="432"/>
      <c r="J731" s="432"/>
      <c r="K731" s="432"/>
      <c r="L731" s="432"/>
      <c r="M731" s="432"/>
      <c r="N731" s="432"/>
      <c r="O731" s="459"/>
      <c r="P731" s="460"/>
      <c r="Q731" s="432"/>
      <c r="R731" s="432"/>
      <c r="S731" s="432"/>
      <c r="T731" s="432"/>
      <c r="U731" s="432"/>
      <c r="V731" s="432"/>
      <c r="W731" s="432"/>
      <c r="X731" s="432"/>
      <c r="Y731" s="432"/>
      <c r="Z731" s="432"/>
      <c r="AA731" s="432"/>
      <c r="AB731" s="432"/>
      <c r="AC731" s="432"/>
      <c r="AD731" s="432"/>
    </row>
    <row r="732">
      <c r="A732" s="432"/>
      <c r="B732" s="432"/>
      <c r="C732" s="432"/>
      <c r="D732" s="459"/>
      <c r="E732" s="459"/>
      <c r="F732" s="432"/>
      <c r="G732" s="432"/>
      <c r="H732" s="432"/>
      <c r="I732" s="432"/>
      <c r="J732" s="432"/>
      <c r="K732" s="432"/>
      <c r="L732" s="432"/>
      <c r="M732" s="432"/>
      <c r="N732" s="432"/>
      <c r="O732" s="459"/>
      <c r="P732" s="460"/>
      <c r="Q732" s="432"/>
      <c r="R732" s="432"/>
      <c r="S732" s="432"/>
      <c r="T732" s="432"/>
      <c r="U732" s="432"/>
      <c r="V732" s="432"/>
      <c r="W732" s="432"/>
      <c r="X732" s="432"/>
      <c r="Y732" s="432"/>
      <c r="Z732" s="432"/>
      <c r="AA732" s="432"/>
      <c r="AB732" s="432"/>
      <c r="AC732" s="432"/>
      <c r="AD732" s="432"/>
    </row>
    <row r="733">
      <c r="A733" s="432"/>
      <c r="B733" s="432"/>
      <c r="C733" s="432"/>
      <c r="D733" s="459"/>
      <c r="E733" s="459"/>
      <c r="F733" s="432"/>
      <c r="G733" s="432"/>
      <c r="H733" s="432"/>
      <c r="I733" s="432"/>
      <c r="J733" s="432"/>
      <c r="K733" s="432"/>
      <c r="L733" s="432"/>
      <c r="M733" s="432"/>
      <c r="N733" s="432"/>
      <c r="O733" s="459"/>
      <c r="P733" s="460"/>
      <c r="Q733" s="432"/>
      <c r="R733" s="432"/>
      <c r="S733" s="432"/>
      <c r="T733" s="432"/>
      <c r="U733" s="432"/>
      <c r="V733" s="432"/>
      <c r="W733" s="432"/>
      <c r="X733" s="432"/>
      <c r="Y733" s="432"/>
      <c r="Z733" s="432"/>
      <c r="AA733" s="432"/>
      <c r="AB733" s="432"/>
      <c r="AC733" s="432"/>
      <c r="AD733" s="432"/>
    </row>
    <row r="734">
      <c r="A734" s="432"/>
      <c r="B734" s="432"/>
      <c r="C734" s="432"/>
      <c r="D734" s="459"/>
      <c r="E734" s="459"/>
      <c r="F734" s="432"/>
      <c r="G734" s="432"/>
      <c r="H734" s="432"/>
      <c r="I734" s="432"/>
      <c r="J734" s="432"/>
      <c r="K734" s="432"/>
      <c r="L734" s="432"/>
      <c r="M734" s="432"/>
      <c r="N734" s="432"/>
      <c r="O734" s="459"/>
      <c r="P734" s="460"/>
      <c r="Q734" s="432"/>
      <c r="R734" s="432"/>
      <c r="S734" s="432"/>
      <c r="T734" s="432"/>
      <c r="U734" s="432"/>
      <c r="V734" s="432"/>
      <c r="W734" s="432"/>
      <c r="X734" s="432"/>
      <c r="Y734" s="432"/>
      <c r="Z734" s="432"/>
      <c r="AA734" s="432"/>
      <c r="AB734" s="432"/>
      <c r="AC734" s="432"/>
      <c r="AD734" s="432"/>
    </row>
    <row r="735">
      <c r="A735" s="432"/>
      <c r="B735" s="432"/>
      <c r="C735" s="432"/>
      <c r="D735" s="459"/>
      <c r="E735" s="459"/>
      <c r="F735" s="432"/>
      <c r="G735" s="432"/>
      <c r="H735" s="432"/>
      <c r="I735" s="432"/>
      <c r="J735" s="432"/>
      <c r="K735" s="432"/>
      <c r="L735" s="432"/>
      <c r="M735" s="432"/>
      <c r="N735" s="432"/>
      <c r="O735" s="459"/>
      <c r="P735" s="460"/>
      <c r="Q735" s="432"/>
      <c r="R735" s="432"/>
      <c r="S735" s="432"/>
      <c r="T735" s="432"/>
      <c r="U735" s="432"/>
      <c r="V735" s="432"/>
      <c r="W735" s="432"/>
      <c r="X735" s="432"/>
      <c r="Y735" s="432"/>
      <c r="Z735" s="432"/>
      <c r="AA735" s="432"/>
      <c r="AB735" s="432"/>
      <c r="AC735" s="432"/>
      <c r="AD735" s="432"/>
    </row>
    <row r="736">
      <c r="A736" s="432"/>
      <c r="B736" s="432"/>
      <c r="C736" s="432"/>
      <c r="D736" s="459"/>
      <c r="E736" s="459"/>
      <c r="F736" s="432"/>
      <c r="G736" s="432"/>
      <c r="H736" s="432"/>
      <c r="I736" s="432"/>
      <c r="J736" s="432"/>
      <c r="K736" s="432"/>
      <c r="L736" s="432"/>
      <c r="M736" s="432"/>
      <c r="N736" s="432"/>
      <c r="O736" s="459"/>
      <c r="P736" s="460"/>
      <c r="Q736" s="432"/>
      <c r="R736" s="432"/>
      <c r="S736" s="432"/>
      <c r="T736" s="432"/>
      <c r="U736" s="432"/>
      <c r="V736" s="432"/>
      <c r="W736" s="432"/>
      <c r="X736" s="432"/>
      <c r="Y736" s="432"/>
      <c r="Z736" s="432"/>
      <c r="AA736" s="432"/>
      <c r="AB736" s="432"/>
      <c r="AC736" s="432"/>
      <c r="AD736" s="432"/>
    </row>
    <row r="737">
      <c r="A737" s="432"/>
      <c r="B737" s="432"/>
      <c r="C737" s="432"/>
      <c r="D737" s="459"/>
      <c r="E737" s="459"/>
      <c r="F737" s="432"/>
      <c r="G737" s="432"/>
      <c r="H737" s="432"/>
      <c r="I737" s="432"/>
      <c r="J737" s="432"/>
      <c r="K737" s="432"/>
      <c r="L737" s="432"/>
      <c r="M737" s="432"/>
      <c r="N737" s="432"/>
      <c r="O737" s="459"/>
      <c r="P737" s="460"/>
      <c r="Q737" s="432"/>
      <c r="R737" s="432"/>
      <c r="S737" s="432"/>
      <c r="T737" s="432"/>
      <c r="U737" s="432"/>
      <c r="V737" s="432"/>
      <c r="W737" s="432"/>
      <c r="X737" s="432"/>
      <c r="Y737" s="432"/>
      <c r="Z737" s="432"/>
      <c r="AA737" s="432"/>
      <c r="AB737" s="432"/>
      <c r="AC737" s="432"/>
      <c r="AD737" s="432"/>
    </row>
    <row r="738">
      <c r="A738" s="432"/>
      <c r="B738" s="432"/>
      <c r="C738" s="432"/>
      <c r="D738" s="459"/>
      <c r="E738" s="459"/>
      <c r="F738" s="432"/>
      <c r="G738" s="432"/>
      <c r="H738" s="432"/>
      <c r="I738" s="432"/>
      <c r="J738" s="432"/>
      <c r="K738" s="432"/>
      <c r="L738" s="432"/>
      <c r="M738" s="432"/>
      <c r="N738" s="432"/>
      <c r="O738" s="459"/>
      <c r="P738" s="460"/>
      <c r="Q738" s="432"/>
      <c r="R738" s="432"/>
      <c r="S738" s="432"/>
      <c r="T738" s="432"/>
      <c r="U738" s="432"/>
      <c r="V738" s="432"/>
      <c r="W738" s="432"/>
      <c r="X738" s="432"/>
      <c r="Y738" s="432"/>
      <c r="Z738" s="432"/>
      <c r="AA738" s="432"/>
      <c r="AB738" s="432"/>
      <c r="AC738" s="432"/>
      <c r="AD738" s="432"/>
    </row>
    <row r="739">
      <c r="A739" s="432"/>
      <c r="B739" s="432"/>
      <c r="C739" s="432"/>
      <c r="D739" s="459"/>
      <c r="E739" s="459"/>
      <c r="F739" s="432"/>
      <c r="G739" s="432"/>
      <c r="H739" s="432"/>
      <c r="I739" s="432"/>
      <c r="J739" s="432"/>
      <c r="K739" s="432"/>
      <c r="L739" s="432"/>
      <c r="M739" s="432"/>
      <c r="N739" s="432"/>
      <c r="O739" s="459"/>
      <c r="P739" s="460"/>
      <c r="Q739" s="432"/>
      <c r="R739" s="432"/>
      <c r="S739" s="432"/>
      <c r="T739" s="432"/>
      <c r="U739" s="432"/>
      <c r="V739" s="432"/>
      <c r="W739" s="432"/>
      <c r="X739" s="432"/>
      <c r="Y739" s="432"/>
      <c r="Z739" s="432"/>
      <c r="AA739" s="432"/>
      <c r="AB739" s="432"/>
      <c r="AC739" s="432"/>
      <c r="AD739" s="432"/>
    </row>
    <row r="740">
      <c r="A740" s="432"/>
      <c r="B740" s="432"/>
      <c r="C740" s="432"/>
      <c r="D740" s="459"/>
      <c r="E740" s="459"/>
      <c r="F740" s="432"/>
      <c r="G740" s="432"/>
      <c r="H740" s="432"/>
      <c r="I740" s="432"/>
      <c r="J740" s="432"/>
      <c r="K740" s="432"/>
      <c r="L740" s="432"/>
      <c r="M740" s="432"/>
      <c r="N740" s="432"/>
      <c r="O740" s="459"/>
      <c r="P740" s="460"/>
      <c r="Q740" s="432"/>
      <c r="R740" s="432"/>
      <c r="S740" s="432"/>
      <c r="T740" s="432"/>
      <c r="U740" s="432"/>
      <c r="V740" s="432"/>
      <c r="W740" s="432"/>
      <c r="X740" s="432"/>
      <c r="Y740" s="432"/>
      <c r="Z740" s="432"/>
      <c r="AA740" s="432"/>
      <c r="AB740" s="432"/>
      <c r="AC740" s="432"/>
      <c r="AD740" s="432"/>
    </row>
    <row r="741">
      <c r="A741" s="432"/>
      <c r="B741" s="432"/>
      <c r="C741" s="432"/>
      <c r="D741" s="459"/>
      <c r="E741" s="459"/>
      <c r="F741" s="432"/>
      <c r="G741" s="432"/>
      <c r="H741" s="432"/>
      <c r="I741" s="432"/>
      <c r="J741" s="432"/>
      <c r="K741" s="432"/>
      <c r="L741" s="432"/>
      <c r="M741" s="432"/>
      <c r="N741" s="432"/>
      <c r="O741" s="459"/>
      <c r="P741" s="460"/>
      <c r="Q741" s="432"/>
      <c r="R741" s="432"/>
      <c r="S741" s="432"/>
      <c r="T741" s="432"/>
      <c r="U741" s="432"/>
      <c r="V741" s="432"/>
      <c r="W741" s="432"/>
      <c r="X741" s="432"/>
      <c r="Y741" s="432"/>
      <c r="Z741" s="432"/>
      <c r="AA741" s="432"/>
      <c r="AB741" s="432"/>
      <c r="AC741" s="432"/>
      <c r="AD741" s="432"/>
    </row>
    <row r="742">
      <c r="A742" s="432"/>
      <c r="B742" s="432"/>
      <c r="C742" s="432"/>
      <c r="D742" s="459"/>
      <c r="E742" s="459"/>
      <c r="F742" s="432"/>
      <c r="G742" s="432"/>
      <c r="H742" s="432"/>
      <c r="I742" s="432"/>
      <c r="J742" s="432"/>
      <c r="K742" s="432"/>
      <c r="L742" s="432"/>
      <c r="M742" s="432"/>
      <c r="N742" s="432"/>
      <c r="O742" s="459"/>
      <c r="P742" s="460"/>
      <c r="Q742" s="432"/>
      <c r="R742" s="432"/>
      <c r="S742" s="432"/>
      <c r="T742" s="432"/>
      <c r="U742" s="432"/>
      <c r="V742" s="432"/>
      <c r="W742" s="432"/>
      <c r="X742" s="432"/>
      <c r="Y742" s="432"/>
      <c r="Z742" s="432"/>
      <c r="AA742" s="432"/>
      <c r="AB742" s="432"/>
      <c r="AC742" s="432"/>
      <c r="AD742" s="432"/>
    </row>
    <row r="743">
      <c r="A743" s="432"/>
      <c r="B743" s="432"/>
      <c r="C743" s="432"/>
      <c r="D743" s="459"/>
      <c r="E743" s="459"/>
      <c r="F743" s="432"/>
      <c r="G743" s="432"/>
      <c r="H743" s="432"/>
      <c r="I743" s="432"/>
      <c r="J743" s="432"/>
      <c r="K743" s="432"/>
      <c r="L743" s="432"/>
      <c r="M743" s="432"/>
      <c r="N743" s="432"/>
      <c r="O743" s="459"/>
      <c r="P743" s="460"/>
      <c r="Q743" s="432"/>
      <c r="R743" s="432"/>
      <c r="S743" s="432"/>
      <c r="T743" s="432"/>
      <c r="U743" s="432"/>
      <c r="V743" s="432"/>
      <c r="W743" s="432"/>
      <c r="X743" s="432"/>
      <c r="Y743" s="432"/>
      <c r="Z743" s="432"/>
      <c r="AA743" s="432"/>
      <c r="AB743" s="432"/>
      <c r="AC743" s="432"/>
      <c r="AD743" s="432"/>
    </row>
    <row r="744">
      <c r="A744" s="432"/>
      <c r="B744" s="432"/>
      <c r="C744" s="432"/>
      <c r="D744" s="459"/>
      <c r="E744" s="459"/>
      <c r="F744" s="432"/>
      <c r="G744" s="432"/>
      <c r="H744" s="432"/>
      <c r="I744" s="432"/>
      <c r="J744" s="432"/>
      <c r="K744" s="432"/>
      <c r="L744" s="432"/>
      <c r="M744" s="432"/>
      <c r="N744" s="432"/>
      <c r="O744" s="459"/>
      <c r="P744" s="460"/>
      <c r="Q744" s="432"/>
      <c r="R744" s="432"/>
      <c r="S744" s="432"/>
      <c r="T744" s="432"/>
      <c r="U744" s="432"/>
      <c r="V744" s="432"/>
      <c r="W744" s="432"/>
      <c r="X744" s="432"/>
      <c r="Y744" s="432"/>
      <c r="Z744" s="432"/>
      <c r="AA744" s="432"/>
      <c r="AB744" s="432"/>
      <c r="AC744" s="432"/>
      <c r="AD744" s="432"/>
    </row>
    <row r="745">
      <c r="A745" s="432"/>
      <c r="B745" s="432"/>
      <c r="C745" s="432"/>
      <c r="D745" s="459"/>
      <c r="E745" s="459"/>
      <c r="F745" s="432"/>
      <c r="G745" s="432"/>
      <c r="H745" s="432"/>
      <c r="I745" s="432"/>
      <c r="J745" s="432"/>
      <c r="K745" s="432"/>
      <c r="L745" s="432"/>
      <c r="M745" s="432"/>
      <c r="N745" s="432"/>
      <c r="O745" s="459"/>
      <c r="P745" s="460"/>
      <c r="Q745" s="432"/>
      <c r="R745" s="432"/>
      <c r="S745" s="432"/>
      <c r="T745" s="432"/>
      <c r="U745" s="432"/>
      <c r="V745" s="432"/>
      <c r="W745" s="432"/>
      <c r="X745" s="432"/>
      <c r="Y745" s="432"/>
      <c r="Z745" s="432"/>
      <c r="AA745" s="432"/>
      <c r="AB745" s="432"/>
      <c r="AC745" s="432"/>
      <c r="AD745" s="432"/>
    </row>
    <row r="746">
      <c r="A746" s="432"/>
      <c r="B746" s="432"/>
      <c r="C746" s="432"/>
      <c r="D746" s="459"/>
      <c r="E746" s="459"/>
      <c r="F746" s="432"/>
      <c r="G746" s="432"/>
      <c r="H746" s="432"/>
      <c r="I746" s="432"/>
      <c r="J746" s="432"/>
      <c r="K746" s="432"/>
      <c r="L746" s="432"/>
      <c r="M746" s="432"/>
      <c r="N746" s="432"/>
      <c r="O746" s="459"/>
      <c r="P746" s="460"/>
      <c r="Q746" s="432"/>
      <c r="R746" s="432"/>
      <c r="S746" s="432"/>
      <c r="T746" s="432"/>
      <c r="U746" s="432"/>
      <c r="V746" s="432"/>
      <c r="W746" s="432"/>
      <c r="X746" s="432"/>
      <c r="Y746" s="432"/>
      <c r="Z746" s="432"/>
      <c r="AA746" s="432"/>
      <c r="AB746" s="432"/>
      <c r="AC746" s="432"/>
      <c r="AD746" s="432"/>
    </row>
    <row r="747">
      <c r="A747" s="432"/>
      <c r="B747" s="432"/>
      <c r="C747" s="432"/>
      <c r="D747" s="459"/>
      <c r="E747" s="459"/>
      <c r="F747" s="432"/>
      <c r="G747" s="432"/>
      <c r="H747" s="432"/>
      <c r="I747" s="432"/>
      <c r="J747" s="432"/>
      <c r="K747" s="432"/>
      <c r="L747" s="432"/>
      <c r="M747" s="432"/>
      <c r="N747" s="432"/>
      <c r="O747" s="459"/>
      <c r="P747" s="460"/>
      <c r="Q747" s="432"/>
      <c r="R747" s="432"/>
      <c r="S747" s="432"/>
      <c r="T747" s="432"/>
      <c r="U747" s="432"/>
      <c r="V747" s="432"/>
      <c r="W747" s="432"/>
      <c r="X747" s="432"/>
      <c r="Y747" s="432"/>
      <c r="Z747" s="432"/>
      <c r="AA747" s="432"/>
      <c r="AB747" s="432"/>
      <c r="AC747" s="432"/>
      <c r="AD747" s="432"/>
    </row>
    <row r="748">
      <c r="A748" s="432"/>
      <c r="B748" s="432"/>
      <c r="C748" s="432"/>
      <c r="D748" s="459"/>
      <c r="E748" s="459"/>
      <c r="F748" s="432"/>
      <c r="G748" s="432"/>
      <c r="H748" s="432"/>
      <c r="I748" s="432"/>
      <c r="J748" s="432"/>
      <c r="K748" s="432"/>
      <c r="L748" s="432"/>
      <c r="M748" s="432"/>
      <c r="N748" s="432"/>
      <c r="O748" s="459"/>
      <c r="P748" s="460"/>
      <c r="Q748" s="432"/>
      <c r="R748" s="432"/>
      <c r="S748" s="432"/>
      <c r="T748" s="432"/>
      <c r="U748" s="432"/>
      <c r="V748" s="432"/>
      <c r="W748" s="432"/>
      <c r="X748" s="432"/>
      <c r="Y748" s="432"/>
      <c r="Z748" s="432"/>
      <c r="AA748" s="432"/>
      <c r="AB748" s="432"/>
      <c r="AC748" s="432"/>
      <c r="AD748" s="432"/>
    </row>
    <row r="749">
      <c r="A749" s="432"/>
      <c r="B749" s="432"/>
      <c r="C749" s="432"/>
      <c r="D749" s="459"/>
      <c r="E749" s="459"/>
      <c r="F749" s="432"/>
      <c r="G749" s="432"/>
      <c r="H749" s="432"/>
      <c r="I749" s="432"/>
      <c r="J749" s="432"/>
      <c r="K749" s="432"/>
      <c r="L749" s="432"/>
      <c r="M749" s="432"/>
      <c r="N749" s="432"/>
      <c r="O749" s="459"/>
      <c r="P749" s="460"/>
      <c r="Q749" s="432"/>
      <c r="R749" s="432"/>
      <c r="S749" s="432"/>
      <c r="T749" s="432"/>
      <c r="U749" s="432"/>
      <c r="V749" s="432"/>
      <c r="W749" s="432"/>
      <c r="X749" s="432"/>
      <c r="Y749" s="432"/>
      <c r="Z749" s="432"/>
      <c r="AA749" s="432"/>
      <c r="AB749" s="432"/>
      <c r="AC749" s="432"/>
      <c r="AD749" s="432"/>
    </row>
    <row r="750">
      <c r="A750" s="432"/>
      <c r="B750" s="432"/>
      <c r="C750" s="432"/>
      <c r="D750" s="459"/>
      <c r="E750" s="459"/>
      <c r="F750" s="432"/>
      <c r="G750" s="432"/>
      <c r="H750" s="432"/>
      <c r="I750" s="432"/>
      <c r="J750" s="432"/>
      <c r="K750" s="432"/>
      <c r="L750" s="432"/>
      <c r="M750" s="432"/>
      <c r="N750" s="432"/>
      <c r="O750" s="459"/>
      <c r="P750" s="460"/>
      <c r="Q750" s="432"/>
      <c r="R750" s="432"/>
      <c r="S750" s="432"/>
      <c r="T750" s="432"/>
      <c r="U750" s="432"/>
      <c r="V750" s="432"/>
      <c r="W750" s="432"/>
      <c r="X750" s="432"/>
      <c r="Y750" s="432"/>
      <c r="Z750" s="432"/>
      <c r="AA750" s="432"/>
      <c r="AB750" s="432"/>
      <c r="AC750" s="432"/>
      <c r="AD750" s="432"/>
    </row>
    <row r="751">
      <c r="A751" s="432"/>
      <c r="B751" s="432"/>
      <c r="C751" s="432"/>
      <c r="D751" s="459"/>
      <c r="E751" s="459"/>
      <c r="F751" s="432"/>
      <c r="G751" s="432"/>
      <c r="H751" s="432"/>
      <c r="I751" s="432"/>
      <c r="J751" s="432"/>
      <c r="K751" s="432"/>
      <c r="L751" s="432"/>
      <c r="M751" s="432"/>
      <c r="N751" s="432"/>
      <c r="O751" s="459"/>
      <c r="P751" s="460"/>
      <c r="Q751" s="432"/>
      <c r="R751" s="432"/>
      <c r="S751" s="432"/>
      <c r="T751" s="432"/>
      <c r="U751" s="432"/>
      <c r="V751" s="432"/>
      <c r="W751" s="432"/>
      <c r="X751" s="432"/>
      <c r="Y751" s="432"/>
      <c r="Z751" s="432"/>
      <c r="AA751" s="432"/>
      <c r="AB751" s="432"/>
      <c r="AC751" s="432"/>
      <c r="AD751" s="432"/>
    </row>
    <row r="752">
      <c r="A752" s="432"/>
      <c r="B752" s="432"/>
      <c r="C752" s="432"/>
      <c r="D752" s="459"/>
      <c r="E752" s="459"/>
      <c r="F752" s="432"/>
      <c r="G752" s="432"/>
      <c r="H752" s="432"/>
      <c r="I752" s="432"/>
      <c r="J752" s="432"/>
      <c r="K752" s="432"/>
      <c r="L752" s="432"/>
      <c r="M752" s="432"/>
      <c r="N752" s="432"/>
      <c r="O752" s="459"/>
      <c r="P752" s="460"/>
      <c r="Q752" s="432"/>
      <c r="R752" s="432"/>
      <c r="S752" s="432"/>
      <c r="T752" s="432"/>
      <c r="U752" s="432"/>
      <c r="V752" s="432"/>
      <c r="W752" s="432"/>
      <c r="X752" s="432"/>
      <c r="Y752" s="432"/>
      <c r="Z752" s="432"/>
      <c r="AA752" s="432"/>
      <c r="AB752" s="432"/>
      <c r="AC752" s="432"/>
      <c r="AD752" s="432"/>
    </row>
    <row r="753">
      <c r="A753" s="432"/>
      <c r="B753" s="432"/>
      <c r="C753" s="432"/>
      <c r="D753" s="459"/>
      <c r="E753" s="459"/>
      <c r="F753" s="432"/>
      <c r="G753" s="432"/>
      <c r="H753" s="432"/>
      <c r="I753" s="432"/>
      <c r="J753" s="432"/>
      <c r="K753" s="432"/>
      <c r="L753" s="432"/>
      <c r="M753" s="432"/>
      <c r="N753" s="432"/>
      <c r="O753" s="459"/>
      <c r="P753" s="460"/>
      <c r="Q753" s="432"/>
      <c r="R753" s="432"/>
      <c r="S753" s="432"/>
      <c r="T753" s="432"/>
      <c r="U753" s="432"/>
      <c r="V753" s="432"/>
      <c r="W753" s="432"/>
      <c r="X753" s="432"/>
      <c r="Y753" s="432"/>
      <c r="Z753" s="432"/>
      <c r="AA753" s="432"/>
      <c r="AB753" s="432"/>
      <c r="AC753" s="432"/>
      <c r="AD753" s="432"/>
    </row>
    <row r="754">
      <c r="A754" s="432"/>
      <c r="B754" s="432"/>
      <c r="C754" s="432"/>
      <c r="D754" s="459"/>
      <c r="E754" s="459"/>
      <c r="F754" s="432"/>
      <c r="G754" s="432"/>
      <c r="H754" s="432"/>
      <c r="I754" s="432"/>
      <c r="J754" s="432"/>
      <c r="K754" s="432"/>
      <c r="L754" s="432"/>
      <c r="M754" s="432"/>
      <c r="N754" s="432"/>
      <c r="O754" s="459"/>
      <c r="P754" s="460"/>
      <c r="Q754" s="432"/>
      <c r="R754" s="432"/>
      <c r="S754" s="432"/>
      <c r="T754" s="432"/>
      <c r="U754" s="432"/>
      <c r="V754" s="432"/>
      <c r="W754" s="432"/>
      <c r="X754" s="432"/>
      <c r="Y754" s="432"/>
      <c r="Z754" s="432"/>
      <c r="AA754" s="432"/>
      <c r="AB754" s="432"/>
      <c r="AC754" s="432"/>
      <c r="AD754" s="432"/>
    </row>
    <row r="755">
      <c r="A755" s="432"/>
      <c r="B755" s="432"/>
      <c r="C755" s="432"/>
      <c r="D755" s="459"/>
      <c r="E755" s="459"/>
      <c r="F755" s="432"/>
      <c r="G755" s="432"/>
      <c r="H755" s="432"/>
      <c r="I755" s="432"/>
      <c r="J755" s="432"/>
      <c r="K755" s="432"/>
      <c r="L755" s="432"/>
      <c r="M755" s="432"/>
      <c r="N755" s="432"/>
      <c r="O755" s="459"/>
      <c r="P755" s="460"/>
      <c r="Q755" s="432"/>
      <c r="R755" s="432"/>
      <c r="S755" s="432"/>
      <c r="T755" s="432"/>
      <c r="U755" s="432"/>
      <c r="V755" s="432"/>
      <c r="W755" s="432"/>
      <c r="X755" s="432"/>
      <c r="Y755" s="432"/>
      <c r="Z755" s="432"/>
      <c r="AA755" s="432"/>
      <c r="AB755" s="432"/>
      <c r="AC755" s="432"/>
      <c r="AD755" s="432"/>
    </row>
    <row r="756">
      <c r="A756" s="432"/>
      <c r="B756" s="432"/>
      <c r="C756" s="432"/>
      <c r="D756" s="459"/>
      <c r="E756" s="459"/>
      <c r="F756" s="432"/>
      <c r="G756" s="432"/>
      <c r="H756" s="432"/>
      <c r="I756" s="432"/>
      <c r="J756" s="432"/>
      <c r="K756" s="432"/>
      <c r="L756" s="432"/>
      <c r="M756" s="432"/>
      <c r="N756" s="432"/>
      <c r="O756" s="459"/>
      <c r="P756" s="460"/>
      <c r="Q756" s="432"/>
      <c r="R756" s="432"/>
      <c r="S756" s="432"/>
      <c r="T756" s="432"/>
      <c r="U756" s="432"/>
      <c r="V756" s="432"/>
      <c r="W756" s="432"/>
      <c r="X756" s="432"/>
      <c r="Y756" s="432"/>
      <c r="Z756" s="432"/>
      <c r="AA756" s="432"/>
      <c r="AB756" s="432"/>
      <c r="AC756" s="432"/>
      <c r="AD756" s="432"/>
    </row>
    <row r="757">
      <c r="A757" s="432"/>
      <c r="B757" s="432"/>
      <c r="C757" s="432"/>
      <c r="D757" s="459"/>
      <c r="E757" s="459"/>
      <c r="F757" s="432"/>
      <c r="G757" s="432"/>
      <c r="H757" s="432"/>
      <c r="I757" s="432"/>
      <c r="J757" s="432"/>
      <c r="K757" s="432"/>
      <c r="L757" s="432"/>
      <c r="M757" s="432"/>
      <c r="N757" s="432"/>
      <c r="O757" s="459"/>
      <c r="P757" s="460"/>
      <c r="Q757" s="432"/>
      <c r="R757" s="432"/>
      <c r="S757" s="432"/>
      <c r="T757" s="432"/>
      <c r="U757" s="432"/>
      <c r="V757" s="432"/>
      <c r="W757" s="432"/>
      <c r="X757" s="432"/>
      <c r="Y757" s="432"/>
      <c r="Z757" s="432"/>
      <c r="AA757" s="432"/>
      <c r="AB757" s="432"/>
      <c r="AC757" s="432"/>
      <c r="AD757" s="432"/>
    </row>
    <row r="758">
      <c r="A758" s="432"/>
      <c r="B758" s="432"/>
      <c r="C758" s="432"/>
      <c r="D758" s="459"/>
      <c r="E758" s="459"/>
      <c r="F758" s="432"/>
      <c r="G758" s="432"/>
      <c r="H758" s="432"/>
      <c r="I758" s="432"/>
      <c r="J758" s="432"/>
      <c r="K758" s="432"/>
      <c r="L758" s="432"/>
      <c r="M758" s="432"/>
      <c r="N758" s="432"/>
      <c r="O758" s="459"/>
      <c r="P758" s="460"/>
      <c r="Q758" s="432"/>
      <c r="R758" s="432"/>
      <c r="S758" s="432"/>
      <c r="T758" s="432"/>
      <c r="U758" s="432"/>
      <c r="V758" s="432"/>
      <c r="W758" s="432"/>
      <c r="X758" s="432"/>
      <c r="Y758" s="432"/>
      <c r="Z758" s="432"/>
      <c r="AA758" s="432"/>
      <c r="AB758" s="432"/>
      <c r="AC758" s="432"/>
      <c r="AD758" s="432"/>
    </row>
    <row r="759">
      <c r="A759" s="432"/>
      <c r="B759" s="432"/>
      <c r="C759" s="432"/>
      <c r="D759" s="459"/>
      <c r="E759" s="459"/>
      <c r="F759" s="432"/>
      <c r="G759" s="432"/>
      <c r="H759" s="432"/>
      <c r="I759" s="432"/>
      <c r="J759" s="432"/>
      <c r="K759" s="432"/>
      <c r="L759" s="432"/>
      <c r="M759" s="432"/>
      <c r="N759" s="432"/>
      <c r="O759" s="459"/>
      <c r="P759" s="460"/>
      <c r="Q759" s="432"/>
      <c r="R759" s="432"/>
      <c r="S759" s="432"/>
      <c r="T759" s="432"/>
      <c r="U759" s="432"/>
      <c r="V759" s="432"/>
      <c r="W759" s="432"/>
      <c r="X759" s="432"/>
      <c r="Y759" s="432"/>
      <c r="Z759" s="432"/>
      <c r="AA759" s="432"/>
      <c r="AB759" s="432"/>
      <c r="AC759" s="432"/>
      <c r="AD759" s="432"/>
    </row>
    <row r="760">
      <c r="A760" s="432"/>
      <c r="B760" s="432"/>
      <c r="C760" s="432"/>
      <c r="D760" s="459"/>
      <c r="E760" s="459"/>
      <c r="F760" s="432"/>
      <c r="G760" s="432"/>
      <c r="H760" s="432"/>
      <c r="I760" s="432"/>
      <c r="J760" s="432"/>
      <c r="K760" s="432"/>
      <c r="L760" s="432"/>
      <c r="M760" s="432"/>
      <c r="N760" s="432"/>
      <c r="O760" s="459"/>
      <c r="P760" s="460"/>
      <c r="Q760" s="432"/>
      <c r="R760" s="432"/>
      <c r="S760" s="432"/>
      <c r="T760" s="432"/>
      <c r="U760" s="432"/>
      <c r="V760" s="432"/>
      <c r="W760" s="432"/>
      <c r="X760" s="432"/>
      <c r="Y760" s="432"/>
      <c r="Z760" s="432"/>
      <c r="AA760" s="432"/>
      <c r="AB760" s="432"/>
      <c r="AC760" s="432"/>
      <c r="AD760" s="432"/>
    </row>
    <row r="761">
      <c r="A761" s="432"/>
      <c r="B761" s="432"/>
      <c r="C761" s="432"/>
      <c r="D761" s="459"/>
      <c r="E761" s="459"/>
      <c r="F761" s="432"/>
      <c r="G761" s="432"/>
      <c r="H761" s="432"/>
      <c r="I761" s="432"/>
      <c r="J761" s="432"/>
      <c r="K761" s="432"/>
      <c r="L761" s="432"/>
      <c r="M761" s="432"/>
      <c r="N761" s="432"/>
      <c r="O761" s="459"/>
      <c r="P761" s="460"/>
      <c r="Q761" s="432"/>
      <c r="R761" s="432"/>
      <c r="S761" s="432"/>
      <c r="T761" s="432"/>
      <c r="U761" s="432"/>
      <c r="V761" s="432"/>
      <c r="W761" s="432"/>
      <c r="X761" s="432"/>
      <c r="Y761" s="432"/>
      <c r="Z761" s="432"/>
      <c r="AA761" s="432"/>
      <c r="AB761" s="432"/>
      <c r="AC761" s="432"/>
      <c r="AD761" s="432"/>
    </row>
    <row r="762">
      <c r="A762" s="432"/>
      <c r="B762" s="432"/>
      <c r="C762" s="432"/>
      <c r="D762" s="459"/>
      <c r="E762" s="459"/>
      <c r="F762" s="432"/>
      <c r="G762" s="432"/>
      <c r="H762" s="432"/>
      <c r="I762" s="432"/>
      <c r="J762" s="432"/>
      <c r="K762" s="432"/>
      <c r="L762" s="432"/>
      <c r="M762" s="432"/>
      <c r="N762" s="432"/>
      <c r="O762" s="459"/>
      <c r="P762" s="460"/>
      <c r="Q762" s="432"/>
      <c r="R762" s="432"/>
      <c r="S762" s="432"/>
      <c r="T762" s="432"/>
      <c r="U762" s="432"/>
      <c r="V762" s="432"/>
      <c r="W762" s="432"/>
      <c r="X762" s="432"/>
      <c r="Y762" s="432"/>
      <c r="Z762" s="432"/>
      <c r="AA762" s="432"/>
      <c r="AB762" s="432"/>
      <c r="AC762" s="432"/>
      <c r="AD762" s="432"/>
    </row>
    <row r="763">
      <c r="A763" s="432"/>
      <c r="B763" s="432"/>
      <c r="C763" s="432"/>
      <c r="D763" s="459"/>
      <c r="E763" s="459"/>
      <c r="F763" s="432"/>
      <c r="G763" s="432"/>
      <c r="H763" s="432"/>
      <c r="I763" s="432"/>
      <c r="J763" s="432"/>
      <c r="K763" s="432"/>
      <c r="L763" s="432"/>
      <c r="M763" s="432"/>
      <c r="N763" s="432"/>
      <c r="O763" s="459"/>
      <c r="P763" s="460"/>
      <c r="Q763" s="432"/>
      <c r="R763" s="432"/>
      <c r="S763" s="432"/>
      <c r="T763" s="432"/>
      <c r="U763" s="432"/>
      <c r="V763" s="432"/>
      <c r="W763" s="432"/>
      <c r="X763" s="432"/>
      <c r="Y763" s="432"/>
      <c r="Z763" s="432"/>
      <c r="AA763" s="432"/>
      <c r="AB763" s="432"/>
      <c r="AC763" s="432"/>
      <c r="AD763" s="432"/>
    </row>
    <row r="764">
      <c r="A764" s="432"/>
      <c r="B764" s="432"/>
      <c r="C764" s="432"/>
      <c r="D764" s="459"/>
      <c r="E764" s="459"/>
      <c r="F764" s="432"/>
      <c r="G764" s="432"/>
      <c r="H764" s="432"/>
      <c r="I764" s="432"/>
      <c r="J764" s="432"/>
      <c r="K764" s="432"/>
      <c r="L764" s="432"/>
      <c r="M764" s="432"/>
      <c r="N764" s="432"/>
      <c r="O764" s="459"/>
      <c r="P764" s="460"/>
      <c r="Q764" s="432"/>
      <c r="R764" s="432"/>
      <c r="S764" s="432"/>
      <c r="T764" s="432"/>
      <c r="U764" s="432"/>
      <c r="V764" s="432"/>
      <c r="W764" s="432"/>
      <c r="X764" s="432"/>
      <c r="Y764" s="432"/>
      <c r="Z764" s="432"/>
      <c r="AA764" s="432"/>
      <c r="AB764" s="432"/>
      <c r="AC764" s="432"/>
      <c r="AD764" s="432"/>
    </row>
    <row r="765">
      <c r="A765" s="432"/>
      <c r="B765" s="432"/>
      <c r="C765" s="432"/>
      <c r="D765" s="459"/>
      <c r="E765" s="459"/>
      <c r="F765" s="432"/>
      <c r="G765" s="432"/>
      <c r="H765" s="432"/>
      <c r="I765" s="432"/>
      <c r="J765" s="432"/>
      <c r="K765" s="432"/>
      <c r="L765" s="432"/>
      <c r="M765" s="432"/>
      <c r="N765" s="432"/>
      <c r="O765" s="459"/>
      <c r="P765" s="460"/>
      <c r="Q765" s="432"/>
      <c r="R765" s="432"/>
      <c r="S765" s="432"/>
      <c r="T765" s="432"/>
      <c r="U765" s="432"/>
      <c r="V765" s="432"/>
      <c r="W765" s="432"/>
      <c r="X765" s="432"/>
      <c r="Y765" s="432"/>
      <c r="Z765" s="432"/>
      <c r="AA765" s="432"/>
      <c r="AB765" s="432"/>
      <c r="AC765" s="432"/>
      <c r="AD765" s="432"/>
    </row>
    <row r="766">
      <c r="A766" s="432"/>
      <c r="B766" s="432"/>
      <c r="C766" s="432"/>
      <c r="D766" s="459"/>
      <c r="E766" s="459"/>
      <c r="F766" s="432"/>
      <c r="G766" s="432"/>
      <c r="H766" s="432"/>
      <c r="I766" s="432"/>
      <c r="J766" s="432"/>
      <c r="K766" s="432"/>
      <c r="L766" s="432"/>
      <c r="M766" s="432"/>
      <c r="N766" s="432"/>
      <c r="O766" s="459"/>
      <c r="P766" s="460"/>
      <c r="Q766" s="432"/>
      <c r="R766" s="432"/>
      <c r="S766" s="432"/>
      <c r="T766" s="432"/>
      <c r="U766" s="432"/>
      <c r="V766" s="432"/>
      <c r="W766" s="432"/>
      <c r="X766" s="432"/>
      <c r="Y766" s="432"/>
      <c r="Z766" s="432"/>
      <c r="AA766" s="432"/>
      <c r="AB766" s="432"/>
      <c r="AC766" s="432"/>
      <c r="AD766" s="432"/>
    </row>
    <row r="767">
      <c r="A767" s="432"/>
      <c r="B767" s="432"/>
      <c r="C767" s="432"/>
      <c r="D767" s="459"/>
      <c r="E767" s="459"/>
      <c r="F767" s="432"/>
      <c r="G767" s="432"/>
      <c r="H767" s="432"/>
      <c r="I767" s="432"/>
      <c r="J767" s="432"/>
      <c r="K767" s="432"/>
      <c r="L767" s="432"/>
      <c r="M767" s="432"/>
      <c r="N767" s="432"/>
      <c r="O767" s="459"/>
      <c r="P767" s="460"/>
      <c r="Q767" s="432"/>
      <c r="R767" s="432"/>
      <c r="S767" s="432"/>
      <c r="T767" s="432"/>
      <c r="U767" s="432"/>
      <c r="V767" s="432"/>
      <c r="W767" s="432"/>
      <c r="X767" s="432"/>
      <c r="Y767" s="432"/>
      <c r="Z767" s="432"/>
      <c r="AA767" s="432"/>
      <c r="AB767" s="432"/>
      <c r="AC767" s="432"/>
      <c r="AD767" s="432"/>
    </row>
    <row r="768">
      <c r="A768" s="432"/>
      <c r="B768" s="432"/>
      <c r="C768" s="432"/>
      <c r="D768" s="459"/>
      <c r="E768" s="459"/>
      <c r="F768" s="432"/>
      <c r="G768" s="432"/>
      <c r="H768" s="432"/>
      <c r="I768" s="432"/>
      <c r="J768" s="432"/>
      <c r="K768" s="432"/>
      <c r="L768" s="432"/>
      <c r="M768" s="432"/>
      <c r="N768" s="432"/>
      <c r="O768" s="459"/>
      <c r="P768" s="460"/>
      <c r="Q768" s="432"/>
      <c r="R768" s="432"/>
      <c r="S768" s="432"/>
      <c r="T768" s="432"/>
      <c r="U768" s="432"/>
      <c r="V768" s="432"/>
      <c r="W768" s="432"/>
      <c r="X768" s="432"/>
      <c r="Y768" s="432"/>
      <c r="Z768" s="432"/>
      <c r="AA768" s="432"/>
      <c r="AB768" s="432"/>
      <c r="AC768" s="432"/>
      <c r="AD768" s="432"/>
    </row>
    <row r="769">
      <c r="A769" s="432"/>
      <c r="B769" s="432"/>
      <c r="C769" s="432"/>
      <c r="D769" s="459"/>
      <c r="E769" s="459"/>
      <c r="F769" s="432"/>
      <c r="G769" s="432"/>
      <c r="H769" s="432"/>
      <c r="I769" s="432"/>
      <c r="J769" s="432"/>
      <c r="K769" s="432"/>
      <c r="L769" s="432"/>
      <c r="M769" s="432"/>
      <c r="N769" s="432"/>
      <c r="O769" s="459"/>
      <c r="P769" s="460"/>
      <c r="Q769" s="432"/>
      <c r="R769" s="432"/>
      <c r="S769" s="432"/>
      <c r="T769" s="432"/>
      <c r="U769" s="432"/>
      <c r="V769" s="432"/>
      <c r="W769" s="432"/>
      <c r="X769" s="432"/>
      <c r="Y769" s="432"/>
      <c r="Z769" s="432"/>
      <c r="AA769" s="432"/>
      <c r="AB769" s="432"/>
      <c r="AC769" s="432"/>
      <c r="AD769" s="432"/>
    </row>
    <row r="770">
      <c r="A770" s="432"/>
      <c r="B770" s="432"/>
      <c r="C770" s="432"/>
      <c r="D770" s="459"/>
      <c r="E770" s="459"/>
      <c r="F770" s="432"/>
      <c r="G770" s="432"/>
      <c r="H770" s="432"/>
      <c r="I770" s="432"/>
      <c r="J770" s="432"/>
      <c r="K770" s="432"/>
      <c r="L770" s="432"/>
      <c r="M770" s="432"/>
      <c r="N770" s="432"/>
      <c r="O770" s="459"/>
      <c r="P770" s="460"/>
      <c r="Q770" s="432"/>
      <c r="R770" s="432"/>
      <c r="S770" s="432"/>
      <c r="T770" s="432"/>
      <c r="U770" s="432"/>
      <c r="V770" s="432"/>
      <c r="W770" s="432"/>
      <c r="X770" s="432"/>
      <c r="Y770" s="432"/>
      <c r="Z770" s="432"/>
      <c r="AA770" s="432"/>
      <c r="AB770" s="432"/>
      <c r="AC770" s="432"/>
      <c r="AD770" s="432"/>
    </row>
    <row r="771">
      <c r="A771" s="432"/>
      <c r="B771" s="432"/>
      <c r="C771" s="432"/>
      <c r="D771" s="459"/>
      <c r="E771" s="459"/>
      <c r="F771" s="432"/>
      <c r="G771" s="432"/>
      <c r="H771" s="432"/>
      <c r="I771" s="432"/>
      <c r="J771" s="432"/>
      <c r="K771" s="432"/>
      <c r="L771" s="432"/>
      <c r="M771" s="432"/>
      <c r="N771" s="432"/>
      <c r="O771" s="459"/>
      <c r="P771" s="460"/>
      <c r="Q771" s="432"/>
      <c r="R771" s="432"/>
      <c r="S771" s="432"/>
      <c r="T771" s="432"/>
      <c r="U771" s="432"/>
      <c r="V771" s="432"/>
      <c r="W771" s="432"/>
      <c r="X771" s="432"/>
      <c r="Y771" s="432"/>
      <c r="Z771" s="432"/>
      <c r="AA771" s="432"/>
      <c r="AB771" s="432"/>
      <c r="AC771" s="432"/>
      <c r="AD771" s="432"/>
    </row>
    <row r="772">
      <c r="A772" s="432"/>
      <c r="B772" s="432"/>
      <c r="C772" s="432"/>
      <c r="D772" s="459"/>
      <c r="E772" s="459"/>
      <c r="F772" s="432"/>
      <c r="G772" s="432"/>
      <c r="H772" s="432"/>
      <c r="I772" s="432"/>
      <c r="J772" s="432"/>
      <c r="K772" s="432"/>
      <c r="L772" s="432"/>
      <c r="M772" s="432"/>
      <c r="N772" s="432"/>
      <c r="O772" s="459"/>
      <c r="P772" s="460"/>
      <c r="Q772" s="432"/>
      <c r="R772" s="432"/>
      <c r="S772" s="432"/>
      <c r="T772" s="432"/>
      <c r="U772" s="432"/>
      <c r="V772" s="432"/>
      <c r="W772" s="432"/>
      <c r="X772" s="432"/>
      <c r="Y772" s="432"/>
      <c r="Z772" s="432"/>
      <c r="AA772" s="432"/>
      <c r="AB772" s="432"/>
      <c r="AC772" s="432"/>
      <c r="AD772" s="432"/>
    </row>
    <row r="773">
      <c r="A773" s="432"/>
      <c r="B773" s="432"/>
      <c r="C773" s="432"/>
      <c r="D773" s="459"/>
      <c r="E773" s="459"/>
      <c r="F773" s="432"/>
      <c r="G773" s="432"/>
      <c r="H773" s="432"/>
      <c r="I773" s="432"/>
      <c r="J773" s="432"/>
      <c r="K773" s="432"/>
      <c r="L773" s="432"/>
      <c r="M773" s="432"/>
      <c r="N773" s="432"/>
      <c r="O773" s="459"/>
      <c r="P773" s="460"/>
      <c r="Q773" s="432"/>
      <c r="R773" s="432"/>
      <c r="S773" s="432"/>
      <c r="T773" s="432"/>
      <c r="U773" s="432"/>
      <c r="V773" s="432"/>
      <c r="W773" s="432"/>
      <c r="X773" s="432"/>
      <c r="Y773" s="432"/>
      <c r="Z773" s="432"/>
      <c r="AA773" s="432"/>
      <c r="AB773" s="432"/>
      <c r="AC773" s="432"/>
      <c r="AD773" s="432"/>
    </row>
    <row r="774">
      <c r="A774" s="432"/>
      <c r="B774" s="432"/>
      <c r="C774" s="432"/>
      <c r="D774" s="459"/>
      <c r="E774" s="459"/>
      <c r="F774" s="432"/>
      <c r="G774" s="432"/>
      <c r="H774" s="432"/>
      <c r="I774" s="432"/>
      <c r="J774" s="432"/>
      <c r="K774" s="432"/>
      <c r="L774" s="432"/>
      <c r="M774" s="432"/>
      <c r="N774" s="432"/>
      <c r="O774" s="459"/>
      <c r="P774" s="460"/>
      <c r="Q774" s="432"/>
      <c r="R774" s="432"/>
      <c r="S774" s="432"/>
      <c r="T774" s="432"/>
      <c r="U774" s="432"/>
      <c r="V774" s="432"/>
      <c r="W774" s="432"/>
      <c r="X774" s="432"/>
      <c r="Y774" s="432"/>
      <c r="Z774" s="432"/>
      <c r="AA774" s="432"/>
      <c r="AB774" s="432"/>
      <c r="AC774" s="432"/>
      <c r="AD774" s="432"/>
    </row>
    <row r="775">
      <c r="A775" s="432"/>
      <c r="B775" s="432"/>
      <c r="C775" s="432"/>
      <c r="D775" s="459"/>
      <c r="E775" s="459"/>
      <c r="F775" s="432"/>
      <c r="G775" s="432"/>
      <c r="H775" s="432"/>
      <c r="I775" s="432"/>
      <c r="J775" s="432"/>
      <c r="K775" s="432"/>
      <c r="L775" s="432"/>
      <c r="M775" s="432"/>
      <c r="N775" s="432"/>
      <c r="O775" s="459"/>
      <c r="P775" s="460"/>
      <c r="Q775" s="432"/>
      <c r="R775" s="432"/>
      <c r="S775" s="432"/>
      <c r="T775" s="432"/>
      <c r="U775" s="432"/>
      <c r="V775" s="432"/>
      <c r="W775" s="432"/>
      <c r="X775" s="432"/>
      <c r="Y775" s="432"/>
      <c r="Z775" s="432"/>
      <c r="AA775" s="432"/>
      <c r="AB775" s="432"/>
      <c r="AC775" s="432"/>
      <c r="AD775" s="432"/>
    </row>
    <row r="776">
      <c r="A776" s="432"/>
      <c r="B776" s="432"/>
      <c r="C776" s="432"/>
      <c r="D776" s="459"/>
      <c r="E776" s="459"/>
      <c r="F776" s="432"/>
      <c r="G776" s="432"/>
      <c r="H776" s="432"/>
      <c r="I776" s="432"/>
      <c r="J776" s="432"/>
      <c r="K776" s="432"/>
      <c r="L776" s="432"/>
      <c r="M776" s="432"/>
      <c r="N776" s="432"/>
      <c r="O776" s="459"/>
      <c r="P776" s="460"/>
      <c r="Q776" s="432"/>
      <c r="R776" s="432"/>
      <c r="S776" s="432"/>
      <c r="T776" s="432"/>
      <c r="U776" s="432"/>
      <c r="V776" s="432"/>
      <c r="W776" s="432"/>
      <c r="X776" s="432"/>
      <c r="Y776" s="432"/>
      <c r="Z776" s="432"/>
      <c r="AA776" s="432"/>
      <c r="AB776" s="432"/>
      <c r="AC776" s="432"/>
      <c r="AD776" s="432"/>
    </row>
    <row r="777">
      <c r="A777" s="432"/>
      <c r="B777" s="432"/>
      <c r="C777" s="432"/>
      <c r="D777" s="459"/>
      <c r="E777" s="459"/>
      <c r="F777" s="432"/>
      <c r="G777" s="432"/>
      <c r="H777" s="432"/>
      <c r="I777" s="432"/>
      <c r="J777" s="432"/>
      <c r="K777" s="432"/>
      <c r="L777" s="432"/>
      <c r="M777" s="432"/>
      <c r="N777" s="432"/>
      <c r="O777" s="459"/>
      <c r="P777" s="460"/>
      <c r="Q777" s="432"/>
      <c r="R777" s="432"/>
      <c r="S777" s="432"/>
      <c r="T777" s="432"/>
      <c r="U777" s="432"/>
      <c r="V777" s="432"/>
      <c r="W777" s="432"/>
      <c r="X777" s="432"/>
      <c r="Y777" s="432"/>
      <c r="Z777" s="432"/>
      <c r="AA777" s="432"/>
      <c r="AB777" s="432"/>
      <c r="AC777" s="432"/>
      <c r="AD777" s="432"/>
    </row>
    <row r="778">
      <c r="A778" s="432"/>
      <c r="B778" s="432"/>
      <c r="C778" s="432"/>
      <c r="D778" s="459"/>
      <c r="E778" s="459"/>
      <c r="F778" s="432"/>
      <c r="G778" s="432"/>
      <c r="H778" s="432"/>
      <c r="I778" s="432"/>
      <c r="J778" s="432"/>
      <c r="K778" s="432"/>
      <c r="L778" s="432"/>
      <c r="M778" s="432"/>
      <c r="N778" s="432"/>
      <c r="O778" s="459"/>
      <c r="P778" s="460"/>
      <c r="Q778" s="432"/>
      <c r="R778" s="432"/>
      <c r="S778" s="432"/>
      <c r="T778" s="432"/>
      <c r="U778" s="432"/>
      <c r="V778" s="432"/>
      <c r="W778" s="432"/>
      <c r="X778" s="432"/>
      <c r="Y778" s="432"/>
      <c r="Z778" s="432"/>
      <c r="AA778" s="432"/>
      <c r="AB778" s="432"/>
      <c r="AC778" s="432"/>
      <c r="AD778" s="432"/>
    </row>
    <row r="779">
      <c r="A779" s="432"/>
      <c r="B779" s="432"/>
      <c r="C779" s="432"/>
      <c r="D779" s="459"/>
      <c r="E779" s="459"/>
      <c r="F779" s="432"/>
      <c r="G779" s="432"/>
      <c r="H779" s="432"/>
      <c r="I779" s="432"/>
      <c r="J779" s="432"/>
      <c r="K779" s="432"/>
      <c r="L779" s="432"/>
      <c r="M779" s="432"/>
      <c r="N779" s="432"/>
      <c r="O779" s="459"/>
      <c r="P779" s="460"/>
      <c r="Q779" s="432"/>
      <c r="R779" s="432"/>
      <c r="S779" s="432"/>
      <c r="T779" s="432"/>
      <c r="U779" s="432"/>
      <c r="V779" s="432"/>
      <c r="W779" s="432"/>
      <c r="X779" s="432"/>
      <c r="Y779" s="432"/>
      <c r="Z779" s="432"/>
      <c r="AA779" s="432"/>
      <c r="AB779" s="432"/>
      <c r="AC779" s="432"/>
      <c r="AD779" s="432"/>
    </row>
    <row r="780">
      <c r="A780" s="432"/>
      <c r="B780" s="432"/>
      <c r="C780" s="432"/>
      <c r="D780" s="459"/>
      <c r="E780" s="459"/>
      <c r="F780" s="432"/>
      <c r="G780" s="432"/>
      <c r="H780" s="432"/>
      <c r="I780" s="432"/>
      <c r="J780" s="432"/>
      <c r="K780" s="432"/>
      <c r="L780" s="432"/>
      <c r="M780" s="432"/>
      <c r="N780" s="432"/>
      <c r="O780" s="459"/>
      <c r="P780" s="460"/>
      <c r="Q780" s="432"/>
      <c r="R780" s="432"/>
      <c r="S780" s="432"/>
      <c r="T780" s="432"/>
      <c r="U780" s="432"/>
      <c r="V780" s="432"/>
      <c r="W780" s="432"/>
      <c r="X780" s="432"/>
      <c r="Y780" s="432"/>
      <c r="Z780" s="432"/>
      <c r="AA780" s="432"/>
      <c r="AB780" s="432"/>
      <c r="AC780" s="432"/>
      <c r="AD780" s="432"/>
    </row>
    <row r="781">
      <c r="A781" s="432"/>
      <c r="B781" s="432"/>
      <c r="C781" s="432"/>
      <c r="D781" s="459"/>
      <c r="E781" s="459"/>
      <c r="F781" s="432"/>
      <c r="G781" s="432"/>
      <c r="H781" s="432"/>
      <c r="I781" s="432"/>
      <c r="J781" s="432"/>
      <c r="K781" s="432"/>
      <c r="L781" s="432"/>
      <c r="M781" s="432"/>
      <c r="N781" s="432"/>
      <c r="O781" s="459"/>
      <c r="P781" s="460"/>
      <c r="Q781" s="432"/>
      <c r="R781" s="432"/>
      <c r="S781" s="432"/>
      <c r="T781" s="432"/>
      <c r="U781" s="432"/>
      <c r="V781" s="432"/>
      <c r="W781" s="432"/>
      <c r="X781" s="432"/>
      <c r="Y781" s="432"/>
      <c r="Z781" s="432"/>
      <c r="AA781" s="432"/>
      <c r="AB781" s="432"/>
      <c r="AC781" s="432"/>
      <c r="AD781" s="432"/>
    </row>
    <row r="782">
      <c r="A782" s="432"/>
      <c r="B782" s="432"/>
      <c r="C782" s="432"/>
      <c r="D782" s="459"/>
      <c r="E782" s="459"/>
      <c r="F782" s="432"/>
      <c r="G782" s="432"/>
      <c r="H782" s="432"/>
      <c r="I782" s="432"/>
      <c r="J782" s="432"/>
      <c r="K782" s="432"/>
      <c r="L782" s="432"/>
      <c r="M782" s="432"/>
      <c r="N782" s="432"/>
      <c r="O782" s="459"/>
      <c r="P782" s="460"/>
      <c r="Q782" s="432"/>
      <c r="R782" s="432"/>
      <c r="S782" s="432"/>
      <c r="T782" s="432"/>
      <c r="U782" s="432"/>
      <c r="V782" s="432"/>
      <c r="W782" s="432"/>
      <c r="X782" s="432"/>
      <c r="Y782" s="432"/>
      <c r="Z782" s="432"/>
      <c r="AA782" s="432"/>
      <c r="AB782" s="432"/>
      <c r="AC782" s="432"/>
      <c r="AD782" s="432"/>
    </row>
    <row r="783">
      <c r="A783" s="432"/>
      <c r="B783" s="432"/>
      <c r="C783" s="432"/>
      <c r="D783" s="459"/>
      <c r="E783" s="459"/>
      <c r="F783" s="432"/>
      <c r="G783" s="432"/>
      <c r="H783" s="432"/>
      <c r="I783" s="432"/>
      <c r="J783" s="432"/>
      <c r="K783" s="432"/>
      <c r="L783" s="432"/>
      <c r="M783" s="432"/>
      <c r="N783" s="432"/>
      <c r="O783" s="459"/>
      <c r="P783" s="460"/>
      <c r="Q783" s="432"/>
      <c r="R783" s="432"/>
      <c r="S783" s="432"/>
      <c r="T783" s="432"/>
      <c r="U783" s="432"/>
      <c r="V783" s="432"/>
      <c r="W783" s="432"/>
      <c r="X783" s="432"/>
      <c r="Y783" s="432"/>
      <c r="Z783" s="432"/>
      <c r="AA783" s="432"/>
      <c r="AB783" s="432"/>
      <c r="AC783" s="432"/>
      <c r="AD783" s="432"/>
    </row>
    <row r="784">
      <c r="A784" s="432"/>
      <c r="B784" s="432"/>
      <c r="C784" s="432"/>
      <c r="D784" s="459"/>
      <c r="E784" s="459"/>
      <c r="F784" s="432"/>
      <c r="G784" s="432"/>
      <c r="H784" s="432"/>
      <c r="I784" s="432"/>
      <c r="J784" s="432"/>
      <c r="K784" s="432"/>
      <c r="L784" s="432"/>
      <c r="M784" s="432"/>
      <c r="N784" s="432"/>
      <c r="O784" s="459"/>
      <c r="P784" s="460"/>
      <c r="Q784" s="432"/>
      <c r="R784" s="432"/>
      <c r="S784" s="432"/>
      <c r="T784" s="432"/>
      <c r="U784" s="432"/>
      <c r="V784" s="432"/>
      <c r="W784" s="432"/>
      <c r="X784" s="432"/>
      <c r="Y784" s="432"/>
      <c r="Z784" s="432"/>
      <c r="AA784" s="432"/>
      <c r="AB784" s="432"/>
      <c r="AC784" s="432"/>
      <c r="AD784" s="432"/>
    </row>
    <row r="785">
      <c r="A785" s="432"/>
      <c r="B785" s="432"/>
      <c r="C785" s="432"/>
      <c r="D785" s="459"/>
      <c r="E785" s="459"/>
      <c r="F785" s="432"/>
      <c r="G785" s="432"/>
      <c r="H785" s="432"/>
      <c r="I785" s="432"/>
      <c r="J785" s="432"/>
      <c r="K785" s="432"/>
      <c r="L785" s="432"/>
      <c r="M785" s="432"/>
      <c r="N785" s="432"/>
      <c r="O785" s="459"/>
      <c r="P785" s="460"/>
      <c r="Q785" s="432"/>
      <c r="R785" s="432"/>
      <c r="S785" s="432"/>
      <c r="T785" s="432"/>
      <c r="U785" s="432"/>
      <c r="V785" s="432"/>
      <c r="W785" s="432"/>
      <c r="X785" s="432"/>
      <c r="Y785" s="432"/>
      <c r="Z785" s="432"/>
      <c r="AA785" s="432"/>
      <c r="AB785" s="432"/>
      <c r="AC785" s="432"/>
      <c r="AD785" s="432"/>
    </row>
    <row r="786">
      <c r="A786" s="432"/>
      <c r="B786" s="432"/>
      <c r="C786" s="432"/>
      <c r="D786" s="459"/>
      <c r="E786" s="459"/>
      <c r="F786" s="432"/>
      <c r="G786" s="432"/>
      <c r="H786" s="432"/>
      <c r="I786" s="432"/>
      <c r="J786" s="432"/>
      <c r="K786" s="432"/>
      <c r="L786" s="432"/>
      <c r="M786" s="432"/>
      <c r="N786" s="432"/>
      <c r="O786" s="459"/>
      <c r="P786" s="460"/>
      <c r="Q786" s="432"/>
      <c r="R786" s="432"/>
      <c r="S786" s="432"/>
      <c r="T786" s="432"/>
      <c r="U786" s="432"/>
      <c r="V786" s="432"/>
      <c r="W786" s="432"/>
      <c r="X786" s="432"/>
      <c r="Y786" s="432"/>
      <c r="Z786" s="432"/>
      <c r="AA786" s="432"/>
      <c r="AB786" s="432"/>
      <c r="AC786" s="432"/>
      <c r="AD786" s="432"/>
    </row>
    <row r="787">
      <c r="A787" s="432"/>
      <c r="B787" s="432"/>
      <c r="C787" s="432"/>
      <c r="D787" s="459"/>
      <c r="E787" s="459"/>
      <c r="F787" s="432"/>
      <c r="G787" s="432"/>
      <c r="H787" s="432"/>
      <c r="I787" s="432"/>
      <c r="J787" s="432"/>
      <c r="K787" s="432"/>
      <c r="L787" s="432"/>
      <c r="M787" s="432"/>
      <c r="N787" s="432"/>
      <c r="O787" s="459"/>
      <c r="P787" s="460"/>
      <c r="Q787" s="432"/>
      <c r="R787" s="432"/>
      <c r="S787" s="432"/>
      <c r="T787" s="432"/>
      <c r="U787" s="432"/>
      <c r="V787" s="432"/>
      <c r="W787" s="432"/>
      <c r="X787" s="432"/>
      <c r="Y787" s="432"/>
      <c r="Z787" s="432"/>
      <c r="AA787" s="432"/>
      <c r="AB787" s="432"/>
      <c r="AC787" s="432"/>
      <c r="AD787" s="432"/>
    </row>
    <row r="788">
      <c r="A788" s="432"/>
      <c r="B788" s="432"/>
      <c r="C788" s="432"/>
      <c r="D788" s="459"/>
      <c r="E788" s="459"/>
      <c r="F788" s="432"/>
      <c r="G788" s="432"/>
      <c r="H788" s="432"/>
      <c r="I788" s="432"/>
      <c r="J788" s="432"/>
      <c r="K788" s="432"/>
      <c r="L788" s="432"/>
      <c r="M788" s="432"/>
      <c r="N788" s="432"/>
      <c r="O788" s="459"/>
      <c r="P788" s="460"/>
      <c r="Q788" s="432"/>
      <c r="R788" s="432"/>
      <c r="S788" s="432"/>
      <c r="T788" s="432"/>
      <c r="U788" s="432"/>
      <c r="V788" s="432"/>
      <c r="W788" s="432"/>
      <c r="X788" s="432"/>
      <c r="Y788" s="432"/>
      <c r="Z788" s="432"/>
      <c r="AA788" s="432"/>
      <c r="AB788" s="432"/>
      <c r="AC788" s="432"/>
      <c r="AD788" s="432"/>
    </row>
    <row r="789">
      <c r="A789" s="432"/>
      <c r="B789" s="432"/>
      <c r="C789" s="432"/>
      <c r="D789" s="459"/>
      <c r="E789" s="459"/>
      <c r="F789" s="432"/>
      <c r="G789" s="432"/>
      <c r="H789" s="432"/>
      <c r="I789" s="432"/>
      <c r="J789" s="432"/>
      <c r="K789" s="432"/>
      <c r="L789" s="432"/>
      <c r="M789" s="432"/>
      <c r="N789" s="432"/>
      <c r="O789" s="459"/>
      <c r="P789" s="460"/>
      <c r="Q789" s="432"/>
      <c r="R789" s="432"/>
      <c r="S789" s="432"/>
      <c r="T789" s="432"/>
      <c r="U789" s="432"/>
      <c r="V789" s="432"/>
      <c r="W789" s="432"/>
      <c r="X789" s="432"/>
      <c r="Y789" s="432"/>
      <c r="Z789" s="432"/>
      <c r="AA789" s="432"/>
      <c r="AB789" s="432"/>
      <c r="AC789" s="432"/>
      <c r="AD789" s="432"/>
    </row>
    <row r="790">
      <c r="A790" s="432"/>
      <c r="B790" s="432"/>
      <c r="C790" s="432"/>
      <c r="D790" s="459"/>
      <c r="E790" s="459"/>
      <c r="F790" s="432"/>
      <c r="G790" s="432"/>
      <c r="H790" s="432"/>
      <c r="I790" s="432"/>
      <c r="J790" s="432"/>
      <c r="K790" s="432"/>
      <c r="L790" s="432"/>
      <c r="M790" s="432"/>
      <c r="N790" s="432"/>
      <c r="O790" s="459"/>
      <c r="P790" s="460"/>
      <c r="Q790" s="432"/>
      <c r="R790" s="432"/>
      <c r="S790" s="432"/>
      <c r="T790" s="432"/>
      <c r="U790" s="432"/>
      <c r="V790" s="432"/>
      <c r="W790" s="432"/>
      <c r="X790" s="432"/>
      <c r="Y790" s="432"/>
      <c r="Z790" s="432"/>
      <c r="AA790" s="432"/>
      <c r="AB790" s="432"/>
      <c r="AC790" s="432"/>
      <c r="AD790" s="432"/>
    </row>
    <row r="791">
      <c r="A791" s="432"/>
      <c r="B791" s="432"/>
      <c r="C791" s="432"/>
      <c r="D791" s="459"/>
      <c r="E791" s="459"/>
      <c r="F791" s="432"/>
      <c r="G791" s="432"/>
      <c r="H791" s="432"/>
      <c r="I791" s="432"/>
      <c r="J791" s="432"/>
      <c r="K791" s="432"/>
      <c r="L791" s="432"/>
      <c r="M791" s="432"/>
      <c r="N791" s="432"/>
      <c r="O791" s="459"/>
      <c r="P791" s="460"/>
      <c r="Q791" s="432"/>
      <c r="R791" s="432"/>
      <c r="S791" s="432"/>
      <c r="T791" s="432"/>
      <c r="U791" s="432"/>
      <c r="V791" s="432"/>
      <c r="W791" s="432"/>
      <c r="X791" s="432"/>
      <c r="Y791" s="432"/>
      <c r="Z791" s="432"/>
      <c r="AA791" s="432"/>
      <c r="AB791" s="432"/>
      <c r="AC791" s="432"/>
      <c r="AD791" s="432"/>
    </row>
    <row r="792">
      <c r="A792" s="432"/>
      <c r="B792" s="432"/>
      <c r="C792" s="432"/>
      <c r="D792" s="459"/>
      <c r="E792" s="459"/>
      <c r="F792" s="432"/>
      <c r="G792" s="432"/>
      <c r="H792" s="432"/>
      <c r="I792" s="432"/>
      <c r="J792" s="432"/>
      <c r="K792" s="432"/>
      <c r="L792" s="432"/>
      <c r="M792" s="432"/>
      <c r="N792" s="432"/>
      <c r="O792" s="459"/>
      <c r="P792" s="460"/>
      <c r="Q792" s="432"/>
      <c r="R792" s="432"/>
      <c r="S792" s="432"/>
      <c r="T792" s="432"/>
      <c r="U792" s="432"/>
      <c r="V792" s="432"/>
      <c r="W792" s="432"/>
      <c r="X792" s="432"/>
      <c r="Y792" s="432"/>
      <c r="Z792" s="432"/>
      <c r="AA792" s="432"/>
      <c r="AB792" s="432"/>
      <c r="AC792" s="432"/>
      <c r="AD792" s="432"/>
    </row>
    <row r="793">
      <c r="A793" s="432"/>
      <c r="B793" s="432"/>
      <c r="C793" s="432"/>
      <c r="D793" s="459"/>
      <c r="E793" s="459"/>
      <c r="F793" s="432"/>
      <c r="G793" s="432"/>
      <c r="H793" s="432"/>
      <c r="I793" s="432"/>
      <c r="J793" s="432"/>
      <c r="K793" s="432"/>
      <c r="L793" s="432"/>
      <c r="M793" s="432"/>
      <c r="N793" s="432"/>
      <c r="O793" s="459"/>
      <c r="P793" s="460"/>
      <c r="Q793" s="432"/>
      <c r="R793" s="432"/>
      <c r="S793" s="432"/>
      <c r="T793" s="432"/>
      <c r="U793" s="432"/>
      <c r="V793" s="432"/>
      <c r="W793" s="432"/>
      <c r="X793" s="432"/>
      <c r="Y793" s="432"/>
      <c r="Z793" s="432"/>
      <c r="AA793" s="432"/>
      <c r="AB793" s="432"/>
      <c r="AC793" s="432"/>
      <c r="AD793" s="432"/>
    </row>
    <row r="794">
      <c r="A794" s="432"/>
      <c r="B794" s="432"/>
      <c r="C794" s="432"/>
      <c r="D794" s="459"/>
      <c r="E794" s="459"/>
      <c r="F794" s="432"/>
      <c r="G794" s="432"/>
      <c r="H794" s="432"/>
      <c r="I794" s="432"/>
      <c r="J794" s="432"/>
      <c r="K794" s="432"/>
      <c r="L794" s="432"/>
      <c r="M794" s="432"/>
      <c r="N794" s="432"/>
      <c r="O794" s="459"/>
      <c r="P794" s="460"/>
      <c r="Q794" s="432"/>
      <c r="R794" s="432"/>
      <c r="S794" s="432"/>
      <c r="T794" s="432"/>
      <c r="U794" s="432"/>
      <c r="V794" s="432"/>
      <c r="W794" s="432"/>
      <c r="X794" s="432"/>
      <c r="Y794" s="432"/>
      <c r="Z794" s="432"/>
      <c r="AA794" s="432"/>
      <c r="AB794" s="432"/>
      <c r="AC794" s="432"/>
      <c r="AD794" s="432"/>
    </row>
    <row r="795">
      <c r="A795" s="432"/>
      <c r="B795" s="432"/>
      <c r="C795" s="432"/>
      <c r="D795" s="459"/>
      <c r="E795" s="459"/>
      <c r="F795" s="432"/>
      <c r="G795" s="432"/>
      <c r="H795" s="432"/>
      <c r="I795" s="432"/>
      <c r="J795" s="432"/>
      <c r="K795" s="432"/>
      <c r="L795" s="432"/>
      <c r="M795" s="432"/>
      <c r="N795" s="432"/>
      <c r="O795" s="459"/>
      <c r="P795" s="460"/>
      <c r="Q795" s="432"/>
      <c r="R795" s="432"/>
      <c r="S795" s="432"/>
      <c r="T795" s="432"/>
      <c r="U795" s="432"/>
      <c r="V795" s="432"/>
      <c r="W795" s="432"/>
      <c r="X795" s="432"/>
      <c r="Y795" s="432"/>
      <c r="Z795" s="432"/>
      <c r="AA795" s="432"/>
      <c r="AB795" s="432"/>
      <c r="AC795" s="432"/>
      <c r="AD795" s="432"/>
    </row>
    <row r="796">
      <c r="A796" s="432"/>
      <c r="B796" s="432"/>
      <c r="C796" s="432"/>
      <c r="D796" s="459"/>
      <c r="E796" s="459"/>
      <c r="F796" s="432"/>
      <c r="G796" s="432"/>
      <c r="H796" s="432"/>
      <c r="I796" s="432"/>
      <c r="J796" s="432"/>
      <c r="K796" s="432"/>
      <c r="L796" s="432"/>
      <c r="M796" s="432"/>
      <c r="N796" s="432"/>
      <c r="O796" s="459"/>
      <c r="P796" s="460"/>
      <c r="Q796" s="432"/>
      <c r="R796" s="432"/>
      <c r="S796" s="432"/>
      <c r="T796" s="432"/>
      <c r="U796" s="432"/>
      <c r="V796" s="432"/>
      <c r="W796" s="432"/>
      <c r="X796" s="432"/>
      <c r="Y796" s="432"/>
      <c r="Z796" s="432"/>
      <c r="AA796" s="432"/>
      <c r="AB796" s="432"/>
      <c r="AC796" s="432"/>
      <c r="AD796" s="432"/>
    </row>
    <row r="797">
      <c r="A797" s="432"/>
      <c r="B797" s="432"/>
      <c r="C797" s="432"/>
      <c r="D797" s="459"/>
      <c r="E797" s="459"/>
      <c r="F797" s="432"/>
      <c r="G797" s="432"/>
      <c r="H797" s="432"/>
      <c r="I797" s="432"/>
      <c r="J797" s="432"/>
      <c r="K797" s="432"/>
      <c r="L797" s="432"/>
      <c r="M797" s="432"/>
      <c r="N797" s="432"/>
      <c r="O797" s="459"/>
      <c r="P797" s="460"/>
      <c r="Q797" s="432"/>
      <c r="R797" s="432"/>
      <c r="S797" s="432"/>
      <c r="T797" s="432"/>
      <c r="U797" s="432"/>
      <c r="V797" s="432"/>
      <c r="W797" s="432"/>
      <c r="X797" s="432"/>
      <c r="Y797" s="432"/>
      <c r="Z797" s="432"/>
      <c r="AA797" s="432"/>
      <c r="AB797" s="432"/>
      <c r="AC797" s="432"/>
      <c r="AD797" s="432"/>
    </row>
    <row r="798">
      <c r="A798" s="432"/>
      <c r="B798" s="432"/>
      <c r="C798" s="432"/>
      <c r="D798" s="459"/>
      <c r="E798" s="459"/>
      <c r="F798" s="432"/>
      <c r="G798" s="432"/>
      <c r="H798" s="432"/>
      <c r="I798" s="432"/>
      <c r="J798" s="432"/>
      <c r="K798" s="432"/>
      <c r="L798" s="432"/>
      <c r="M798" s="432"/>
      <c r="N798" s="432"/>
      <c r="O798" s="459"/>
      <c r="P798" s="460"/>
      <c r="Q798" s="432"/>
      <c r="R798" s="432"/>
      <c r="S798" s="432"/>
      <c r="T798" s="432"/>
      <c r="U798" s="432"/>
      <c r="V798" s="432"/>
      <c r="W798" s="432"/>
      <c r="X798" s="432"/>
      <c r="Y798" s="432"/>
      <c r="Z798" s="432"/>
      <c r="AA798" s="432"/>
      <c r="AB798" s="432"/>
      <c r="AC798" s="432"/>
      <c r="AD798" s="432"/>
    </row>
    <row r="799">
      <c r="A799" s="432"/>
      <c r="B799" s="432"/>
      <c r="C799" s="432"/>
      <c r="D799" s="459"/>
      <c r="E799" s="459"/>
      <c r="F799" s="432"/>
      <c r="G799" s="432"/>
      <c r="H799" s="432"/>
      <c r="I799" s="432"/>
      <c r="J799" s="432"/>
      <c r="K799" s="432"/>
      <c r="L799" s="432"/>
      <c r="M799" s="432"/>
      <c r="N799" s="432"/>
      <c r="O799" s="459"/>
      <c r="P799" s="460"/>
      <c r="Q799" s="432"/>
      <c r="R799" s="432"/>
      <c r="S799" s="432"/>
      <c r="T799" s="432"/>
      <c r="U799" s="432"/>
      <c r="V799" s="432"/>
      <c r="W799" s="432"/>
      <c r="X799" s="432"/>
      <c r="Y799" s="432"/>
      <c r="Z799" s="432"/>
      <c r="AA799" s="432"/>
      <c r="AB799" s="432"/>
      <c r="AC799" s="432"/>
      <c r="AD799" s="432"/>
    </row>
    <row r="800">
      <c r="A800" s="432"/>
      <c r="B800" s="432"/>
      <c r="C800" s="432"/>
      <c r="D800" s="459"/>
      <c r="E800" s="459"/>
      <c r="F800" s="432"/>
      <c r="G800" s="432"/>
      <c r="H800" s="432"/>
      <c r="I800" s="432"/>
      <c r="J800" s="432"/>
      <c r="K800" s="432"/>
      <c r="L800" s="432"/>
      <c r="M800" s="432"/>
      <c r="N800" s="432"/>
      <c r="O800" s="459"/>
      <c r="P800" s="460"/>
      <c r="Q800" s="432"/>
      <c r="R800" s="432"/>
      <c r="S800" s="432"/>
      <c r="T800" s="432"/>
      <c r="U800" s="432"/>
      <c r="V800" s="432"/>
      <c r="W800" s="432"/>
      <c r="X800" s="432"/>
      <c r="Y800" s="432"/>
      <c r="Z800" s="432"/>
      <c r="AA800" s="432"/>
      <c r="AB800" s="432"/>
      <c r="AC800" s="432"/>
      <c r="AD800" s="432"/>
    </row>
    <row r="801">
      <c r="A801" s="432"/>
      <c r="B801" s="432"/>
      <c r="C801" s="432"/>
      <c r="D801" s="459"/>
      <c r="E801" s="459"/>
      <c r="F801" s="432"/>
      <c r="G801" s="432"/>
      <c r="H801" s="432"/>
      <c r="I801" s="432"/>
      <c r="J801" s="432"/>
      <c r="K801" s="432"/>
      <c r="L801" s="432"/>
      <c r="M801" s="432"/>
      <c r="N801" s="432"/>
      <c r="O801" s="459"/>
      <c r="P801" s="460"/>
      <c r="Q801" s="432"/>
      <c r="R801" s="432"/>
      <c r="S801" s="432"/>
      <c r="T801" s="432"/>
      <c r="U801" s="432"/>
      <c r="V801" s="432"/>
      <c r="W801" s="432"/>
      <c r="X801" s="432"/>
      <c r="Y801" s="432"/>
      <c r="Z801" s="432"/>
      <c r="AA801" s="432"/>
      <c r="AB801" s="432"/>
      <c r="AC801" s="432"/>
      <c r="AD801" s="432"/>
    </row>
    <row r="802">
      <c r="A802" s="432"/>
      <c r="B802" s="432"/>
      <c r="C802" s="432"/>
      <c r="D802" s="459"/>
      <c r="E802" s="459"/>
      <c r="F802" s="432"/>
      <c r="G802" s="432"/>
      <c r="H802" s="432"/>
      <c r="I802" s="432"/>
      <c r="J802" s="432"/>
      <c r="K802" s="432"/>
      <c r="L802" s="432"/>
      <c r="M802" s="432"/>
      <c r="N802" s="432"/>
      <c r="O802" s="459"/>
      <c r="P802" s="460"/>
      <c r="Q802" s="432"/>
      <c r="R802" s="432"/>
      <c r="S802" s="432"/>
      <c r="T802" s="432"/>
      <c r="U802" s="432"/>
      <c r="V802" s="432"/>
      <c r="W802" s="432"/>
      <c r="X802" s="432"/>
      <c r="Y802" s="432"/>
      <c r="Z802" s="432"/>
      <c r="AA802" s="432"/>
      <c r="AB802" s="432"/>
      <c r="AC802" s="432"/>
      <c r="AD802" s="432"/>
    </row>
    <row r="803">
      <c r="A803" s="432"/>
      <c r="B803" s="432"/>
      <c r="C803" s="432"/>
      <c r="D803" s="459"/>
      <c r="E803" s="459"/>
      <c r="F803" s="432"/>
      <c r="G803" s="432"/>
      <c r="H803" s="432"/>
      <c r="I803" s="432"/>
      <c r="J803" s="432"/>
      <c r="K803" s="432"/>
      <c r="L803" s="432"/>
      <c r="M803" s="432"/>
      <c r="N803" s="432"/>
      <c r="O803" s="459"/>
      <c r="P803" s="460"/>
      <c r="Q803" s="432"/>
      <c r="R803" s="432"/>
      <c r="S803" s="432"/>
      <c r="T803" s="432"/>
      <c r="U803" s="432"/>
      <c r="V803" s="432"/>
      <c r="W803" s="432"/>
      <c r="X803" s="432"/>
      <c r="Y803" s="432"/>
      <c r="Z803" s="432"/>
      <c r="AA803" s="432"/>
      <c r="AB803" s="432"/>
      <c r="AC803" s="432"/>
      <c r="AD803" s="432"/>
    </row>
    <row r="804">
      <c r="A804" s="432"/>
      <c r="B804" s="432"/>
      <c r="C804" s="432"/>
      <c r="D804" s="459"/>
      <c r="E804" s="459"/>
      <c r="F804" s="432"/>
      <c r="G804" s="432"/>
      <c r="H804" s="432"/>
      <c r="I804" s="432"/>
      <c r="J804" s="432"/>
      <c r="K804" s="432"/>
      <c r="L804" s="432"/>
      <c r="M804" s="432"/>
      <c r="N804" s="432"/>
      <c r="O804" s="459"/>
      <c r="P804" s="460"/>
      <c r="Q804" s="432"/>
      <c r="R804" s="432"/>
      <c r="S804" s="432"/>
      <c r="T804" s="432"/>
      <c r="U804" s="432"/>
      <c r="V804" s="432"/>
      <c r="W804" s="432"/>
      <c r="X804" s="432"/>
      <c r="Y804" s="432"/>
      <c r="Z804" s="432"/>
      <c r="AA804" s="432"/>
      <c r="AB804" s="432"/>
      <c r="AC804" s="432"/>
      <c r="AD804" s="432"/>
    </row>
    <row r="805">
      <c r="A805" s="432"/>
      <c r="B805" s="432"/>
      <c r="C805" s="432"/>
      <c r="D805" s="459"/>
      <c r="E805" s="459"/>
      <c r="F805" s="432"/>
      <c r="G805" s="432"/>
      <c r="H805" s="432"/>
      <c r="I805" s="432"/>
      <c r="J805" s="432"/>
      <c r="K805" s="432"/>
      <c r="L805" s="432"/>
      <c r="M805" s="432"/>
      <c r="N805" s="432"/>
      <c r="O805" s="459"/>
      <c r="P805" s="460"/>
      <c r="Q805" s="432"/>
      <c r="R805" s="432"/>
      <c r="S805" s="432"/>
      <c r="T805" s="432"/>
      <c r="U805" s="432"/>
      <c r="V805" s="432"/>
      <c r="W805" s="432"/>
      <c r="X805" s="432"/>
      <c r="Y805" s="432"/>
      <c r="Z805" s="432"/>
      <c r="AA805" s="432"/>
      <c r="AB805" s="432"/>
      <c r="AC805" s="432"/>
      <c r="AD805" s="432"/>
    </row>
    <row r="806">
      <c r="A806" s="432"/>
      <c r="B806" s="432"/>
      <c r="C806" s="432"/>
      <c r="D806" s="459"/>
      <c r="E806" s="459"/>
      <c r="F806" s="432"/>
      <c r="G806" s="432"/>
      <c r="H806" s="432"/>
      <c r="I806" s="432"/>
      <c r="J806" s="432"/>
      <c r="K806" s="432"/>
      <c r="L806" s="432"/>
      <c r="M806" s="432"/>
      <c r="N806" s="432"/>
      <c r="O806" s="459"/>
      <c r="P806" s="460"/>
      <c r="Q806" s="432"/>
      <c r="R806" s="432"/>
      <c r="S806" s="432"/>
      <c r="T806" s="432"/>
      <c r="U806" s="432"/>
      <c r="V806" s="432"/>
      <c r="W806" s="432"/>
      <c r="X806" s="432"/>
      <c r="Y806" s="432"/>
      <c r="Z806" s="432"/>
      <c r="AA806" s="432"/>
      <c r="AB806" s="432"/>
      <c r="AC806" s="432"/>
      <c r="AD806" s="432"/>
    </row>
    <row r="807">
      <c r="A807" s="432"/>
      <c r="B807" s="432"/>
      <c r="C807" s="432"/>
      <c r="D807" s="459"/>
      <c r="E807" s="459"/>
      <c r="F807" s="432"/>
      <c r="G807" s="432"/>
      <c r="H807" s="432"/>
      <c r="I807" s="432"/>
      <c r="J807" s="432"/>
      <c r="K807" s="432"/>
      <c r="L807" s="432"/>
      <c r="M807" s="432"/>
      <c r="N807" s="432"/>
      <c r="O807" s="459"/>
      <c r="P807" s="460"/>
      <c r="Q807" s="432"/>
      <c r="R807" s="432"/>
      <c r="S807" s="432"/>
      <c r="T807" s="432"/>
      <c r="U807" s="432"/>
      <c r="V807" s="432"/>
      <c r="W807" s="432"/>
      <c r="X807" s="432"/>
      <c r="Y807" s="432"/>
      <c r="Z807" s="432"/>
      <c r="AA807" s="432"/>
      <c r="AB807" s="432"/>
      <c r="AC807" s="432"/>
      <c r="AD807" s="432"/>
    </row>
    <row r="808">
      <c r="A808" s="432"/>
      <c r="B808" s="432"/>
      <c r="C808" s="432"/>
      <c r="D808" s="459"/>
      <c r="E808" s="459"/>
      <c r="F808" s="432"/>
      <c r="G808" s="432"/>
      <c r="H808" s="432"/>
      <c r="I808" s="432"/>
      <c r="J808" s="432"/>
      <c r="K808" s="432"/>
      <c r="L808" s="432"/>
      <c r="M808" s="432"/>
      <c r="N808" s="432"/>
      <c r="O808" s="459"/>
      <c r="P808" s="460"/>
      <c r="Q808" s="432"/>
      <c r="R808" s="432"/>
      <c r="S808" s="432"/>
      <c r="T808" s="432"/>
      <c r="U808" s="432"/>
      <c r="V808" s="432"/>
      <c r="W808" s="432"/>
      <c r="X808" s="432"/>
      <c r="Y808" s="432"/>
      <c r="Z808" s="432"/>
      <c r="AA808" s="432"/>
      <c r="AB808" s="432"/>
      <c r="AC808" s="432"/>
      <c r="AD808" s="432"/>
    </row>
    <row r="809">
      <c r="A809" s="432"/>
      <c r="B809" s="432"/>
      <c r="C809" s="432"/>
      <c r="D809" s="459"/>
      <c r="E809" s="459"/>
      <c r="F809" s="432"/>
      <c r="G809" s="432"/>
      <c r="H809" s="432"/>
      <c r="I809" s="432"/>
      <c r="J809" s="432"/>
      <c r="K809" s="432"/>
      <c r="L809" s="432"/>
      <c r="M809" s="432"/>
      <c r="N809" s="432"/>
      <c r="O809" s="459"/>
      <c r="P809" s="460"/>
      <c r="Q809" s="432"/>
      <c r="R809" s="432"/>
      <c r="S809" s="432"/>
      <c r="T809" s="432"/>
      <c r="U809" s="432"/>
      <c r="V809" s="432"/>
      <c r="W809" s="432"/>
      <c r="X809" s="432"/>
      <c r="Y809" s="432"/>
      <c r="Z809" s="432"/>
      <c r="AA809" s="432"/>
      <c r="AB809" s="432"/>
      <c r="AC809" s="432"/>
      <c r="AD809" s="432"/>
    </row>
    <row r="810">
      <c r="A810" s="432"/>
      <c r="B810" s="432"/>
      <c r="C810" s="432"/>
      <c r="D810" s="459"/>
      <c r="E810" s="459"/>
      <c r="F810" s="432"/>
      <c r="G810" s="432"/>
      <c r="H810" s="432"/>
      <c r="I810" s="432"/>
      <c r="J810" s="432"/>
      <c r="K810" s="432"/>
      <c r="L810" s="432"/>
      <c r="M810" s="432"/>
      <c r="N810" s="432"/>
      <c r="O810" s="459"/>
      <c r="P810" s="460"/>
      <c r="Q810" s="432"/>
      <c r="R810" s="432"/>
      <c r="S810" s="432"/>
      <c r="T810" s="432"/>
      <c r="U810" s="432"/>
      <c r="V810" s="432"/>
      <c r="W810" s="432"/>
      <c r="X810" s="432"/>
      <c r="Y810" s="432"/>
      <c r="Z810" s="432"/>
      <c r="AA810" s="432"/>
      <c r="AB810" s="432"/>
      <c r="AC810" s="432"/>
      <c r="AD810" s="432"/>
    </row>
    <row r="811">
      <c r="A811" s="432"/>
      <c r="B811" s="432"/>
      <c r="C811" s="432"/>
      <c r="D811" s="459"/>
      <c r="E811" s="459"/>
      <c r="F811" s="432"/>
      <c r="G811" s="432"/>
      <c r="H811" s="432"/>
      <c r="I811" s="432"/>
      <c r="J811" s="432"/>
      <c r="K811" s="432"/>
      <c r="L811" s="432"/>
      <c r="M811" s="432"/>
      <c r="N811" s="432"/>
      <c r="O811" s="459"/>
      <c r="P811" s="460"/>
      <c r="Q811" s="432"/>
      <c r="R811" s="432"/>
      <c r="S811" s="432"/>
      <c r="T811" s="432"/>
      <c r="U811" s="432"/>
      <c r="V811" s="432"/>
      <c r="W811" s="432"/>
      <c r="X811" s="432"/>
      <c r="Y811" s="432"/>
      <c r="Z811" s="432"/>
      <c r="AA811" s="432"/>
      <c r="AB811" s="432"/>
      <c r="AC811" s="432"/>
      <c r="AD811" s="432"/>
    </row>
    <row r="812">
      <c r="A812" s="432"/>
      <c r="B812" s="432"/>
      <c r="C812" s="432"/>
      <c r="D812" s="459"/>
      <c r="E812" s="459"/>
      <c r="F812" s="432"/>
      <c r="G812" s="432"/>
      <c r="H812" s="432"/>
      <c r="I812" s="432"/>
      <c r="J812" s="432"/>
      <c r="K812" s="432"/>
      <c r="L812" s="432"/>
      <c r="M812" s="432"/>
      <c r="N812" s="432"/>
      <c r="O812" s="459"/>
      <c r="P812" s="460"/>
      <c r="Q812" s="432"/>
      <c r="R812" s="432"/>
      <c r="S812" s="432"/>
      <c r="T812" s="432"/>
      <c r="U812" s="432"/>
      <c r="V812" s="432"/>
      <c r="W812" s="432"/>
      <c r="X812" s="432"/>
      <c r="Y812" s="432"/>
      <c r="Z812" s="432"/>
      <c r="AA812" s="432"/>
      <c r="AB812" s="432"/>
      <c r="AC812" s="432"/>
      <c r="AD812" s="432"/>
    </row>
    <row r="813">
      <c r="A813" s="432"/>
      <c r="B813" s="432"/>
      <c r="C813" s="432"/>
      <c r="D813" s="459"/>
      <c r="E813" s="459"/>
      <c r="F813" s="432"/>
      <c r="G813" s="432"/>
      <c r="H813" s="432"/>
      <c r="I813" s="432"/>
      <c r="J813" s="432"/>
      <c r="K813" s="432"/>
      <c r="L813" s="432"/>
      <c r="M813" s="432"/>
      <c r="N813" s="432"/>
      <c r="O813" s="459"/>
      <c r="P813" s="460"/>
      <c r="Q813" s="432"/>
      <c r="R813" s="432"/>
      <c r="S813" s="432"/>
      <c r="T813" s="432"/>
      <c r="U813" s="432"/>
      <c r="V813" s="432"/>
      <c r="W813" s="432"/>
      <c r="X813" s="432"/>
      <c r="Y813" s="432"/>
      <c r="Z813" s="432"/>
      <c r="AA813" s="432"/>
      <c r="AB813" s="432"/>
      <c r="AC813" s="432"/>
      <c r="AD813" s="432"/>
    </row>
    <row r="814">
      <c r="A814" s="432"/>
      <c r="B814" s="432"/>
      <c r="C814" s="432"/>
      <c r="D814" s="459"/>
      <c r="E814" s="459"/>
      <c r="F814" s="432"/>
      <c r="G814" s="432"/>
      <c r="H814" s="432"/>
      <c r="I814" s="432"/>
      <c r="J814" s="432"/>
      <c r="K814" s="432"/>
      <c r="L814" s="432"/>
      <c r="M814" s="432"/>
      <c r="N814" s="432"/>
      <c r="O814" s="459"/>
      <c r="P814" s="460"/>
      <c r="Q814" s="432"/>
      <c r="R814" s="432"/>
      <c r="S814" s="432"/>
      <c r="T814" s="432"/>
      <c r="U814" s="432"/>
      <c r="V814" s="432"/>
      <c r="W814" s="432"/>
      <c r="X814" s="432"/>
      <c r="Y814" s="432"/>
      <c r="Z814" s="432"/>
      <c r="AA814" s="432"/>
      <c r="AB814" s="432"/>
      <c r="AC814" s="432"/>
      <c r="AD814" s="432"/>
    </row>
    <row r="815">
      <c r="A815" s="432"/>
      <c r="B815" s="432"/>
      <c r="C815" s="432"/>
      <c r="D815" s="459"/>
      <c r="E815" s="459"/>
      <c r="F815" s="432"/>
      <c r="G815" s="432"/>
      <c r="H815" s="432"/>
      <c r="I815" s="432"/>
      <c r="J815" s="432"/>
      <c r="K815" s="432"/>
      <c r="L815" s="432"/>
      <c r="M815" s="432"/>
      <c r="N815" s="432"/>
      <c r="O815" s="459"/>
      <c r="P815" s="460"/>
      <c r="Q815" s="432"/>
      <c r="R815" s="432"/>
      <c r="S815" s="432"/>
      <c r="T815" s="432"/>
      <c r="U815" s="432"/>
      <c r="V815" s="432"/>
      <c r="W815" s="432"/>
      <c r="X815" s="432"/>
      <c r="Y815" s="432"/>
      <c r="Z815" s="432"/>
      <c r="AA815" s="432"/>
      <c r="AB815" s="432"/>
      <c r="AC815" s="432"/>
      <c r="AD815" s="432"/>
    </row>
    <row r="816">
      <c r="A816" s="432"/>
      <c r="B816" s="432"/>
      <c r="C816" s="432"/>
      <c r="D816" s="459"/>
      <c r="E816" s="459"/>
      <c r="F816" s="432"/>
      <c r="G816" s="432"/>
      <c r="H816" s="432"/>
      <c r="I816" s="432"/>
      <c r="J816" s="432"/>
      <c r="K816" s="432"/>
      <c r="L816" s="432"/>
      <c r="M816" s="432"/>
      <c r="N816" s="432"/>
      <c r="O816" s="459"/>
      <c r="P816" s="460"/>
      <c r="Q816" s="432"/>
      <c r="R816" s="432"/>
      <c r="S816" s="432"/>
      <c r="T816" s="432"/>
      <c r="U816" s="432"/>
      <c r="V816" s="432"/>
      <c r="W816" s="432"/>
      <c r="X816" s="432"/>
      <c r="Y816" s="432"/>
      <c r="Z816" s="432"/>
      <c r="AA816" s="432"/>
      <c r="AB816" s="432"/>
      <c r="AC816" s="432"/>
      <c r="AD816" s="432"/>
    </row>
    <row r="817">
      <c r="A817" s="432"/>
      <c r="B817" s="432"/>
      <c r="C817" s="432"/>
      <c r="D817" s="459"/>
      <c r="E817" s="459"/>
      <c r="F817" s="432"/>
      <c r="G817" s="432"/>
      <c r="H817" s="432"/>
      <c r="I817" s="432"/>
      <c r="J817" s="432"/>
      <c r="K817" s="432"/>
      <c r="L817" s="432"/>
      <c r="M817" s="432"/>
      <c r="N817" s="432"/>
      <c r="O817" s="459"/>
      <c r="P817" s="460"/>
      <c r="Q817" s="432"/>
      <c r="R817" s="432"/>
      <c r="S817" s="432"/>
      <c r="T817" s="432"/>
      <c r="U817" s="432"/>
      <c r="V817" s="432"/>
      <c r="W817" s="432"/>
      <c r="X817" s="432"/>
      <c r="Y817" s="432"/>
      <c r="Z817" s="432"/>
      <c r="AA817" s="432"/>
      <c r="AB817" s="432"/>
      <c r="AC817" s="432"/>
      <c r="AD817" s="432"/>
    </row>
    <row r="818">
      <c r="A818" s="432"/>
      <c r="B818" s="432"/>
      <c r="C818" s="432"/>
      <c r="D818" s="459"/>
      <c r="E818" s="459"/>
      <c r="F818" s="432"/>
      <c r="G818" s="432"/>
      <c r="H818" s="432"/>
      <c r="I818" s="432"/>
      <c r="J818" s="432"/>
      <c r="K818" s="432"/>
      <c r="L818" s="432"/>
      <c r="M818" s="432"/>
      <c r="N818" s="432"/>
      <c r="O818" s="459"/>
      <c r="P818" s="460"/>
      <c r="Q818" s="432"/>
      <c r="R818" s="432"/>
      <c r="S818" s="432"/>
      <c r="T818" s="432"/>
      <c r="U818" s="432"/>
      <c r="V818" s="432"/>
      <c r="W818" s="432"/>
      <c r="X818" s="432"/>
      <c r="Y818" s="432"/>
      <c r="Z818" s="432"/>
      <c r="AA818" s="432"/>
      <c r="AB818" s="432"/>
      <c r="AC818" s="432"/>
      <c r="AD818" s="432"/>
    </row>
    <row r="819">
      <c r="A819" s="432"/>
      <c r="B819" s="432"/>
      <c r="C819" s="432"/>
      <c r="D819" s="459"/>
      <c r="E819" s="459"/>
      <c r="F819" s="432"/>
      <c r="G819" s="432"/>
      <c r="H819" s="432"/>
      <c r="I819" s="432"/>
      <c r="J819" s="432"/>
      <c r="K819" s="432"/>
      <c r="L819" s="432"/>
      <c r="M819" s="432"/>
      <c r="N819" s="432"/>
      <c r="O819" s="459"/>
      <c r="P819" s="460"/>
      <c r="Q819" s="432"/>
      <c r="R819" s="432"/>
      <c r="S819" s="432"/>
      <c r="T819" s="432"/>
      <c r="U819" s="432"/>
      <c r="V819" s="432"/>
      <c r="W819" s="432"/>
      <c r="X819" s="432"/>
      <c r="Y819" s="432"/>
      <c r="Z819" s="432"/>
      <c r="AA819" s="432"/>
      <c r="AB819" s="432"/>
      <c r="AC819" s="432"/>
      <c r="AD819" s="432"/>
    </row>
    <row r="820">
      <c r="A820" s="432"/>
      <c r="B820" s="432"/>
      <c r="C820" s="432"/>
      <c r="D820" s="459"/>
      <c r="E820" s="459"/>
      <c r="F820" s="432"/>
      <c r="G820" s="432"/>
      <c r="H820" s="432"/>
      <c r="I820" s="432"/>
      <c r="J820" s="432"/>
      <c r="K820" s="432"/>
      <c r="L820" s="432"/>
      <c r="M820" s="432"/>
      <c r="N820" s="432"/>
      <c r="O820" s="459"/>
      <c r="P820" s="460"/>
      <c r="Q820" s="432"/>
      <c r="R820" s="432"/>
      <c r="S820" s="432"/>
      <c r="T820" s="432"/>
      <c r="U820" s="432"/>
      <c r="V820" s="432"/>
      <c r="W820" s="432"/>
      <c r="X820" s="432"/>
      <c r="Y820" s="432"/>
      <c r="Z820" s="432"/>
      <c r="AA820" s="432"/>
      <c r="AB820" s="432"/>
      <c r="AC820" s="432"/>
      <c r="AD820" s="432"/>
    </row>
    <row r="821">
      <c r="A821" s="432"/>
      <c r="B821" s="432"/>
      <c r="C821" s="432"/>
      <c r="D821" s="459"/>
      <c r="E821" s="459"/>
      <c r="F821" s="432"/>
      <c r="G821" s="432"/>
      <c r="H821" s="432"/>
      <c r="I821" s="432"/>
      <c r="J821" s="432"/>
      <c r="K821" s="432"/>
      <c r="L821" s="432"/>
      <c r="M821" s="432"/>
      <c r="N821" s="432"/>
      <c r="O821" s="459"/>
      <c r="P821" s="460"/>
      <c r="Q821" s="432"/>
      <c r="R821" s="432"/>
      <c r="S821" s="432"/>
      <c r="T821" s="432"/>
      <c r="U821" s="432"/>
      <c r="V821" s="432"/>
      <c r="W821" s="432"/>
      <c r="X821" s="432"/>
      <c r="Y821" s="432"/>
      <c r="Z821" s="432"/>
      <c r="AA821" s="432"/>
      <c r="AB821" s="432"/>
      <c r="AC821" s="432"/>
      <c r="AD821" s="432"/>
    </row>
    <row r="822">
      <c r="A822" s="432"/>
      <c r="B822" s="432"/>
      <c r="C822" s="432"/>
      <c r="D822" s="459"/>
      <c r="E822" s="459"/>
      <c r="F822" s="432"/>
      <c r="G822" s="432"/>
      <c r="H822" s="432"/>
      <c r="I822" s="432"/>
      <c r="J822" s="432"/>
      <c r="K822" s="432"/>
      <c r="L822" s="432"/>
      <c r="M822" s="432"/>
      <c r="N822" s="432"/>
      <c r="O822" s="459"/>
      <c r="P822" s="460"/>
      <c r="Q822" s="432"/>
      <c r="R822" s="432"/>
      <c r="S822" s="432"/>
      <c r="T822" s="432"/>
      <c r="U822" s="432"/>
      <c r="V822" s="432"/>
      <c r="W822" s="432"/>
      <c r="X822" s="432"/>
      <c r="Y822" s="432"/>
      <c r="Z822" s="432"/>
      <c r="AA822" s="432"/>
      <c r="AB822" s="432"/>
      <c r="AC822" s="432"/>
      <c r="AD822" s="432"/>
    </row>
    <row r="823">
      <c r="A823" s="432"/>
      <c r="B823" s="432"/>
      <c r="C823" s="432"/>
      <c r="D823" s="459"/>
      <c r="E823" s="459"/>
      <c r="F823" s="432"/>
      <c r="G823" s="432"/>
      <c r="H823" s="432"/>
      <c r="I823" s="432"/>
      <c r="J823" s="432"/>
      <c r="K823" s="432"/>
      <c r="L823" s="432"/>
      <c r="M823" s="432"/>
      <c r="N823" s="432"/>
      <c r="O823" s="459"/>
      <c r="P823" s="460"/>
      <c r="Q823" s="432"/>
      <c r="R823" s="432"/>
      <c r="S823" s="432"/>
      <c r="T823" s="432"/>
      <c r="U823" s="432"/>
      <c r="V823" s="432"/>
      <c r="W823" s="432"/>
      <c r="X823" s="432"/>
      <c r="Y823" s="432"/>
      <c r="Z823" s="432"/>
      <c r="AA823" s="432"/>
      <c r="AB823" s="432"/>
      <c r="AC823" s="432"/>
      <c r="AD823" s="432"/>
    </row>
    <row r="824">
      <c r="A824" s="432"/>
      <c r="B824" s="432"/>
      <c r="C824" s="432"/>
      <c r="D824" s="459"/>
      <c r="E824" s="459"/>
      <c r="F824" s="432"/>
      <c r="G824" s="432"/>
      <c r="H824" s="432"/>
      <c r="I824" s="432"/>
      <c r="J824" s="432"/>
      <c r="K824" s="432"/>
      <c r="L824" s="432"/>
      <c r="M824" s="432"/>
      <c r="N824" s="432"/>
      <c r="O824" s="459"/>
      <c r="P824" s="460"/>
      <c r="Q824" s="432"/>
      <c r="R824" s="432"/>
      <c r="S824" s="432"/>
      <c r="T824" s="432"/>
      <c r="U824" s="432"/>
      <c r="V824" s="432"/>
      <c r="W824" s="432"/>
      <c r="X824" s="432"/>
      <c r="Y824" s="432"/>
      <c r="Z824" s="432"/>
      <c r="AA824" s="432"/>
      <c r="AB824" s="432"/>
      <c r="AC824" s="432"/>
      <c r="AD824" s="432"/>
    </row>
    <row r="825">
      <c r="A825" s="432"/>
      <c r="B825" s="432"/>
      <c r="C825" s="432"/>
      <c r="D825" s="459"/>
      <c r="E825" s="459"/>
      <c r="F825" s="432"/>
      <c r="G825" s="432"/>
      <c r="H825" s="432"/>
      <c r="I825" s="432"/>
      <c r="J825" s="432"/>
      <c r="K825" s="432"/>
      <c r="L825" s="432"/>
      <c r="M825" s="432"/>
      <c r="N825" s="432"/>
      <c r="O825" s="459"/>
      <c r="P825" s="460"/>
      <c r="Q825" s="432"/>
      <c r="R825" s="432"/>
      <c r="S825" s="432"/>
      <c r="T825" s="432"/>
      <c r="U825" s="432"/>
      <c r="V825" s="432"/>
      <c r="W825" s="432"/>
      <c r="X825" s="432"/>
      <c r="Y825" s="432"/>
      <c r="Z825" s="432"/>
      <c r="AA825" s="432"/>
      <c r="AB825" s="432"/>
      <c r="AC825" s="432"/>
      <c r="AD825" s="432"/>
    </row>
    <row r="826">
      <c r="A826" s="432"/>
      <c r="B826" s="432"/>
      <c r="C826" s="432"/>
      <c r="D826" s="459"/>
      <c r="E826" s="459"/>
      <c r="F826" s="432"/>
      <c r="G826" s="432"/>
      <c r="H826" s="432"/>
      <c r="I826" s="432"/>
      <c r="J826" s="432"/>
      <c r="K826" s="432"/>
      <c r="L826" s="432"/>
      <c r="M826" s="432"/>
      <c r="N826" s="432"/>
      <c r="O826" s="459"/>
      <c r="P826" s="460"/>
      <c r="Q826" s="432"/>
      <c r="R826" s="432"/>
      <c r="S826" s="432"/>
      <c r="T826" s="432"/>
      <c r="U826" s="432"/>
      <c r="V826" s="432"/>
      <c r="W826" s="432"/>
      <c r="X826" s="432"/>
      <c r="Y826" s="432"/>
      <c r="Z826" s="432"/>
      <c r="AA826" s="432"/>
      <c r="AB826" s="432"/>
      <c r="AC826" s="432"/>
      <c r="AD826" s="432"/>
    </row>
    <row r="827">
      <c r="A827" s="432"/>
      <c r="B827" s="432"/>
      <c r="C827" s="432"/>
      <c r="D827" s="459"/>
      <c r="E827" s="459"/>
      <c r="F827" s="432"/>
      <c r="G827" s="432"/>
      <c r="H827" s="432"/>
      <c r="I827" s="432"/>
      <c r="J827" s="432"/>
      <c r="K827" s="432"/>
      <c r="L827" s="432"/>
      <c r="M827" s="432"/>
      <c r="N827" s="432"/>
      <c r="O827" s="459"/>
      <c r="P827" s="460"/>
      <c r="Q827" s="432"/>
      <c r="R827" s="432"/>
      <c r="S827" s="432"/>
      <c r="T827" s="432"/>
      <c r="U827" s="432"/>
      <c r="V827" s="432"/>
      <c r="W827" s="432"/>
      <c r="X827" s="432"/>
      <c r="Y827" s="432"/>
      <c r="Z827" s="432"/>
      <c r="AA827" s="432"/>
      <c r="AB827" s="432"/>
      <c r="AC827" s="432"/>
      <c r="AD827" s="432"/>
    </row>
    <row r="828">
      <c r="A828" s="432"/>
      <c r="B828" s="432"/>
      <c r="C828" s="432"/>
      <c r="D828" s="459"/>
      <c r="E828" s="459"/>
      <c r="F828" s="432"/>
      <c r="G828" s="432"/>
      <c r="H828" s="432"/>
      <c r="I828" s="432"/>
      <c r="J828" s="432"/>
      <c r="K828" s="432"/>
      <c r="L828" s="432"/>
      <c r="M828" s="432"/>
      <c r="N828" s="432"/>
      <c r="O828" s="459"/>
      <c r="P828" s="460"/>
      <c r="Q828" s="432"/>
      <c r="R828" s="432"/>
      <c r="S828" s="432"/>
      <c r="T828" s="432"/>
      <c r="U828" s="432"/>
      <c r="V828" s="432"/>
      <c r="W828" s="432"/>
      <c r="X828" s="432"/>
      <c r="Y828" s="432"/>
      <c r="Z828" s="432"/>
      <c r="AA828" s="432"/>
      <c r="AB828" s="432"/>
      <c r="AC828" s="432"/>
      <c r="AD828" s="432"/>
    </row>
    <row r="829">
      <c r="A829" s="432"/>
      <c r="B829" s="432"/>
      <c r="C829" s="432"/>
      <c r="D829" s="459"/>
      <c r="E829" s="459"/>
      <c r="F829" s="432"/>
      <c r="G829" s="432"/>
      <c r="H829" s="432"/>
      <c r="I829" s="432"/>
      <c r="J829" s="432"/>
      <c r="K829" s="432"/>
      <c r="L829" s="432"/>
      <c r="M829" s="432"/>
      <c r="N829" s="432"/>
      <c r="O829" s="459"/>
      <c r="P829" s="460"/>
      <c r="Q829" s="432"/>
      <c r="R829" s="432"/>
      <c r="S829" s="432"/>
      <c r="T829" s="432"/>
      <c r="U829" s="432"/>
      <c r="V829" s="432"/>
      <c r="W829" s="432"/>
      <c r="X829" s="432"/>
      <c r="Y829" s="432"/>
      <c r="Z829" s="432"/>
      <c r="AA829" s="432"/>
      <c r="AB829" s="432"/>
      <c r="AC829" s="432"/>
      <c r="AD829" s="432"/>
    </row>
    <row r="830">
      <c r="A830" s="432"/>
      <c r="B830" s="432"/>
      <c r="C830" s="432"/>
      <c r="D830" s="459"/>
      <c r="E830" s="459"/>
      <c r="F830" s="432"/>
      <c r="G830" s="432"/>
      <c r="H830" s="432"/>
      <c r="I830" s="432"/>
      <c r="J830" s="432"/>
      <c r="K830" s="432"/>
      <c r="L830" s="432"/>
      <c r="M830" s="432"/>
      <c r="N830" s="432"/>
      <c r="O830" s="459"/>
      <c r="P830" s="460"/>
      <c r="Q830" s="432"/>
      <c r="R830" s="432"/>
      <c r="S830" s="432"/>
      <c r="T830" s="432"/>
      <c r="U830" s="432"/>
      <c r="V830" s="432"/>
      <c r="W830" s="432"/>
      <c r="X830" s="432"/>
      <c r="Y830" s="432"/>
      <c r="Z830" s="432"/>
      <c r="AA830" s="432"/>
      <c r="AB830" s="432"/>
      <c r="AC830" s="432"/>
      <c r="AD830" s="432"/>
    </row>
    <row r="831">
      <c r="A831" s="432"/>
      <c r="B831" s="432"/>
      <c r="C831" s="432"/>
      <c r="D831" s="459"/>
      <c r="E831" s="459"/>
      <c r="F831" s="432"/>
      <c r="G831" s="432"/>
      <c r="H831" s="432"/>
      <c r="I831" s="432"/>
      <c r="J831" s="432"/>
      <c r="K831" s="432"/>
      <c r="L831" s="432"/>
      <c r="M831" s="432"/>
      <c r="N831" s="432"/>
      <c r="O831" s="459"/>
      <c r="P831" s="460"/>
      <c r="Q831" s="432"/>
      <c r="R831" s="432"/>
      <c r="S831" s="432"/>
      <c r="T831" s="432"/>
      <c r="U831" s="432"/>
      <c r="V831" s="432"/>
      <c r="W831" s="432"/>
      <c r="X831" s="432"/>
      <c r="Y831" s="432"/>
      <c r="Z831" s="432"/>
      <c r="AA831" s="432"/>
      <c r="AB831" s="432"/>
      <c r="AC831" s="432"/>
      <c r="AD831" s="432"/>
    </row>
    <row r="832">
      <c r="A832" s="432"/>
      <c r="B832" s="432"/>
      <c r="C832" s="432"/>
      <c r="D832" s="459"/>
      <c r="E832" s="459"/>
      <c r="F832" s="432"/>
      <c r="G832" s="432"/>
      <c r="H832" s="432"/>
      <c r="I832" s="432"/>
      <c r="J832" s="432"/>
      <c r="K832" s="432"/>
      <c r="L832" s="432"/>
      <c r="M832" s="432"/>
      <c r="N832" s="432"/>
      <c r="O832" s="459"/>
      <c r="P832" s="460"/>
      <c r="Q832" s="432"/>
      <c r="R832" s="432"/>
      <c r="S832" s="432"/>
      <c r="T832" s="432"/>
      <c r="U832" s="432"/>
      <c r="V832" s="432"/>
      <c r="W832" s="432"/>
      <c r="X832" s="432"/>
      <c r="Y832" s="432"/>
      <c r="Z832" s="432"/>
      <c r="AA832" s="432"/>
      <c r="AB832" s="432"/>
      <c r="AC832" s="432"/>
      <c r="AD832" s="432"/>
    </row>
    <row r="833">
      <c r="A833" s="432"/>
      <c r="B833" s="432"/>
      <c r="C833" s="432"/>
      <c r="D833" s="459"/>
      <c r="E833" s="459"/>
      <c r="F833" s="432"/>
      <c r="G833" s="432"/>
      <c r="H833" s="432"/>
      <c r="I833" s="432"/>
      <c r="J833" s="432"/>
      <c r="K833" s="432"/>
      <c r="L833" s="432"/>
      <c r="M833" s="432"/>
      <c r="N833" s="432"/>
      <c r="O833" s="459"/>
      <c r="P833" s="460"/>
      <c r="Q833" s="432"/>
      <c r="R833" s="432"/>
      <c r="S833" s="432"/>
      <c r="T833" s="432"/>
      <c r="U833" s="432"/>
      <c r="V833" s="432"/>
      <c r="W833" s="432"/>
      <c r="X833" s="432"/>
      <c r="Y833" s="432"/>
      <c r="Z833" s="432"/>
      <c r="AA833" s="432"/>
      <c r="AB833" s="432"/>
      <c r="AC833" s="432"/>
      <c r="AD833" s="432"/>
    </row>
    <row r="834">
      <c r="A834" s="432"/>
      <c r="B834" s="432"/>
      <c r="C834" s="432"/>
      <c r="D834" s="459"/>
      <c r="E834" s="459"/>
      <c r="F834" s="432"/>
      <c r="G834" s="432"/>
      <c r="H834" s="432"/>
      <c r="I834" s="432"/>
      <c r="J834" s="432"/>
      <c r="K834" s="432"/>
      <c r="L834" s="432"/>
      <c r="M834" s="432"/>
      <c r="N834" s="432"/>
      <c r="O834" s="459"/>
      <c r="P834" s="460"/>
      <c r="Q834" s="432"/>
      <c r="R834" s="432"/>
      <c r="S834" s="432"/>
      <c r="T834" s="432"/>
      <c r="U834" s="432"/>
      <c r="V834" s="432"/>
      <c r="W834" s="432"/>
      <c r="X834" s="432"/>
      <c r="Y834" s="432"/>
      <c r="Z834" s="432"/>
      <c r="AA834" s="432"/>
      <c r="AB834" s="432"/>
      <c r="AC834" s="432"/>
      <c r="AD834" s="432"/>
    </row>
    <row r="835">
      <c r="A835" s="432"/>
      <c r="B835" s="432"/>
      <c r="C835" s="432"/>
      <c r="D835" s="459"/>
      <c r="E835" s="459"/>
      <c r="F835" s="432"/>
      <c r="G835" s="432"/>
      <c r="H835" s="432"/>
      <c r="I835" s="432"/>
      <c r="J835" s="432"/>
      <c r="K835" s="432"/>
      <c r="L835" s="432"/>
      <c r="M835" s="432"/>
      <c r="N835" s="432"/>
      <c r="O835" s="459"/>
      <c r="P835" s="460"/>
      <c r="Q835" s="432"/>
      <c r="R835" s="432"/>
      <c r="S835" s="432"/>
      <c r="T835" s="432"/>
      <c r="U835" s="432"/>
      <c r="V835" s="432"/>
      <c r="W835" s="432"/>
      <c r="X835" s="432"/>
      <c r="Y835" s="432"/>
      <c r="Z835" s="432"/>
      <c r="AA835" s="432"/>
      <c r="AB835" s="432"/>
      <c r="AC835" s="432"/>
      <c r="AD835" s="432"/>
    </row>
    <row r="836">
      <c r="A836" s="432"/>
      <c r="B836" s="432"/>
      <c r="C836" s="432"/>
      <c r="D836" s="459"/>
      <c r="E836" s="459"/>
      <c r="F836" s="432"/>
      <c r="G836" s="432"/>
      <c r="H836" s="432"/>
      <c r="I836" s="432"/>
      <c r="J836" s="432"/>
      <c r="K836" s="432"/>
      <c r="L836" s="432"/>
      <c r="M836" s="432"/>
      <c r="N836" s="432"/>
      <c r="O836" s="459"/>
      <c r="P836" s="460"/>
      <c r="Q836" s="432"/>
      <c r="R836" s="432"/>
      <c r="S836" s="432"/>
      <c r="T836" s="432"/>
      <c r="U836" s="432"/>
      <c r="V836" s="432"/>
      <c r="W836" s="432"/>
      <c r="X836" s="432"/>
      <c r="Y836" s="432"/>
      <c r="Z836" s="432"/>
      <c r="AA836" s="432"/>
      <c r="AB836" s="432"/>
      <c r="AC836" s="432"/>
      <c r="AD836" s="432"/>
    </row>
    <row r="837">
      <c r="A837" s="432"/>
      <c r="B837" s="432"/>
      <c r="C837" s="432"/>
      <c r="D837" s="459"/>
      <c r="E837" s="459"/>
      <c r="F837" s="432"/>
      <c r="G837" s="432"/>
      <c r="H837" s="432"/>
      <c r="I837" s="432"/>
      <c r="J837" s="432"/>
      <c r="K837" s="432"/>
      <c r="L837" s="432"/>
      <c r="M837" s="432"/>
      <c r="N837" s="432"/>
      <c r="O837" s="459"/>
      <c r="P837" s="460"/>
      <c r="Q837" s="432"/>
      <c r="R837" s="432"/>
      <c r="S837" s="432"/>
      <c r="T837" s="432"/>
      <c r="U837" s="432"/>
      <c r="V837" s="432"/>
      <c r="W837" s="432"/>
      <c r="X837" s="432"/>
      <c r="Y837" s="432"/>
      <c r="Z837" s="432"/>
      <c r="AA837" s="432"/>
      <c r="AB837" s="432"/>
      <c r="AC837" s="432"/>
      <c r="AD837" s="432"/>
    </row>
    <row r="838">
      <c r="A838" s="432"/>
      <c r="B838" s="432"/>
      <c r="C838" s="432"/>
      <c r="D838" s="459"/>
      <c r="E838" s="459"/>
      <c r="F838" s="432"/>
      <c r="G838" s="432"/>
      <c r="H838" s="432"/>
      <c r="I838" s="432"/>
      <c r="J838" s="432"/>
      <c r="K838" s="432"/>
      <c r="L838" s="432"/>
      <c r="M838" s="432"/>
      <c r="N838" s="432"/>
      <c r="O838" s="459"/>
      <c r="P838" s="460"/>
      <c r="Q838" s="432"/>
      <c r="R838" s="432"/>
      <c r="S838" s="432"/>
      <c r="T838" s="432"/>
      <c r="U838" s="432"/>
      <c r="V838" s="432"/>
      <c r="W838" s="432"/>
      <c r="X838" s="432"/>
      <c r="Y838" s="432"/>
      <c r="Z838" s="432"/>
      <c r="AA838" s="432"/>
      <c r="AB838" s="432"/>
      <c r="AC838" s="432"/>
      <c r="AD838" s="432"/>
    </row>
    <row r="839">
      <c r="A839" s="432"/>
      <c r="B839" s="432"/>
      <c r="C839" s="432"/>
      <c r="D839" s="459"/>
      <c r="E839" s="459"/>
      <c r="F839" s="432"/>
      <c r="G839" s="432"/>
      <c r="H839" s="432"/>
      <c r="I839" s="432"/>
      <c r="J839" s="432"/>
      <c r="K839" s="432"/>
      <c r="L839" s="432"/>
      <c r="M839" s="432"/>
      <c r="N839" s="432"/>
      <c r="O839" s="459"/>
      <c r="P839" s="460"/>
      <c r="Q839" s="432"/>
      <c r="R839" s="432"/>
      <c r="S839" s="432"/>
      <c r="T839" s="432"/>
      <c r="U839" s="432"/>
      <c r="V839" s="432"/>
      <c r="W839" s="432"/>
      <c r="X839" s="432"/>
      <c r="Y839" s="432"/>
      <c r="Z839" s="432"/>
      <c r="AA839" s="432"/>
      <c r="AB839" s="432"/>
      <c r="AC839" s="432"/>
      <c r="AD839" s="432"/>
    </row>
    <row r="840">
      <c r="A840" s="432"/>
      <c r="B840" s="432"/>
      <c r="C840" s="432"/>
      <c r="D840" s="459"/>
      <c r="E840" s="459"/>
      <c r="F840" s="432"/>
      <c r="G840" s="432"/>
      <c r="H840" s="432"/>
      <c r="I840" s="432"/>
      <c r="J840" s="432"/>
      <c r="K840" s="432"/>
      <c r="L840" s="432"/>
      <c r="M840" s="432"/>
      <c r="N840" s="432"/>
      <c r="O840" s="459"/>
      <c r="P840" s="460"/>
      <c r="Q840" s="432"/>
      <c r="R840" s="432"/>
      <c r="S840" s="432"/>
      <c r="T840" s="432"/>
      <c r="U840" s="432"/>
      <c r="V840" s="432"/>
      <c r="W840" s="432"/>
      <c r="X840" s="432"/>
      <c r="Y840" s="432"/>
      <c r="Z840" s="432"/>
      <c r="AA840" s="432"/>
      <c r="AB840" s="432"/>
      <c r="AC840" s="432"/>
      <c r="AD840" s="432"/>
    </row>
    <row r="841">
      <c r="A841" s="432"/>
      <c r="B841" s="432"/>
      <c r="C841" s="432"/>
      <c r="D841" s="459"/>
      <c r="E841" s="459"/>
      <c r="F841" s="432"/>
      <c r="G841" s="432"/>
      <c r="H841" s="432"/>
      <c r="I841" s="432"/>
      <c r="J841" s="432"/>
      <c r="K841" s="432"/>
      <c r="L841" s="432"/>
      <c r="M841" s="432"/>
      <c r="N841" s="432"/>
      <c r="O841" s="459"/>
      <c r="P841" s="460"/>
      <c r="Q841" s="432"/>
      <c r="R841" s="432"/>
      <c r="S841" s="432"/>
      <c r="T841" s="432"/>
      <c r="U841" s="432"/>
      <c r="V841" s="432"/>
      <c r="W841" s="432"/>
      <c r="X841" s="432"/>
      <c r="Y841" s="432"/>
      <c r="Z841" s="432"/>
      <c r="AA841" s="432"/>
      <c r="AB841" s="432"/>
      <c r="AC841" s="432"/>
      <c r="AD841" s="432"/>
    </row>
    <row r="842">
      <c r="A842" s="432"/>
      <c r="B842" s="432"/>
      <c r="C842" s="432"/>
      <c r="D842" s="459"/>
      <c r="E842" s="459"/>
      <c r="F842" s="432"/>
      <c r="G842" s="432"/>
      <c r="H842" s="432"/>
      <c r="I842" s="432"/>
      <c r="J842" s="432"/>
      <c r="K842" s="432"/>
      <c r="L842" s="432"/>
      <c r="M842" s="432"/>
      <c r="N842" s="432"/>
      <c r="O842" s="459"/>
      <c r="P842" s="460"/>
      <c r="Q842" s="432"/>
      <c r="R842" s="432"/>
      <c r="S842" s="432"/>
      <c r="T842" s="432"/>
      <c r="U842" s="432"/>
      <c r="V842" s="432"/>
      <c r="W842" s="432"/>
      <c r="X842" s="432"/>
      <c r="Y842" s="432"/>
      <c r="Z842" s="432"/>
      <c r="AA842" s="432"/>
      <c r="AB842" s="432"/>
      <c r="AC842" s="432"/>
      <c r="AD842" s="432"/>
    </row>
    <row r="843">
      <c r="A843" s="432"/>
      <c r="B843" s="432"/>
      <c r="C843" s="432"/>
      <c r="D843" s="459"/>
      <c r="E843" s="459"/>
      <c r="F843" s="432"/>
      <c r="G843" s="432"/>
      <c r="H843" s="432"/>
      <c r="I843" s="432"/>
      <c r="J843" s="432"/>
      <c r="K843" s="432"/>
      <c r="L843" s="432"/>
      <c r="M843" s="432"/>
      <c r="N843" s="432"/>
      <c r="O843" s="459"/>
      <c r="P843" s="460"/>
      <c r="Q843" s="432"/>
      <c r="R843" s="432"/>
      <c r="S843" s="432"/>
      <c r="T843" s="432"/>
      <c r="U843" s="432"/>
      <c r="V843" s="432"/>
      <c r="W843" s="432"/>
      <c r="X843" s="432"/>
      <c r="Y843" s="432"/>
      <c r="Z843" s="432"/>
      <c r="AA843" s="432"/>
      <c r="AB843" s="432"/>
      <c r="AC843" s="432"/>
      <c r="AD843" s="432"/>
    </row>
    <row r="844">
      <c r="A844" s="432"/>
      <c r="B844" s="432"/>
      <c r="C844" s="432"/>
      <c r="D844" s="459"/>
      <c r="E844" s="459"/>
      <c r="F844" s="432"/>
      <c r="G844" s="432"/>
      <c r="H844" s="432"/>
      <c r="I844" s="432"/>
      <c r="J844" s="432"/>
      <c r="K844" s="432"/>
      <c r="L844" s="432"/>
      <c r="M844" s="432"/>
      <c r="N844" s="432"/>
      <c r="O844" s="459"/>
      <c r="P844" s="460"/>
      <c r="Q844" s="432"/>
      <c r="R844" s="432"/>
      <c r="S844" s="432"/>
      <c r="T844" s="432"/>
      <c r="U844" s="432"/>
      <c r="V844" s="432"/>
      <c r="W844" s="432"/>
      <c r="X844" s="432"/>
      <c r="Y844" s="432"/>
      <c r="Z844" s="432"/>
      <c r="AA844" s="432"/>
      <c r="AB844" s="432"/>
      <c r="AC844" s="432"/>
      <c r="AD844" s="432"/>
    </row>
    <row r="845">
      <c r="A845" s="432"/>
      <c r="B845" s="432"/>
      <c r="C845" s="432"/>
      <c r="D845" s="459"/>
      <c r="E845" s="459"/>
      <c r="F845" s="432"/>
      <c r="G845" s="432"/>
      <c r="H845" s="432"/>
      <c r="I845" s="432"/>
      <c r="J845" s="432"/>
      <c r="K845" s="432"/>
      <c r="L845" s="432"/>
      <c r="M845" s="432"/>
      <c r="N845" s="432"/>
      <c r="O845" s="459"/>
      <c r="P845" s="460"/>
      <c r="Q845" s="432"/>
      <c r="R845" s="432"/>
      <c r="S845" s="432"/>
      <c r="T845" s="432"/>
      <c r="U845" s="432"/>
      <c r="V845" s="432"/>
      <c r="W845" s="432"/>
      <c r="X845" s="432"/>
      <c r="Y845" s="432"/>
      <c r="Z845" s="432"/>
      <c r="AA845" s="432"/>
      <c r="AB845" s="432"/>
      <c r="AC845" s="432"/>
      <c r="AD845" s="432"/>
    </row>
    <row r="846">
      <c r="A846" s="432"/>
      <c r="B846" s="432"/>
      <c r="C846" s="432"/>
      <c r="D846" s="459"/>
      <c r="E846" s="459"/>
      <c r="F846" s="432"/>
      <c r="G846" s="432"/>
      <c r="H846" s="432"/>
      <c r="I846" s="432"/>
      <c r="J846" s="432"/>
      <c r="K846" s="432"/>
      <c r="L846" s="432"/>
      <c r="M846" s="432"/>
      <c r="N846" s="432"/>
      <c r="O846" s="459"/>
      <c r="P846" s="460"/>
      <c r="Q846" s="432"/>
      <c r="R846" s="432"/>
      <c r="S846" s="432"/>
      <c r="T846" s="432"/>
      <c r="U846" s="432"/>
      <c r="V846" s="432"/>
      <c r="W846" s="432"/>
      <c r="X846" s="432"/>
      <c r="Y846" s="432"/>
      <c r="Z846" s="432"/>
      <c r="AA846" s="432"/>
      <c r="AB846" s="432"/>
      <c r="AC846" s="432"/>
      <c r="AD846" s="432"/>
    </row>
    <row r="847">
      <c r="A847" s="432"/>
      <c r="B847" s="432"/>
      <c r="C847" s="432"/>
      <c r="D847" s="459"/>
      <c r="E847" s="459"/>
      <c r="F847" s="432"/>
      <c r="G847" s="432"/>
      <c r="H847" s="432"/>
      <c r="I847" s="432"/>
      <c r="J847" s="432"/>
      <c r="K847" s="432"/>
      <c r="L847" s="432"/>
      <c r="M847" s="432"/>
      <c r="N847" s="432"/>
      <c r="O847" s="459"/>
      <c r="P847" s="460"/>
      <c r="Q847" s="432"/>
      <c r="R847" s="432"/>
      <c r="S847" s="432"/>
      <c r="T847" s="432"/>
      <c r="U847" s="432"/>
      <c r="V847" s="432"/>
      <c r="W847" s="432"/>
      <c r="X847" s="432"/>
      <c r="Y847" s="432"/>
      <c r="Z847" s="432"/>
      <c r="AA847" s="432"/>
      <c r="AB847" s="432"/>
      <c r="AC847" s="432"/>
      <c r="AD847" s="432"/>
    </row>
    <row r="848">
      <c r="A848" s="432"/>
      <c r="B848" s="432"/>
      <c r="C848" s="432"/>
      <c r="D848" s="459"/>
      <c r="E848" s="459"/>
      <c r="F848" s="432"/>
      <c r="G848" s="432"/>
      <c r="H848" s="432"/>
      <c r="I848" s="432"/>
      <c r="J848" s="432"/>
      <c r="K848" s="432"/>
      <c r="L848" s="432"/>
      <c r="M848" s="432"/>
      <c r="N848" s="432"/>
      <c r="O848" s="459"/>
      <c r="P848" s="460"/>
      <c r="Q848" s="432"/>
      <c r="R848" s="432"/>
      <c r="S848" s="432"/>
      <c r="T848" s="432"/>
      <c r="U848" s="432"/>
      <c r="V848" s="432"/>
      <c r="W848" s="432"/>
      <c r="X848" s="432"/>
      <c r="Y848" s="432"/>
      <c r="Z848" s="432"/>
      <c r="AA848" s="432"/>
      <c r="AB848" s="432"/>
      <c r="AC848" s="432"/>
      <c r="AD848" s="432"/>
    </row>
    <row r="849">
      <c r="A849" s="432"/>
      <c r="B849" s="432"/>
      <c r="C849" s="432"/>
      <c r="D849" s="459"/>
      <c r="E849" s="459"/>
      <c r="F849" s="432"/>
      <c r="G849" s="432"/>
      <c r="H849" s="432"/>
      <c r="I849" s="432"/>
      <c r="J849" s="432"/>
      <c r="K849" s="432"/>
      <c r="L849" s="432"/>
      <c r="M849" s="432"/>
      <c r="N849" s="432"/>
      <c r="O849" s="459"/>
      <c r="P849" s="460"/>
      <c r="Q849" s="432"/>
      <c r="R849" s="432"/>
      <c r="S849" s="432"/>
      <c r="T849" s="432"/>
      <c r="U849" s="432"/>
      <c r="V849" s="432"/>
      <c r="W849" s="432"/>
      <c r="X849" s="432"/>
      <c r="Y849" s="432"/>
      <c r="Z849" s="432"/>
      <c r="AA849" s="432"/>
      <c r="AB849" s="432"/>
      <c r="AC849" s="432"/>
      <c r="AD849" s="432"/>
    </row>
    <row r="850">
      <c r="A850" s="432"/>
      <c r="B850" s="432"/>
      <c r="C850" s="432"/>
      <c r="D850" s="459"/>
      <c r="E850" s="459"/>
      <c r="F850" s="432"/>
      <c r="G850" s="432"/>
      <c r="H850" s="432"/>
      <c r="I850" s="432"/>
      <c r="J850" s="432"/>
      <c r="K850" s="432"/>
      <c r="L850" s="432"/>
      <c r="M850" s="432"/>
      <c r="N850" s="432"/>
      <c r="O850" s="459"/>
      <c r="P850" s="460"/>
      <c r="Q850" s="432"/>
      <c r="R850" s="432"/>
      <c r="S850" s="432"/>
      <c r="T850" s="432"/>
      <c r="U850" s="432"/>
      <c r="V850" s="432"/>
      <c r="W850" s="432"/>
      <c r="X850" s="432"/>
      <c r="Y850" s="432"/>
      <c r="Z850" s="432"/>
      <c r="AA850" s="432"/>
      <c r="AB850" s="432"/>
      <c r="AC850" s="432"/>
      <c r="AD850" s="432"/>
    </row>
    <row r="851">
      <c r="A851" s="432"/>
      <c r="B851" s="432"/>
      <c r="C851" s="432"/>
      <c r="D851" s="459"/>
      <c r="E851" s="459"/>
      <c r="F851" s="432"/>
      <c r="G851" s="432"/>
      <c r="H851" s="432"/>
      <c r="I851" s="432"/>
      <c r="J851" s="432"/>
      <c r="K851" s="432"/>
      <c r="L851" s="432"/>
      <c r="M851" s="432"/>
      <c r="N851" s="432"/>
      <c r="O851" s="459"/>
      <c r="P851" s="460"/>
      <c r="Q851" s="432"/>
      <c r="R851" s="432"/>
      <c r="S851" s="432"/>
      <c r="T851" s="432"/>
      <c r="U851" s="432"/>
      <c r="V851" s="432"/>
      <c r="W851" s="432"/>
      <c r="X851" s="432"/>
      <c r="Y851" s="432"/>
      <c r="Z851" s="432"/>
      <c r="AA851" s="432"/>
      <c r="AB851" s="432"/>
      <c r="AC851" s="432"/>
      <c r="AD851" s="432"/>
    </row>
    <row r="852">
      <c r="A852" s="432"/>
      <c r="B852" s="432"/>
      <c r="C852" s="432"/>
      <c r="D852" s="459"/>
      <c r="E852" s="459"/>
      <c r="F852" s="432"/>
      <c r="G852" s="432"/>
      <c r="H852" s="432"/>
      <c r="I852" s="432"/>
      <c r="J852" s="432"/>
      <c r="K852" s="432"/>
      <c r="L852" s="432"/>
      <c r="M852" s="432"/>
      <c r="N852" s="432"/>
      <c r="O852" s="459"/>
      <c r="P852" s="460"/>
      <c r="Q852" s="432"/>
      <c r="R852" s="432"/>
      <c r="S852" s="432"/>
      <c r="T852" s="432"/>
      <c r="U852" s="432"/>
      <c r="V852" s="432"/>
      <c r="W852" s="432"/>
      <c r="X852" s="432"/>
      <c r="Y852" s="432"/>
      <c r="Z852" s="432"/>
      <c r="AA852" s="432"/>
      <c r="AB852" s="432"/>
      <c r="AC852" s="432"/>
      <c r="AD852" s="432"/>
    </row>
    <row r="853">
      <c r="A853" s="432"/>
      <c r="B853" s="432"/>
      <c r="C853" s="432"/>
      <c r="D853" s="459"/>
      <c r="E853" s="459"/>
      <c r="F853" s="432"/>
      <c r="G853" s="432"/>
      <c r="H853" s="432"/>
      <c r="I853" s="432"/>
      <c r="J853" s="432"/>
      <c r="K853" s="432"/>
      <c r="L853" s="432"/>
      <c r="M853" s="432"/>
      <c r="N853" s="432"/>
      <c r="O853" s="459"/>
      <c r="P853" s="460"/>
      <c r="Q853" s="432"/>
      <c r="R853" s="432"/>
      <c r="S853" s="432"/>
      <c r="T853" s="432"/>
      <c r="U853" s="432"/>
      <c r="V853" s="432"/>
      <c r="W853" s="432"/>
      <c r="X853" s="432"/>
      <c r="Y853" s="432"/>
      <c r="Z853" s="432"/>
      <c r="AA853" s="432"/>
      <c r="AB853" s="432"/>
      <c r="AC853" s="432"/>
      <c r="AD853" s="432"/>
    </row>
    <row r="854">
      <c r="A854" s="432"/>
      <c r="B854" s="432"/>
      <c r="C854" s="432"/>
      <c r="D854" s="459"/>
      <c r="E854" s="459"/>
      <c r="F854" s="432"/>
      <c r="G854" s="432"/>
      <c r="H854" s="432"/>
      <c r="I854" s="432"/>
      <c r="J854" s="432"/>
      <c r="K854" s="432"/>
      <c r="L854" s="432"/>
      <c r="M854" s="432"/>
      <c r="N854" s="432"/>
      <c r="O854" s="459"/>
      <c r="P854" s="460"/>
      <c r="Q854" s="432"/>
      <c r="R854" s="432"/>
      <c r="S854" s="432"/>
      <c r="T854" s="432"/>
      <c r="U854" s="432"/>
      <c r="V854" s="432"/>
      <c r="W854" s="432"/>
      <c r="X854" s="432"/>
      <c r="Y854" s="432"/>
      <c r="Z854" s="432"/>
      <c r="AA854" s="432"/>
      <c r="AB854" s="432"/>
      <c r="AC854" s="432"/>
      <c r="AD854" s="432"/>
    </row>
    <row r="855">
      <c r="A855" s="432"/>
      <c r="B855" s="432"/>
      <c r="C855" s="432"/>
      <c r="D855" s="459"/>
      <c r="E855" s="459"/>
      <c r="F855" s="432"/>
      <c r="G855" s="432"/>
      <c r="H855" s="432"/>
      <c r="I855" s="432"/>
      <c r="J855" s="432"/>
      <c r="K855" s="432"/>
      <c r="L855" s="432"/>
      <c r="M855" s="432"/>
      <c r="N855" s="432"/>
      <c r="O855" s="459"/>
      <c r="P855" s="460"/>
      <c r="Q855" s="432"/>
      <c r="R855" s="432"/>
      <c r="S855" s="432"/>
      <c r="T855" s="432"/>
      <c r="U855" s="432"/>
      <c r="V855" s="432"/>
      <c r="W855" s="432"/>
      <c r="X855" s="432"/>
      <c r="Y855" s="432"/>
      <c r="Z855" s="432"/>
      <c r="AA855" s="432"/>
      <c r="AB855" s="432"/>
      <c r="AC855" s="432"/>
      <c r="AD855" s="432"/>
    </row>
    <row r="856">
      <c r="A856" s="432"/>
      <c r="B856" s="432"/>
      <c r="C856" s="432"/>
      <c r="D856" s="459"/>
      <c r="E856" s="459"/>
      <c r="F856" s="432"/>
      <c r="G856" s="432"/>
      <c r="H856" s="432"/>
      <c r="I856" s="432"/>
      <c r="J856" s="432"/>
      <c r="K856" s="432"/>
      <c r="L856" s="432"/>
      <c r="M856" s="432"/>
      <c r="N856" s="432"/>
      <c r="O856" s="459"/>
      <c r="P856" s="460"/>
      <c r="Q856" s="432"/>
      <c r="R856" s="432"/>
      <c r="S856" s="432"/>
      <c r="T856" s="432"/>
      <c r="U856" s="432"/>
      <c r="V856" s="432"/>
      <c r="W856" s="432"/>
      <c r="X856" s="432"/>
      <c r="Y856" s="432"/>
      <c r="Z856" s="432"/>
      <c r="AA856" s="432"/>
      <c r="AB856" s="432"/>
      <c r="AC856" s="432"/>
      <c r="AD856" s="432"/>
    </row>
    <row r="857">
      <c r="A857" s="432"/>
      <c r="B857" s="432"/>
      <c r="C857" s="432"/>
      <c r="D857" s="459"/>
      <c r="E857" s="459"/>
      <c r="F857" s="432"/>
      <c r="G857" s="432"/>
      <c r="H857" s="432"/>
      <c r="I857" s="432"/>
      <c r="J857" s="432"/>
      <c r="K857" s="432"/>
      <c r="L857" s="432"/>
      <c r="M857" s="432"/>
      <c r="N857" s="432"/>
      <c r="O857" s="459"/>
      <c r="P857" s="460"/>
      <c r="Q857" s="432"/>
      <c r="R857" s="432"/>
      <c r="S857" s="432"/>
      <c r="T857" s="432"/>
      <c r="U857" s="432"/>
      <c r="V857" s="432"/>
      <c r="W857" s="432"/>
      <c r="X857" s="432"/>
      <c r="Y857" s="432"/>
      <c r="Z857" s="432"/>
      <c r="AA857" s="432"/>
      <c r="AB857" s="432"/>
      <c r="AC857" s="432"/>
      <c r="AD857" s="432"/>
    </row>
    <row r="858">
      <c r="A858" s="432"/>
      <c r="B858" s="432"/>
      <c r="C858" s="432"/>
      <c r="D858" s="459"/>
      <c r="E858" s="459"/>
      <c r="F858" s="432"/>
      <c r="G858" s="432"/>
      <c r="H858" s="432"/>
      <c r="I858" s="432"/>
      <c r="J858" s="432"/>
      <c r="K858" s="432"/>
      <c r="L858" s="432"/>
      <c r="M858" s="432"/>
      <c r="N858" s="432"/>
      <c r="O858" s="459"/>
      <c r="P858" s="460"/>
      <c r="Q858" s="432"/>
      <c r="R858" s="432"/>
      <c r="S858" s="432"/>
      <c r="T858" s="432"/>
      <c r="U858" s="432"/>
      <c r="V858" s="432"/>
      <c r="W858" s="432"/>
      <c r="X858" s="432"/>
      <c r="Y858" s="432"/>
      <c r="Z858" s="432"/>
      <c r="AA858" s="432"/>
      <c r="AB858" s="432"/>
      <c r="AC858" s="432"/>
      <c r="AD858" s="432"/>
    </row>
    <row r="859">
      <c r="A859" s="432"/>
      <c r="B859" s="432"/>
      <c r="C859" s="432"/>
      <c r="D859" s="459"/>
      <c r="E859" s="459"/>
      <c r="F859" s="432"/>
      <c r="G859" s="432"/>
      <c r="H859" s="432"/>
      <c r="I859" s="432"/>
      <c r="J859" s="432"/>
      <c r="K859" s="432"/>
      <c r="L859" s="432"/>
      <c r="M859" s="432"/>
      <c r="N859" s="432"/>
      <c r="O859" s="459"/>
      <c r="P859" s="460"/>
      <c r="Q859" s="432"/>
      <c r="R859" s="432"/>
      <c r="S859" s="432"/>
      <c r="T859" s="432"/>
      <c r="U859" s="432"/>
      <c r="V859" s="432"/>
      <c r="W859" s="432"/>
      <c r="X859" s="432"/>
      <c r="Y859" s="432"/>
      <c r="Z859" s="432"/>
      <c r="AA859" s="432"/>
      <c r="AB859" s="432"/>
      <c r="AC859" s="432"/>
      <c r="AD859" s="432"/>
    </row>
    <row r="860">
      <c r="A860" s="432"/>
      <c r="B860" s="432"/>
      <c r="C860" s="432"/>
      <c r="D860" s="459"/>
      <c r="E860" s="459"/>
      <c r="F860" s="432"/>
      <c r="G860" s="432"/>
      <c r="H860" s="432"/>
      <c r="I860" s="432"/>
      <c r="J860" s="432"/>
      <c r="K860" s="432"/>
      <c r="L860" s="432"/>
      <c r="M860" s="432"/>
      <c r="N860" s="432"/>
      <c r="O860" s="459"/>
      <c r="P860" s="460"/>
      <c r="Q860" s="432"/>
      <c r="R860" s="432"/>
      <c r="S860" s="432"/>
      <c r="T860" s="432"/>
      <c r="U860" s="432"/>
      <c r="V860" s="432"/>
      <c r="W860" s="432"/>
      <c r="X860" s="432"/>
      <c r="Y860" s="432"/>
      <c r="Z860" s="432"/>
      <c r="AA860" s="432"/>
      <c r="AB860" s="432"/>
      <c r="AC860" s="432"/>
      <c r="AD860" s="432"/>
    </row>
    <row r="861">
      <c r="A861" s="432"/>
      <c r="B861" s="432"/>
      <c r="C861" s="432"/>
      <c r="D861" s="459"/>
      <c r="E861" s="459"/>
      <c r="F861" s="432"/>
      <c r="G861" s="432"/>
      <c r="H861" s="432"/>
      <c r="I861" s="432"/>
      <c r="J861" s="432"/>
      <c r="K861" s="432"/>
      <c r="L861" s="432"/>
      <c r="M861" s="432"/>
      <c r="N861" s="432"/>
      <c r="O861" s="459"/>
      <c r="P861" s="460"/>
      <c r="Q861" s="432"/>
      <c r="R861" s="432"/>
      <c r="S861" s="432"/>
      <c r="T861" s="432"/>
      <c r="U861" s="432"/>
      <c r="V861" s="432"/>
      <c r="W861" s="432"/>
      <c r="X861" s="432"/>
      <c r="Y861" s="432"/>
      <c r="Z861" s="432"/>
      <c r="AA861" s="432"/>
      <c r="AB861" s="432"/>
      <c r="AC861" s="432"/>
      <c r="AD861" s="432"/>
    </row>
    <row r="862">
      <c r="A862" s="432"/>
      <c r="B862" s="432"/>
      <c r="C862" s="432"/>
      <c r="D862" s="459"/>
      <c r="E862" s="459"/>
      <c r="F862" s="432"/>
      <c r="G862" s="432"/>
      <c r="H862" s="432"/>
      <c r="I862" s="432"/>
      <c r="J862" s="432"/>
      <c r="K862" s="432"/>
      <c r="L862" s="432"/>
      <c r="M862" s="432"/>
      <c r="N862" s="432"/>
      <c r="O862" s="459"/>
      <c r="P862" s="460"/>
      <c r="Q862" s="432"/>
      <c r="R862" s="432"/>
      <c r="S862" s="432"/>
      <c r="T862" s="432"/>
      <c r="U862" s="432"/>
      <c r="V862" s="432"/>
      <c r="W862" s="432"/>
      <c r="X862" s="432"/>
      <c r="Y862" s="432"/>
      <c r="Z862" s="432"/>
      <c r="AA862" s="432"/>
      <c r="AB862" s="432"/>
      <c r="AC862" s="432"/>
      <c r="AD862" s="432"/>
    </row>
    <row r="863">
      <c r="A863" s="432"/>
      <c r="B863" s="432"/>
      <c r="C863" s="432"/>
      <c r="D863" s="459"/>
      <c r="E863" s="459"/>
      <c r="F863" s="432"/>
      <c r="G863" s="432"/>
      <c r="H863" s="432"/>
      <c r="I863" s="432"/>
      <c r="J863" s="432"/>
      <c r="K863" s="432"/>
      <c r="L863" s="432"/>
      <c r="M863" s="432"/>
      <c r="N863" s="432"/>
      <c r="O863" s="459"/>
      <c r="P863" s="460"/>
      <c r="Q863" s="432"/>
      <c r="R863" s="432"/>
      <c r="S863" s="432"/>
      <c r="T863" s="432"/>
      <c r="U863" s="432"/>
      <c r="V863" s="432"/>
      <c r="W863" s="432"/>
      <c r="X863" s="432"/>
      <c r="Y863" s="432"/>
      <c r="Z863" s="432"/>
      <c r="AA863" s="432"/>
      <c r="AB863" s="432"/>
      <c r="AC863" s="432"/>
      <c r="AD863" s="432"/>
    </row>
    <row r="864">
      <c r="A864" s="432"/>
      <c r="B864" s="432"/>
      <c r="C864" s="432"/>
      <c r="D864" s="459"/>
      <c r="E864" s="459"/>
      <c r="F864" s="432"/>
      <c r="G864" s="432"/>
      <c r="H864" s="432"/>
      <c r="I864" s="432"/>
      <c r="J864" s="432"/>
      <c r="K864" s="432"/>
      <c r="L864" s="432"/>
      <c r="M864" s="432"/>
      <c r="N864" s="432"/>
      <c r="O864" s="459"/>
      <c r="P864" s="460"/>
      <c r="Q864" s="432"/>
      <c r="R864" s="432"/>
      <c r="S864" s="432"/>
      <c r="T864" s="432"/>
      <c r="U864" s="432"/>
      <c r="V864" s="432"/>
      <c r="W864" s="432"/>
      <c r="X864" s="432"/>
      <c r="Y864" s="432"/>
      <c r="Z864" s="432"/>
      <c r="AA864" s="432"/>
      <c r="AB864" s="432"/>
      <c r="AC864" s="432"/>
      <c r="AD864" s="432"/>
    </row>
    <row r="865">
      <c r="A865" s="432"/>
      <c r="B865" s="432"/>
      <c r="C865" s="432"/>
      <c r="D865" s="459"/>
      <c r="E865" s="459"/>
      <c r="F865" s="432"/>
      <c r="G865" s="432"/>
      <c r="H865" s="432"/>
      <c r="I865" s="432"/>
      <c r="J865" s="432"/>
      <c r="K865" s="432"/>
      <c r="L865" s="432"/>
      <c r="M865" s="432"/>
      <c r="N865" s="432"/>
      <c r="O865" s="459"/>
      <c r="P865" s="460"/>
      <c r="Q865" s="432"/>
      <c r="R865" s="432"/>
      <c r="S865" s="432"/>
      <c r="T865" s="432"/>
      <c r="U865" s="432"/>
      <c r="V865" s="432"/>
      <c r="W865" s="432"/>
      <c r="X865" s="432"/>
      <c r="Y865" s="432"/>
      <c r="Z865" s="432"/>
      <c r="AA865" s="432"/>
      <c r="AB865" s="432"/>
      <c r="AC865" s="432"/>
      <c r="AD865" s="432"/>
    </row>
    <row r="866">
      <c r="A866" s="432"/>
      <c r="B866" s="432"/>
      <c r="C866" s="432"/>
      <c r="D866" s="459"/>
      <c r="E866" s="459"/>
      <c r="F866" s="432"/>
      <c r="G866" s="432"/>
      <c r="H866" s="432"/>
      <c r="I866" s="432"/>
      <c r="J866" s="432"/>
      <c r="K866" s="432"/>
      <c r="L866" s="432"/>
      <c r="M866" s="432"/>
      <c r="N866" s="432"/>
      <c r="O866" s="459"/>
      <c r="P866" s="460"/>
      <c r="Q866" s="432"/>
      <c r="R866" s="432"/>
      <c r="S866" s="432"/>
      <c r="T866" s="432"/>
      <c r="U866" s="432"/>
      <c r="V866" s="432"/>
      <c r="W866" s="432"/>
      <c r="X866" s="432"/>
      <c r="Y866" s="432"/>
      <c r="Z866" s="432"/>
      <c r="AA866" s="432"/>
      <c r="AB866" s="432"/>
      <c r="AC866" s="432"/>
      <c r="AD866" s="432"/>
    </row>
    <row r="867">
      <c r="A867" s="432"/>
      <c r="B867" s="432"/>
      <c r="C867" s="432"/>
      <c r="D867" s="459"/>
      <c r="E867" s="459"/>
      <c r="F867" s="432"/>
      <c r="G867" s="432"/>
      <c r="H867" s="432"/>
      <c r="I867" s="432"/>
      <c r="J867" s="432"/>
      <c r="K867" s="432"/>
      <c r="L867" s="432"/>
      <c r="M867" s="432"/>
      <c r="N867" s="432"/>
      <c r="O867" s="459"/>
      <c r="P867" s="460"/>
      <c r="Q867" s="432"/>
      <c r="R867" s="432"/>
      <c r="S867" s="432"/>
      <c r="T867" s="432"/>
      <c r="U867" s="432"/>
      <c r="V867" s="432"/>
      <c r="W867" s="432"/>
      <c r="X867" s="432"/>
      <c r="Y867" s="432"/>
      <c r="Z867" s="432"/>
      <c r="AA867" s="432"/>
      <c r="AB867" s="432"/>
      <c r="AC867" s="432"/>
      <c r="AD867" s="432"/>
    </row>
    <row r="868">
      <c r="A868" s="432"/>
      <c r="B868" s="432"/>
      <c r="C868" s="432"/>
      <c r="D868" s="459"/>
      <c r="E868" s="459"/>
      <c r="F868" s="432"/>
      <c r="G868" s="432"/>
      <c r="H868" s="432"/>
      <c r="I868" s="432"/>
      <c r="J868" s="432"/>
      <c r="K868" s="432"/>
      <c r="L868" s="432"/>
      <c r="M868" s="432"/>
      <c r="N868" s="432"/>
      <c r="O868" s="459"/>
      <c r="P868" s="460"/>
      <c r="Q868" s="432"/>
      <c r="R868" s="432"/>
      <c r="S868" s="432"/>
      <c r="T868" s="432"/>
      <c r="U868" s="432"/>
      <c r="V868" s="432"/>
      <c r="W868" s="432"/>
      <c r="X868" s="432"/>
      <c r="Y868" s="432"/>
      <c r="Z868" s="432"/>
      <c r="AA868" s="432"/>
      <c r="AB868" s="432"/>
      <c r="AC868" s="432"/>
      <c r="AD868" s="432"/>
    </row>
    <row r="869">
      <c r="A869" s="432"/>
      <c r="B869" s="432"/>
      <c r="C869" s="432"/>
      <c r="D869" s="459"/>
      <c r="E869" s="459"/>
      <c r="F869" s="432"/>
      <c r="G869" s="432"/>
      <c r="H869" s="432"/>
      <c r="I869" s="432"/>
      <c r="J869" s="432"/>
      <c r="K869" s="432"/>
      <c r="L869" s="432"/>
      <c r="M869" s="432"/>
      <c r="N869" s="432"/>
      <c r="O869" s="459"/>
      <c r="P869" s="460"/>
      <c r="Q869" s="432"/>
      <c r="R869" s="432"/>
      <c r="S869" s="432"/>
      <c r="T869" s="432"/>
      <c r="U869" s="432"/>
      <c r="V869" s="432"/>
      <c r="W869" s="432"/>
      <c r="X869" s="432"/>
      <c r="Y869" s="432"/>
      <c r="Z869" s="432"/>
      <c r="AA869" s="432"/>
      <c r="AB869" s="432"/>
      <c r="AC869" s="432"/>
      <c r="AD869" s="432"/>
    </row>
    <row r="870">
      <c r="A870" s="432"/>
      <c r="B870" s="432"/>
      <c r="C870" s="432"/>
      <c r="D870" s="459"/>
      <c r="E870" s="459"/>
      <c r="F870" s="432"/>
      <c r="G870" s="432"/>
      <c r="H870" s="432"/>
      <c r="I870" s="432"/>
      <c r="J870" s="432"/>
      <c r="K870" s="432"/>
      <c r="L870" s="432"/>
      <c r="M870" s="432"/>
      <c r="N870" s="432"/>
      <c r="O870" s="459"/>
      <c r="P870" s="460"/>
      <c r="Q870" s="432"/>
      <c r="R870" s="432"/>
      <c r="S870" s="432"/>
      <c r="T870" s="432"/>
      <c r="U870" s="432"/>
      <c r="V870" s="432"/>
      <c r="W870" s="432"/>
      <c r="X870" s="432"/>
      <c r="Y870" s="432"/>
      <c r="Z870" s="432"/>
      <c r="AA870" s="432"/>
      <c r="AB870" s="432"/>
      <c r="AC870" s="432"/>
      <c r="AD870" s="432"/>
    </row>
    <row r="871">
      <c r="A871" s="432"/>
      <c r="B871" s="432"/>
      <c r="C871" s="432"/>
      <c r="D871" s="459"/>
      <c r="E871" s="459"/>
      <c r="F871" s="432"/>
      <c r="G871" s="432"/>
      <c r="H871" s="432"/>
      <c r="I871" s="432"/>
      <c r="J871" s="432"/>
      <c r="K871" s="432"/>
      <c r="L871" s="432"/>
      <c r="M871" s="432"/>
      <c r="N871" s="432"/>
      <c r="O871" s="459"/>
      <c r="P871" s="460"/>
      <c r="Q871" s="432"/>
      <c r="R871" s="432"/>
      <c r="S871" s="432"/>
      <c r="T871" s="432"/>
      <c r="U871" s="432"/>
      <c r="V871" s="432"/>
      <c r="W871" s="432"/>
      <c r="X871" s="432"/>
      <c r="Y871" s="432"/>
      <c r="Z871" s="432"/>
      <c r="AA871" s="432"/>
      <c r="AB871" s="432"/>
      <c r="AC871" s="432"/>
      <c r="AD871" s="432"/>
    </row>
    <row r="872">
      <c r="A872" s="432"/>
      <c r="B872" s="432"/>
      <c r="C872" s="432"/>
      <c r="D872" s="459"/>
      <c r="E872" s="459"/>
      <c r="F872" s="432"/>
      <c r="G872" s="432"/>
      <c r="H872" s="432"/>
      <c r="I872" s="432"/>
      <c r="J872" s="432"/>
      <c r="K872" s="432"/>
      <c r="L872" s="432"/>
      <c r="M872" s="432"/>
      <c r="N872" s="432"/>
      <c r="O872" s="459"/>
      <c r="P872" s="460"/>
      <c r="Q872" s="432"/>
      <c r="R872" s="432"/>
      <c r="S872" s="432"/>
      <c r="T872" s="432"/>
      <c r="U872" s="432"/>
      <c r="V872" s="432"/>
      <c r="W872" s="432"/>
      <c r="X872" s="432"/>
      <c r="Y872" s="432"/>
      <c r="Z872" s="432"/>
      <c r="AA872" s="432"/>
      <c r="AB872" s="432"/>
      <c r="AC872" s="432"/>
      <c r="AD872" s="432"/>
    </row>
    <row r="873">
      <c r="A873" s="432"/>
      <c r="B873" s="432"/>
      <c r="C873" s="432"/>
      <c r="D873" s="459"/>
      <c r="E873" s="459"/>
      <c r="F873" s="432"/>
      <c r="G873" s="432"/>
      <c r="H873" s="432"/>
      <c r="I873" s="432"/>
      <c r="J873" s="432"/>
      <c r="K873" s="432"/>
      <c r="L873" s="432"/>
      <c r="M873" s="432"/>
      <c r="N873" s="432"/>
      <c r="O873" s="459"/>
      <c r="P873" s="460"/>
      <c r="Q873" s="432"/>
      <c r="R873" s="432"/>
      <c r="S873" s="432"/>
      <c r="T873" s="432"/>
      <c r="U873" s="432"/>
      <c r="V873" s="432"/>
      <c r="W873" s="432"/>
      <c r="X873" s="432"/>
      <c r="Y873" s="432"/>
      <c r="Z873" s="432"/>
      <c r="AA873" s="432"/>
      <c r="AB873" s="432"/>
      <c r="AC873" s="432"/>
      <c r="AD873" s="432"/>
    </row>
    <row r="874">
      <c r="A874" s="432"/>
      <c r="B874" s="432"/>
      <c r="C874" s="432"/>
      <c r="D874" s="459"/>
      <c r="E874" s="459"/>
      <c r="F874" s="432"/>
      <c r="G874" s="432"/>
      <c r="H874" s="432"/>
      <c r="I874" s="432"/>
      <c r="J874" s="432"/>
      <c r="K874" s="432"/>
      <c r="L874" s="432"/>
      <c r="M874" s="432"/>
      <c r="N874" s="432"/>
      <c r="O874" s="459"/>
      <c r="P874" s="460"/>
      <c r="Q874" s="432"/>
      <c r="R874" s="432"/>
      <c r="S874" s="432"/>
      <c r="T874" s="432"/>
      <c r="U874" s="432"/>
      <c r="V874" s="432"/>
      <c r="W874" s="432"/>
      <c r="X874" s="432"/>
      <c r="Y874" s="432"/>
      <c r="Z874" s="432"/>
      <c r="AA874" s="432"/>
      <c r="AB874" s="432"/>
      <c r="AC874" s="432"/>
      <c r="AD874" s="432"/>
    </row>
    <row r="875">
      <c r="A875" s="432"/>
      <c r="B875" s="432"/>
      <c r="C875" s="432"/>
      <c r="D875" s="459"/>
      <c r="E875" s="459"/>
      <c r="F875" s="432"/>
      <c r="G875" s="432"/>
      <c r="H875" s="432"/>
      <c r="I875" s="432"/>
      <c r="J875" s="432"/>
      <c r="K875" s="432"/>
      <c r="L875" s="432"/>
      <c r="M875" s="432"/>
      <c r="N875" s="432"/>
      <c r="O875" s="459"/>
      <c r="P875" s="460"/>
      <c r="Q875" s="432"/>
      <c r="R875" s="432"/>
      <c r="S875" s="432"/>
      <c r="T875" s="432"/>
      <c r="U875" s="432"/>
      <c r="V875" s="432"/>
      <c r="W875" s="432"/>
      <c r="X875" s="432"/>
      <c r="Y875" s="432"/>
      <c r="Z875" s="432"/>
      <c r="AA875" s="432"/>
      <c r="AB875" s="432"/>
      <c r="AC875" s="432"/>
      <c r="AD875" s="432"/>
    </row>
    <row r="876">
      <c r="A876" s="432"/>
      <c r="B876" s="432"/>
      <c r="C876" s="432"/>
      <c r="D876" s="459"/>
      <c r="E876" s="459"/>
      <c r="F876" s="432"/>
      <c r="G876" s="432"/>
      <c r="H876" s="432"/>
      <c r="I876" s="432"/>
      <c r="J876" s="432"/>
      <c r="K876" s="432"/>
      <c r="L876" s="432"/>
      <c r="M876" s="432"/>
      <c r="N876" s="432"/>
      <c r="O876" s="459"/>
      <c r="P876" s="460"/>
      <c r="Q876" s="432"/>
      <c r="R876" s="432"/>
      <c r="S876" s="432"/>
      <c r="T876" s="432"/>
      <c r="U876" s="432"/>
      <c r="V876" s="432"/>
      <c r="W876" s="432"/>
      <c r="X876" s="432"/>
      <c r="Y876" s="432"/>
      <c r="Z876" s="432"/>
      <c r="AA876" s="432"/>
      <c r="AB876" s="432"/>
      <c r="AC876" s="432"/>
      <c r="AD876" s="432"/>
    </row>
    <row r="877">
      <c r="A877" s="432"/>
      <c r="B877" s="432"/>
      <c r="C877" s="432"/>
      <c r="D877" s="459"/>
      <c r="E877" s="459"/>
      <c r="F877" s="432"/>
      <c r="G877" s="432"/>
      <c r="H877" s="432"/>
      <c r="I877" s="432"/>
      <c r="J877" s="432"/>
      <c r="K877" s="432"/>
      <c r="L877" s="432"/>
      <c r="M877" s="432"/>
      <c r="N877" s="432"/>
      <c r="O877" s="459"/>
      <c r="P877" s="460"/>
      <c r="Q877" s="432"/>
      <c r="R877" s="432"/>
      <c r="S877" s="432"/>
      <c r="T877" s="432"/>
      <c r="U877" s="432"/>
      <c r="V877" s="432"/>
      <c r="W877" s="432"/>
      <c r="X877" s="432"/>
      <c r="Y877" s="432"/>
      <c r="Z877" s="432"/>
      <c r="AA877" s="432"/>
      <c r="AB877" s="432"/>
      <c r="AC877" s="432"/>
      <c r="AD877" s="432"/>
    </row>
    <row r="878">
      <c r="A878" s="432"/>
      <c r="B878" s="432"/>
      <c r="C878" s="432"/>
      <c r="D878" s="459"/>
      <c r="E878" s="459"/>
      <c r="F878" s="432"/>
      <c r="G878" s="432"/>
      <c r="H878" s="432"/>
      <c r="I878" s="432"/>
      <c r="J878" s="432"/>
      <c r="K878" s="432"/>
      <c r="L878" s="432"/>
      <c r="M878" s="432"/>
      <c r="N878" s="432"/>
      <c r="O878" s="459"/>
      <c r="P878" s="460"/>
      <c r="Q878" s="432"/>
      <c r="R878" s="432"/>
      <c r="S878" s="432"/>
      <c r="T878" s="432"/>
      <c r="U878" s="432"/>
      <c r="V878" s="432"/>
      <c r="W878" s="432"/>
      <c r="X878" s="432"/>
      <c r="Y878" s="432"/>
      <c r="Z878" s="432"/>
      <c r="AA878" s="432"/>
      <c r="AB878" s="432"/>
      <c r="AC878" s="432"/>
      <c r="AD878" s="432"/>
    </row>
    <row r="879">
      <c r="A879" s="432"/>
      <c r="B879" s="432"/>
      <c r="C879" s="432"/>
      <c r="D879" s="459"/>
      <c r="E879" s="459"/>
      <c r="F879" s="432"/>
      <c r="G879" s="432"/>
      <c r="H879" s="432"/>
      <c r="I879" s="432"/>
      <c r="J879" s="432"/>
      <c r="K879" s="432"/>
      <c r="L879" s="432"/>
      <c r="M879" s="432"/>
      <c r="N879" s="432"/>
      <c r="O879" s="459"/>
      <c r="P879" s="460"/>
      <c r="Q879" s="432"/>
      <c r="R879" s="432"/>
      <c r="S879" s="432"/>
      <c r="T879" s="432"/>
      <c r="U879" s="432"/>
      <c r="V879" s="432"/>
      <c r="W879" s="432"/>
      <c r="X879" s="432"/>
      <c r="Y879" s="432"/>
      <c r="Z879" s="432"/>
      <c r="AA879" s="432"/>
      <c r="AB879" s="432"/>
      <c r="AC879" s="432"/>
      <c r="AD879" s="432"/>
    </row>
    <row r="880">
      <c r="A880" s="432"/>
      <c r="B880" s="432"/>
      <c r="C880" s="432"/>
      <c r="D880" s="459"/>
      <c r="E880" s="459"/>
      <c r="F880" s="432"/>
      <c r="G880" s="432"/>
      <c r="H880" s="432"/>
      <c r="I880" s="432"/>
      <c r="J880" s="432"/>
      <c r="K880" s="432"/>
      <c r="L880" s="432"/>
      <c r="M880" s="432"/>
      <c r="N880" s="432"/>
      <c r="O880" s="459"/>
      <c r="P880" s="460"/>
      <c r="Q880" s="432"/>
      <c r="R880" s="432"/>
      <c r="S880" s="432"/>
      <c r="T880" s="432"/>
      <c r="U880" s="432"/>
      <c r="V880" s="432"/>
      <c r="W880" s="432"/>
      <c r="X880" s="432"/>
      <c r="Y880" s="432"/>
      <c r="Z880" s="432"/>
      <c r="AA880" s="432"/>
      <c r="AB880" s="432"/>
      <c r="AC880" s="432"/>
      <c r="AD880" s="432"/>
    </row>
    <row r="881">
      <c r="A881" s="432"/>
      <c r="B881" s="432"/>
      <c r="C881" s="432"/>
      <c r="D881" s="459"/>
      <c r="E881" s="459"/>
      <c r="F881" s="432"/>
      <c r="G881" s="432"/>
      <c r="H881" s="432"/>
      <c r="I881" s="432"/>
      <c r="J881" s="432"/>
      <c r="K881" s="432"/>
      <c r="L881" s="432"/>
      <c r="M881" s="432"/>
      <c r="N881" s="432"/>
      <c r="O881" s="459"/>
      <c r="P881" s="460"/>
      <c r="Q881" s="432"/>
      <c r="R881" s="432"/>
      <c r="S881" s="432"/>
      <c r="T881" s="432"/>
      <c r="U881" s="432"/>
      <c r="V881" s="432"/>
      <c r="W881" s="432"/>
      <c r="X881" s="432"/>
      <c r="Y881" s="432"/>
      <c r="Z881" s="432"/>
      <c r="AA881" s="432"/>
      <c r="AB881" s="432"/>
      <c r="AC881" s="432"/>
      <c r="AD881" s="432"/>
    </row>
    <row r="882">
      <c r="A882" s="432"/>
      <c r="B882" s="432"/>
      <c r="C882" s="432"/>
      <c r="D882" s="459"/>
      <c r="E882" s="459"/>
      <c r="F882" s="432"/>
      <c r="G882" s="432"/>
      <c r="H882" s="432"/>
      <c r="I882" s="432"/>
      <c r="J882" s="432"/>
      <c r="K882" s="432"/>
      <c r="L882" s="432"/>
      <c r="M882" s="432"/>
      <c r="N882" s="432"/>
      <c r="O882" s="459"/>
      <c r="P882" s="460"/>
      <c r="Q882" s="432"/>
      <c r="R882" s="432"/>
      <c r="S882" s="432"/>
      <c r="T882" s="432"/>
      <c r="U882" s="432"/>
      <c r="V882" s="432"/>
      <c r="W882" s="432"/>
      <c r="X882" s="432"/>
      <c r="Y882" s="432"/>
      <c r="Z882" s="432"/>
      <c r="AA882" s="432"/>
      <c r="AB882" s="432"/>
      <c r="AC882" s="432"/>
      <c r="AD882" s="432"/>
    </row>
    <row r="883">
      <c r="A883" s="432"/>
      <c r="B883" s="432"/>
      <c r="C883" s="432"/>
      <c r="D883" s="459"/>
      <c r="E883" s="459"/>
      <c r="F883" s="432"/>
      <c r="G883" s="432"/>
      <c r="H883" s="432"/>
      <c r="I883" s="432"/>
      <c r="J883" s="432"/>
      <c r="K883" s="432"/>
      <c r="L883" s="432"/>
      <c r="M883" s="432"/>
      <c r="N883" s="432"/>
      <c r="O883" s="459"/>
      <c r="P883" s="460"/>
      <c r="Q883" s="432"/>
      <c r="R883" s="432"/>
      <c r="S883" s="432"/>
      <c r="T883" s="432"/>
      <c r="U883" s="432"/>
      <c r="V883" s="432"/>
      <c r="W883" s="432"/>
      <c r="X883" s="432"/>
      <c r="Y883" s="432"/>
      <c r="Z883" s="432"/>
      <c r="AA883" s="432"/>
      <c r="AB883" s="432"/>
      <c r="AC883" s="432"/>
      <c r="AD883" s="432"/>
    </row>
    <row r="884">
      <c r="A884" s="432"/>
      <c r="B884" s="432"/>
      <c r="C884" s="432"/>
      <c r="D884" s="459"/>
      <c r="E884" s="459"/>
      <c r="F884" s="432"/>
      <c r="G884" s="432"/>
      <c r="H884" s="432"/>
      <c r="I884" s="432"/>
      <c r="J884" s="432"/>
      <c r="K884" s="432"/>
      <c r="L884" s="432"/>
      <c r="M884" s="432"/>
      <c r="N884" s="432"/>
      <c r="O884" s="459"/>
      <c r="P884" s="460"/>
      <c r="Q884" s="432"/>
      <c r="R884" s="432"/>
      <c r="S884" s="432"/>
      <c r="T884" s="432"/>
      <c r="U884" s="432"/>
      <c r="V884" s="432"/>
      <c r="W884" s="432"/>
      <c r="X884" s="432"/>
      <c r="Y884" s="432"/>
      <c r="Z884" s="432"/>
      <c r="AA884" s="432"/>
      <c r="AB884" s="432"/>
      <c r="AC884" s="432"/>
      <c r="AD884" s="432"/>
    </row>
    <row r="885">
      <c r="A885" s="432"/>
      <c r="B885" s="432"/>
      <c r="C885" s="432"/>
      <c r="D885" s="459"/>
      <c r="E885" s="459"/>
      <c r="F885" s="432"/>
      <c r="G885" s="432"/>
      <c r="H885" s="432"/>
      <c r="I885" s="432"/>
      <c r="J885" s="432"/>
      <c r="K885" s="432"/>
      <c r="L885" s="432"/>
      <c r="M885" s="432"/>
      <c r="N885" s="432"/>
      <c r="O885" s="459"/>
      <c r="P885" s="460"/>
      <c r="Q885" s="432"/>
      <c r="R885" s="432"/>
      <c r="S885" s="432"/>
      <c r="T885" s="432"/>
      <c r="U885" s="432"/>
      <c r="V885" s="432"/>
      <c r="W885" s="432"/>
      <c r="X885" s="432"/>
      <c r="Y885" s="432"/>
      <c r="Z885" s="432"/>
      <c r="AA885" s="432"/>
      <c r="AB885" s="432"/>
      <c r="AC885" s="432"/>
      <c r="AD885" s="432"/>
    </row>
    <row r="886">
      <c r="A886" s="432"/>
      <c r="B886" s="432"/>
      <c r="C886" s="432"/>
      <c r="D886" s="459"/>
      <c r="E886" s="459"/>
      <c r="F886" s="432"/>
      <c r="G886" s="432"/>
      <c r="H886" s="432"/>
      <c r="I886" s="432"/>
      <c r="J886" s="432"/>
      <c r="K886" s="432"/>
      <c r="L886" s="432"/>
      <c r="M886" s="432"/>
      <c r="N886" s="432"/>
      <c r="O886" s="459"/>
      <c r="P886" s="460"/>
      <c r="Q886" s="432"/>
      <c r="R886" s="432"/>
      <c r="S886" s="432"/>
      <c r="T886" s="432"/>
      <c r="U886" s="432"/>
      <c r="V886" s="432"/>
      <c r="W886" s="432"/>
      <c r="X886" s="432"/>
      <c r="Y886" s="432"/>
      <c r="Z886" s="432"/>
      <c r="AA886" s="432"/>
      <c r="AB886" s="432"/>
      <c r="AC886" s="432"/>
      <c r="AD886" s="432"/>
    </row>
    <row r="887">
      <c r="A887" s="432"/>
      <c r="B887" s="432"/>
      <c r="C887" s="432"/>
      <c r="D887" s="459"/>
      <c r="E887" s="459"/>
      <c r="F887" s="432"/>
      <c r="G887" s="432"/>
      <c r="H887" s="432"/>
      <c r="I887" s="432"/>
      <c r="J887" s="432"/>
      <c r="K887" s="432"/>
      <c r="L887" s="432"/>
      <c r="M887" s="432"/>
      <c r="N887" s="432"/>
      <c r="O887" s="459"/>
      <c r="P887" s="460"/>
      <c r="Q887" s="432"/>
      <c r="R887" s="432"/>
      <c r="S887" s="432"/>
      <c r="T887" s="432"/>
      <c r="U887" s="432"/>
      <c r="V887" s="432"/>
      <c r="W887" s="432"/>
      <c r="X887" s="432"/>
      <c r="Y887" s="432"/>
      <c r="Z887" s="432"/>
      <c r="AA887" s="432"/>
      <c r="AB887" s="432"/>
      <c r="AC887" s="432"/>
      <c r="AD887" s="432"/>
    </row>
    <row r="888">
      <c r="A888" s="432"/>
      <c r="B888" s="432"/>
      <c r="C888" s="432"/>
      <c r="D888" s="459"/>
      <c r="E888" s="459"/>
      <c r="F888" s="432"/>
      <c r="G888" s="432"/>
      <c r="H888" s="432"/>
      <c r="I888" s="432"/>
      <c r="J888" s="432"/>
      <c r="K888" s="432"/>
      <c r="L888" s="432"/>
      <c r="M888" s="432"/>
      <c r="N888" s="432"/>
      <c r="O888" s="459"/>
      <c r="P888" s="460"/>
      <c r="Q888" s="432"/>
      <c r="R888" s="432"/>
      <c r="S888" s="432"/>
      <c r="T888" s="432"/>
      <c r="U888" s="432"/>
      <c r="V888" s="432"/>
      <c r="W888" s="432"/>
      <c r="X888" s="432"/>
      <c r="Y888" s="432"/>
      <c r="Z888" s="432"/>
      <c r="AA888" s="432"/>
      <c r="AB888" s="432"/>
      <c r="AC888" s="432"/>
      <c r="AD888" s="432"/>
    </row>
    <row r="889">
      <c r="A889" s="432"/>
      <c r="B889" s="432"/>
      <c r="C889" s="432"/>
      <c r="D889" s="459"/>
      <c r="E889" s="459"/>
      <c r="F889" s="432"/>
      <c r="G889" s="432"/>
      <c r="H889" s="432"/>
      <c r="I889" s="432"/>
      <c r="J889" s="432"/>
      <c r="K889" s="432"/>
      <c r="L889" s="432"/>
      <c r="M889" s="432"/>
      <c r="N889" s="432"/>
      <c r="O889" s="459"/>
      <c r="P889" s="460"/>
      <c r="Q889" s="432"/>
      <c r="R889" s="432"/>
      <c r="S889" s="432"/>
      <c r="T889" s="432"/>
      <c r="U889" s="432"/>
      <c r="V889" s="432"/>
      <c r="W889" s="432"/>
      <c r="X889" s="432"/>
      <c r="Y889" s="432"/>
      <c r="Z889" s="432"/>
      <c r="AA889" s="432"/>
      <c r="AB889" s="432"/>
      <c r="AC889" s="432"/>
      <c r="AD889" s="432"/>
    </row>
    <row r="890">
      <c r="A890" s="432"/>
      <c r="B890" s="432"/>
      <c r="C890" s="432"/>
      <c r="D890" s="459"/>
      <c r="E890" s="459"/>
      <c r="F890" s="432"/>
      <c r="G890" s="432"/>
      <c r="H890" s="432"/>
      <c r="I890" s="432"/>
      <c r="J890" s="432"/>
      <c r="K890" s="432"/>
      <c r="L890" s="432"/>
      <c r="M890" s="432"/>
      <c r="N890" s="432"/>
      <c r="O890" s="459"/>
      <c r="P890" s="460"/>
      <c r="Q890" s="432"/>
      <c r="R890" s="432"/>
      <c r="S890" s="432"/>
      <c r="T890" s="432"/>
      <c r="U890" s="432"/>
      <c r="V890" s="432"/>
      <c r="W890" s="432"/>
      <c r="X890" s="432"/>
      <c r="Y890" s="432"/>
      <c r="Z890" s="432"/>
      <c r="AA890" s="432"/>
      <c r="AB890" s="432"/>
      <c r="AC890" s="432"/>
      <c r="AD890" s="432"/>
    </row>
    <row r="891">
      <c r="A891" s="432"/>
      <c r="B891" s="432"/>
      <c r="C891" s="432"/>
      <c r="D891" s="459"/>
      <c r="E891" s="459"/>
      <c r="F891" s="432"/>
      <c r="G891" s="432"/>
      <c r="H891" s="432"/>
      <c r="I891" s="432"/>
      <c r="J891" s="432"/>
      <c r="K891" s="432"/>
      <c r="L891" s="432"/>
      <c r="M891" s="432"/>
      <c r="N891" s="432"/>
      <c r="O891" s="459"/>
      <c r="P891" s="460"/>
      <c r="Q891" s="432"/>
      <c r="R891" s="432"/>
      <c r="S891" s="432"/>
      <c r="T891" s="432"/>
      <c r="U891" s="432"/>
      <c r="V891" s="432"/>
      <c r="W891" s="432"/>
      <c r="X891" s="432"/>
      <c r="Y891" s="432"/>
      <c r="Z891" s="432"/>
      <c r="AA891" s="432"/>
      <c r="AB891" s="432"/>
      <c r="AC891" s="432"/>
      <c r="AD891" s="432"/>
    </row>
    <row r="892">
      <c r="A892" s="432"/>
      <c r="B892" s="432"/>
      <c r="C892" s="432"/>
      <c r="D892" s="459"/>
      <c r="E892" s="459"/>
      <c r="F892" s="432"/>
      <c r="G892" s="432"/>
      <c r="H892" s="432"/>
      <c r="I892" s="432"/>
      <c r="J892" s="432"/>
      <c r="K892" s="432"/>
      <c r="L892" s="432"/>
      <c r="M892" s="432"/>
      <c r="N892" s="432"/>
      <c r="O892" s="459"/>
      <c r="P892" s="460"/>
      <c r="Q892" s="432"/>
      <c r="R892" s="432"/>
      <c r="S892" s="432"/>
      <c r="T892" s="432"/>
      <c r="U892" s="432"/>
      <c r="V892" s="432"/>
      <c r="W892" s="432"/>
      <c r="X892" s="432"/>
      <c r="Y892" s="432"/>
      <c r="Z892" s="432"/>
      <c r="AA892" s="432"/>
      <c r="AB892" s="432"/>
      <c r="AC892" s="432"/>
      <c r="AD892" s="432"/>
    </row>
    <row r="893">
      <c r="A893" s="432"/>
      <c r="B893" s="432"/>
      <c r="C893" s="432"/>
      <c r="D893" s="459"/>
      <c r="E893" s="459"/>
      <c r="F893" s="432"/>
      <c r="G893" s="432"/>
      <c r="H893" s="432"/>
      <c r="I893" s="432"/>
      <c r="J893" s="432"/>
      <c r="K893" s="432"/>
      <c r="L893" s="432"/>
      <c r="M893" s="432"/>
      <c r="N893" s="432"/>
      <c r="O893" s="459"/>
      <c r="P893" s="460"/>
      <c r="Q893" s="432"/>
      <c r="R893" s="432"/>
      <c r="S893" s="432"/>
      <c r="T893" s="432"/>
      <c r="U893" s="432"/>
      <c r="V893" s="432"/>
      <c r="W893" s="432"/>
      <c r="X893" s="432"/>
      <c r="Y893" s="432"/>
      <c r="Z893" s="432"/>
      <c r="AA893" s="432"/>
      <c r="AB893" s="432"/>
      <c r="AC893" s="432"/>
      <c r="AD893" s="432"/>
    </row>
    <row r="894">
      <c r="A894" s="432"/>
      <c r="B894" s="432"/>
      <c r="C894" s="432"/>
      <c r="D894" s="459"/>
      <c r="E894" s="459"/>
      <c r="F894" s="432"/>
      <c r="G894" s="432"/>
      <c r="H894" s="432"/>
      <c r="I894" s="432"/>
      <c r="J894" s="432"/>
      <c r="K894" s="432"/>
      <c r="L894" s="432"/>
      <c r="M894" s="432"/>
      <c r="N894" s="432"/>
      <c r="O894" s="459"/>
      <c r="P894" s="460"/>
      <c r="Q894" s="432"/>
      <c r="R894" s="432"/>
      <c r="S894" s="432"/>
      <c r="T894" s="432"/>
      <c r="U894" s="432"/>
      <c r="V894" s="432"/>
      <c r="W894" s="432"/>
      <c r="X894" s="432"/>
      <c r="Y894" s="432"/>
      <c r="Z894" s="432"/>
      <c r="AA894" s="432"/>
      <c r="AB894" s="432"/>
      <c r="AC894" s="432"/>
      <c r="AD894" s="432"/>
    </row>
    <row r="895">
      <c r="A895" s="432"/>
      <c r="B895" s="432"/>
      <c r="C895" s="432"/>
      <c r="D895" s="459"/>
      <c r="E895" s="459"/>
      <c r="F895" s="432"/>
      <c r="G895" s="432"/>
      <c r="H895" s="432"/>
      <c r="I895" s="432"/>
      <c r="J895" s="432"/>
      <c r="K895" s="432"/>
      <c r="L895" s="432"/>
      <c r="M895" s="432"/>
      <c r="N895" s="432"/>
      <c r="O895" s="459"/>
      <c r="P895" s="460"/>
      <c r="Q895" s="432"/>
      <c r="R895" s="432"/>
      <c r="S895" s="432"/>
      <c r="T895" s="432"/>
      <c r="U895" s="432"/>
      <c r="V895" s="432"/>
      <c r="W895" s="432"/>
      <c r="X895" s="432"/>
      <c r="Y895" s="432"/>
      <c r="Z895" s="432"/>
      <c r="AA895" s="432"/>
      <c r="AB895" s="432"/>
      <c r="AC895" s="432"/>
      <c r="AD895" s="432"/>
    </row>
    <row r="896">
      <c r="A896" s="432"/>
      <c r="B896" s="432"/>
      <c r="C896" s="432"/>
      <c r="D896" s="459"/>
      <c r="E896" s="459"/>
      <c r="F896" s="432"/>
      <c r="G896" s="432"/>
      <c r="H896" s="432"/>
      <c r="I896" s="432"/>
      <c r="J896" s="432"/>
      <c r="K896" s="432"/>
      <c r="L896" s="432"/>
      <c r="M896" s="432"/>
      <c r="N896" s="432"/>
      <c r="O896" s="459"/>
      <c r="P896" s="460"/>
      <c r="Q896" s="432"/>
      <c r="R896" s="432"/>
      <c r="S896" s="432"/>
      <c r="T896" s="432"/>
      <c r="U896" s="432"/>
      <c r="V896" s="432"/>
      <c r="W896" s="432"/>
      <c r="X896" s="432"/>
      <c r="Y896" s="432"/>
      <c r="Z896" s="432"/>
      <c r="AA896" s="432"/>
      <c r="AB896" s="432"/>
      <c r="AC896" s="432"/>
      <c r="AD896" s="432"/>
    </row>
    <row r="897">
      <c r="A897" s="432"/>
      <c r="B897" s="432"/>
      <c r="C897" s="432"/>
      <c r="D897" s="459"/>
      <c r="E897" s="459"/>
      <c r="F897" s="432"/>
      <c r="G897" s="432"/>
      <c r="H897" s="432"/>
      <c r="I897" s="432"/>
      <c r="J897" s="432"/>
      <c r="K897" s="432"/>
      <c r="L897" s="432"/>
      <c r="M897" s="432"/>
      <c r="N897" s="432"/>
      <c r="O897" s="459"/>
      <c r="P897" s="460"/>
      <c r="Q897" s="432"/>
      <c r="R897" s="432"/>
      <c r="S897" s="432"/>
      <c r="T897" s="432"/>
      <c r="U897" s="432"/>
      <c r="V897" s="432"/>
      <c r="W897" s="432"/>
      <c r="X897" s="432"/>
      <c r="Y897" s="432"/>
      <c r="Z897" s="432"/>
      <c r="AA897" s="432"/>
      <c r="AB897" s="432"/>
      <c r="AC897" s="432"/>
      <c r="AD897" s="432"/>
    </row>
    <row r="898">
      <c r="A898" s="432"/>
      <c r="B898" s="432"/>
      <c r="C898" s="432"/>
      <c r="D898" s="459"/>
      <c r="E898" s="459"/>
      <c r="F898" s="432"/>
      <c r="G898" s="432"/>
      <c r="H898" s="432"/>
      <c r="I898" s="432"/>
      <c r="J898" s="432"/>
      <c r="K898" s="432"/>
      <c r="L898" s="432"/>
      <c r="M898" s="432"/>
      <c r="N898" s="432"/>
      <c r="O898" s="459"/>
      <c r="P898" s="460"/>
      <c r="Q898" s="432"/>
      <c r="R898" s="432"/>
      <c r="S898" s="432"/>
      <c r="T898" s="432"/>
      <c r="U898" s="432"/>
      <c r="V898" s="432"/>
      <c r="W898" s="432"/>
      <c r="X898" s="432"/>
      <c r="Y898" s="432"/>
      <c r="Z898" s="432"/>
      <c r="AA898" s="432"/>
      <c r="AB898" s="432"/>
      <c r="AC898" s="432"/>
      <c r="AD898" s="432"/>
    </row>
    <row r="899">
      <c r="A899" s="432"/>
      <c r="B899" s="432"/>
      <c r="C899" s="432"/>
      <c r="D899" s="459"/>
      <c r="E899" s="459"/>
      <c r="F899" s="432"/>
      <c r="G899" s="432"/>
      <c r="H899" s="432"/>
      <c r="I899" s="432"/>
      <c r="J899" s="432"/>
      <c r="K899" s="432"/>
      <c r="L899" s="432"/>
      <c r="M899" s="432"/>
      <c r="N899" s="432"/>
      <c r="O899" s="459"/>
      <c r="P899" s="460"/>
      <c r="Q899" s="432"/>
      <c r="R899" s="432"/>
      <c r="S899" s="432"/>
      <c r="T899" s="432"/>
      <c r="U899" s="432"/>
      <c r="V899" s="432"/>
      <c r="W899" s="432"/>
      <c r="X899" s="432"/>
      <c r="Y899" s="432"/>
      <c r="Z899" s="432"/>
      <c r="AA899" s="432"/>
      <c r="AB899" s="432"/>
      <c r="AC899" s="432"/>
      <c r="AD899" s="432"/>
    </row>
    <row r="900">
      <c r="A900" s="432"/>
      <c r="B900" s="432"/>
      <c r="C900" s="432"/>
      <c r="D900" s="459"/>
      <c r="E900" s="459"/>
      <c r="F900" s="432"/>
      <c r="G900" s="432"/>
      <c r="H900" s="432"/>
      <c r="I900" s="432"/>
      <c r="J900" s="432"/>
      <c r="K900" s="432"/>
      <c r="L900" s="432"/>
      <c r="M900" s="432"/>
      <c r="N900" s="432"/>
      <c r="O900" s="459"/>
      <c r="P900" s="460"/>
      <c r="Q900" s="432"/>
      <c r="R900" s="432"/>
      <c r="S900" s="432"/>
      <c r="T900" s="432"/>
      <c r="U900" s="432"/>
      <c r="V900" s="432"/>
      <c r="W900" s="432"/>
      <c r="X900" s="432"/>
      <c r="Y900" s="432"/>
      <c r="Z900" s="432"/>
      <c r="AA900" s="432"/>
      <c r="AB900" s="432"/>
      <c r="AC900" s="432"/>
      <c r="AD900" s="432"/>
    </row>
    <row r="901">
      <c r="A901" s="432"/>
      <c r="B901" s="432"/>
      <c r="C901" s="432"/>
      <c r="D901" s="459"/>
      <c r="E901" s="459"/>
      <c r="F901" s="432"/>
      <c r="G901" s="432"/>
      <c r="H901" s="432"/>
      <c r="I901" s="432"/>
      <c r="J901" s="432"/>
      <c r="K901" s="432"/>
      <c r="L901" s="432"/>
      <c r="M901" s="432"/>
      <c r="N901" s="432"/>
      <c r="O901" s="459"/>
      <c r="P901" s="460"/>
      <c r="Q901" s="432"/>
      <c r="R901" s="432"/>
      <c r="S901" s="432"/>
      <c r="T901" s="432"/>
      <c r="U901" s="432"/>
      <c r="V901" s="432"/>
      <c r="W901" s="432"/>
      <c r="X901" s="432"/>
      <c r="Y901" s="432"/>
      <c r="Z901" s="432"/>
      <c r="AA901" s="432"/>
      <c r="AB901" s="432"/>
      <c r="AC901" s="432"/>
      <c r="AD901" s="432"/>
    </row>
    <row r="902">
      <c r="A902" s="432"/>
      <c r="B902" s="432"/>
      <c r="C902" s="432"/>
      <c r="D902" s="459"/>
      <c r="E902" s="459"/>
      <c r="F902" s="432"/>
      <c r="G902" s="432"/>
      <c r="H902" s="432"/>
      <c r="I902" s="432"/>
      <c r="J902" s="432"/>
      <c r="K902" s="432"/>
      <c r="L902" s="432"/>
      <c r="M902" s="432"/>
      <c r="N902" s="432"/>
      <c r="O902" s="459"/>
      <c r="P902" s="460"/>
      <c r="Q902" s="432"/>
      <c r="R902" s="432"/>
      <c r="S902" s="432"/>
      <c r="T902" s="432"/>
      <c r="U902" s="432"/>
      <c r="V902" s="432"/>
      <c r="W902" s="432"/>
      <c r="X902" s="432"/>
      <c r="Y902" s="432"/>
      <c r="Z902" s="432"/>
      <c r="AA902" s="432"/>
      <c r="AB902" s="432"/>
      <c r="AC902" s="432"/>
      <c r="AD902" s="432"/>
    </row>
    <row r="903">
      <c r="A903" s="432"/>
      <c r="B903" s="432"/>
      <c r="C903" s="432"/>
      <c r="D903" s="459"/>
      <c r="E903" s="459"/>
      <c r="F903" s="432"/>
      <c r="G903" s="432"/>
      <c r="H903" s="432"/>
      <c r="I903" s="432"/>
      <c r="J903" s="432"/>
      <c r="K903" s="432"/>
      <c r="L903" s="432"/>
      <c r="M903" s="432"/>
      <c r="N903" s="432"/>
      <c r="O903" s="459"/>
      <c r="P903" s="460"/>
      <c r="Q903" s="432"/>
      <c r="R903" s="432"/>
      <c r="S903" s="432"/>
      <c r="T903" s="432"/>
      <c r="U903" s="432"/>
      <c r="V903" s="432"/>
      <c r="W903" s="432"/>
      <c r="X903" s="432"/>
      <c r="Y903" s="432"/>
      <c r="Z903" s="432"/>
      <c r="AA903" s="432"/>
      <c r="AB903" s="432"/>
      <c r="AC903" s="432"/>
      <c r="AD903" s="432"/>
    </row>
    <row r="904">
      <c r="A904" s="432"/>
      <c r="B904" s="432"/>
      <c r="C904" s="432"/>
      <c r="D904" s="459"/>
      <c r="E904" s="459"/>
      <c r="F904" s="432"/>
      <c r="G904" s="432"/>
      <c r="H904" s="432"/>
      <c r="I904" s="432"/>
      <c r="J904" s="432"/>
      <c r="K904" s="432"/>
      <c r="L904" s="432"/>
      <c r="M904" s="432"/>
      <c r="N904" s="432"/>
      <c r="O904" s="459"/>
      <c r="P904" s="460"/>
      <c r="Q904" s="432"/>
      <c r="R904" s="432"/>
      <c r="S904" s="432"/>
      <c r="T904" s="432"/>
      <c r="U904" s="432"/>
      <c r="V904" s="432"/>
      <c r="W904" s="432"/>
      <c r="X904" s="432"/>
      <c r="Y904" s="432"/>
      <c r="Z904" s="432"/>
      <c r="AA904" s="432"/>
      <c r="AB904" s="432"/>
      <c r="AC904" s="432"/>
      <c r="AD904" s="432"/>
    </row>
    <row r="905">
      <c r="A905" s="432"/>
      <c r="B905" s="432"/>
      <c r="C905" s="432"/>
      <c r="D905" s="459"/>
      <c r="E905" s="459"/>
      <c r="F905" s="432"/>
      <c r="G905" s="432"/>
      <c r="H905" s="432"/>
      <c r="I905" s="432"/>
      <c r="J905" s="432"/>
      <c r="K905" s="432"/>
      <c r="L905" s="432"/>
      <c r="M905" s="432"/>
      <c r="N905" s="432"/>
      <c r="O905" s="459"/>
      <c r="P905" s="460"/>
      <c r="Q905" s="432"/>
      <c r="R905" s="432"/>
      <c r="S905" s="432"/>
      <c r="T905" s="432"/>
      <c r="U905" s="432"/>
      <c r="V905" s="432"/>
      <c r="W905" s="432"/>
      <c r="X905" s="432"/>
      <c r="Y905" s="432"/>
      <c r="Z905" s="432"/>
      <c r="AA905" s="432"/>
      <c r="AB905" s="432"/>
      <c r="AC905" s="432"/>
      <c r="AD905" s="432"/>
    </row>
    <row r="906">
      <c r="A906" s="432"/>
      <c r="B906" s="432"/>
      <c r="C906" s="432"/>
      <c r="D906" s="459"/>
      <c r="E906" s="459"/>
      <c r="F906" s="432"/>
      <c r="G906" s="432"/>
      <c r="H906" s="432"/>
      <c r="I906" s="432"/>
      <c r="J906" s="432"/>
      <c r="K906" s="432"/>
      <c r="L906" s="432"/>
      <c r="M906" s="432"/>
      <c r="N906" s="432"/>
      <c r="O906" s="459"/>
      <c r="P906" s="460"/>
      <c r="Q906" s="432"/>
      <c r="R906" s="432"/>
      <c r="S906" s="432"/>
      <c r="T906" s="432"/>
      <c r="U906" s="432"/>
      <c r="V906" s="432"/>
      <c r="W906" s="432"/>
      <c r="X906" s="432"/>
      <c r="Y906" s="432"/>
      <c r="Z906" s="432"/>
      <c r="AA906" s="432"/>
      <c r="AB906" s="432"/>
      <c r="AC906" s="432"/>
      <c r="AD906" s="432"/>
    </row>
    <row r="907">
      <c r="A907" s="432"/>
      <c r="B907" s="432"/>
      <c r="C907" s="432"/>
      <c r="D907" s="459"/>
      <c r="E907" s="459"/>
      <c r="F907" s="432"/>
      <c r="G907" s="432"/>
      <c r="H907" s="432"/>
      <c r="I907" s="432"/>
      <c r="J907" s="432"/>
      <c r="K907" s="432"/>
      <c r="L907" s="432"/>
      <c r="M907" s="432"/>
      <c r="N907" s="432"/>
      <c r="O907" s="459"/>
      <c r="P907" s="460"/>
      <c r="Q907" s="432"/>
      <c r="R907" s="432"/>
      <c r="S907" s="432"/>
      <c r="T907" s="432"/>
      <c r="U907" s="432"/>
      <c r="V907" s="432"/>
      <c r="W907" s="432"/>
      <c r="X907" s="432"/>
      <c r="Y907" s="432"/>
      <c r="Z907" s="432"/>
      <c r="AA907" s="432"/>
      <c r="AB907" s="432"/>
      <c r="AC907" s="432"/>
      <c r="AD907" s="432"/>
    </row>
    <row r="908">
      <c r="A908" s="432"/>
      <c r="B908" s="432"/>
      <c r="C908" s="432"/>
      <c r="D908" s="459"/>
      <c r="E908" s="459"/>
      <c r="F908" s="432"/>
      <c r="G908" s="432"/>
      <c r="H908" s="432"/>
      <c r="I908" s="432"/>
      <c r="J908" s="432"/>
      <c r="K908" s="432"/>
      <c r="L908" s="432"/>
      <c r="M908" s="432"/>
      <c r="N908" s="432"/>
      <c r="O908" s="459"/>
      <c r="P908" s="460"/>
      <c r="Q908" s="432"/>
      <c r="R908" s="432"/>
      <c r="S908" s="432"/>
      <c r="T908" s="432"/>
      <c r="U908" s="432"/>
      <c r="V908" s="432"/>
      <c r="W908" s="432"/>
      <c r="X908" s="432"/>
      <c r="Y908" s="432"/>
      <c r="Z908" s="432"/>
      <c r="AA908" s="432"/>
      <c r="AB908" s="432"/>
      <c r="AC908" s="432"/>
      <c r="AD908" s="432"/>
    </row>
    <row r="909">
      <c r="A909" s="432"/>
      <c r="B909" s="432"/>
      <c r="C909" s="432"/>
      <c r="D909" s="459"/>
      <c r="E909" s="459"/>
      <c r="F909" s="432"/>
      <c r="G909" s="432"/>
      <c r="H909" s="432"/>
      <c r="I909" s="432"/>
      <c r="J909" s="432"/>
      <c r="K909" s="432"/>
      <c r="L909" s="432"/>
      <c r="M909" s="432"/>
      <c r="N909" s="432"/>
      <c r="O909" s="459"/>
      <c r="P909" s="460"/>
      <c r="Q909" s="432"/>
      <c r="R909" s="432"/>
      <c r="S909" s="432"/>
      <c r="T909" s="432"/>
      <c r="U909" s="432"/>
      <c r="V909" s="432"/>
      <c r="W909" s="432"/>
      <c r="X909" s="432"/>
      <c r="Y909" s="432"/>
      <c r="Z909" s="432"/>
      <c r="AA909" s="432"/>
      <c r="AB909" s="432"/>
      <c r="AC909" s="432"/>
      <c r="AD909" s="432"/>
    </row>
    <row r="910">
      <c r="A910" s="432"/>
      <c r="B910" s="432"/>
      <c r="C910" s="432"/>
      <c r="D910" s="459"/>
      <c r="E910" s="459"/>
      <c r="F910" s="432"/>
      <c r="G910" s="432"/>
      <c r="H910" s="432"/>
      <c r="I910" s="432"/>
      <c r="J910" s="432"/>
      <c r="K910" s="432"/>
      <c r="L910" s="432"/>
      <c r="M910" s="432"/>
      <c r="N910" s="432"/>
      <c r="O910" s="459"/>
      <c r="P910" s="460"/>
      <c r="Q910" s="432"/>
      <c r="R910" s="432"/>
      <c r="S910" s="432"/>
      <c r="T910" s="432"/>
      <c r="U910" s="432"/>
      <c r="V910" s="432"/>
      <c r="W910" s="432"/>
      <c r="X910" s="432"/>
      <c r="Y910" s="432"/>
      <c r="Z910" s="432"/>
      <c r="AA910" s="432"/>
      <c r="AB910" s="432"/>
      <c r="AC910" s="432"/>
      <c r="AD910" s="432"/>
    </row>
    <row r="911">
      <c r="A911" s="432"/>
      <c r="B911" s="432"/>
      <c r="C911" s="432"/>
      <c r="D911" s="459"/>
      <c r="E911" s="459"/>
      <c r="F911" s="432"/>
      <c r="G911" s="432"/>
      <c r="H911" s="432"/>
      <c r="I911" s="432"/>
      <c r="J911" s="432"/>
      <c r="K911" s="432"/>
      <c r="L911" s="432"/>
      <c r="M911" s="432"/>
      <c r="N911" s="432"/>
      <c r="O911" s="459"/>
      <c r="P911" s="460"/>
      <c r="Q911" s="432"/>
      <c r="R911" s="432"/>
      <c r="S911" s="432"/>
      <c r="T911" s="432"/>
      <c r="U911" s="432"/>
      <c r="V911" s="432"/>
      <c r="W911" s="432"/>
      <c r="X911" s="432"/>
      <c r="Y911" s="432"/>
      <c r="Z911" s="432"/>
      <c r="AA911" s="432"/>
      <c r="AB911" s="432"/>
      <c r="AC911" s="432"/>
      <c r="AD911" s="432"/>
    </row>
    <row r="912">
      <c r="A912" s="432"/>
      <c r="B912" s="432"/>
      <c r="C912" s="432"/>
      <c r="D912" s="459"/>
      <c r="E912" s="459"/>
      <c r="F912" s="432"/>
      <c r="G912" s="432"/>
      <c r="H912" s="432"/>
      <c r="I912" s="432"/>
      <c r="J912" s="432"/>
      <c r="K912" s="432"/>
      <c r="L912" s="432"/>
      <c r="M912" s="432"/>
      <c r="N912" s="432"/>
      <c r="O912" s="459"/>
      <c r="P912" s="460"/>
      <c r="Q912" s="432"/>
      <c r="R912" s="432"/>
      <c r="S912" s="432"/>
      <c r="T912" s="432"/>
      <c r="U912" s="432"/>
      <c r="V912" s="432"/>
      <c r="W912" s="432"/>
      <c r="X912" s="432"/>
      <c r="Y912" s="432"/>
      <c r="Z912" s="432"/>
      <c r="AA912" s="432"/>
      <c r="AB912" s="432"/>
      <c r="AC912" s="432"/>
      <c r="AD912" s="432"/>
    </row>
    <row r="913">
      <c r="A913" s="432"/>
      <c r="B913" s="432"/>
      <c r="C913" s="432"/>
      <c r="D913" s="459"/>
      <c r="E913" s="459"/>
      <c r="F913" s="432"/>
      <c r="G913" s="432"/>
      <c r="H913" s="432"/>
      <c r="I913" s="432"/>
      <c r="J913" s="432"/>
      <c r="K913" s="432"/>
      <c r="L913" s="432"/>
      <c r="M913" s="432"/>
      <c r="N913" s="432"/>
      <c r="O913" s="459"/>
      <c r="P913" s="460"/>
      <c r="Q913" s="432"/>
      <c r="R913" s="432"/>
      <c r="S913" s="432"/>
      <c r="T913" s="432"/>
      <c r="U913" s="432"/>
      <c r="V913" s="432"/>
      <c r="W913" s="432"/>
      <c r="X913" s="432"/>
      <c r="Y913" s="432"/>
      <c r="Z913" s="432"/>
      <c r="AA913" s="432"/>
      <c r="AB913" s="432"/>
      <c r="AC913" s="432"/>
      <c r="AD913" s="432"/>
    </row>
    <row r="914">
      <c r="A914" s="432"/>
      <c r="B914" s="432"/>
      <c r="C914" s="432"/>
      <c r="D914" s="459"/>
      <c r="E914" s="459"/>
      <c r="F914" s="432"/>
      <c r="G914" s="432"/>
      <c r="H914" s="432"/>
      <c r="I914" s="432"/>
      <c r="J914" s="432"/>
      <c r="K914" s="432"/>
      <c r="L914" s="432"/>
      <c r="M914" s="432"/>
      <c r="N914" s="432"/>
      <c r="O914" s="459"/>
      <c r="P914" s="460"/>
      <c r="Q914" s="432"/>
      <c r="R914" s="432"/>
      <c r="S914" s="432"/>
      <c r="T914" s="432"/>
      <c r="U914" s="432"/>
      <c r="V914" s="432"/>
      <c r="W914" s="432"/>
      <c r="X914" s="432"/>
      <c r="Y914" s="432"/>
      <c r="Z914" s="432"/>
      <c r="AA914" s="432"/>
      <c r="AB914" s="432"/>
      <c r="AC914" s="432"/>
      <c r="AD914" s="432"/>
    </row>
    <row r="915">
      <c r="A915" s="432"/>
      <c r="B915" s="432"/>
      <c r="C915" s="432"/>
      <c r="D915" s="459"/>
      <c r="E915" s="459"/>
      <c r="F915" s="432"/>
      <c r="G915" s="432"/>
      <c r="H915" s="432"/>
      <c r="I915" s="432"/>
      <c r="J915" s="432"/>
      <c r="K915" s="432"/>
      <c r="L915" s="432"/>
      <c r="M915" s="432"/>
      <c r="N915" s="432"/>
      <c r="O915" s="459"/>
      <c r="P915" s="460"/>
      <c r="Q915" s="432"/>
      <c r="R915" s="432"/>
      <c r="S915" s="432"/>
      <c r="T915" s="432"/>
      <c r="U915" s="432"/>
      <c r="V915" s="432"/>
      <c r="W915" s="432"/>
      <c r="X915" s="432"/>
      <c r="Y915" s="432"/>
      <c r="Z915" s="432"/>
      <c r="AA915" s="432"/>
      <c r="AB915" s="432"/>
      <c r="AC915" s="432"/>
      <c r="AD915" s="432"/>
    </row>
    <row r="916">
      <c r="A916" s="432"/>
      <c r="B916" s="432"/>
      <c r="C916" s="432"/>
      <c r="D916" s="459"/>
      <c r="E916" s="459"/>
      <c r="F916" s="432"/>
      <c r="G916" s="432"/>
      <c r="H916" s="432"/>
      <c r="I916" s="432"/>
      <c r="J916" s="432"/>
      <c r="K916" s="432"/>
      <c r="L916" s="432"/>
      <c r="M916" s="432"/>
      <c r="N916" s="432"/>
      <c r="O916" s="459"/>
      <c r="P916" s="460"/>
      <c r="Q916" s="432"/>
      <c r="R916" s="432"/>
      <c r="S916" s="432"/>
      <c r="T916" s="432"/>
      <c r="U916" s="432"/>
      <c r="V916" s="432"/>
      <c r="W916" s="432"/>
      <c r="X916" s="432"/>
      <c r="Y916" s="432"/>
      <c r="Z916" s="432"/>
      <c r="AA916" s="432"/>
      <c r="AB916" s="432"/>
      <c r="AC916" s="432"/>
      <c r="AD916" s="432"/>
    </row>
    <row r="917">
      <c r="A917" s="432"/>
      <c r="B917" s="432"/>
      <c r="C917" s="432"/>
      <c r="D917" s="459"/>
      <c r="E917" s="459"/>
      <c r="F917" s="432"/>
      <c r="G917" s="432"/>
      <c r="H917" s="432"/>
      <c r="I917" s="432"/>
      <c r="J917" s="432"/>
      <c r="K917" s="432"/>
      <c r="L917" s="432"/>
      <c r="M917" s="432"/>
      <c r="N917" s="432"/>
      <c r="O917" s="459"/>
      <c r="P917" s="460"/>
      <c r="Q917" s="432"/>
      <c r="R917" s="432"/>
      <c r="S917" s="432"/>
      <c r="T917" s="432"/>
      <c r="U917" s="432"/>
      <c r="V917" s="432"/>
      <c r="W917" s="432"/>
      <c r="X917" s="432"/>
      <c r="Y917" s="432"/>
      <c r="Z917" s="432"/>
      <c r="AA917" s="432"/>
      <c r="AB917" s="432"/>
      <c r="AC917" s="432"/>
      <c r="AD917" s="432"/>
    </row>
    <row r="918">
      <c r="A918" s="432"/>
      <c r="B918" s="432"/>
      <c r="C918" s="432"/>
      <c r="D918" s="459"/>
      <c r="E918" s="459"/>
      <c r="F918" s="432"/>
      <c r="G918" s="432"/>
      <c r="H918" s="432"/>
      <c r="I918" s="432"/>
      <c r="J918" s="432"/>
      <c r="K918" s="432"/>
      <c r="L918" s="432"/>
      <c r="M918" s="432"/>
      <c r="N918" s="432"/>
      <c r="O918" s="459"/>
      <c r="P918" s="460"/>
      <c r="Q918" s="432"/>
      <c r="R918" s="432"/>
      <c r="S918" s="432"/>
      <c r="T918" s="432"/>
      <c r="U918" s="432"/>
      <c r="V918" s="432"/>
      <c r="W918" s="432"/>
      <c r="X918" s="432"/>
      <c r="Y918" s="432"/>
      <c r="Z918" s="432"/>
      <c r="AA918" s="432"/>
      <c r="AB918" s="432"/>
      <c r="AC918" s="432"/>
      <c r="AD918" s="432"/>
    </row>
    <row r="919">
      <c r="A919" s="432"/>
      <c r="B919" s="432"/>
      <c r="C919" s="432"/>
      <c r="D919" s="459"/>
      <c r="E919" s="459"/>
      <c r="F919" s="432"/>
      <c r="G919" s="432"/>
      <c r="H919" s="432"/>
      <c r="I919" s="432"/>
      <c r="J919" s="432"/>
      <c r="K919" s="432"/>
      <c r="L919" s="432"/>
      <c r="M919" s="432"/>
      <c r="N919" s="432"/>
      <c r="O919" s="459"/>
      <c r="P919" s="460"/>
      <c r="Q919" s="432"/>
      <c r="R919" s="432"/>
      <c r="S919" s="432"/>
      <c r="T919" s="432"/>
      <c r="U919" s="432"/>
      <c r="V919" s="432"/>
      <c r="W919" s="432"/>
      <c r="X919" s="432"/>
      <c r="Y919" s="432"/>
      <c r="Z919" s="432"/>
      <c r="AA919" s="432"/>
      <c r="AB919" s="432"/>
      <c r="AC919" s="432"/>
      <c r="AD919" s="432"/>
    </row>
    <row r="920">
      <c r="A920" s="432"/>
      <c r="B920" s="432"/>
      <c r="C920" s="432"/>
      <c r="D920" s="459"/>
      <c r="E920" s="459"/>
      <c r="F920" s="432"/>
      <c r="G920" s="432"/>
      <c r="H920" s="432"/>
      <c r="I920" s="432"/>
      <c r="J920" s="432"/>
      <c r="K920" s="432"/>
      <c r="L920" s="432"/>
      <c r="M920" s="432"/>
      <c r="N920" s="432"/>
      <c r="O920" s="459"/>
      <c r="P920" s="460"/>
      <c r="Q920" s="432"/>
      <c r="R920" s="432"/>
      <c r="S920" s="432"/>
      <c r="T920" s="432"/>
      <c r="U920" s="432"/>
      <c r="V920" s="432"/>
      <c r="W920" s="432"/>
      <c r="X920" s="432"/>
      <c r="Y920" s="432"/>
      <c r="Z920" s="432"/>
      <c r="AA920" s="432"/>
      <c r="AB920" s="432"/>
      <c r="AC920" s="432"/>
      <c r="AD920" s="432"/>
    </row>
    <row r="921">
      <c r="A921" s="432"/>
      <c r="B921" s="432"/>
      <c r="C921" s="432"/>
      <c r="D921" s="459"/>
      <c r="E921" s="459"/>
      <c r="F921" s="432"/>
      <c r="G921" s="432"/>
      <c r="H921" s="432"/>
      <c r="I921" s="432"/>
      <c r="J921" s="432"/>
      <c r="K921" s="432"/>
      <c r="L921" s="432"/>
      <c r="M921" s="432"/>
      <c r="N921" s="432"/>
      <c r="O921" s="459"/>
      <c r="P921" s="460"/>
      <c r="Q921" s="432"/>
      <c r="R921" s="432"/>
      <c r="S921" s="432"/>
      <c r="T921" s="432"/>
      <c r="U921" s="432"/>
      <c r="V921" s="432"/>
      <c r="W921" s="432"/>
      <c r="X921" s="432"/>
      <c r="Y921" s="432"/>
      <c r="Z921" s="432"/>
      <c r="AA921" s="432"/>
      <c r="AB921" s="432"/>
      <c r="AC921" s="432"/>
      <c r="AD921" s="432"/>
    </row>
    <row r="922">
      <c r="A922" s="432"/>
      <c r="B922" s="432"/>
      <c r="C922" s="432"/>
      <c r="D922" s="459"/>
      <c r="E922" s="459"/>
      <c r="F922" s="432"/>
      <c r="G922" s="432"/>
      <c r="H922" s="432"/>
      <c r="I922" s="432"/>
      <c r="J922" s="432"/>
      <c r="K922" s="432"/>
      <c r="L922" s="432"/>
      <c r="M922" s="432"/>
      <c r="N922" s="432"/>
      <c r="O922" s="459"/>
      <c r="P922" s="460"/>
      <c r="Q922" s="432"/>
      <c r="R922" s="432"/>
      <c r="S922" s="432"/>
      <c r="T922" s="432"/>
      <c r="U922" s="432"/>
      <c r="V922" s="432"/>
      <c r="W922" s="432"/>
      <c r="X922" s="432"/>
      <c r="Y922" s="432"/>
      <c r="Z922" s="432"/>
      <c r="AA922" s="432"/>
      <c r="AB922" s="432"/>
      <c r="AC922" s="432"/>
      <c r="AD922" s="432"/>
    </row>
    <row r="923">
      <c r="A923" s="432"/>
      <c r="B923" s="432"/>
      <c r="C923" s="432"/>
      <c r="D923" s="459"/>
      <c r="E923" s="459"/>
      <c r="F923" s="432"/>
      <c r="G923" s="432"/>
      <c r="H923" s="432"/>
      <c r="I923" s="432"/>
      <c r="J923" s="432"/>
      <c r="K923" s="432"/>
      <c r="L923" s="432"/>
      <c r="M923" s="432"/>
      <c r="N923" s="432"/>
      <c r="O923" s="459"/>
      <c r="P923" s="460"/>
      <c r="Q923" s="432"/>
      <c r="R923" s="432"/>
      <c r="S923" s="432"/>
      <c r="T923" s="432"/>
      <c r="U923" s="432"/>
      <c r="V923" s="432"/>
      <c r="W923" s="432"/>
      <c r="X923" s="432"/>
      <c r="Y923" s="432"/>
      <c r="Z923" s="432"/>
      <c r="AA923" s="432"/>
      <c r="AB923" s="432"/>
      <c r="AC923" s="432"/>
      <c r="AD923" s="432"/>
    </row>
    <row r="924">
      <c r="A924" s="432"/>
      <c r="B924" s="432"/>
      <c r="C924" s="432"/>
      <c r="D924" s="459"/>
      <c r="E924" s="459"/>
      <c r="F924" s="432"/>
      <c r="G924" s="432"/>
      <c r="H924" s="432"/>
      <c r="I924" s="432"/>
      <c r="J924" s="432"/>
      <c r="K924" s="432"/>
      <c r="L924" s="432"/>
      <c r="M924" s="432"/>
      <c r="N924" s="432"/>
      <c r="O924" s="459"/>
      <c r="P924" s="460"/>
      <c r="Q924" s="432"/>
      <c r="R924" s="432"/>
      <c r="S924" s="432"/>
      <c r="T924" s="432"/>
      <c r="U924" s="432"/>
      <c r="V924" s="432"/>
      <c r="W924" s="432"/>
      <c r="X924" s="432"/>
      <c r="Y924" s="432"/>
      <c r="Z924" s="432"/>
      <c r="AA924" s="432"/>
      <c r="AB924" s="432"/>
      <c r="AC924" s="432"/>
      <c r="AD924" s="432"/>
    </row>
    <row r="925">
      <c r="A925" s="432"/>
      <c r="B925" s="432"/>
      <c r="C925" s="432"/>
      <c r="D925" s="459"/>
      <c r="E925" s="459"/>
      <c r="F925" s="432"/>
      <c r="G925" s="432"/>
      <c r="H925" s="432"/>
      <c r="I925" s="432"/>
      <c r="J925" s="432"/>
      <c r="K925" s="432"/>
      <c r="L925" s="432"/>
      <c r="M925" s="432"/>
      <c r="N925" s="432"/>
      <c r="O925" s="459"/>
      <c r="P925" s="460"/>
      <c r="Q925" s="432"/>
      <c r="R925" s="432"/>
      <c r="S925" s="432"/>
      <c r="T925" s="432"/>
      <c r="U925" s="432"/>
      <c r="V925" s="432"/>
      <c r="W925" s="432"/>
      <c r="X925" s="432"/>
      <c r="Y925" s="432"/>
      <c r="Z925" s="432"/>
      <c r="AA925" s="432"/>
      <c r="AB925" s="432"/>
      <c r="AC925" s="432"/>
      <c r="AD925" s="432"/>
    </row>
    <row r="926">
      <c r="A926" s="432"/>
      <c r="B926" s="432"/>
      <c r="C926" s="432"/>
      <c r="D926" s="459"/>
      <c r="E926" s="459"/>
      <c r="F926" s="432"/>
      <c r="G926" s="432"/>
      <c r="H926" s="432"/>
      <c r="I926" s="432"/>
      <c r="J926" s="432"/>
      <c r="K926" s="432"/>
      <c r="L926" s="432"/>
      <c r="M926" s="432"/>
      <c r="N926" s="432"/>
      <c r="O926" s="459"/>
      <c r="P926" s="460"/>
      <c r="Q926" s="432"/>
      <c r="R926" s="432"/>
      <c r="S926" s="432"/>
      <c r="T926" s="432"/>
      <c r="U926" s="432"/>
      <c r="V926" s="432"/>
      <c r="W926" s="432"/>
      <c r="X926" s="432"/>
      <c r="Y926" s="432"/>
      <c r="Z926" s="432"/>
      <c r="AA926" s="432"/>
      <c r="AB926" s="432"/>
      <c r="AC926" s="432"/>
      <c r="AD926" s="432"/>
    </row>
    <row r="927">
      <c r="A927" s="432"/>
      <c r="B927" s="432"/>
      <c r="C927" s="432"/>
      <c r="D927" s="459"/>
      <c r="E927" s="459"/>
      <c r="F927" s="432"/>
      <c r="G927" s="432"/>
      <c r="H927" s="432"/>
      <c r="I927" s="432"/>
      <c r="J927" s="432"/>
      <c r="K927" s="432"/>
      <c r="L927" s="432"/>
      <c r="M927" s="432"/>
      <c r="N927" s="432"/>
      <c r="O927" s="459"/>
      <c r="P927" s="460"/>
      <c r="Q927" s="432"/>
      <c r="R927" s="432"/>
      <c r="S927" s="432"/>
      <c r="T927" s="432"/>
      <c r="U927" s="432"/>
      <c r="V927" s="432"/>
      <c r="W927" s="432"/>
      <c r="X927" s="432"/>
      <c r="Y927" s="432"/>
      <c r="Z927" s="432"/>
      <c r="AA927" s="432"/>
      <c r="AB927" s="432"/>
      <c r="AC927" s="432"/>
      <c r="AD927" s="432"/>
    </row>
    <row r="928">
      <c r="A928" s="432"/>
      <c r="B928" s="432"/>
      <c r="C928" s="432"/>
      <c r="D928" s="459"/>
      <c r="E928" s="459"/>
      <c r="F928" s="432"/>
      <c r="G928" s="432"/>
      <c r="H928" s="432"/>
      <c r="I928" s="432"/>
      <c r="J928" s="432"/>
      <c r="K928" s="432"/>
      <c r="L928" s="432"/>
      <c r="M928" s="432"/>
      <c r="N928" s="432"/>
      <c r="O928" s="459"/>
      <c r="P928" s="460"/>
      <c r="Q928" s="432"/>
      <c r="R928" s="432"/>
      <c r="S928" s="432"/>
      <c r="T928" s="432"/>
      <c r="U928" s="432"/>
      <c r="V928" s="432"/>
      <c r="W928" s="432"/>
      <c r="X928" s="432"/>
      <c r="Y928" s="432"/>
      <c r="Z928" s="432"/>
      <c r="AA928" s="432"/>
      <c r="AB928" s="432"/>
      <c r="AC928" s="432"/>
      <c r="AD928" s="432"/>
    </row>
    <row r="929">
      <c r="A929" s="432"/>
      <c r="B929" s="432"/>
      <c r="C929" s="432"/>
      <c r="D929" s="459"/>
      <c r="E929" s="459"/>
      <c r="F929" s="432"/>
      <c r="G929" s="432"/>
      <c r="H929" s="432"/>
      <c r="I929" s="432"/>
      <c r="J929" s="432"/>
      <c r="K929" s="432"/>
      <c r="L929" s="432"/>
      <c r="M929" s="432"/>
      <c r="N929" s="432"/>
      <c r="O929" s="459"/>
      <c r="P929" s="460"/>
      <c r="Q929" s="432"/>
      <c r="R929" s="432"/>
      <c r="S929" s="432"/>
      <c r="T929" s="432"/>
      <c r="U929" s="432"/>
      <c r="V929" s="432"/>
      <c r="W929" s="432"/>
      <c r="X929" s="432"/>
      <c r="Y929" s="432"/>
      <c r="Z929" s="432"/>
      <c r="AA929" s="432"/>
      <c r="AB929" s="432"/>
      <c r="AC929" s="432"/>
      <c r="AD929" s="432"/>
    </row>
    <row r="930">
      <c r="A930" s="432"/>
      <c r="B930" s="432"/>
      <c r="C930" s="432"/>
      <c r="D930" s="459"/>
      <c r="E930" s="459"/>
      <c r="F930" s="432"/>
      <c r="G930" s="432"/>
      <c r="H930" s="432"/>
      <c r="I930" s="432"/>
      <c r="J930" s="432"/>
      <c r="K930" s="432"/>
      <c r="L930" s="432"/>
      <c r="M930" s="432"/>
      <c r="N930" s="432"/>
      <c r="O930" s="459"/>
      <c r="P930" s="460"/>
      <c r="Q930" s="432"/>
      <c r="R930" s="432"/>
      <c r="S930" s="432"/>
      <c r="T930" s="432"/>
      <c r="U930" s="432"/>
      <c r="V930" s="432"/>
      <c r="W930" s="432"/>
      <c r="X930" s="432"/>
      <c r="Y930" s="432"/>
      <c r="Z930" s="432"/>
      <c r="AA930" s="432"/>
      <c r="AB930" s="432"/>
      <c r="AC930" s="432"/>
      <c r="AD930" s="432"/>
    </row>
    <row r="931">
      <c r="A931" s="432"/>
      <c r="B931" s="432"/>
      <c r="C931" s="432"/>
      <c r="D931" s="459"/>
      <c r="E931" s="459"/>
      <c r="F931" s="432"/>
      <c r="G931" s="432"/>
      <c r="H931" s="432"/>
      <c r="I931" s="432"/>
      <c r="J931" s="432"/>
      <c r="K931" s="432"/>
      <c r="L931" s="432"/>
      <c r="M931" s="432"/>
      <c r="N931" s="432"/>
      <c r="O931" s="459"/>
      <c r="P931" s="460"/>
      <c r="Q931" s="432"/>
      <c r="R931" s="432"/>
      <c r="S931" s="432"/>
      <c r="T931" s="432"/>
      <c r="U931" s="432"/>
      <c r="V931" s="432"/>
      <c r="W931" s="432"/>
      <c r="X931" s="432"/>
      <c r="Y931" s="432"/>
      <c r="Z931" s="432"/>
      <c r="AA931" s="432"/>
      <c r="AB931" s="432"/>
      <c r="AC931" s="432"/>
      <c r="AD931" s="432"/>
    </row>
    <row r="932">
      <c r="A932" s="432"/>
      <c r="B932" s="432"/>
      <c r="C932" s="432"/>
      <c r="D932" s="459"/>
      <c r="E932" s="459"/>
      <c r="F932" s="432"/>
      <c r="G932" s="432"/>
      <c r="H932" s="432"/>
      <c r="I932" s="432"/>
      <c r="J932" s="432"/>
      <c r="K932" s="432"/>
      <c r="L932" s="432"/>
      <c r="M932" s="432"/>
      <c r="N932" s="432"/>
      <c r="O932" s="459"/>
      <c r="P932" s="460"/>
      <c r="Q932" s="432"/>
      <c r="R932" s="432"/>
      <c r="S932" s="432"/>
      <c r="T932" s="432"/>
      <c r="U932" s="432"/>
      <c r="V932" s="432"/>
      <c r="W932" s="432"/>
      <c r="X932" s="432"/>
      <c r="Y932" s="432"/>
      <c r="Z932" s="432"/>
      <c r="AA932" s="432"/>
      <c r="AB932" s="432"/>
      <c r="AC932" s="432"/>
      <c r="AD932" s="432"/>
    </row>
    <row r="933">
      <c r="A933" s="432"/>
      <c r="B933" s="432"/>
      <c r="C933" s="432"/>
      <c r="D933" s="459"/>
      <c r="E933" s="459"/>
      <c r="F933" s="432"/>
      <c r="G933" s="432"/>
      <c r="H933" s="432"/>
      <c r="I933" s="432"/>
      <c r="J933" s="432"/>
      <c r="K933" s="432"/>
      <c r="L933" s="432"/>
      <c r="M933" s="432"/>
      <c r="N933" s="432"/>
      <c r="O933" s="459"/>
      <c r="P933" s="460"/>
      <c r="Q933" s="432"/>
      <c r="R933" s="432"/>
      <c r="S933" s="432"/>
      <c r="T933" s="432"/>
      <c r="U933" s="432"/>
      <c r="V933" s="432"/>
      <c r="W933" s="432"/>
      <c r="X933" s="432"/>
      <c r="Y933" s="432"/>
      <c r="Z933" s="432"/>
      <c r="AA933" s="432"/>
      <c r="AB933" s="432"/>
      <c r="AC933" s="432"/>
      <c r="AD933" s="432"/>
    </row>
    <row r="934">
      <c r="A934" s="432"/>
      <c r="B934" s="432"/>
      <c r="C934" s="432"/>
      <c r="D934" s="459"/>
      <c r="E934" s="459"/>
      <c r="F934" s="432"/>
      <c r="G934" s="432"/>
      <c r="H934" s="432"/>
      <c r="I934" s="432"/>
      <c r="J934" s="432"/>
      <c r="K934" s="432"/>
      <c r="L934" s="432"/>
      <c r="M934" s="432"/>
      <c r="N934" s="432"/>
      <c r="O934" s="459"/>
      <c r="P934" s="460"/>
      <c r="Q934" s="432"/>
      <c r="R934" s="432"/>
      <c r="S934" s="432"/>
      <c r="T934" s="432"/>
      <c r="U934" s="432"/>
      <c r="V934" s="432"/>
      <c r="W934" s="432"/>
      <c r="X934" s="432"/>
      <c r="Y934" s="432"/>
      <c r="Z934" s="432"/>
      <c r="AA934" s="432"/>
      <c r="AB934" s="432"/>
      <c r="AC934" s="432"/>
      <c r="AD934" s="432"/>
    </row>
    <row r="935">
      <c r="A935" s="432"/>
      <c r="B935" s="432"/>
      <c r="C935" s="432"/>
      <c r="D935" s="459"/>
      <c r="E935" s="459"/>
      <c r="F935" s="432"/>
      <c r="G935" s="432"/>
      <c r="H935" s="432"/>
      <c r="I935" s="432"/>
      <c r="J935" s="432"/>
      <c r="K935" s="432"/>
      <c r="L935" s="432"/>
      <c r="M935" s="432"/>
      <c r="N935" s="432"/>
      <c r="O935" s="459"/>
      <c r="P935" s="460"/>
      <c r="Q935" s="432"/>
      <c r="R935" s="432"/>
      <c r="S935" s="432"/>
      <c r="T935" s="432"/>
      <c r="U935" s="432"/>
      <c r="V935" s="432"/>
      <c r="W935" s="432"/>
      <c r="X935" s="432"/>
      <c r="Y935" s="432"/>
      <c r="Z935" s="432"/>
      <c r="AA935" s="432"/>
      <c r="AB935" s="432"/>
      <c r="AC935" s="432"/>
      <c r="AD935" s="432"/>
    </row>
    <row r="936">
      <c r="A936" s="432"/>
      <c r="B936" s="432"/>
      <c r="C936" s="432"/>
      <c r="D936" s="459"/>
      <c r="E936" s="459"/>
      <c r="F936" s="432"/>
      <c r="G936" s="432"/>
      <c r="H936" s="432"/>
      <c r="I936" s="432"/>
      <c r="J936" s="432"/>
      <c r="K936" s="432"/>
      <c r="L936" s="432"/>
      <c r="M936" s="432"/>
      <c r="N936" s="432"/>
      <c r="O936" s="459"/>
      <c r="P936" s="460"/>
      <c r="Q936" s="432"/>
      <c r="R936" s="432"/>
      <c r="S936" s="432"/>
      <c r="T936" s="432"/>
      <c r="U936" s="432"/>
      <c r="V936" s="432"/>
      <c r="W936" s="432"/>
      <c r="X936" s="432"/>
      <c r="Y936" s="432"/>
      <c r="Z936" s="432"/>
      <c r="AA936" s="432"/>
      <c r="AB936" s="432"/>
      <c r="AC936" s="432"/>
      <c r="AD936" s="432"/>
    </row>
    <row r="937">
      <c r="A937" s="432"/>
      <c r="B937" s="432"/>
      <c r="C937" s="432"/>
      <c r="D937" s="459"/>
      <c r="E937" s="459"/>
      <c r="F937" s="432"/>
      <c r="G937" s="432"/>
      <c r="H937" s="432"/>
      <c r="I937" s="432"/>
      <c r="J937" s="432"/>
      <c r="K937" s="432"/>
      <c r="L937" s="432"/>
      <c r="M937" s="432"/>
      <c r="N937" s="432"/>
      <c r="O937" s="459"/>
      <c r="P937" s="460"/>
      <c r="Q937" s="432"/>
      <c r="R937" s="432"/>
      <c r="S937" s="432"/>
      <c r="T937" s="432"/>
      <c r="U937" s="432"/>
      <c r="V937" s="432"/>
      <c r="W937" s="432"/>
      <c r="X937" s="432"/>
      <c r="Y937" s="432"/>
      <c r="Z937" s="432"/>
      <c r="AA937" s="432"/>
      <c r="AB937" s="432"/>
      <c r="AC937" s="432"/>
      <c r="AD937" s="432"/>
    </row>
    <row r="938">
      <c r="A938" s="432"/>
      <c r="B938" s="432"/>
      <c r="C938" s="432"/>
      <c r="D938" s="459"/>
      <c r="E938" s="459"/>
      <c r="F938" s="432"/>
      <c r="G938" s="432"/>
      <c r="H938" s="432"/>
      <c r="I938" s="432"/>
      <c r="J938" s="432"/>
      <c r="K938" s="432"/>
      <c r="L938" s="432"/>
      <c r="M938" s="432"/>
      <c r="N938" s="432"/>
      <c r="O938" s="459"/>
      <c r="P938" s="460"/>
      <c r="Q938" s="432"/>
      <c r="R938" s="432"/>
      <c r="S938" s="432"/>
      <c r="T938" s="432"/>
      <c r="U938" s="432"/>
      <c r="V938" s="432"/>
      <c r="W938" s="432"/>
      <c r="X938" s="432"/>
      <c r="Y938" s="432"/>
      <c r="Z938" s="432"/>
      <c r="AA938" s="432"/>
      <c r="AB938" s="432"/>
      <c r="AC938" s="432"/>
      <c r="AD938" s="432"/>
    </row>
    <row r="939">
      <c r="A939" s="432"/>
      <c r="B939" s="432"/>
      <c r="C939" s="432"/>
      <c r="D939" s="459"/>
      <c r="E939" s="459"/>
      <c r="F939" s="432"/>
      <c r="G939" s="432"/>
      <c r="H939" s="432"/>
      <c r="I939" s="432"/>
      <c r="J939" s="432"/>
      <c r="K939" s="432"/>
      <c r="L939" s="432"/>
      <c r="M939" s="432"/>
      <c r="N939" s="432"/>
      <c r="O939" s="459"/>
      <c r="P939" s="460"/>
      <c r="Q939" s="432"/>
      <c r="R939" s="432"/>
      <c r="S939" s="432"/>
      <c r="T939" s="432"/>
      <c r="U939" s="432"/>
      <c r="V939" s="432"/>
      <c r="W939" s="432"/>
      <c r="X939" s="432"/>
      <c r="Y939" s="432"/>
      <c r="Z939" s="432"/>
      <c r="AA939" s="432"/>
      <c r="AB939" s="432"/>
      <c r="AC939" s="432"/>
      <c r="AD939" s="432"/>
    </row>
    <row r="940">
      <c r="A940" s="432"/>
      <c r="B940" s="432"/>
      <c r="C940" s="432"/>
      <c r="D940" s="459"/>
      <c r="E940" s="459"/>
      <c r="F940" s="432"/>
      <c r="G940" s="432"/>
      <c r="H940" s="432"/>
      <c r="I940" s="432"/>
      <c r="J940" s="432"/>
      <c r="K940" s="432"/>
      <c r="L940" s="432"/>
      <c r="M940" s="432"/>
      <c r="N940" s="432"/>
      <c r="O940" s="459"/>
      <c r="P940" s="460"/>
      <c r="Q940" s="432"/>
      <c r="R940" s="432"/>
      <c r="S940" s="432"/>
      <c r="T940" s="432"/>
      <c r="U940" s="432"/>
      <c r="V940" s="432"/>
      <c r="W940" s="432"/>
      <c r="X940" s="432"/>
      <c r="Y940" s="432"/>
      <c r="Z940" s="432"/>
      <c r="AA940" s="432"/>
      <c r="AB940" s="432"/>
      <c r="AC940" s="432"/>
      <c r="AD940" s="432"/>
    </row>
    <row r="941">
      <c r="A941" s="432"/>
      <c r="B941" s="432"/>
      <c r="C941" s="432"/>
      <c r="D941" s="459"/>
      <c r="E941" s="459"/>
      <c r="F941" s="432"/>
      <c r="G941" s="432"/>
      <c r="H941" s="432"/>
      <c r="I941" s="432"/>
      <c r="J941" s="432"/>
      <c r="K941" s="432"/>
      <c r="L941" s="432"/>
      <c r="M941" s="432"/>
      <c r="N941" s="432"/>
      <c r="O941" s="459"/>
      <c r="P941" s="460"/>
      <c r="Q941" s="432"/>
      <c r="R941" s="432"/>
      <c r="S941" s="432"/>
      <c r="T941" s="432"/>
      <c r="U941" s="432"/>
      <c r="V941" s="432"/>
      <c r="W941" s="432"/>
      <c r="X941" s="432"/>
      <c r="Y941" s="432"/>
      <c r="Z941" s="432"/>
      <c r="AA941" s="432"/>
      <c r="AB941" s="432"/>
      <c r="AC941" s="432"/>
      <c r="AD941" s="432"/>
    </row>
    <row r="942">
      <c r="A942" s="432"/>
      <c r="B942" s="432"/>
      <c r="C942" s="432"/>
      <c r="D942" s="459"/>
      <c r="E942" s="459"/>
      <c r="F942" s="432"/>
      <c r="G942" s="432"/>
      <c r="H942" s="432"/>
      <c r="I942" s="432"/>
      <c r="J942" s="432"/>
      <c r="K942" s="432"/>
      <c r="L942" s="432"/>
      <c r="M942" s="432"/>
      <c r="N942" s="432"/>
      <c r="O942" s="459"/>
      <c r="P942" s="460"/>
      <c r="Q942" s="432"/>
      <c r="R942" s="432"/>
      <c r="S942" s="432"/>
      <c r="T942" s="432"/>
      <c r="U942" s="432"/>
      <c r="V942" s="432"/>
      <c r="W942" s="432"/>
      <c r="X942" s="432"/>
      <c r="Y942" s="432"/>
      <c r="Z942" s="432"/>
      <c r="AA942" s="432"/>
      <c r="AB942" s="432"/>
      <c r="AC942" s="432"/>
      <c r="AD942" s="432"/>
    </row>
    <row r="943">
      <c r="A943" s="432"/>
      <c r="B943" s="432"/>
      <c r="C943" s="432"/>
      <c r="D943" s="459"/>
      <c r="E943" s="459"/>
      <c r="F943" s="432"/>
      <c r="G943" s="432"/>
      <c r="H943" s="432"/>
      <c r="I943" s="432"/>
      <c r="J943" s="432"/>
      <c r="K943" s="432"/>
      <c r="L943" s="432"/>
      <c r="M943" s="432"/>
      <c r="N943" s="432"/>
      <c r="O943" s="459"/>
      <c r="P943" s="460"/>
      <c r="Q943" s="432"/>
      <c r="R943" s="432"/>
      <c r="S943" s="432"/>
      <c r="T943" s="432"/>
      <c r="U943" s="432"/>
      <c r="V943" s="432"/>
      <c r="W943" s="432"/>
      <c r="X943" s="432"/>
      <c r="Y943" s="432"/>
      <c r="Z943" s="432"/>
      <c r="AA943" s="432"/>
      <c r="AB943" s="432"/>
      <c r="AC943" s="432"/>
      <c r="AD943" s="432"/>
    </row>
    <row r="944">
      <c r="A944" s="432"/>
      <c r="B944" s="432"/>
      <c r="C944" s="432"/>
      <c r="D944" s="459"/>
      <c r="E944" s="459"/>
      <c r="F944" s="432"/>
      <c r="G944" s="432"/>
      <c r="H944" s="432"/>
      <c r="I944" s="432"/>
      <c r="J944" s="432"/>
      <c r="K944" s="432"/>
      <c r="L944" s="432"/>
      <c r="M944" s="432"/>
      <c r="N944" s="432"/>
      <c r="O944" s="459"/>
      <c r="P944" s="460"/>
      <c r="Q944" s="432"/>
      <c r="R944" s="432"/>
      <c r="S944" s="432"/>
      <c r="T944" s="432"/>
      <c r="U944" s="432"/>
      <c r="V944" s="432"/>
      <c r="W944" s="432"/>
      <c r="X944" s="432"/>
      <c r="Y944" s="432"/>
      <c r="Z944" s="432"/>
      <c r="AA944" s="432"/>
      <c r="AB944" s="432"/>
      <c r="AC944" s="432"/>
      <c r="AD944" s="432"/>
    </row>
    <row r="945">
      <c r="A945" s="432"/>
      <c r="B945" s="432"/>
      <c r="C945" s="432"/>
      <c r="D945" s="459"/>
      <c r="E945" s="459"/>
      <c r="F945" s="432"/>
      <c r="G945" s="432"/>
      <c r="H945" s="432"/>
      <c r="I945" s="432"/>
      <c r="J945" s="432"/>
      <c r="K945" s="432"/>
      <c r="L945" s="432"/>
      <c r="M945" s="432"/>
      <c r="N945" s="432"/>
      <c r="O945" s="459"/>
      <c r="P945" s="460"/>
      <c r="Q945" s="432"/>
      <c r="R945" s="432"/>
      <c r="S945" s="432"/>
      <c r="T945" s="432"/>
      <c r="U945" s="432"/>
      <c r="V945" s="432"/>
      <c r="W945" s="432"/>
      <c r="X945" s="432"/>
      <c r="Y945" s="432"/>
      <c r="Z945" s="432"/>
      <c r="AA945" s="432"/>
      <c r="AB945" s="432"/>
      <c r="AC945" s="432"/>
      <c r="AD945" s="432"/>
    </row>
    <row r="946">
      <c r="A946" s="432"/>
      <c r="B946" s="432"/>
      <c r="C946" s="432"/>
      <c r="D946" s="459"/>
      <c r="E946" s="459"/>
      <c r="F946" s="432"/>
      <c r="G946" s="432"/>
      <c r="H946" s="432"/>
      <c r="I946" s="432"/>
      <c r="J946" s="432"/>
      <c r="K946" s="432"/>
      <c r="L946" s="432"/>
      <c r="M946" s="432"/>
      <c r="N946" s="432"/>
      <c r="O946" s="459"/>
      <c r="P946" s="460"/>
      <c r="Q946" s="432"/>
      <c r="R946" s="432"/>
      <c r="S946" s="432"/>
      <c r="T946" s="432"/>
      <c r="U946" s="432"/>
      <c r="V946" s="432"/>
      <c r="W946" s="432"/>
      <c r="X946" s="432"/>
      <c r="Y946" s="432"/>
      <c r="Z946" s="432"/>
      <c r="AA946" s="432"/>
      <c r="AB946" s="432"/>
      <c r="AC946" s="432"/>
      <c r="AD946" s="432"/>
    </row>
    <row r="947">
      <c r="A947" s="432"/>
      <c r="B947" s="432"/>
      <c r="C947" s="432"/>
      <c r="D947" s="459"/>
      <c r="E947" s="459"/>
      <c r="F947" s="432"/>
      <c r="G947" s="432"/>
      <c r="H947" s="432"/>
      <c r="I947" s="432"/>
      <c r="J947" s="432"/>
      <c r="K947" s="432"/>
      <c r="L947" s="432"/>
      <c r="M947" s="432"/>
      <c r="N947" s="432"/>
      <c r="O947" s="459"/>
      <c r="P947" s="460"/>
      <c r="Q947" s="432"/>
      <c r="R947" s="432"/>
      <c r="S947" s="432"/>
      <c r="T947" s="432"/>
      <c r="U947" s="432"/>
      <c r="V947" s="432"/>
      <c r="W947" s="432"/>
      <c r="X947" s="432"/>
      <c r="Y947" s="432"/>
      <c r="Z947" s="432"/>
      <c r="AA947" s="432"/>
      <c r="AB947" s="432"/>
      <c r="AC947" s="432"/>
      <c r="AD947" s="432"/>
    </row>
    <row r="948">
      <c r="A948" s="432"/>
      <c r="B948" s="432"/>
      <c r="C948" s="432"/>
      <c r="D948" s="459"/>
      <c r="E948" s="459"/>
      <c r="F948" s="432"/>
      <c r="G948" s="432"/>
      <c r="H948" s="432"/>
      <c r="I948" s="432"/>
      <c r="J948" s="432"/>
      <c r="K948" s="432"/>
      <c r="L948" s="432"/>
      <c r="M948" s="432"/>
      <c r="N948" s="432"/>
      <c r="O948" s="459"/>
      <c r="P948" s="460"/>
      <c r="Q948" s="432"/>
      <c r="R948" s="432"/>
      <c r="S948" s="432"/>
      <c r="T948" s="432"/>
      <c r="U948" s="432"/>
      <c r="V948" s="432"/>
      <c r="W948" s="432"/>
      <c r="X948" s="432"/>
      <c r="Y948" s="432"/>
      <c r="Z948" s="432"/>
      <c r="AA948" s="432"/>
      <c r="AB948" s="432"/>
      <c r="AC948" s="432"/>
      <c r="AD948" s="432"/>
    </row>
    <row r="949">
      <c r="A949" s="432"/>
      <c r="B949" s="432"/>
      <c r="C949" s="432"/>
      <c r="D949" s="459"/>
      <c r="E949" s="459"/>
      <c r="F949" s="432"/>
      <c r="G949" s="432"/>
      <c r="H949" s="432"/>
      <c r="I949" s="432"/>
      <c r="J949" s="432"/>
      <c r="K949" s="432"/>
      <c r="L949" s="432"/>
      <c r="M949" s="432"/>
      <c r="N949" s="432"/>
      <c r="O949" s="459"/>
      <c r="P949" s="460"/>
      <c r="Q949" s="432"/>
      <c r="R949" s="432"/>
      <c r="S949" s="432"/>
      <c r="T949" s="432"/>
      <c r="U949" s="432"/>
      <c r="V949" s="432"/>
      <c r="W949" s="432"/>
      <c r="X949" s="432"/>
      <c r="Y949" s="432"/>
      <c r="Z949" s="432"/>
      <c r="AA949" s="432"/>
      <c r="AB949" s="432"/>
      <c r="AC949" s="432"/>
      <c r="AD949" s="432"/>
    </row>
    <row r="950">
      <c r="A950" s="432"/>
      <c r="B950" s="432"/>
      <c r="C950" s="432"/>
      <c r="D950" s="459"/>
      <c r="E950" s="459"/>
      <c r="F950" s="432"/>
      <c r="G950" s="432"/>
      <c r="H950" s="432"/>
      <c r="I950" s="432"/>
      <c r="J950" s="432"/>
      <c r="K950" s="432"/>
      <c r="L950" s="432"/>
      <c r="M950" s="432"/>
      <c r="N950" s="432"/>
      <c r="O950" s="459"/>
      <c r="P950" s="460"/>
      <c r="Q950" s="432"/>
      <c r="R950" s="432"/>
      <c r="S950" s="432"/>
      <c r="T950" s="432"/>
      <c r="U950" s="432"/>
      <c r="V950" s="432"/>
      <c r="W950" s="432"/>
      <c r="X950" s="432"/>
      <c r="Y950" s="432"/>
      <c r="Z950" s="432"/>
      <c r="AA950" s="432"/>
      <c r="AB950" s="432"/>
      <c r="AC950" s="432"/>
      <c r="AD950" s="432"/>
    </row>
    <row r="951">
      <c r="A951" s="432"/>
      <c r="B951" s="432"/>
      <c r="C951" s="432"/>
      <c r="D951" s="459"/>
      <c r="E951" s="459"/>
      <c r="F951" s="432"/>
      <c r="G951" s="432"/>
      <c r="H951" s="432"/>
      <c r="I951" s="432"/>
      <c r="J951" s="432"/>
      <c r="K951" s="432"/>
      <c r="L951" s="432"/>
      <c r="M951" s="432"/>
      <c r="N951" s="432"/>
      <c r="O951" s="459"/>
      <c r="P951" s="460"/>
      <c r="Q951" s="432"/>
      <c r="R951" s="432"/>
      <c r="S951" s="432"/>
      <c r="T951" s="432"/>
      <c r="U951" s="432"/>
      <c r="V951" s="432"/>
      <c r="W951" s="432"/>
      <c r="X951" s="432"/>
      <c r="Y951" s="432"/>
      <c r="Z951" s="432"/>
      <c r="AA951" s="432"/>
      <c r="AB951" s="432"/>
      <c r="AC951" s="432"/>
      <c r="AD951" s="432"/>
    </row>
    <row r="952">
      <c r="A952" s="432"/>
      <c r="B952" s="432"/>
      <c r="C952" s="432"/>
      <c r="D952" s="459"/>
      <c r="E952" s="459"/>
      <c r="F952" s="432"/>
      <c r="G952" s="432"/>
      <c r="H952" s="432"/>
      <c r="I952" s="432"/>
      <c r="J952" s="432"/>
      <c r="K952" s="432"/>
      <c r="L952" s="432"/>
      <c r="M952" s="432"/>
      <c r="N952" s="432"/>
      <c r="O952" s="459"/>
      <c r="P952" s="460"/>
      <c r="Q952" s="432"/>
      <c r="R952" s="432"/>
      <c r="S952" s="432"/>
      <c r="T952" s="432"/>
      <c r="U952" s="432"/>
      <c r="V952" s="432"/>
      <c r="W952" s="432"/>
      <c r="X952" s="432"/>
      <c r="Y952" s="432"/>
      <c r="Z952" s="432"/>
      <c r="AA952" s="432"/>
      <c r="AB952" s="432"/>
      <c r="AC952" s="432"/>
      <c r="AD952" s="432"/>
    </row>
    <row r="953">
      <c r="A953" s="432"/>
      <c r="B953" s="432"/>
      <c r="C953" s="432"/>
      <c r="D953" s="459"/>
      <c r="E953" s="459"/>
      <c r="F953" s="432"/>
      <c r="G953" s="432"/>
      <c r="H953" s="432"/>
      <c r="I953" s="432"/>
      <c r="J953" s="432"/>
      <c r="K953" s="432"/>
      <c r="L953" s="432"/>
      <c r="M953" s="432"/>
      <c r="N953" s="432"/>
      <c r="O953" s="459"/>
      <c r="P953" s="460"/>
      <c r="Q953" s="432"/>
      <c r="R953" s="432"/>
      <c r="S953" s="432"/>
      <c r="T953" s="432"/>
      <c r="U953" s="432"/>
      <c r="V953" s="432"/>
      <c r="W953" s="432"/>
      <c r="X953" s="432"/>
      <c r="Y953" s="432"/>
      <c r="Z953" s="432"/>
      <c r="AA953" s="432"/>
      <c r="AB953" s="432"/>
      <c r="AC953" s="432"/>
      <c r="AD953" s="432"/>
    </row>
    <row r="954">
      <c r="A954" s="432"/>
      <c r="B954" s="432"/>
      <c r="C954" s="432"/>
      <c r="D954" s="459"/>
      <c r="E954" s="459"/>
      <c r="F954" s="432"/>
      <c r="G954" s="432"/>
      <c r="H954" s="432"/>
      <c r="I954" s="432"/>
      <c r="J954" s="432"/>
      <c r="K954" s="432"/>
      <c r="L954" s="432"/>
      <c r="M954" s="432"/>
      <c r="N954" s="432"/>
      <c r="O954" s="459"/>
      <c r="P954" s="460"/>
      <c r="Q954" s="432"/>
      <c r="R954" s="432"/>
      <c r="S954" s="432"/>
      <c r="T954" s="432"/>
      <c r="U954" s="432"/>
      <c r="V954" s="432"/>
      <c r="W954" s="432"/>
      <c r="X954" s="432"/>
      <c r="Y954" s="432"/>
      <c r="Z954" s="432"/>
      <c r="AA954" s="432"/>
      <c r="AB954" s="432"/>
      <c r="AC954" s="432"/>
      <c r="AD954" s="432"/>
    </row>
    <row r="955">
      <c r="A955" s="432"/>
      <c r="B955" s="432"/>
      <c r="C955" s="432"/>
      <c r="D955" s="459"/>
      <c r="E955" s="459"/>
      <c r="F955" s="432"/>
      <c r="G955" s="432"/>
      <c r="H955" s="432"/>
      <c r="I955" s="432"/>
      <c r="J955" s="432"/>
      <c r="K955" s="432"/>
      <c r="L955" s="432"/>
      <c r="M955" s="432"/>
      <c r="N955" s="432"/>
      <c r="O955" s="459"/>
      <c r="P955" s="460"/>
      <c r="Q955" s="432"/>
      <c r="R955" s="432"/>
      <c r="S955" s="432"/>
      <c r="T955" s="432"/>
      <c r="U955" s="432"/>
      <c r="V955" s="432"/>
      <c r="W955" s="432"/>
      <c r="X955" s="432"/>
      <c r="Y955" s="432"/>
      <c r="Z955" s="432"/>
      <c r="AA955" s="432"/>
      <c r="AB955" s="432"/>
      <c r="AC955" s="432"/>
      <c r="AD955" s="432"/>
    </row>
    <row r="956">
      <c r="A956" s="432"/>
      <c r="B956" s="432"/>
      <c r="C956" s="432"/>
      <c r="D956" s="459"/>
      <c r="E956" s="459"/>
      <c r="F956" s="432"/>
      <c r="G956" s="432"/>
      <c r="H956" s="432"/>
      <c r="I956" s="432"/>
      <c r="J956" s="432"/>
      <c r="K956" s="432"/>
      <c r="L956" s="432"/>
      <c r="M956" s="432"/>
      <c r="N956" s="432"/>
      <c r="O956" s="459"/>
      <c r="P956" s="460"/>
      <c r="Q956" s="432"/>
      <c r="R956" s="432"/>
      <c r="S956" s="432"/>
      <c r="T956" s="432"/>
      <c r="U956" s="432"/>
      <c r="V956" s="432"/>
      <c r="W956" s="432"/>
      <c r="X956" s="432"/>
      <c r="Y956" s="432"/>
      <c r="Z956" s="432"/>
      <c r="AA956" s="432"/>
      <c r="AB956" s="432"/>
      <c r="AC956" s="432"/>
      <c r="AD956" s="432"/>
    </row>
    <row r="957">
      <c r="A957" s="432"/>
      <c r="B957" s="432"/>
      <c r="C957" s="432"/>
      <c r="D957" s="459"/>
      <c r="E957" s="459"/>
      <c r="F957" s="432"/>
      <c r="G957" s="432"/>
      <c r="H957" s="432"/>
      <c r="I957" s="432"/>
      <c r="J957" s="432"/>
      <c r="K957" s="432"/>
      <c r="L957" s="432"/>
      <c r="M957" s="432"/>
      <c r="N957" s="432"/>
      <c r="O957" s="459"/>
      <c r="P957" s="460"/>
      <c r="Q957" s="432"/>
      <c r="R957" s="432"/>
      <c r="S957" s="432"/>
      <c r="T957" s="432"/>
      <c r="U957" s="432"/>
      <c r="V957" s="432"/>
      <c r="W957" s="432"/>
      <c r="X957" s="432"/>
      <c r="Y957" s="432"/>
      <c r="Z957" s="432"/>
      <c r="AA957" s="432"/>
      <c r="AB957" s="432"/>
      <c r="AC957" s="432"/>
      <c r="AD957" s="432"/>
    </row>
    <row r="958">
      <c r="A958" s="432"/>
      <c r="B958" s="432"/>
      <c r="C958" s="432"/>
      <c r="D958" s="459"/>
      <c r="E958" s="459"/>
      <c r="F958" s="432"/>
      <c r="G958" s="432"/>
      <c r="H958" s="432"/>
      <c r="I958" s="432"/>
      <c r="J958" s="432"/>
      <c r="K958" s="432"/>
      <c r="L958" s="432"/>
      <c r="M958" s="432"/>
      <c r="N958" s="432"/>
      <c r="O958" s="459"/>
      <c r="P958" s="460"/>
      <c r="Q958" s="432"/>
      <c r="R958" s="432"/>
      <c r="S958" s="432"/>
      <c r="T958" s="432"/>
      <c r="U958" s="432"/>
      <c r="V958" s="432"/>
      <c r="W958" s="432"/>
      <c r="X958" s="432"/>
      <c r="Y958" s="432"/>
      <c r="Z958" s="432"/>
      <c r="AA958" s="432"/>
      <c r="AB958" s="432"/>
      <c r="AC958" s="432"/>
      <c r="AD958" s="432"/>
    </row>
    <row r="959">
      <c r="A959" s="432"/>
      <c r="B959" s="432"/>
      <c r="C959" s="432"/>
      <c r="D959" s="459"/>
      <c r="E959" s="459"/>
      <c r="F959" s="432"/>
      <c r="G959" s="432"/>
      <c r="H959" s="432"/>
      <c r="I959" s="432"/>
      <c r="J959" s="432"/>
      <c r="K959" s="432"/>
      <c r="L959" s="432"/>
      <c r="M959" s="432"/>
      <c r="N959" s="432"/>
      <c r="O959" s="459"/>
      <c r="P959" s="460"/>
      <c r="Q959" s="432"/>
      <c r="R959" s="432"/>
      <c r="S959" s="432"/>
      <c r="T959" s="432"/>
      <c r="U959" s="432"/>
      <c r="V959" s="432"/>
      <c r="W959" s="432"/>
      <c r="X959" s="432"/>
      <c r="Y959" s="432"/>
      <c r="Z959" s="432"/>
      <c r="AA959" s="432"/>
      <c r="AB959" s="432"/>
      <c r="AC959" s="432"/>
      <c r="AD959" s="432"/>
    </row>
    <row r="960">
      <c r="A960" s="432"/>
      <c r="B960" s="432"/>
      <c r="C960" s="432"/>
      <c r="D960" s="459"/>
      <c r="E960" s="459"/>
      <c r="F960" s="432"/>
      <c r="G960" s="432"/>
      <c r="H960" s="432"/>
      <c r="I960" s="432"/>
      <c r="J960" s="432"/>
      <c r="K960" s="432"/>
      <c r="L960" s="432"/>
      <c r="M960" s="432"/>
      <c r="N960" s="432"/>
      <c r="O960" s="459"/>
      <c r="P960" s="460"/>
      <c r="Q960" s="432"/>
      <c r="R960" s="432"/>
      <c r="S960" s="432"/>
      <c r="T960" s="432"/>
      <c r="U960" s="432"/>
      <c r="V960" s="432"/>
      <c r="W960" s="432"/>
      <c r="X960" s="432"/>
      <c r="Y960" s="432"/>
      <c r="Z960" s="432"/>
      <c r="AA960" s="432"/>
      <c r="AB960" s="432"/>
      <c r="AC960" s="432"/>
      <c r="AD960" s="432"/>
    </row>
    <row r="961">
      <c r="A961" s="432"/>
      <c r="B961" s="432"/>
      <c r="C961" s="432"/>
      <c r="D961" s="459"/>
      <c r="E961" s="459"/>
      <c r="F961" s="432"/>
      <c r="G961" s="432"/>
      <c r="H961" s="432"/>
      <c r="I961" s="432"/>
      <c r="J961" s="432"/>
      <c r="K961" s="432"/>
      <c r="L961" s="432"/>
      <c r="M961" s="432"/>
      <c r="N961" s="432"/>
      <c r="O961" s="459"/>
      <c r="P961" s="460"/>
      <c r="Q961" s="432"/>
      <c r="R961" s="432"/>
      <c r="S961" s="432"/>
      <c r="T961" s="432"/>
      <c r="U961" s="432"/>
      <c r="V961" s="432"/>
      <c r="W961" s="432"/>
      <c r="X961" s="432"/>
      <c r="Y961" s="432"/>
      <c r="Z961" s="432"/>
      <c r="AA961" s="432"/>
      <c r="AB961" s="432"/>
      <c r="AC961" s="432"/>
      <c r="AD961" s="432"/>
    </row>
    <row r="962">
      <c r="A962" s="432"/>
      <c r="B962" s="432"/>
      <c r="C962" s="432"/>
      <c r="D962" s="459"/>
      <c r="E962" s="459"/>
      <c r="F962" s="432"/>
      <c r="G962" s="432"/>
      <c r="H962" s="432"/>
      <c r="I962" s="432"/>
      <c r="J962" s="432"/>
      <c r="K962" s="432"/>
      <c r="L962" s="432"/>
      <c r="M962" s="432"/>
      <c r="N962" s="432"/>
      <c r="O962" s="459"/>
      <c r="P962" s="460"/>
      <c r="Q962" s="432"/>
      <c r="R962" s="432"/>
      <c r="S962" s="432"/>
      <c r="T962" s="432"/>
      <c r="U962" s="432"/>
      <c r="V962" s="432"/>
      <c r="W962" s="432"/>
      <c r="X962" s="432"/>
      <c r="Y962" s="432"/>
      <c r="Z962" s="432"/>
      <c r="AA962" s="432"/>
      <c r="AB962" s="432"/>
      <c r="AC962" s="432"/>
      <c r="AD962" s="432"/>
    </row>
    <row r="963">
      <c r="A963" s="432"/>
      <c r="B963" s="432"/>
      <c r="C963" s="432"/>
      <c r="D963" s="459"/>
      <c r="E963" s="459"/>
      <c r="F963" s="432"/>
      <c r="G963" s="432"/>
      <c r="H963" s="432"/>
      <c r="I963" s="432"/>
      <c r="J963" s="432"/>
      <c r="K963" s="432"/>
      <c r="L963" s="432"/>
      <c r="M963" s="432"/>
      <c r="N963" s="432"/>
      <c r="O963" s="459"/>
      <c r="P963" s="460"/>
      <c r="Q963" s="432"/>
      <c r="R963" s="432"/>
      <c r="S963" s="432"/>
      <c r="T963" s="432"/>
      <c r="U963" s="432"/>
      <c r="V963" s="432"/>
      <c r="W963" s="432"/>
      <c r="X963" s="432"/>
      <c r="Y963" s="432"/>
      <c r="Z963" s="432"/>
      <c r="AA963" s="432"/>
      <c r="AB963" s="432"/>
      <c r="AC963" s="432"/>
      <c r="AD963" s="432"/>
    </row>
    <row r="964">
      <c r="A964" s="432"/>
      <c r="B964" s="432"/>
      <c r="C964" s="432"/>
      <c r="D964" s="459"/>
      <c r="E964" s="459"/>
      <c r="F964" s="432"/>
      <c r="G964" s="432"/>
      <c r="H964" s="432"/>
      <c r="I964" s="432"/>
      <c r="J964" s="432"/>
      <c r="K964" s="432"/>
      <c r="L964" s="432"/>
      <c r="M964" s="432"/>
      <c r="N964" s="432"/>
      <c r="O964" s="459"/>
      <c r="P964" s="460"/>
      <c r="Q964" s="432"/>
      <c r="R964" s="432"/>
      <c r="S964" s="432"/>
      <c r="T964" s="432"/>
      <c r="U964" s="432"/>
      <c r="V964" s="432"/>
      <c r="W964" s="432"/>
      <c r="X964" s="432"/>
      <c r="Y964" s="432"/>
      <c r="Z964" s="432"/>
      <c r="AA964" s="432"/>
      <c r="AB964" s="432"/>
      <c r="AC964" s="432"/>
      <c r="AD964" s="432"/>
    </row>
    <row r="965">
      <c r="A965" s="432"/>
      <c r="B965" s="432"/>
      <c r="C965" s="432"/>
      <c r="D965" s="459"/>
      <c r="E965" s="459"/>
      <c r="F965" s="432"/>
      <c r="G965" s="432"/>
      <c r="H965" s="432"/>
      <c r="I965" s="432"/>
      <c r="J965" s="432"/>
      <c r="K965" s="432"/>
      <c r="L965" s="432"/>
      <c r="M965" s="432"/>
      <c r="N965" s="432"/>
      <c r="O965" s="459"/>
      <c r="P965" s="460"/>
      <c r="Q965" s="432"/>
      <c r="R965" s="432"/>
      <c r="S965" s="432"/>
      <c r="T965" s="432"/>
      <c r="U965" s="432"/>
      <c r="V965" s="432"/>
      <c r="W965" s="432"/>
      <c r="X965" s="432"/>
      <c r="Y965" s="432"/>
      <c r="Z965" s="432"/>
      <c r="AA965" s="432"/>
      <c r="AB965" s="432"/>
      <c r="AC965" s="432"/>
      <c r="AD965" s="432"/>
    </row>
    <row r="966">
      <c r="A966" s="432"/>
      <c r="B966" s="432"/>
      <c r="C966" s="432"/>
      <c r="D966" s="459"/>
      <c r="E966" s="459"/>
      <c r="F966" s="432"/>
      <c r="G966" s="432"/>
      <c r="H966" s="432"/>
      <c r="I966" s="432"/>
      <c r="J966" s="432"/>
      <c r="K966" s="432"/>
      <c r="L966" s="432"/>
      <c r="M966" s="432"/>
      <c r="N966" s="432"/>
      <c r="O966" s="459"/>
      <c r="P966" s="460"/>
      <c r="Q966" s="432"/>
      <c r="R966" s="432"/>
      <c r="S966" s="432"/>
      <c r="T966" s="432"/>
      <c r="U966" s="432"/>
      <c r="V966" s="432"/>
      <c r="W966" s="432"/>
      <c r="X966" s="432"/>
      <c r="Y966" s="432"/>
      <c r="Z966" s="432"/>
      <c r="AA966" s="432"/>
      <c r="AB966" s="432"/>
      <c r="AC966" s="432"/>
      <c r="AD966" s="432"/>
    </row>
    <row r="967">
      <c r="A967" s="432"/>
      <c r="B967" s="432"/>
      <c r="C967" s="432"/>
      <c r="D967" s="459"/>
      <c r="E967" s="459"/>
      <c r="F967" s="432"/>
      <c r="G967" s="432"/>
      <c r="H967" s="432"/>
      <c r="I967" s="432"/>
      <c r="J967" s="432"/>
      <c r="K967" s="432"/>
      <c r="L967" s="432"/>
      <c r="M967" s="432"/>
      <c r="N967" s="432"/>
      <c r="O967" s="459"/>
      <c r="P967" s="460"/>
      <c r="Q967" s="432"/>
      <c r="R967" s="432"/>
      <c r="S967" s="432"/>
      <c r="T967" s="432"/>
      <c r="U967" s="432"/>
      <c r="V967" s="432"/>
      <c r="W967" s="432"/>
      <c r="X967" s="432"/>
      <c r="Y967" s="432"/>
      <c r="Z967" s="432"/>
      <c r="AA967" s="432"/>
      <c r="AB967" s="432"/>
      <c r="AC967" s="432"/>
      <c r="AD967" s="432"/>
    </row>
    <row r="968">
      <c r="A968" s="432"/>
      <c r="B968" s="432"/>
      <c r="C968" s="432"/>
      <c r="D968" s="459"/>
      <c r="E968" s="459"/>
      <c r="F968" s="432"/>
      <c r="G968" s="432"/>
      <c r="H968" s="432"/>
      <c r="I968" s="432"/>
      <c r="J968" s="432"/>
      <c r="K968" s="432"/>
      <c r="L968" s="432"/>
      <c r="M968" s="432"/>
      <c r="N968" s="432"/>
      <c r="O968" s="459"/>
      <c r="P968" s="460"/>
      <c r="Q968" s="432"/>
      <c r="R968" s="432"/>
      <c r="S968" s="432"/>
      <c r="T968" s="432"/>
      <c r="U968" s="432"/>
      <c r="V968" s="432"/>
      <c r="W968" s="432"/>
      <c r="X968" s="432"/>
      <c r="Y968" s="432"/>
      <c r="Z968" s="432"/>
      <c r="AA968" s="432"/>
      <c r="AB968" s="432"/>
      <c r="AC968" s="432"/>
      <c r="AD968" s="432"/>
    </row>
    <row r="969">
      <c r="A969" s="432"/>
      <c r="B969" s="432"/>
      <c r="C969" s="432"/>
      <c r="D969" s="459"/>
      <c r="E969" s="459"/>
      <c r="F969" s="432"/>
      <c r="G969" s="432"/>
      <c r="H969" s="432"/>
      <c r="I969" s="432"/>
      <c r="J969" s="432"/>
      <c r="K969" s="432"/>
      <c r="L969" s="432"/>
      <c r="M969" s="432"/>
      <c r="N969" s="432"/>
      <c r="O969" s="459"/>
      <c r="P969" s="460"/>
      <c r="Q969" s="432"/>
      <c r="R969" s="432"/>
      <c r="S969" s="432"/>
      <c r="T969" s="432"/>
      <c r="U969" s="432"/>
      <c r="V969" s="432"/>
      <c r="W969" s="432"/>
      <c r="X969" s="432"/>
      <c r="Y969" s="432"/>
      <c r="Z969" s="432"/>
      <c r="AA969" s="432"/>
      <c r="AB969" s="432"/>
      <c r="AC969" s="432"/>
      <c r="AD969" s="432"/>
    </row>
    <row r="970">
      <c r="A970" s="432"/>
      <c r="B970" s="432"/>
      <c r="C970" s="432"/>
      <c r="D970" s="459"/>
      <c r="E970" s="459"/>
      <c r="F970" s="432"/>
      <c r="G970" s="432"/>
      <c r="H970" s="432"/>
      <c r="I970" s="432"/>
      <c r="J970" s="432"/>
      <c r="K970" s="432"/>
      <c r="L970" s="432"/>
      <c r="M970" s="432"/>
      <c r="N970" s="432"/>
      <c r="O970" s="459"/>
      <c r="P970" s="460"/>
      <c r="Q970" s="432"/>
      <c r="R970" s="432"/>
      <c r="S970" s="432"/>
      <c r="T970" s="432"/>
      <c r="U970" s="432"/>
      <c r="V970" s="432"/>
      <c r="W970" s="432"/>
      <c r="X970" s="432"/>
      <c r="Y970" s="432"/>
      <c r="Z970" s="432"/>
      <c r="AA970" s="432"/>
      <c r="AB970" s="432"/>
      <c r="AC970" s="432"/>
      <c r="AD970" s="432"/>
    </row>
    <row r="971">
      <c r="A971" s="432"/>
      <c r="B971" s="432"/>
      <c r="C971" s="432"/>
      <c r="D971" s="459"/>
      <c r="E971" s="459"/>
      <c r="F971" s="432"/>
      <c r="G971" s="432"/>
      <c r="H971" s="432"/>
      <c r="I971" s="432"/>
      <c r="J971" s="432"/>
      <c r="K971" s="432"/>
      <c r="L971" s="432"/>
      <c r="M971" s="432"/>
      <c r="N971" s="432"/>
      <c r="O971" s="459"/>
      <c r="P971" s="460"/>
      <c r="Q971" s="432"/>
      <c r="R971" s="432"/>
      <c r="S971" s="432"/>
      <c r="T971" s="432"/>
      <c r="U971" s="432"/>
      <c r="V971" s="432"/>
      <c r="W971" s="432"/>
      <c r="X971" s="432"/>
      <c r="Y971" s="432"/>
      <c r="Z971" s="432"/>
      <c r="AA971" s="432"/>
      <c r="AB971" s="432"/>
      <c r="AC971" s="432"/>
      <c r="AD971" s="432"/>
    </row>
    <row r="972">
      <c r="A972" s="432"/>
      <c r="B972" s="432"/>
      <c r="C972" s="432"/>
      <c r="D972" s="459"/>
      <c r="E972" s="459"/>
      <c r="F972" s="432"/>
      <c r="G972" s="432"/>
      <c r="H972" s="432"/>
      <c r="I972" s="432"/>
      <c r="J972" s="432"/>
      <c r="K972" s="432"/>
      <c r="L972" s="432"/>
      <c r="M972" s="432"/>
      <c r="N972" s="432"/>
      <c r="O972" s="459"/>
      <c r="P972" s="460"/>
      <c r="Q972" s="432"/>
      <c r="R972" s="432"/>
      <c r="S972" s="432"/>
      <c r="T972" s="432"/>
      <c r="U972" s="432"/>
      <c r="V972" s="432"/>
      <c r="W972" s="432"/>
      <c r="X972" s="432"/>
      <c r="Y972" s="432"/>
      <c r="Z972" s="432"/>
      <c r="AA972" s="432"/>
      <c r="AB972" s="432"/>
      <c r="AC972" s="432"/>
      <c r="AD972" s="432"/>
    </row>
  </sheetData>
  <autoFilter ref="$A$1:$Q$74"/>
  <dataValidations>
    <dataValidation type="list" allowBlank="1" showErrorMessage="1" sqref="F2:F112">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Q2:Q112">
      <formula1>"Adultos mayores,Ciclistas,Comerciantes,Comunidad lgbti+,Conductores,Conductores de carga pesada,Conductores de vehíulos hibridos y eléctricos,Deportistas,Discapacidad,Habitantes de calle,Hermanos de la Iglesia,Jóvenes,Mascotas,Mujeres,Niños,Recicladores,S"&amp;"ector interreligioso,Turistas,Vendedores informales,Victimas y o desplazados,Otro,No aplica"</formula1>
    </dataValidation>
    <dataValidation type="list" allowBlank="1" showErrorMessage="1" sqref="B2:B112">
      <formula1>"Enero,Febrero,Marzo,Abril,Mayo,Junio,Julio,Agosto,N/A,Septiembre,Octubre,Noviembre ,Diciembre"</formula1>
    </dataValidation>
    <dataValidation type="list" allowBlank="1" showErrorMessage="1" sqref="P2:P112">
      <formula1>"Asesor,Edil,N/A"</formula1>
    </dataValidation>
    <dataValidation type="list" allowBlank="1" showErrorMessage="1" sqref="M2:M112">
      <formula1>"Libertad religiosa,Movilidad,Niñez,Servicios públicos,Tramites"</formula1>
    </dataValidation>
    <dataValidation type="list" allowBlank="1" sqref="C2:C112">
      <formula1>"Intervención,Debate,Denuncia,Editorial "</formula1>
    </dataValidation>
    <dataValidation type="list" allowBlank="1" sqref="A2:A112">
      <formula1>"2024,2025,2026,2027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88"/>
    <col customWidth="1" min="5" max="5" width="18.25"/>
    <col customWidth="1" min="7" max="7" width="30.38"/>
    <col customWidth="1" min="8" max="8" width="17.0"/>
    <col customWidth="1" min="10" max="10" width="17.5"/>
    <col customWidth="1" min="14" max="14" width="15.25"/>
    <col customWidth="1" min="15" max="15" width="19.0"/>
  </cols>
  <sheetData>
    <row r="1" ht="39.0" customHeight="1">
      <c r="A1" s="461" t="s">
        <v>1140</v>
      </c>
      <c r="B1" s="461" t="s">
        <v>1141</v>
      </c>
      <c r="C1" s="18" t="s">
        <v>2841</v>
      </c>
      <c r="D1" s="18" t="s">
        <v>1747</v>
      </c>
      <c r="E1" s="431" t="s">
        <v>2842</v>
      </c>
      <c r="F1" s="18" t="s">
        <v>1145</v>
      </c>
      <c r="G1" s="18" t="s">
        <v>2843</v>
      </c>
      <c r="H1" s="18" t="s">
        <v>2844</v>
      </c>
      <c r="I1" s="18" t="s">
        <v>2845</v>
      </c>
      <c r="J1" s="18" t="s">
        <v>2846</v>
      </c>
      <c r="K1" s="18" t="s">
        <v>2847</v>
      </c>
      <c r="L1" s="18" t="s">
        <v>37</v>
      </c>
      <c r="M1" s="18" t="s">
        <v>2848</v>
      </c>
      <c r="N1" s="18" t="s">
        <v>1151</v>
      </c>
      <c r="O1" s="18" t="s">
        <v>2849</v>
      </c>
      <c r="P1" s="462" t="s">
        <v>2687</v>
      </c>
      <c r="Q1" s="432"/>
      <c r="R1" s="432"/>
      <c r="S1" s="432"/>
      <c r="T1" s="432"/>
      <c r="U1" s="432"/>
      <c r="V1" s="432"/>
      <c r="W1" s="432"/>
      <c r="X1" s="432"/>
      <c r="Y1" s="432"/>
      <c r="Z1" s="432"/>
      <c r="AA1" s="432"/>
      <c r="AB1" s="432"/>
      <c r="AC1" s="463"/>
    </row>
    <row r="2" ht="66.75" customHeight="1">
      <c r="A2" s="49">
        <v>2024.0</v>
      </c>
      <c r="B2" s="433" t="s">
        <v>910</v>
      </c>
      <c r="C2" s="464">
        <v>1.0</v>
      </c>
      <c r="D2" s="465" t="s">
        <v>2850</v>
      </c>
      <c r="E2" s="465" t="s">
        <v>2851</v>
      </c>
      <c r="F2" s="29" t="s">
        <v>259</v>
      </c>
      <c r="G2" s="465" t="s">
        <v>2852</v>
      </c>
      <c r="H2" s="465" t="s">
        <v>2853</v>
      </c>
      <c r="I2" s="465" t="s">
        <v>2854</v>
      </c>
      <c r="J2" s="465" t="s">
        <v>2855</v>
      </c>
      <c r="K2" s="466" t="s">
        <v>259</v>
      </c>
      <c r="L2" s="29" t="s">
        <v>63</v>
      </c>
      <c r="M2" s="466" t="s">
        <v>2856</v>
      </c>
      <c r="N2" s="467" t="s">
        <v>66</v>
      </c>
      <c r="O2" s="468" t="s">
        <v>2857</v>
      </c>
      <c r="P2" s="469" t="s">
        <v>2692</v>
      </c>
      <c r="Q2" s="432"/>
      <c r="R2" s="432"/>
      <c r="S2" s="432"/>
      <c r="T2" s="432"/>
      <c r="U2" s="432"/>
      <c r="V2" s="432"/>
      <c r="W2" s="432"/>
      <c r="X2" s="432"/>
      <c r="Y2" s="432"/>
      <c r="Z2" s="432"/>
      <c r="AA2" s="432"/>
      <c r="AB2" s="432"/>
      <c r="AC2" s="463"/>
    </row>
    <row r="3" ht="17.25" customHeight="1">
      <c r="A3" s="49"/>
      <c r="B3" s="433"/>
      <c r="C3" s="464"/>
      <c r="D3" s="470"/>
      <c r="E3" s="471"/>
      <c r="F3" s="29"/>
      <c r="G3" s="470"/>
      <c r="H3" s="470"/>
      <c r="I3" s="470"/>
      <c r="J3" s="470"/>
      <c r="K3" s="472"/>
      <c r="L3" s="29"/>
      <c r="M3" s="472"/>
      <c r="N3" s="467"/>
      <c r="O3" s="473"/>
      <c r="P3" s="469"/>
      <c r="Q3" s="432"/>
      <c r="R3" s="432"/>
      <c r="S3" s="432"/>
      <c r="T3" s="432"/>
      <c r="U3" s="432"/>
      <c r="V3" s="432"/>
      <c r="W3" s="432"/>
      <c r="X3" s="432"/>
      <c r="Y3" s="432"/>
      <c r="Z3" s="432"/>
      <c r="AA3" s="432"/>
      <c r="AB3" s="432"/>
      <c r="AC3" s="463"/>
    </row>
    <row r="4" ht="15.75" customHeight="1">
      <c r="A4" s="49"/>
      <c r="B4" s="433"/>
      <c r="C4" s="474"/>
      <c r="D4" s="151"/>
      <c r="E4" s="475"/>
      <c r="F4" s="29"/>
      <c r="G4" s="476"/>
      <c r="H4" s="477"/>
      <c r="I4" s="470"/>
      <c r="J4" s="470"/>
      <c r="K4" s="472"/>
      <c r="L4" s="29"/>
      <c r="M4" s="472"/>
      <c r="N4" s="467"/>
      <c r="O4" s="468"/>
      <c r="P4" s="469"/>
      <c r="Q4" s="432"/>
      <c r="R4" s="432"/>
      <c r="S4" s="432"/>
      <c r="T4" s="432"/>
      <c r="U4" s="432"/>
      <c r="V4" s="432"/>
      <c r="W4" s="432"/>
      <c r="X4" s="432"/>
      <c r="Y4" s="432"/>
      <c r="Z4" s="432"/>
      <c r="AA4" s="432"/>
      <c r="AB4" s="432"/>
      <c r="AC4" s="463"/>
    </row>
    <row r="5">
      <c r="A5" s="478"/>
      <c r="B5" s="478"/>
      <c r="C5" s="478"/>
      <c r="D5" s="472"/>
      <c r="E5" s="479"/>
      <c r="F5" s="472"/>
      <c r="G5" s="472"/>
      <c r="H5" s="472"/>
      <c r="I5" s="472"/>
      <c r="J5" s="472"/>
      <c r="K5" s="472"/>
      <c r="L5" s="472"/>
      <c r="M5" s="472"/>
      <c r="N5" s="480"/>
      <c r="O5" s="480"/>
      <c r="P5" s="283"/>
      <c r="Q5" s="432"/>
      <c r="R5" s="432"/>
      <c r="S5" s="432"/>
      <c r="T5" s="432"/>
      <c r="U5" s="432"/>
      <c r="V5" s="432"/>
      <c r="W5" s="432"/>
      <c r="X5" s="432"/>
      <c r="Y5" s="432"/>
      <c r="Z5" s="432"/>
      <c r="AA5" s="432"/>
      <c r="AB5" s="432"/>
      <c r="AC5" s="463"/>
    </row>
  </sheetData>
  <dataValidations>
    <dataValidation type="list" allowBlank="1" showErrorMessage="1" sqref="F2:F4">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O2:O4">
      <formula1>"Autor,Coautor,N/A"</formula1>
    </dataValidation>
    <dataValidation type="list" allowBlank="1" showErrorMessage="1" sqref="M2:M4">
      <formula1>"Radicado,Designación de ponentes ,Primer debate ,Segundo debate ,Sancionado"</formula1>
    </dataValidation>
    <dataValidation type="list" allowBlank="1" showErrorMessage="1" sqref="P2:P4">
      <formula1>"Adultos mayores,Ciclistas,Comerciantes,Comunidad lgbti+,Conductores,Conductores de carga pesada,Conductores de vehículos hibridos y eléctricos,Deportistas,Discapacidad,Habitantes de calle,Jóvenes,Mascotas,Mujer,Niños,Recicladores,Sector interreligioso,Tur"&amp;"istas,Vendedores informales,Otro,No aplica"</formula1>
    </dataValidation>
    <dataValidation type="list" allowBlank="1" showErrorMessage="1" sqref="N2:N4">
      <formula1>"Asesor,Edil,N/A"</formula1>
    </dataValidation>
    <dataValidation type="list" allowBlank="1" showErrorMessage="1" sqref="L2:L4">
      <formula1>"Libertad religiosa,Movilidad,Niñez,Servicios públicos,Tramites"</formula1>
    </dataValidation>
    <dataValidation type="list" allowBlank="1" showErrorMessage="1" sqref="B2:B4">
      <formula1>"Enero,Febrero,Marzo,Abril,Mayo,Junio,Julio,Agosto,Septiembre,Octubre,Noviembre ,Diciembre,N/A"</formula1>
    </dataValidation>
    <dataValidation type="list" allowBlank="1" sqref="A2:A4">
      <formula1>"2024,2025,2026,2027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6.38"/>
    <col customWidth="1" min="12" max="12" width="23.75"/>
    <col customWidth="1" min="13" max="13" width="28.88"/>
    <col customWidth="1" min="15" max="15" width="15.63"/>
    <col customWidth="1" min="17" max="17" width="25.0"/>
    <col customWidth="1" min="18" max="18" width="14.38"/>
    <col customWidth="1" min="19" max="19" width="17.0"/>
  </cols>
  <sheetData>
    <row r="1" ht="36.0" customHeight="1">
      <c r="A1" s="260" t="s">
        <v>1140</v>
      </c>
      <c r="B1" s="260" t="s">
        <v>1141</v>
      </c>
      <c r="C1" s="431" t="s">
        <v>2678</v>
      </c>
      <c r="D1" s="431" t="s">
        <v>2858</v>
      </c>
      <c r="E1" s="431" t="s">
        <v>2859</v>
      </c>
      <c r="F1" s="431" t="s">
        <v>2860</v>
      </c>
      <c r="G1" s="431" t="s">
        <v>1145</v>
      </c>
      <c r="H1" s="431" t="s">
        <v>2680</v>
      </c>
      <c r="I1" s="431" t="s">
        <v>2861</v>
      </c>
      <c r="J1" s="431" t="s">
        <v>2862</v>
      </c>
      <c r="K1" s="431" t="s">
        <v>2863</v>
      </c>
      <c r="L1" s="431" t="s">
        <v>2864</v>
      </c>
      <c r="M1" s="431" t="s">
        <v>2865</v>
      </c>
      <c r="N1" s="431" t="s">
        <v>2866</v>
      </c>
      <c r="O1" s="431" t="s">
        <v>37</v>
      </c>
      <c r="P1" s="431" t="s">
        <v>2867</v>
      </c>
      <c r="Q1" s="431" t="s">
        <v>2686</v>
      </c>
      <c r="R1" s="431" t="s">
        <v>1151</v>
      </c>
      <c r="S1" s="431" t="s">
        <v>47</v>
      </c>
      <c r="T1" s="260" t="s">
        <v>2687</v>
      </c>
      <c r="U1" s="481"/>
      <c r="V1" s="481"/>
      <c r="W1" s="481"/>
      <c r="X1" s="481"/>
      <c r="Y1" s="481"/>
      <c r="Z1" s="481"/>
      <c r="AA1" s="481"/>
      <c r="AB1" s="481"/>
    </row>
    <row r="2" ht="39.0" customHeight="1">
      <c r="A2" s="482">
        <v>2024.0</v>
      </c>
      <c r="B2" s="130" t="s">
        <v>425</v>
      </c>
      <c r="C2" s="483" t="s">
        <v>2868</v>
      </c>
      <c r="D2" s="484">
        <v>1.0</v>
      </c>
      <c r="E2" s="485">
        <v>45450.0</v>
      </c>
      <c r="F2" s="486" t="s">
        <v>57</v>
      </c>
      <c r="G2" s="29" t="s">
        <v>358</v>
      </c>
      <c r="H2" s="484" t="s">
        <v>2869</v>
      </c>
      <c r="I2" s="487" t="s">
        <v>2870</v>
      </c>
      <c r="J2" s="488" t="s">
        <v>2871</v>
      </c>
      <c r="K2" s="484" t="s">
        <v>2872</v>
      </c>
      <c r="L2" s="484" t="s">
        <v>2873</v>
      </c>
      <c r="M2" s="487" t="s">
        <v>2874</v>
      </c>
      <c r="N2" s="487" t="s">
        <v>2875</v>
      </c>
      <c r="O2" s="130" t="s">
        <v>63</v>
      </c>
      <c r="P2" s="489" t="s">
        <v>2876</v>
      </c>
      <c r="Q2" s="484" t="s">
        <v>2877</v>
      </c>
      <c r="R2" s="488" t="s">
        <v>66</v>
      </c>
      <c r="S2" s="488" t="s">
        <v>80</v>
      </c>
      <c r="T2" s="114" t="s">
        <v>2692</v>
      </c>
      <c r="U2" s="490"/>
      <c r="V2" s="490"/>
      <c r="W2" s="490"/>
      <c r="X2" s="490"/>
      <c r="Y2" s="490"/>
      <c r="Z2" s="490"/>
      <c r="AA2" s="490"/>
      <c r="AB2" s="490"/>
    </row>
    <row r="3" ht="36.0" customHeight="1">
      <c r="A3" s="49">
        <v>2024.0</v>
      </c>
      <c r="B3" s="29" t="s">
        <v>425</v>
      </c>
      <c r="C3" s="483" t="s">
        <v>2868</v>
      </c>
      <c r="D3" s="203">
        <v>2.0</v>
      </c>
      <c r="E3" s="485">
        <v>45451.0</v>
      </c>
      <c r="F3" s="486" t="s">
        <v>57</v>
      </c>
      <c r="G3" s="491" t="s">
        <v>2720</v>
      </c>
      <c r="H3" s="484" t="s">
        <v>2878</v>
      </c>
      <c r="I3" s="203" t="s">
        <v>2879</v>
      </c>
      <c r="J3" s="483" t="s">
        <v>2880</v>
      </c>
      <c r="K3" s="492" t="s">
        <v>2814</v>
      </c>
      <c r="L3" s="492" t="s">
        <v>2881</v>
      </c>
      <c r="M3" s="493" t="s">
        <v>2882</v>
      </c>
      <c r="N3" s="494" t="s">
        <v>2880</v>
      </c>
      <c r="O3" s="29" t="s">
        <v>63</v>
      </c>
      <c r="P3" s="495" t="s">
        <v>2883</v>
      </c>
      <c r="Q3" s="492" t="s">
        <v>2884</v>
      </c>
      <c r="R3" s="483" t="s">
        <v>66</v>
      </c>
      <c r="S3" s="483" t="s">
        <v>152</v>
      </c>
      <c r="T3" s="483" t="s">
        <v>2692</v>
      </c>
      <c r="U3" s="481"/>
      <c r="V3" s="481"/>
      <c r="W3" s="481"/>
      <c r="X3" s="481"/>
      <c r="Y3" s="481"/>
      <c r="Z3" s="481"/>
      <c r="AA3" s="481"/>
      <c r="AB3" s="481"/>
    </row>
    <row r="4" ht="36.75" customHeight="1">
      <c r="A4" s="49">
        <v>2024.0</v>
      </c>
      <c r="B4" s="29" t="s">
        <v>425</v>
      </c>
      <c r="C4" s="483" t="s">
        <v>2868</v>
      </c>
      <c r="D4" s="203">
        <v>3.0</v>
      </c>
      <c r="E4" s="485">
        <v>45451.0</v>
      </c>
      <c r="F4" s="486" t="s">
        <v>57</v>
      </c>
      <c r="G4" s="491" t="s">
        <v>2885</v>
      </c>
      <c r="H4" s="484" t="s">
        <v>2886</v>
      </c>
      <c r="I4" s="203" t="s">
        <v>2887</v>
      </c>
      <c r="J4" s="483" t="s">
        <v>2871</v>
      </c>
      <c r="K4" s="492" t="s">
        <v>2888</v>
      </c>
      <c r="L4" s="484" t="s">
        <v>2873</v>
      </c>
      <c r="M4" s="492" t="s">
        <v>2889</v>
      </c>
      <c r="N4" s="494" t="s">
        <v>2890</v>
      </c>
      <c r="O4" s="29" t="s">
        <v>1122</v>
      </c>
      <c r="P4" s="495" t="s">
        <v>2891</v>
      </c>
      <c r="Q4" s="484" t="s">
        <v>2877</v>
      </c>
      <c r="R4" s="483" t="s">
        <v>66</v>
      </c>
      <c r="S4" s="483" t="s">
        <v>80</v>
      </c>
      <c r="T4" s="483" t="s">
        <v>2710</v>
      </c>
      <c r="U4" s="481"/>
      <c r="V4" s="481"/>
      <c r="W4" s="481"/>
      <c r="X4" s="481"/>
      <c r="Y4" s="481"/>
      <c r="Z4" s="481"/>
      <c r="AA4" s="481"/>
      <c r="AB4" s="481"/>
    </row>
    <row r="5" ht="51.0" customHeight="1">
      <c r="A5" s="433">
        <v>2024.0</v>
      </c>
      <c r="B5" s="453" t="s">
        <v>625</v>
      </c>
      <c r="C5" s="496" t="s">
        <v>2868</v>
      </c>
      <c r="D5" s="437">
        <v>4.0</v>
      </c>
      <c r="E5" s="452">
        <v>45543.0</v>
      </c>
      <c r="F5" s="437" t="s">
        <v>57</v>
      </c>
      <c r="G5" s="491" t="s">
        <v>358</v>
      </c>
      <c r="H5" s="484" t="s">
        <v>2892</v>
      </c>
      <c r="I5" s="203" t="s">
        <v>2893</v>
      </c>
      <c r="J5" s="483" t="s">
        <v>2871</v>
      </c>
      <c r="K5" s="492" t="s">
        <v>2894</v>
      </c>
      <c r="L5" s="484" t="s">
        <v>2873</v>
      </c>
      <c r="M5" s="363" t="s">
        <v>2895</v>
      </c>
      <c r="N5" s="492" t="s">
        <v>2896</v>
      </c>
      <c r="O5" s="29" t="s">
        <v>63</v>
      </c>
      <c r="P5" s="495" t="s">
        <v>2897</v>
      </c>
      <c r="Q5" s="484" t="s">
        <v>2877</v>
      </c>
      <c r="R5" s="483" t="s">
        <v>66</v>
      </c>
      <c r="S5" s="483" t="s">
        <v>80</v>
      </c>
      <c r="T5" s="483" t="s">
        <v>2692</v>
      </c>
      <c r="U5" s="481"/>
      <c r="V5" s="481"/>
      <c r="W5" s="481"/>
      <c r="X5" s="481"/>
      <c r="Y5" s="481"/>
      <c r="Z5" s="481"/>
      <c r="AA5" s="481"/>
      <c r="AB5" s="481"/>
    </row>
    <row r="6" ht="54.75" customHeight="1">
      <c r="A6" s="433">
        <v>2024.0</v>
      </c>
      <c r="B6" s="453" t="s">
        <v>625</v>
      </c>
      <c r="C6" s="496" t="s">
        <v>2868</v>
      </c>
      <c r="D6" s="203">
        <v>5.0</v>
      </c>
      <c r="E6" s="497">
        <v>45545.0</v>
      </c>
      <c r="F6" s="437" t="s">
        <v>57</v>
      </c>
      <c r="G6" s="491" t="s">
        <v>358</v>
      </c>
      <c r="H6" s="484" t="s">
        <v>2898</v>
      </c>
      <c r="I6" s="203" t="s">
        <v>2899</v>
      </c>
      <c r="J6" s="483" t="s">
        <v>2871</v>
      </c>
      <c r="K6" s="492" t="s">
        <v>2900</v>
      </c>
      <c r="L6" s="484" t="s">
        <v>2901</v>
      </c>
      <c r="M6" s="363" t="s">
        <v>2895</v>
      </c>
      <c r="N6" s="492" t="s">
        <v>2896</v>
      </c>
      <c r="O6" s="29" t="s">
        <v>63</v>
      </c>
      <c r="P6" s="495" t="s">
        <v>2902</v>
      </c>
      <c r="Q6" s="484" t="s">
        <v>2877</v>
      </c>
      <c r="R6" s="483" t="s">
        <v>66</v>
      </c>
      <c r="S6" s="483" t="s">
        <v>152</v>
      </c>
      <c r="T6" s="483" t="s">
        <v>2692</v>
      </c>
      <c r="U6" s="481"/>
      <c r="V6" s="481"/>
      <c r="W6" s="481"/>
      <c r="X6" s="481"/>
      <c r="Y6" s="481"/>
      <c r="Z6" s="481"/>
      <c r="AA6" s="481"/>
      <c r="AB6" s="481"/>
    </row>
    <row r="7" ht="46.5" customHeight="1">
      <c r="A7" s="433">
        <v>2024.0</v>
      </c>
      <c r="B7" s="453" t="s">
        <v>625</v>
      </c>
      <c r="C7" s="496" t="s">
        <v>2868</v>
      </c>
      <c r="D7" s="203">
        <v>6.0</v>
      </c>
      <c r="E7" s="497">
        <v>45545.0</v>
      </c>
      <c r="F7" s="437" t="s">
        <v>57</v>
      </c>
      <c r="G7" s="491" t="s">
        <v>259</v>
      </c>
      <c r="H7" s="203" t="s">
        <v>2903</v>
      </c>
      <c r="I7" s="203" t="s">
        <v>2904</v>
      </c>
      <c r="J7" s="483" t="s">
        <v>2871</v>
      </c>
      <c r="K7" s="492" t="s">
        <v>2905</v>
      </c>
      <c r="L7" s="492" t="s">
        <v>2906</v>
      </c>
      <c r="M7" s="498" t="s">
        <v>2907</v>
      </c>
      <c r="N7" s="492" t="s">
        <v>2896</v>
      </c>
      <c r="O7" s="29" t="s">
        <v>63</v>
      </c>
      <c r="P7" s="499" t="s">
        <v>2908</v>
      </c>
      <c r="Q7" s="492" t="s">
        <v>2909</v>
      </c>
      <c r="R7" s="483" t="s">
        <v>66</v>
      </c>
      <c r="S7" s="483" t="s">
        <v>80</v>
      </c>
      <c r="T7" s="483" t="s">
        <v>2692</v>
      </c>
      <c r="U7" s="481"/>
      <c r="V7" s="481"/>
      <c r="W7" s="481"/>
      <c r="X7" s="481"/>
      <c r="Y7" s="481"/>
      <c r="Z7" s="481"/>
      <c r="AA7" s="481"/>
      <c r="AB7" s="481"/>
    </row>
    <row r="8" ht="46.5" customHeight="1">
      <c r="A8" s="433">
        <v>2024.0</v>
      </c>
      <c r="B8" s="453" t="s">
        <v>910</v>
      </c>
      <c r="C8" s="496" t="s">
        <v>2868</v>
      </c>
      <c r="D8" s="203">
        <v>7.0</v>
      </c>
      <c r="E8" s="497">
        <v>45629.0</v>
      </c>
      <c r="F8" s="437" t="s">
        <v>57</v>
      </c>
      <c r="G8" s="491" t="s">
        <v>358</v>
      </c>
      <c r="H8" s="203" t="s">
        <v>2910</v>
      </c>
      <c r="I8" s="203" t="s">
        <v>2911</v>
      </c>
      <c r="J8" s="483" t="s">
        <v>2871</v>
      </c>
      <c r="K8" s="492" t="s">
        <v>2905</v>
      </c>
      <c r="L8" s="484" t="s">
        <v>2873</v>
      </c>
      <c r="M8" s="302" t="s">
        <v>2912</v>
      </c>
      <c r="N8" s="492" t="s">
        <v>2896</v>
      </c>
      <c r="O8" s="29" t="s">
        <v>63</v>
      </c>
      <c r="P8" s="499" t="s">
        <v>2913</v>
      </c>
      <c r="Q8" s="484" t="s">
        <v>2877</v>
      </c>
      <c r="R8" s="483" t="s">
        <v>66</v>
      </c>
      <c r="S8" s="483" t="s">
        <v>80</v>
      </c>
      <c r="T8" s="483" t="s">
        <v>2692</v>
      </c>
      <c r="U8" s="481"/>
      <c r="V8" s="481"/>
      <c r="W8" s="481"/>
      <c r="X8" s="481"/>
      <c r="Y8" s="481"/>
      <c r="Z8" s="481"/>
      <c r="AA8" s="481"/>
      <c r="AB8" s="481"/>
    </row>
  </sheetData>
  <dataValidations>
    <dataValidation type="list" allowBlank="1" showErrorMessage="1" sqref="G2:G8">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J2:J8">
      <formula1>"Positiva,Positiva con modificaciones,Negativa,N/A"</formula1>
    </dataValidation>
    <dataValidation type="list" allowBlank="1" showErrorMessage="1" sqref="S2:S8">
      <formula1>"Alexandra García,Angie Benitez,Angie Serrano,Fernando Zamora,Jairo Jaramillo,Julian Scarpetta,Katherine Galindo,Maicol Quiroga,Otro,N/A"</formula1>
    </dataValidation>
    <dataValidation type="list" allowBlank="1" showErrorMessage="1" sqref="B2:B8">
      <formula1>"Enero,Febrero,Marzo,Abril,Mayo,Junio,Julio,Agosto,N/A,Septiembre,Octubre,Noviembre ,Diciembre"</formula1>
    </dataValidation>
    <dataValidation type="list" allowBlank="1" showErrorMessage="1" sqref="R2:R8">
      <formula1>"Asesor,Edil,N/A"</formula1>
    </dataValidation>
    <dataValidation type="list" allowBlank="1" showErrorMessage="1" sqref="O2:O8">
      <formula1>"Libertad religiosa,Movilidad,Niñez,Servicios públicos,Tramites"</formula1>
    </dataValidation>
    <dataValidation type="list" allowBlank="1" showErrorMessage="1" sqref="T2:T8">
      <formula1>"Adultos mayores,Ciclistas,Comerciantes,Comunidad lgbti+,Conductores,Conductores de carga  pesada,Conductores de vehículos hibridos y eléctricos,Deportistas,Discapacidad,Habitantes de calle,Hermanos de la Iglesia,Jóvenes,Mascotas,Mujeres,Niños,Recicladores"&amp;",Sector interreligioso,Turistas,Vendedores informales,Victimas y o desplazados,Otro,No aplica"</formula1>
    </dataValidation>
    <dataValidation type="list" allowBlank="1" sqref="A2:A8">
      <formula1>"2024,2025,2026,2027 "</formula1>
    </dataValidation>
    <dataValidation type="list" allowBlank="1" showErrorMessage="1" sqref="C2:C8">
      <formula1>"Desarchivo,Ponencia,Ratificación,N/A"</formula1>
    </dataValidation>
  </dataValidations>
  <hyperlinks>
    <hyperlink r:id="rId1" ref="P2"/>
    <hyperlink r:id="rId2" ref="P3"/>
    <hyperlink r:id="rId3" ref="P4"/>
    <hyperlink r:id="rId4" ref="P5"/>
    <hyperlink r:id="rId5" ref="P6"/>
    <hyperlink r:id="rId6" ref="P7"/>
    <hyperlink r:id="rId7" ref="P8"/>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5" max="6" width="19.13"/>
    <col customWidth="1" min="7" max="7" width="19.0"/>
    <col customWidth="1" min="8" max="8" width="16.75"/>
    <col customWidth="1" min="9" max="9" width="44.5"/>
    <col customWidth="1" min="10" max="10" width="48.88"/>
    <col customWidth="1" min="11" max="11" width="39.75"/>
    <col customWidth="1" min="12" max="12" width="15.88"/>
    <col customWidth="1" min="13" max="13" width="22.13"/>
    <col customWidth="1" min="15" max="16" width="16.0"/>
    <col customWidth="1" min="17" max="17" width="15.25"/>
  </cols>
  <sheetData>
    <row r="1" ht="59.25" customHeight="1">
      <c r="A1" s="461" t="s">
        <v>1140</v>
      </c>
      <c r="B1" s="260" t="s">
        <v>1141</v>
      </c>
      <c r="C1" s="431" t="s">
        <v>2678</v>
      </c>
      <c r="D1" s="18" t="s">
        <v>1726</v>
      </c>
      <c r="E1" s="18" t="s">
        <v>1145</v>
      </c>
      <c r="F1" s="18" t="s">
        <v>2680</v>
      </c>
      <c r="G1" s="18" t="s">
        <v>2681</v>
      </c>
      <c r="H1" s="18" t="s">
        <v>2682</v>
      </c>
      <c r="I1" s="18" t="s">
        <v>24</v>
      </c>
      <c r="J1" s="18" t="s">
        <v>2683</v>
      </c>
      <c r="K1" s="18" t="s">
        <v>2684</v>
      </c>
      <c r="L1" s="18" t="s">
        <v>37</v>
      </c>
      <c r="M1" s="431" t="s">
        <v>2685</v>
      </c>
      <c r="N1" s="18" t="s">
        <v>2686</v>
      </c>
      <c r="O1" s="431" t="s">
        <v>1151</v>
      </c>
      <c r="P1" s="431" t="s">
        <v>47</v>
      </c>
      <c r="Q1" s="431" t="s">
        <v>2687</v>
      </c>
      <c r="R1" s="432"/>
      <c r="S1" s="432"/>
      <c r="T1" s="432"/>
      <c r="U1" s="432"/>
      <c r="V1" s="432"/>
      <c r="W1" s="432"/>
      <c r="X1" s="432"/>
      <c r="Y1" s="432"/>
      <c r="Z1" s="432"/>
      <c r="AA1" s="432"/>
      <c r="AB1" s="432"/>
      <c r="AC1" s="432"/>
      <c r="AD1" s="432"/>
      <c r="AE1" s="432"/>
    </row>
    <row r="2" ht="90.75" customHeight="1">
      <c r="A2" s="49">
        <v>2024.0</v>
      </c>
      <c r="B2" s="41" t="s">
        <v>312</v>
      </c>
      <c r="C2" s="500" t="s">
        <v>2775</v>
      </c>
      <c r="D2" s="501">
        <v>45434.0</v>
      </c>
      <c r="E2" s="29" t="s">
        <v>222</v>
      </c>
      <c r="F2" s="49" t="s">
        <v>2914</v>
      </c>
      <c r="G2" s="54" t="s">
        <v>2915</v>
      </c>
      <c r="H2" s="49" t="s">
        <v>2916</v>
      </c>
      <c r="I2" s="49" t="s">
        <v>2917</v>
      </c>
      <c r="J2" s="54" t="s">
        <v>2918</v>
      </c>
      <c r="K2" s="54" t="s">
        <v>2919</v>
      </c>
      <c r="L2" s="29" t="s">
        <v>128</v>
      </c>
      <c r="M2" s="502" t="s">
        <v>2920</v>
      </c>
      <c r="N2" s="54" t="s">
        <v>2921</v>
      </c>
      <c r="O2" s="29" t="s">
        <v>66</v>
      </c>
      <c r="P2" s="29" t="s">
        <v>152</v>
      </c>
      <c r="Q2" s="114" t="s">
        <v>2778</v>
      </c>
      <c r="R2" s="432"/>
      <c r="S2" s="432"/>
      <c r="T2" s="432"/>
      <c r="U2" s="432"/>
      <c r="V2" s="432"/>
      <c r="W2" s="432"/>
      <c r="X2" s="432"/>
      <c r="Y2" s="432"/>
      <c r="Z2" s="432"/>
      <c r="AA2" s="432"/>
      <c r="AB2" s="432"/>
      <c r="AC2" s="432"/>
      <c r="AD2" s="432"/>
      <c r="AE2" s="432"/>
    </row>
    <row r="3" ht="54.0" customHeight="1">
      <c r="A3" s="433">
        <v>2024.0</v>
      </c>
      <c r="B3" s="433" t="s">
        <v>625</v>
      </c>
      <c r="C3" s="503" t="s">
        <v>2775</v>
      </c>
      <c r="D3" s="455">
        <v>45548.0</v>
      </c>
      <c r="E3" s="453" t="s">
        <v>154</v>
      </c>
      <c r="F3" s="433" t="s">
        <v>2922</v>
      </c>
      <c r="G3" s="433" t="s">
        <v>2923</v>
      </c>
      <c r="H3" s="433" t="s">
        <v>2916</v>
      </c>
      <c r="I3" s="433" t="s">
        <v>2924</v>
      </c>
      <c r="J3" s="433" t="s">
        <v>2925</v>
      </c>
      <c r="K3" s="433" t="s">
        <v>2926</v>
      </c>
      <c r="L3" s="453" t="s">
        <v>154</v>
      </c>
      <c r="M3" s="504" t="s">
        <v>2927</v>
      </c>
      <c r="N3" s="433" t="s">
        <v>2817</v>
      </c>
      <c r="O3" s="453" t="s">
        <v>66</v>
      </c>
      <c r="P3" s="453" t="s">
        <v>80</v>
      </c>
      <c r="Q3" s="453" t="s">
        <v>2692</v>
      </c>
      <c r="R3" s="432"/>
      <c r="S3" s="432"/>
      <c r="T3" s="432"/>
      <c r="U3" s="432"/>
      <c r="V3" s="432"/>
      <c r="W3" s="432"/>
      <c r="X3" s="432"/>
      <c r="Y3" s="432"/>
      <c r="Z3" s="432"/>
      <c r="AA3" s="432"/>
      <c r="AB3" s="432"/>
      <c r="AC3" s="432"/>
      <c r="AD3" s="432"/>
      <c r="AE3" s="432"/>
    </row>
    <row r="4">
      <c r="A4" s="433">
        <v>2025.0</v>
      </c>
      <c r="B4" s="433" t="s">
        <v>54</v>
      </c>
      <c r="C4" s="503" t="s">
        <v>2775</v>
      </c>
      <c r="D4" s="455">
        <v>45678.0</v>
      </c>
      <c r="E4" s="453" t="s">
        <v>1018</v>
      </c>
      <c r="F4" s="433" t="s">
        <v>2928</v>
      </c>
      <c r="G4" s="433" t="s">
        <v>2929</v>
      </c>
      <c r="H4" s="433" t="s">
        <v>2916</v>
      </c>
      <c r="I4" s="433" t="s">
        <v>2930</v>
      </c>
      <c r="J4" s="433" t="s">
        <v>2931</v>
      </c>
      <c r="K4" s="505"/>
      <c r="L4" s="453" t="s">
        <v>128</v>
      </c>
      <c r="M4" s="504" t="s">
        <v>2932</v>
      </c>
      <c r="N4" s="453" t="s">
        <v>1018</v>
      </c>
      <c r="O4" s="453" t="s">
        <v>66</v>
      </c>
      <c r="P4" s="453" t="s">
        <v>57</v>
      </c>
      <c r="Q4" s="453" t="s">
        <v>2778</v>
      </c>
      <c r="R4" s="432"/>
      <c r="S4" s="432"/>
      <c r="T4" s="432"/>
      <c r="U4" s="432"/>
      <c r="V4" s="432"/>
      <c r="W4" s="432"/>
      <c r="X4" s="432"/>
      <c r="Y4" s="432"/>
      <c r="Z4" s="432"/>
      <c r="AA4" s="432"/>
      <c r="AB4" s="432"/>
      <c r="AC4" s="432"/>
      <c r="AD4" s="432"/>
      <c r="AE4" s="432"/>
    </row>
    <row r="5">
      <c r="A5" s="432"/>
      <c r="B5" s="432"/>
      <c r="C5" s="432"/>
      <c r="D5" s="432"/>
      <c r="E5" s="432"/>
      <c r="F5" s="432"/>
      <c r="G5" s="432"/>
      <c r="H5" s="432"/>
      <c r="I5" s="432"/>
      <c r="J5" s="432"/>
      <c r="K5" s="432"/>
      <c r="L5" s="432"/>
      <c r="M5" s="432"/>
      <c r="N5" s="432"/>
      <c r="O5" s="432"/>
      <c r="P5" s="432"/>
      <c r="Q5" s="432"/>
      <c r="R5" s="432"/>
      <c r="S5" s="432"/>
      <c r="T5" s="432"/>
      <c r="U5" s="432"/>
      <c r="V5" s="432"/>
      <c r="W5" s="432"/>
      <c r="X5" s="432"/>
      <c r="Y5" s="432"/>
      <c r="Z5" s="432"/>
      <c r="AA5" s="432"/>
      <c r="AB5" s="432"/>
      <c r="AC5" s="432"/>
      <c r="AD5" s="432"/>
      <c r="AE5" s="432"/>
    </row>
    <row r="6">
      <c r="A6" s="432"/>
      <c r="B6" s="432"/>
      <c r="C6" s="432"/>
      <c r="D6" s="432"/>
      <c r="E6" s="432"/>
      <c r="F6" s="432"/>
      <c r="G6" s="432"/>
      <c r="H6" s="432"/>
      <c r="I6" s="432"/>
      <c r="J6" s="432"/>
      <c r="K6" s="432"/>
      <c r="L6" s="432"/>
      <c r="M6" s="432"/>
      <c r="N6" s="432"/>
      <c r="O6" s="432"/>
      <c r="P6" s="432"/>
      <c r="Q6" s="432"/>
      <c r="R6" s="432"/>
      <c r="S6" s="432"/>
      <c r="T6" s="432"/>
      <c r="U6" s="432"/>
      <c r="V6" s="432"/>
      <c r="W6" s="432"/>
      <c r="X6" s="432"/>
      <c r="Y6" s="432"/>
      <c r="Z6" s="432"/>
      <c r="AA6" s="432"/>
      <c r="AB6" s="432"/>
      <c r="AC6" s="432"/>
      <c r="AD6" s="432"/>
      <c r="AE6" s="432"/>
    </row>
    <row r="7">
      <c r="A7" s="432"/>
      <c r="B7" s="432"/>
      <c r="C7" s="432"/>
      <c r="D7" s="432"/>
      <c r="E7" s="432"/>
      <c r="F7" s="432"/>
      <c r="G7" s="432"/>
      <c r="H7" s="432"/>
      <c r="I7" s="432"/>
      <c r="J7" s="432"/>
      <c r="K7" s="432"/>
      <c r="L7" s="432"/>
      <c r="M7" s="432"/>
      <c r="N7" s="432"/>
      <c r="O7" s="432"/>
      <c r="P7" s="432"/>
      <c r="Q7" s="432"/>
      <c r="R7" s="432"/>
      <c r="S7" s="432"/>
      <c r="T7" s="432"/>
      <c r="U7" s="432"/>
      <c r="V7" s="432"/>
      <c r="W7" s="432"/>
      <c r="X7" s="432"/>
      <c r="Y7" s="432"/>
      <c r="Z7" s="432"/>
      <c r="AA7" s="432"/>
      <c r="AB7" s="432"/>
      <c r="AC7" s="432"/>
      <c r="AD7" s="432"/>
      <c r="AE7" s="432"/>
    </row>
    <row r="8">
      <c r="A8" s="432"/>
      <c r="B8" s="432"/>
      <c r="C8" s="432"/>
      <c r="D8" s="432"/>
      <c r="E8" s="432"/>
      <c r="F8" s="432"/>
      <c r="G8" s="432"/>
      <c r="H8" s="432"/>
      <c r="I8" s="432"/>
      <c r="J8" s="432"/>
      <c r="K8" s="432"/>
      <c r="L8" s="432"/>
      <c r="M8" s="432"/>
      <c r="N8" s="432"/>
      <c r="O8" s="432"/>
      <c r="P8" s="432"/>
      <c r="Q8" s="432"/>
      <c r="R8" s="432"/>
      <c r="S8" s="432"/>
      <c r="T8" s="432"/>
      <c r="U8" s="432"/>
      <c r="V8" s="432"/>
      <c r="W8" s="432"/>
      <c r="X8" s="432"/>
      <c r="Y8" s="432"/>
      <c r="Z8" s="432"/>
      <c r="AA8" s="432"/>
      <c r="AB8" s="432"/>
      <c r="AC8" s="432"/>
      <c r="AD8" s="432"/>
      <c r="AE8" s="432"/>
    </row>
    <row r="9">
      <c r="A9" s="432"/>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row>
    <row r="10">
      <c r="A10" s="432"/>
      <c r="B10" s="432"/>
      <c r="C10" s="432"/>
      <c r="D10" s="432"/>
      <c r="E10" s="432"/>
      <c r="F10" s="432"/>
      <c r="G10" s="432"/>
      <c r="H10" s="432"/>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row>
    <row r="11">
      <c r="A11" s="432"/>
      <c r="B11" s="432"/>
      <c r="C11" s="432"/>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row>
    <row r="12">
      <c r="A12" s="432"/>
      <c r="B12" s="432"/>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row>
    <row r="13">
      <c r="A13" s="432"/>
      <c r="B13" s="432"/>
      <c r="C13" s="432"/>
      <c r="D13" s="432"/>
      <c r="E13" s="432"/>
      <c r="F13" s="432"/>
      <c r="G13" s="432"/>
      <c r="H13" s="432"/>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row>
    <row r="14">
      <c r="A14" s="432"/>
      <c r="B14" s="432"/>
      <c r="C14" s="432"/>
      <c r="D14" s="432"/>
      <c r="E14" s="432"/>
      <c r="F14" s="432"/>
      <c r="G14" s="432"/>
      <c r="H14" s="432"/>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row>
    <row r="15">
      <c r="A15" s="432"/>
      <c r="B15" s="432"/>
      <c r="C15" s="432"/>
      <c r="D15" s="432"/>
      <c r="E15" s="432"/>
      <c r="F15" s="432"/>
      <c r="G15" s="432"/>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row>
    <row r="16">
      <c r="A16" s="432"/>
      <c r="B16" s="432"/>
      <c r="C16" s="432"/>
      <c r="D16" s="432"/>
      <c r="E16" s="432"/>
      <c r="F16" s="432"/>
      <c r="G16" s="432"/>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row>
    <row r="17">
      <c r="A17" s="432"/>
      <c r="B17" s="432"/>
      <c r="C17" s="432"/>
      <c r="D17" s="432"/>
      <c r="E17" s="432"/>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row>
    <row r="18">
      <c r="A18" s="432"/>
      <c r="B18" s="432"/>
      <c r="C18" s="432"/>
      <c r="D18" s="432"/>
      <c r="E18" s="432"/>
      <c r="F18" s="432"/>
      <c r="G18" s="432"/>
      <c r="H18" s="432"/>
      <c r="I18" s="432"/>
      <c r="J18" s="432"/>
      <c r="K18" s="432"/>
      <c r="L18" s="432"/>
      <c r="M18" s="432"/>
      <c r="N18" s="432"/>
      <c r="O18" s="432"/>
      <c r="P18" s="432"/>
      <c r="Q18" s="432"/>
      <c r="R18" s="432"/>
      <c r="S18" s="432"/>
      <c r="T18" s="432"/>
      <c r="U18" s="432"/>
      <c r="V18" s="432"/>
      <c r="W18" s="432"/>
      <c r="X18" s="432"/>
      <c r="Y18" s="432"/>
      <c r="Z18" s="432"/>
      <c r="AA18" s="432"/>
      <c r="AB18" s="432"/>
      <c r="AC18" s="432"/>
      <c r="AD18" s="432"/>
      <c r="AE18" s="432"/>
    </row>
    <row r="19">
      <c r="A19" s="432"/>
      <c r="B19" s="432"/>
      <c r="C19" s="432"/>
      <c r="D19" s="432"/>
      <c r="E19" s="432"/>
      <c r="F19" s="432"/>
      <c r="G19" s="432"/>
      <c r="H19" s="432"/>
      <c r="I19" s="432"/>
      <c r="J19" s="432"/>
      <c r="K19" s="432"/>
      <c r="L19" s="432"/>
      <c r="M19" s="432"/>
      <c r="N19" s="432"/>
      <c r="O19" s="432"/>
      <c r="P19" s="432"/>
      <c r="Q19" s="432"/>
      <c r="R19" s="432"/>
      <c r="S19" s="432"/>
      <c r="T19" s="432"/>
      <c r="U19" s="432"/>
      <c r="V19" s="432"/>
      <c r="W19" s="432"/>
      <c r="X19" s="432"/>
      <c r="Y19" s="432"/>
      <c r="Z19" s="432"/>
      <c r="AA19" s="432"/>
      <c r="AB19" s="432"/>
      <c r="AC19" s="432"/>
      <c r="AD19" s="432"/>
      <c r="AE19" s="432"/>
    </row>
    <row r="20">
      <c r="A20" s="432"/>
      <c r="B20" s="432"/>
      <c r="C20" s="432"/>
      <c r="D20" s="432"/>
      <c r="E20" s="432"/>
      <c r="F20" s="432"/>
      <c r="G20" s="432"/>
      <c r="H20" s="432"/>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row>
    <row r="21">
      <c r="A21" s="432"/>
      <c r="B21" s="432"/>
      <c r="C21" s="432"/>
      <c r="D21" s="432"/>
      <c r="E21" s="432"/>
      <c r="F21" s="432"/>
      <c r="G21" s="432"/>
      <c r="H21" s="432"/>
      <c r="I21" s="432"/>
      <c r="J21" s="432"/>
      <c r="K21" s="432"/>
      <c r="L21" s="432"/>
      <c r="M21" s="432"/>
      <c r="N21" s="432"/>
      <c r="O21" s="432"/>
      <c r="P21" s="432"/>
      <c r="Q21" s="432"/>
      <c r="R21" s="432"/>
      <c r="S21" s="432"/>
      <c r="T21" s="432"/>
      <c r="U21" s="432"/>
      <c r="V21" s="432"/>
      <c r="W21" s="432"/>
      <c r="X21" s="432"/>
      <c r="Y21" s="432"/>
      <c r="Z21" s="432"/>
      <c r="AA21" s="432"/>
      <c r="AB21" s="432"/>
      <c r="AC21" s="432"/>
      <c r="AD21" s="432"/>
      <c r="AE21" s="432"/>
    </row>
    <row r="22">
      <c r="A22" s="432"/>
      <c r="B22" s="432"/>
      <c r="C22" s="432"/>
      <c r="D22" s="432"/>
      <c r="E22" s="432"/>
      <c r="F22" s="432"/>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row>
    <row r="23">
      <c r="A23" s="432"/>
      <c r="B23" s="432"/>
      <c r="C23" s="432"/>
      <c r="D23" s="432"/>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row>
    <row r="24">
      <c r="A24" s="432"/>
      <c r="B24" s="432"/>
      <c r="C24" s="432"/>
      <c r="D24" s="432"/>
      <c r="E24" s="432"/>
      <c r="F24" s="432"/>
      <c r="G24" s="432"/>
      <c r="H24" s="432"/>
      <c r="I24" s="432"/>
      <c r="J24" s="432"/>
      <c r="K24" s="432"/>
      <c r="L24" s="432"/>
      <c r="M24" s="432"/>
      <c r="N24" s="432"/>
      <c r="O24" s="432"/>
      <c r="P24" s="432"/>
      <c r="Q24" s="432"/>
      <c r="R24" s="432"/>
      <c r="S24" s="432"/>
      <c r="T24" s="432"/>
      <c r="U24" s="432"/>
      <c r="V24" s="432"/>
      <c r="W24" s="432"/>
      <c r="X24" s="432"/>
      <c r="Y24" s="432"/>
      <c r="Z24" s="432"/>
      <c r="AA24" s="432"/>
      <c r="AB24" s="432"/>
      <c r="AC24" s="432"/>
      <c r="AD24" s="432"/>
      <c r="AE24" s="432"/>
    </row>
    <row r="25">
      <c r="A25" s="432"/>
      <c r="B25" s="432"/>
      <c r="C25" s="432"/>
      <c r="D25" s="432"/>
      <c r="E25" s="432"/>
      <c r="F25" s="432"/>
      <c r="G25" s="432"/>
      <c r="H25" s="432"/>
      <c r="I25" s="432"/>
      <c r="J25" s="432"/>
      <c r="K25" s="432"/>
      <c r="L25" s="432"/>
      <c r="M25" s="432"/>
      <c r="N25" s="432"/>
      <c r="O25" s="432"/>
      <c r="P25" s="432"/>
      <c r="Q25" s="432"/>
      <c r="R25" s="432"/>
      <c r="S25" s="432"/>
      <c r="T25" s="432"/>
      <c r="U25" s="432"/>
      <c r="V25" s="432"/>
      <c r="W25" s="432"/>
      <c r="X25" s="432"/>
      <c r="Y25" s="432"/>
      <c r="Z25" s="432"/>
      <c r="AA25" s="432"/>
      <c r="AB25" s="432"/>
      <c r="AC25" s="432"/>
      <c r="AD25" s="432"/>
      <c r="AE25" s="432"/>
    </row>
    <row r="26">
      <c r="A26" s="432"/>
      <c r="B26" s="432"/>
      <c r="C26" s="432"/>
      <c r="D26" s="432"/>
      <c r="E26" s="432"/>
      <c r="F26" s="432"/>
      <c r="G26" s="432"/>
      <c r="H26" s="432"/>
      <c r="I26" s="432"/>
      <c r="J26" s="432"/>
      <c r="K26" s="432"/>
      <c r="L26" s="432"/>
      <c r="M26" s="432"/>
      <c r="N26" s="432"/>
      <c r="O26" s="432"/>
      <c r="P26" s="432"/>
      <c r="Q26" s="432"/>
      <c r="R26" s="432"/>
      <c r="S26" s="432"/>
      <c r="T26" s="432"/>
      <c r="U26" s="432"/>
      <c r="V26" s="432"/>
      <c r="W26" s="432"/>
      <c r="X26" s="432"/>
      <c r="Y26" s="432"/>
      <c r="Z26" s="432"/>
      <c r="AA26" s="432"/>
      <c r="AB26" s="432"/>
      <c r="AC26" s="432"/>
      <c r="AD26" s="432"/>
      <c r="AE26" s="432"/>
    </row>
    <row r="27">
      <c r="A27" s="432"/>
      <c r="B27" s="432"/>
      <c r="C27" s="432"/>
      <c r="D27" s="432"/>
      <c r="E27" s="432"/>
      <c r="F27" s="432"/>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row>
    <row r="28">
      <c r="A28" s="432"/>
      <c r="B28" s="432"/>
      <c r="C28" s="432"/>
      <c r="D28" s="432"/>
      <c r="E28" s="432"/>
      <c r="F28" s="432"/>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row>
    <row r="29">
      <c r="A29" s="432"/>
      <c r="B29" s="432"/>
      <c r="C29" s="432"/>
      <c r="D29" s="432"/>
      <c r="E29" s="432"/>
      <c r="F29" s="432"/>
      <c r="G29" s="432"/>
      <c r="H29" s="432"/>
      <c r="I29" s="432"/>
      <c r="J29" s="432"/>
      <c r="K29" s="432"/>
      <c r="L29" s="432"/>
      <c r="M29" s="432"/>
      <c r="N29" s="432"/>
      <c r="O29" s="432"/>
      <c r="P29" s="432"/>
      <c r="Q29" s="432"/>
      <c r="R29" s="432"/>
      <c r="S29" s="432"/>
      <c r="T29" s="432"/>
      <c r="U29" s="432"/>
      <c r="V29" s="432"/>
      <c r="W29" s="432"/>
      <c r="X29" s="432"/>
      <c r="Y29" s="432"/>
      <c r="Z29" s="432"/>
      <c r="AA29" s="432"/>
      <c r="AB29" s="432"/>
      <c r="AC29" s="432"/>
      <c r="AD29" s="432"/>
      <c r="AE29" s="432"/>
    </row>
    <row r="30">
      <c r="A30" s="432"/>
      <c r="B30" s="432"/>
      <c r="C30" s="432"/>
      <c r="D30" s="432"/>
      <c r="E30" s="432"/>
      <c r="F30" s="432"/>
      <c r="G30" s="432"/>
      <c r="H30" s="432"/>
      <c r="I30" s="432"/>
      <c r="J30" s="432"/>
      <c r="K30" s="432"/>
      <c r="L30" s="432"/>
      <c r="M30" s="432"/>
      <c r="N30" s="432"/>
      <c r="O30" s="432"/>
      <c r="P30" s="432"/>
      <c r="Q30" s="432"/>
      <c r="R30" s="432"/>
      <c r="S30" s="432"/>
      <c r="T30" s="432"/>
      <c r="U30" s="432"/>
      <c r="V30" s="432"/>
      <c r="W30" s="432"/>
      <c r="X30" s="432"/>
      <c r="Y30" s="432"/>
      <c r="Z30" s="432"/>
      <c r="AA30" s="432"/>
      <c r="AB30" s="432"/>
      <c r="AC30" s="432"/>
      <c r="AD30" s="432"/>
      <c r="AE30" s="432"/>
    </row>
    <row r="31">
      <c r="A31" s="432"/>
      <c r="B31" s="432"/>
      <c r="C31" s="432"/>
      <c r="D31" s="432"/>
      <c r="E31" s="432"/>
      <c r="F31" s="432"/>
      <c r="G31" s="432"/>
      <c r="H31" s="432"/>
      <c r="I31" s="432"/>
      <c r="J31" s="432"/>
      <c r="K31" s="432"/>
      <c r="L31" s="432"/>
      <c r="M31" s="432"/>
      <c r="N31" s="432"/>
      <c r="O31" s="432"/>
      <c r="P31" s="432"/>
      <c r="Q31" s="432"/>
      <c r="R31" s="432"/>
      <c r="S31" s="432"/>
      <c r="T31" s="432"/>
      <c r="U31" s="432"/>
      <c r="V31" s="432"/>
      <c r="W31" s="432"/>
      <c r="X31" s="432"/>
      <c r="Y31" s="432"/>
      <c r="Z31" s="432"/>
      <c r="AA31" s="432"/>
      <c r="AB31" s="432"/>
      <c r="AC31" s="432"/>
      <c r="AD31" s="432"/>
      <c r="AE31" s="432"/>
    </row>
    <row r="32">
      <c r="A32" s="432"/>
      <c r="B32" s="432"/>
      <c r="C32" s="432"/>
      <c r="D32" s="432"/>
      <c r="E32" s="432"/>
      <c r="F32" s="432"/>
      <c r="G32" s="432"/>
      <c r="H32" s="432"/>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row>
    <row r="33">
      <c r="A33" s="432"/>
      <c r="B33" s="432"/>
      <c r="C33" s="432"/>
      <c r="D33" s="432"/>
      <c r="E33" s="432"/>
      <c r="F33" s="432"/>
      <c r="G33" s="432"/>
      <c r="H33" s="432"/>
      <c r="I33" s="432"/>
      <c r="J33" s="432"/>
      <c r="K33" s="432"/>
      <c r="L33" s="432"/>
      <c r="M33" s="432"/>
      <c r="N33" s="432"/>
      <c r="O33" s="432"/>
      <c r="P33" s="432"/>
      <c r="Q33" s="432"/>
      <c r="R33" s="432"/>
      <c r="S33" s="432"/>
      <c r="T33" s="432"/>
      <c r="U33" s="432"/>
      <c r="V33" s="432"/>
      <c r="W33" s="432"/>
      <c r="X33" s="432"/>
      <c r="Y33" s="432"/>
      <c r="Z33" s="432"/>
      <c r="AA33" s="432"/>
      <c r="AB33" s="432"/>
      <c r="AC33" s="432"/>
      <c r="AD33" s="432"/>
      <c r="AE33" s="432"/>
    </row>
    <row r="34">
      <c r="A34" s="432"/>
      <c r="B34" s="432"/>
      <c r="C34" s="432"/>
      <c r="D34" s="432"/>
      <c r="E34" s="432"/>
      <c r="F34" s="432"/>
      <c r="G34" s="432"/>
      <c r="H34" s="432"/>
      <c r="I34" s="432"/>
      <c r="J34" s="432"/>
      <c r="K34" s="432"/>
      <c r="L34" s="432"/>
      <c r="M34" s="432"/>
      <c r="N34" s="432"/>
      <c r="O34" s="432"/>
      <c r="P34" s="432"/>
      <c r="Q34" s="432"/>
      <c r="R34" s="432"/>
      <c r="S34" s="432"/>
      <c r="T34" s="432"/>
      <c r="U34" s="432"/>
      <c r="V34" s="432"/>
      <c r="W34" s="432"/>
      <c r="X34" s="432"/>
      <c r="Y34" s="432"/>
      <c r="Z34" s="432"/>
      <c r="AA34" s="432"/>
      <c r="AB34" s="432"/>
      <c r="AC34" s="432"/>
      <c r="AD34" s="432"/>
      <c r="AE34" s="432"/>
    </row>
    <row r="35">
      <c r="A35" s="432"/>
      <c r="B35" s="432"/>
      <c r="C35" s="432"/>
      <c r="D35" s="432"/>
      <c r="E35" s="432"/>
      <c r="F35" s="432"/>
      <c r="G35" s="432"/>
      <c r="H35" s="432"/>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row>
    <row r="36">
      <c r="A36" s="432"/>
      <c r="B36" s="432"/>
      <c r="C36" s="432"/>
      <c r="D36" s="432"/>
      <c r="E36" s="432"/>
      <c r="F36" s="432"/>
      <c r="G36" s="432"/>
      <c r="H36" s="432"/>
      <c r="I36" s="432"/>
      <c r="J36" s="432"/>
      <c r="K36" s="432"/>
      <c r="L36" s="432"/>
      <c r="M36" s="432"/>
      <c r="N36" s="432"/>
      <c r="O36" s="432"/>
      <c r="P36" s="432"/>
      <c r="Q36" s="432"/>
      <c r="R36" s="432"/>
      <c r="S36" s="432"/>
      <c r="T36" s="432"/>
      <c r="U36" s="432"/>
      <c r="V36" s="432"/>
      <c r="W36" s="432"/>
      <c r="X36" s="432"/>
      <c r="Y36" s="432"/>
      <c r="Z36" s="432"/>
      <c r="AA36" s="432"/>
      <c r="AB36" s="432"/>
      <c r="AC36" s="432"/>
      <c r="AD36" s="432"/>
      <c r="AE36" s="432"/>
    </row>
    <row r="37">
      <c r="A37" s="432"/>
      <c r="B37" s="432"/>
      <c r="C37" s="432"/>
      <c r="D37" s="432"/>
      <c r="E37" s="432"/>
      <c r="F37" s="432"/>
      <c r="G37" s="432"/>
      <c r="H37" s="432"/>
      <c r="I37" s="432"/>
      <c r="J37" s="432"/>
      <c r="K37" s="432"/>
      <c r="L37" s="432"/>
      <c r="M37" s="432"/>
      <c r="N37" s="432"/>
      <c r="O37" s="432"/>
      <c r="P37" s="432"/>
      <c r="Q37" s="432"/>
      <c r="R37" s="432"/>
      <c r="S37" s="432"/>
      <c r="T37" s="432"/>
      <c r="U37" s="432"/>
      <c r="V37" s="432"/>
      <c r="W37" s="432"/>
      <c r="X37" s="432"/>
      <c r="Y37" s="432"/>
      <c r="Z37" s="432"/>
      <c r="AA37" s="432"/>
      <c r="AB37" s="432"/>
      <c r="AC37" s="432"/>
      <c r="AD37" s="432"/>
      <c r="AE37" s="432"/>
    </row>
    <row r="38">
      <c r="A38" s="432"/>
      <c r="B38" s="432"/>
      <c r="C38" s="432"/>
      <c r="D38" s="432"/>
      <c r="E38" s="432"/>
      <c r="F38" s="432"/>
      <c r="G38" s="432"/>
      <c r="H38" s="432"/>
      <c r="I38" s="432"/>
      <c r="J38" s="432"/>
      <c r="K38" s="432"/>
      <c r="L38" s="432"/>
      <c r="M38" s="432"/>
      <c r="N38" s="432"/>
      <c r="O38" s="432"/>
      <c r="P38" s="432"/>
      <c r="Q38" s="432"/>
      <c r="R38" s="432"/>
      <c r="S38" s="432"/>
      <c r="T38" s="432"/>
      <c r="U38" s="432"/>
      <c r="V38" s="432"/>
      <c r="W38" s="432"/>
      <c r="X38" s="432"/>
      <c r="Y38" s="432"/>
      <c r="Z38" s="432"/>
      <c r="AA38" s="432"/>
      <c r="AB38" s="432"/>
      <c r="AC38" s="432"/>
      <c r="AD38" s="432"/>
      <c r="AE38" s="432"/>
    </row>
    <row r="39">
      <c r="A39" s="432"/>
      <c r="B39" s="432"/>
      <c r="C39" s="432"/>
      <c r="D39" s="432"/>
      <c r="E39" s="432"/>
      <c r="F39" s="432"/>
      <c r="G39" s="432"/>
      <c r="H39" s="432"/>
      <c r="I39" s="432"/>
      <c r="J39" s="432"/>
      <c r="K39" s="432"/>
      <c r="L39" s="432"/>
      <c r="M39" s="432"/>
      <c r="N39" s="432"/>
      <c r="O39" s="432"/>
      <c r="P39" s="432"/>
      <c r="Q39" s="432"/>
      <c r="R39" s="432"/>
      <c r="S39" s="432"/>
      <c r="T39" s="432"/>
      <c r="U39" s="432"/>
      <c r="V39" s="432"/>
      <c r="W39" s="432"/>
      <c r="X39" s="432"/>
      <c r="Y39" s="432"/>
      <c r="Z39" s="432"/>
      <c r="AA39" s="432"/>
      <c r="AB39" s="432"/>
      <c r="AC39" s="432"/>
      <c r="AD39" s="432"/>
      <c r="AE39" s="432"/>
    </row>
    <row r="40">
      <c r="A40" s="432"/>
      <c r="B40" s="432"/>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2"/>
      <c r="AA40" s="432"/>
      <c r="AB40" s="432"/>
      <c r="AC40" s="432"/>
      <c r="AD40" s="432"/>
      <c r="AE40" s="432"/>
    </row>
    <row r="41">
      <c r="A41" s="432"/>
      <c r="B41" s="432"/>
      <c r="C41" s="432"/>
      <c r="D41" s="432"/>
      <c r="E41" s="432"/>
      <c r="F41" s="432"/>
      <c r="G41" s="432"/>
      <c r="H41" s="432"/>
      <c r="I41" s="432"/>
      <c r="J41" s="432"/>
      <c r="K41" s="432"/>
      <c r="L41" s="432"/>
      <c r="M41" s="432"/>
      <c r="N41" s="432"/>
      <c r="O41" s="432"/>
      <c r="P41" s="432"/>
      <c r="Q41" s="432"/>
      <c r="R41" s="432"/>
      <c r="S41" s="432"/>
      <c r="T41" s="432"/>
      <c r="U41" s="432"/>
      <c r="V41" s="432"/>
      <c r="W41" s="432"/>
      <c r="X41" s="432"/>
      <c r="Y41" s="432"/>
      <c r="Z41" s="432"/>
      <c r="AA41" s="432"/>
      <c r="AB41" s="432"/>
      <c r="AC41" s="432"/>
      <c r="AD41" s="432"/>
      <c r="AE41" s="432"/>
    </row>
    <row r="42">
      <c r="A42" s="432"/>
      <c r="B42" s="432"/>
      <c r="C42" s="432"/>
      <c r="D42" s="432"/>
      <c r="E42" s="432"/>
      <c r="F42" s="432"/>
      <c r="G42" s="432"/>
      <c r="H42" s="432"/>
      <c r="I42" s="432"/>
      <c r="J42" s="432"/>
      <c r="K42" s="432"/>
      <c r="L42" s="432"/>
      <c r="M42" s="432"/>
      <c r="N42" s="432"/>
      <c r="O42" s="432"/>
      <c r="P42" s="432"/>
      <c r="Q42" s="432"/>
      <c r="R42" s="432"/>
      <c r="S42" s="432"/>
      <c r="T42" s="432"/>
      <c r="U42" s="432"/>
      <c r="V42" s="432"/>
      <c r="W42" s="432"/>
      <c r="X42" s="432"/>
      <c r="Y42" s="432"/>
      <c r="Z42" s="432"/>
      <c r="AA42" s="432"/>
      <c r="AB42" s="432"/>
      <c r="AC42" s="432"/>
      <c r="AD42" s="432"/>
      <c r="AE42" s="432"/>
    </row>
    <row r="43">
      <c r="A43" s="432"/>
      <c r="B43" s="432"/>
      <c r="C43" s="432"/>
      <c r="D43" s="432"/>
      <c r="E43" s="432"/>
      <c r="F43" s="432"/>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row>
    <row r="44">
      <c r="A44" s="432"/>
      <c r="B44" s="432"/>
      <c r="C44" s="432"/>
      <c r="D44" s="432"/>
      <c r="E44" s="432"/>
      <c r="F44" s="432"/>
      <c r="G44" s="432"/>
      <c r="H44" s="432"/>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row>
    <row r="45">
      <c r="A45" s="432"/>
      <c r="B45" s="432"/>
      <c r="C45" s="432"/>
      <c r="D45" s="432"/>
      <c r="E45" s="432"/>
      <c r="F45" s="432"/>
      <c r="G45" s="432"/>
      <c r="H45" s="432"/>
      <c r="I45" s="432"/>
      <c r="J45" s="432"/>
      <c r="K45" s="432"/>
      <c r="L45" s="432"/>
      <c r="M45" s="432"/>
      <c r="N45" s="432"/>
      <c r="O45" s="432"/>
      <c r="P45" s="432"/>
      <c r="Q45" s="432"/>
      <c r="R45" s="432"/>
      <c r="S45" s="432"/>
      <c r="T45" s="432"/>
      <c r="U45" s="432"/>
      <c r="V45" s="432"/>
      <c r="W45" s="432"/>
      <c r="X45" s="432"/>
      <c r="Y45" s="432"/>
      <c r="Z45" s="432"/>
      <c r="AA45" s="432"/>
      <c r="AB45" s="432"/>
      <c r="AC45" s="432"/>
      <c r="AD45" s="432"/>
      <c r="AE45" s="432"/>
    </row>
    <row r="46">
      <c r="A46" s="432"/>
      <c r="B46" s="432"/>
      <c r="C46" s="432"/>
      <c r="D46" s="432"/>
      <c r="E46" s="432"/>
      <c r="F46" s="432"/>
      <c r="G46" s="432"/>
      <c r="H46" s="432"/>
      <c r="I46" s="432"/>
      <c r="J46" s="432"/>
      <c r="K46" s="432"/>
      <c r="L46" s="432"/>
      <c r="M46" s="432"/>
      <c r="N46" s="432"/>
      <c r="O46" s="432"/>
      <c r="P46" s="432"/>
      <c r="Q46" s="432"/>
      <c r="R46" s="432"/>
      <c r="S46" s="432"/>
      <c r="T46" s="432"/>
      <c r="U46" s="432"/>
      <c r="V46" s="432"/>
      <c r="W46" s="432"/>
      <c r="X46" s="432"/>
      <c r="Y46" s="432"/>
      <c r="Z46" s="432"/>
      <c r="AA46" s="432"/>
      <c r="AB46" s="432"/>
      <c r="AC46" s="432"/>
      <c r="AD46" s="432"/>
      <c r="AE46" s="432"/>
    </row>
    <row r="47">
      <c r="A47" s="432"/>
      <c r="B47" s="432"/>
      <c r="C47" s="432"/>
      <c r="D47" s="432"/>
      <c r="E47" s="432"/>
      <c r="F47" s="432"/>
      <c r="G47" s="432"/>
      <c r="H47" s="432"/>
      <c r="I47" s="432"/>
      <c r="J47" s="432"/>
      <c r="K47" s="432"/>
      <c r="L47" s="432"/>
      <c r="M47" s="432"/>
      <c r="N47" s="432"/>
      <c r="O47" s="432"/>
      <c r="P47" s="432"/>
      <c r="Q47" s="432"/>
      <c r="R47" s="432"/>
      <c r="S47" s="432"/>
      <c r="T47" s="432"/>
      <c r="U47" s="432"/>
      <c r="V47" s="432"/>
      <c r="W47" s="432"/>
      <c r="X47" s="432"/>
      <c r="Y47" s="432"/>
      <c r="Z47" s="432"/>
      <c r="AA47" s="432"/>
      <c r="AB47" s="432"/>
      <c r="AC47" s="432"/>
      <c r="AD47" s="432"/>
      <c r="AE47" s="432"/>
    </row>
    <row r="48">
      <c r="A48" s="432"/>
      <c r="B48" s="432"/>
      <c r="C48" s="432"/>
      <c r="D48" s="432"/>
      <c r="E48" s="432"/>
      <c r="F48" s="432"/>
      <c r="G48" s="432"/>
      <c r="H48" s="432"/>
      <c r="I48" s="432"/>
      <c r="J48" s="432"/>
      <c r="K48" s="432"/>
      <c r="L48" s="432"/>
      <c r="M48" s="432"/>
      <c r="N48" s="432"/>
      <c r="O48" s="432"/>
      <c r="P48" s="432"/>
      <c r="Q48" s="432"/>
      <c r="R48" s="432"/>
      <c r="S48" s="432"/>
      <c r="T48" s="432"/>
      <c r="U48" s="432"/>
      <c r="V48" s="432"/>
      <c r="W48" s="432"/>
      <c r="X48" s="432"/>
      <c r="Y48" s="432"/>
      <c r="Z48" s="432"/>
      <c r="AA48" s="432"/>
      <c r="AB48" s="432"/>
      <c r="AC48" s="432"/>
      <c r="AD48" s="432"/>
      <c r="AE48" s="432"/>
    </row>
    <row r="49">
      <c r="A49" s="432"/>
      <c r="B49" s="432"/>
      <c r="C49" s="432"/>
      <c r="D49" s="432"/>
      <c r="E49" s="432"/>
      <c r="F49" s="432"/>
      <c r="G49" s="432"/>
      <c r="H49" s="432"/>
      <c r="I49" s="432"/>
      <c r="J49" s="432"/>
      <c r="K49" s="432"/>
      <c r="L49" s="432"/>
      <c r="M49" s="432"/>
      <c r="N49" s="432"/>
      <c r="O49" s="432"/>
      <c r="P49" s="432"/>
      <c r="Q49" s="432"/>
      <c r="R49" s="432"/>
      <c r="S49" s="432"/>
      <c r="T49" s="432"/>
      <c r="U49" s="432"/>
      <c r="V49" s="432"/>
      <c r="W49" s="432"/>
      <c r="X49" s="432"/>
      <c r="Y49" s="432"/>
      <c r="Z49" s="432"/>
      <c r="AA49" s="432"/>
      <c r="AB49" s="432"/>
      <c r="AC49" s="432"/>
      <c r="AD49" s="432"/>
      <c r="AE49" s="432"/>
    </row>
    <row r="50">
      <c r="A50" s="432"/>
      <c r="B50" s="432"/>
      <c r="C50" s="432"/>
      <c r="D50" s="432"/>
      <c r="E50" s="432"/>
      <c r="F50" s="432"/>
      <c r="G50" s="432"/>
      <c r="H50" s="432"/>
      <c r="I50" s="432"/>
      <c r="J50" s="432"/>
      <c r="K50" s="432"/>
      <c r="L50" s="432"/>
      <c r="M50" s="432"/>
      <c r="N50" s="432"/>
      <c r="O50" s="432"/>
      <c r="P50" s="432"/>
      <c r="Q50" s="432"/>
      <c r="R50" s="432"/>
      <c r="S50" s="432"/>
      <c r="T50" s="432"/>
      <c r="U50" s="432"/>
      <c r="V50" s="432"/>
      <c r="W50" s="432"/>
      <c r="X50" s="432"/>
      <c r="Y50" s="432"/>
      <c r="Z50" s="432"/>
      <c r="AA50" s="432"/>
      <c r="AB50" s="432"/>
      <c r="AC50" s="432"/>
      <c r="AD50" s="432"/>
      <c r="AE50" s="432"/>
    </row>
    <row r="51">
      <c r="A51" s="432"/>
      <c r="B51" s="432"/>
      <c r="C51" s="432"/>
      <c r="D51" s="432"/>
      <c r="E51" s="432"/>
      <c r="F51" s="432"/>
      <c r="G51" s="432"/>
      <c r="H51" s="432"/>
      <c r="I51" s="432"/>
      <c r="J51" s="432"/>
      <c r="K51" s="432"/>
      <c r="L51" s="432"/>
      <c r="M51" s="432"/>
      <c r="N51" s="432"/>
      <c r="O51" s="432"/>
      <c r="P51" s="432"/>
      <c r="Q51" s="432"/>
      <c r="R51" s="432"/>
      <c r="S51" s="432"/>
      <c r="T51" s="432"/>
      <c r="U51" s="432"/>
      <c r="V51" s="432"/>
      <c r="W51" s="432"/>
      <c r="X51" s="432"/>
      <c r="Y51" s="432"/>
      <c r="Z51" s="432"/>
      <c r="AA51" s="432"/>
      <c r="AB51" s="432"/>
      <c r="AC51" s="432"/>
      <c r="AD51" s="432"/>
      <c r="AE51" s="432"/>
    </row>
    <row r="52">
      <c r="A52" s="432"/>
      <c r="B52" s="432"/>
      <c r="C52" s="432"/>
      <c r="D52" s="432"/>
      <c r="E52" s="432"/>
      <c r="F52" s="432"/>
      <c r="G52" s="432"/>
      <c r="H52" s="432"/>
      <c r="I52" s="432"/>
      <c r="J52" s="432"/>
      <c r="K52" s="432"/>
      <c r="L52" s="432"/>
      <c r="M52" s="432"/>
      <c r="N52" s="432"/>
      <c r="O52" s="432"/>
      <c r="P52" s="432"/>
      <c r="Q52" s="432"/>
      <c r="R52" s="432"/>
      <c r="S52" s="432"/>
      <c r="T52" s="432"/>
      <c r="U52" s="432"/>
      <c r="V52" s="432"/>
      <c r="W52" s="432"/>
      <c r="X52" s="432"/>
      <c r="Y52" s="432"/>
      <c r="Z52" s="432"/>
      <c r="AA52" s="432"/>
      <c r="AB52" s="432"/>
      <c r="AC52" s="432"/>
      <c r="AD52" s="432"/>
      <c r="AE52" s="432"/>
    </row>
    <row r="53">
      <c r="A53" s="432"/>
      <c r="B53" s="432"/>
      <c r="C53" s="432"/>
      <c r="D53" s="432"/>
      <c r="E53" s="432"/>
      <c r="F53" s="432"/>
      <c r="G53" s="432"/>
      <c r="H53" s="432"/>
      <c r="I53" s="432"/>
      <c r="J53" s="432"/>
      <c r="K53" s="432"/>
      <c r="L53" s="432"/>
      <c r="M53" s="432"/>
      <c r="N53" s="432"/>
      <c r="O53" s="432"/>
      <c r="P53" s="432"/>
      <c r="Q53" s="432"/>
      <c r="R53" s="432"/>
      <c r="S53" s="432"/>
      <c r="T53" s="432"/>
      <c r="U53" s="432"/>
      <c r="V53" s="432"/>
      <c r="W53" s="432"/>
      <c r="X53" s="432"/>
      <c r="Y53" s="432"/>
      <c r="Z53" s="432"/>
      <c r="AA53" s="432"/>
      <c r="AB53" s="432"/>
      <c r="AC53" s="432"/>
      <c r="AD53" s="432"/>
      <c r="AE53" s="432"/>
    </row>
    <row r="54">
      <c r="A54" s="432"/>
      <c r="B54" s="432"/>
      <c r="C54" s="432"/>
      <c r="D54" s="432"/>
      <c r="E54" s="432"/>
      <c r="F54" s="432"/>
      <c r="G54" s="432"/>
      <c r="H54" s="432"/>
      <c r="I54" s="432"/>
      <c r="J54" s="432"/>
      <c r="K54" s="432"/>
      <c r="L54" s="432"/>
      <c r="M54" s="432"/>
      <c r="N54" s="432"/>
      <c r="O54" s="432"/>
      <c r="P54" s="432"/>
      <c r="Q54" s="432"/>
      <c r="R54" s="432"/>
      <c r="S54" s="432"/>
      <c r="T54" s="432"/>
      <c r="U54" s="432"/>
      <c r="V54" s="432"/>
      <c r="W54" s="432"/>
      <c r="X54" s="432"/>
      <c r="Y54" s="432"/>
      <c r="Z54" s="432"/>
      <c r="AA54" s="432"/>
      <c r="AB54" s="432"/>
      <c r="AC54" s="432"/>
      <c r="AD54" s="432"/>
      <c r="AE54" s="432"/>
    </row>
    <row r="55">
      <c r="A55" s="432"/>
      <c r="B55" s="432"/>
      <c r="C55" s="432"/>
      <c r="D55" s="432"/>
      <c r="E55" s="432"/>
      <c r="F55" s="432"/>
      <c r="G55" s="432"/>
      <c r="H55" s="432"/>
      <c r="I55" s="432"/>
      <c r="J55" s="432"/>
      <c r="K55" s="432"/>
      <c r="L55" s="432"/>
      <c r="M55" s="432"/>
      <c r="N55" s="432"/>
      <c r="O55" s="432"/>
      <c r="P55" s="432"/>
      <c r="Q55" s="432"/>
      <c r="R55" s="432"/>
      <c r="S55" s="432"/>
      <c r="T55" s="432"/>
      <c r="U55" s="432"/>
      <c r="V55" s="432"/>
      <c r="W55" s="432"/>
      <c r="X55" s="432"/>
      <c r="Y55" s="432"/>
      <c r="Z55" s="432"/>
      <c r="AA55" s="432"/>
      <c r="AB55" s="432"/>
      <c r="AC55" s="432"/>
      <c r="AD55" s="432"/>
      <c r="AE55" s="432"/>
    </row>
    <row r="56">
      <c r="A56" s="432"/>
      <c r="B56" s="432"/>
      <c r="C56" s="432"/>
      <c r="D56" s="432"/>
      <c r="E56" s="432"/>
      <c r="F56" s="432"/>
      <c r="G56" s="432"/>
      <c r="H56" s="432"/>
      <c r="I56" s="432"/>
      <c r="J56" s="432"/>
      <c r="K56" s="432"/>
      <c r="L56" s="432"/>
      <c r="M56" s="432"/>
      <c r="N56" s="432"/>
      <c r="O56" s="432"/>
      <c r="P56" s="432"/>
      <c r="Q56" s="432"/>
      <c r="R56" s="432"/>
      <c r="S56" s="432"/>
      <c r="T56" s="432"/>
      <c r="U56" s="432"/>
      <c r="V56" s="432"/>
      <c r="W56" s="432"/>
      <c r="X56" s="432"/>
      <c r="Y56" s="432"/>
      <c r="Z56" s="432"/>
      <c r="AA56" s="432"/>
      <c r="AB56" s="432"/>
      <c r="AC56" s="432"/>
      <c r="AD56" s="432"/>
      <c r="AE56" s="432"/>
    </row>
    <row r="57">
      <c r="A57" s="432"/>
      <c r="B57" s="432"/>
      <c r="C57" s="432"/>
      <c r="D57" s="432"/>
      <c r="E57" s="432"/>
      <c r="F57" s="432"/>
      <c r="G57" s="432"/>
      <c r="H57" s="432"/>
      <c r="I57" s="432"/>
      <c r="J57" s="432"/>
      <c r="K57" s="432"/>
      <c r="L57" s="432"/>
      <c r="M57" s="432"/>
      <c r="N57" s="432"/>
      <c r="O57" s="432"/>
      <c r="P57" s="432"/>
      <c r="Q57" s="432"/>
      <c r="R57" s="432"/>
      <c r="S57" s="432"/>
      <c r="T57" s="432"/>
      <c r="U57" s="432"/>
      <c r="V57" s="432"/>
      <c r="W57" s="432"/>
      <c r="X57" s="432"/>
      <c r="Y57" s="432"/>
      <c r="Z57" s="432"/>
      <c r="AA57" s="432"/>
      <c r="AB57" s="432"/>
      <c r="AC57" s="432"/>
      <c r="AD57" s="432"/>
      <c r="AE57" s="432"/>
    </row>
    <row r="58">
      <c r="A58" s="432"/>
      <c r="B58" s="432"/>
      <c r="C58" s="432"/>
      <c r="D58" s="432"/>
      <c r="E58" s="432"/>
      <c r="F58" s="432"/>
      <c r="G58" s="432"/>
      <c r="H58" s="432"/>
      <c r="I58" s="432"/>
      <c r="J58" s="432"/>
      <c r="K58" s="432"/>
      <c r="L58" s="432"/>
      <c r="M58" s="432"/>
      <c r="N58" s="432"/>
      <c r="O58" s="432"/>
      <c r="P58" s="432"/>
      <c r="Q58" s="432"/>
      <c r="R58" s="432"/>
      <c r="S58" s="432"/>
      <c r="T58" s="432"/>
      <c r="U58" s="432"/>
      <c r="V58" s="432"/>
      <c r="W58" s="432"/>
      <c r="X58" s="432"/>
      <c r="Y58" s="432"/>
      <c r="Z58" s="432"/>
      <c r="AA58" s="432"/>
      <c r="AB58" s="432"/>
      <c r="AC58" s="432"/>
      <c r="AD58" s="432"/>
      <c r="AE58" s="432"/>
    </row>
    <row r="59">
      <c r="A59" s="432"/>
      <c r="B59" s="432"/>
      <c r="C59" s="432"/>
      <c r="D59" s="432"/>
      <c r="E59" s="432"/>
      <c r="F59" s="432"/>
      <c r="G59" s="432"/>
      <c r="H59" s="432"/>
      <c r="I59" s="432"/>
      <c r="J59" s="432"/>
      <c r="K59" s="432"/>
      <c r="L59" s="432"/>
      <c r="M59" s="432"/>
      <c r="N59" s="432"/>
      <c r="O59" s="432"/>
      <c r="P59" s="432"/>
      <c r="Q59" s="432"/>
      <c r="R59" s="432"/>
      <c r="S59" s="432"/>
      <c r="T59" s="432"/>
      <c r="U59" s="432"/>
      <c r="V59" s="432"/>
      <c r="W59" s="432"/>
      <c r="X59" s="432"/>
      <c r="Y59" s="432"/>
      <c r="Z59" s="432"/>
      <c r="AA59" s="432"/>
      <c r="AB59" s="432"/>
      <c r="AC59" s="432"/>
      <c r="AD59" s="432"/>
      <c r="AE59" s="432"/>
    </row>
    <row r="60">
      <c r="A60" s="432"/>
      <c r="B60" s="432"/>
      <c r="C60" s="432"/>
      <c r="D60" s="432"/>
      <c r="E60" s="432"/>
      <c r="F60" s="432"/>
      <c r="G60" s="432"/>
      <c r="H60" s="432"/>
      <c r="I60" s="432"/>
      <c r="J60" s="432"/>
      <c r="K60" s="432"/>
      <c r="L60" s="432"/>
      <c r="M60" s="432"/>
      <c r="N60" s="432"/>
      <c r="O60" s="432"/>
      <c r="P60" s="432"/>
      <c r="Q60" s="432"/>
      <c r="R60" s="432"/>
      <c r="S60" s="432"/>
      <c r="T60" s="432"/>
      <c r="U60" s="432"/>
      <c r="V60" s="432"/>
      <c r="W60" s="432"/>
      <c r="X60" s="432"/>
      <c r="Y60" s="432"/>
      <c r="Z60" s="432"/>
      <c r="AA60" s="432"/>
      <c r="AB60" s="432"/>
      <c r="AC60" s="432"/>
      <c r="AD60" s="432"/>
      <c r="AE60" s="432"/>
    </row>
    <row r="61">
      <c r="A61" s="432"/>
      <c r="B61" s="432"/>
      <c r="C61" s="432"/>
      <c r="D61" s="432"/>
      <c r="E61" s="432"/>
      <c r="F61" s="432"/>
      <c r="G61" s="432"/>
      <c r="H61" s="432"/>
      <c r="I61" s="432"/>
      <c r="J61" s="432"/>
      <c r="K61" s="432"/>
      <c r="L61" s="432"/>
      <c r="M61" s="432"/>
      <c r="N61" s="432"/>
      <c r="O61" s="432"/>
      <c r="P61" s="432"/>
      <c r="Q61" s="432"/>
      <c r="R61" s="432"/>
      <c r="S61" s="432"/>
      <c r="T61" s="432"/>
      <c r="U61" s="432"/>
      <c r="V61" s="432"/>
      <c r="W61" s="432"/>
      <c r="X61" s="432"/>
      <c r="Y61" s="432"/>
      <c r="Z61" s="432"/>
      <c r="AA61" s="432"/>
      <c r="AB61" s="432"/>
      <c r="AC61" s="432"/>
      <c r="AD61" s="432"/>
      <c r="AE61" s="432"/>
    </row>
    <row r="62">
      <c r="A62" s="432"/>
      <c r="B62" s="432"/>
      <c r="C62" s="432"/>
      <c r="D62" s="432"/>
      <c r="E62" s="432"/>
      <c r="F62" s="432"/>
      <c r="G62" s="432"/>
      <c r="H62" s="432"/>
      <c r="I62" s="432"/>
      <c r="J62" s="432"/>
      <c r="K62" s="432"/>
      <c r="L62" s="432"/>
      <c r="M62" s="432"/>
      <c r="N62" s="432"/>
      <c r="O62" s="432"/>
      <c r="P62" s="432"/>
      <c r="Q62" s="432"/>
      <c r="R62" s="432"/>
      <c r="S62" s="432"/>
      <c r="T62" s="432"/>
      <c r="U62" s="432"/>
      <c r="V62" s="432"/>
      <c r="W62" s="432"/>
      <c r="X62" s="432"/>
      <c r="Y62" s="432"/>
      <c r="Z62" s="432"/>
      <c r="AA62" s="432"/>
      <c r="AB62" s="432"/>
      <c r="AC62" s="432"/>
      <c r="AD62" s="432"/>
      <c r="AE62" s="432"/>
    </row>
    <row r="63">
      <c r="A63" s="432"/>
      <c r="B63" s="432"/>
      <c r="C63" s="432"/>
      <c r="D63" s="432"/>
      <c r="E63" s="432"/>
      <c r="F63" s="432"/>
      <c r="G63" s="432"/>
      <c r="H63" s="432"/>
      <c r="I63" s="432"/>
      <c r="J63" s="432"/>
      <c r="K63" s="432"/>
      <c r="L63" s="432"/>
      <c r="M63" s="432"/>
      <c r="N63" s="432"/>
      <c r="O63" s="432"/>
      <c r="P63" s="432"/>
      <c r="Q63" s="432"/>
      <c r="R63" s="432"/>
      <c r="S63" s="432"/>
      <c r="T63" s="432"/>
      <c r="U63" s="432"/>
      <c r="V63" s="432"/>
      <c r="W63" s="432"/>
      <c r="X63" s="432"/>
      <c r="Y63" s="432"/>
      <c r="Z63" s="432"/>
      <c r="AA63" s="432"/>
      <c r="AB63" s="432"/>
      <c r="AC63" s="432"/>
      <c r="AD63" s="432"/>
      <c r="AE63" s="432"/>
    </row>
    <row r="64">
      <c r="A64" s="432"/>
      <c r="B64" s="432"/>
      <c r="C64" s="432"/>
      <c r="D64" s="432"/>
      <c r="E64" s="432"/>
      <c r="F64" s="432"/>
      <c r="G64" s="432"/>
      <c r="H64" s="432"/>
      <c r="I64" s="432"/>
      <c r="J64" s="432"/>
      <c r="K64" s="432"/>
      <c r="L64" s="432"/>
      <c r="M64" s="432"/>
      <c r="N64" s="432"/>
      <c r="O64" s="432"/>
      <c r="P64" s="432"/>
      <c r="Q64" s="432"/>
      <c r="R64" s="432"/>
      <c r="S64" s="432"/>
      <c r="T64" s="432"/>
      <c r="U64" s="432"/>
      <c r="V64" s="432"/>
      <c r="W64" s="432"/>
      <c r="X64" s="432"/>
      <c r="Y64" s="432"/>
      <c r="Z64" s="432"/>
      <c r="AA64" s="432"/>
      <c r="AB64" s="432"/>
      <c r="AC64" s="432"/>
      <c r="AD64" s="432"/>
      <c r="AE64" s="432"/>
    </row>
    <row r="65">
      <c r="A65" s="432"/>
      <c r="B65" s="432"/>
      <c r="C65" s="432"/>
      <c r="D65" s="432"/>
      <c r="E65" s="432"/>
      <c r="F65" s="432"/>
      <c r="G65" s="432"/>
      <c r="H65" s="432"/>
      <c r="I65" s="432"/>
      <c r="J65" s="432"/>
      <c r="K65" s="432"/>
      <c r="L65" s="432"/>
      <c r="M65" s="432"/>
      <c r="N65" s="432"/>
      <c r="O65" s="432"/>
      <c r="P65" s="432"/>
      <c r="Q65" s="432"/>
      <c r="R65" s="432"/>
      <c r="S65" s="432"/>
      <c r="T65" s="432"/>
      <c r="U65" s="432"/>
      <c r="V65" s="432"/>
      <c r="W65" s="432"/>
      <c r="X65" s="432"/>
      <c r="Y65" s="432"/>
      <c r="Z65" s="432"/>
      <c r="AA65" s="432"/>
      <c r="AB65" s="432"/>
      <c r="AC65" s="432"/>
      <c r="AD65" s="432"/>
      <c r="AE65" s="432"/>
    </row>
    <row r="66">
      <c r="A66" s="432"/>
      <c r="B66" s="432"/>
      <c r="C66" s="432"/>
      <c r="D66" s="432"/>
      <c r="E66" s="432"/>
      <c r="F66" s="432"/>
      <c r="G66" s="432"/>
      <c r="H66" s="432"/>
      <c r="I66" s="432"/>
      <c r="J66" s="432"/>
      <c r="K66" s="432"/>
      <c r="L66" s="432"/>
      <c r="M66" s="432"/>
      <c r="N66" s="432"/>
      <c r="O66" s="432"/>
      <c r="P66" s="432"/>
      <c r="Q66" s="432"/>
      <c r="R66" s="432"/>
      <c r="S66" s="432"/>
      <c r="T66" s="432"/>
      <c r="U66" s="432"/>
      <c r="V66" s="432"/>
      <c r="W66" s="432"/>
      <c r="X66" s="432"/>
      <c r="Y66" s="432"/>
      <c r="Z66" s="432"/>
      <c r="AA66" s="432"/>
      <c r="AB66" s="432"/>
      <c r="AC66" s="432"/>
      <c r="AD66" s="432"/>
      <c r="AE66" s="432"/>
    </row>
    <row r="67">
      <c r="A67" s="432"/>
      <c r="B67" s="432"/>
      <c r="C67" s="432"/>
      <c r="D67" s="432"/>
      <c r="E67" s="432"/>
      <c r="F67" s="432"/>
      <c r="G67" s="432"/>
      <c r="H67" s="432"/>
      <c r="I67" s="432"/>
      <c r="J67" s="432"/>
      <c r="K67" s="432"/>
      <c r="L67" s="432"/>
      <c r="M67" s="432"/>
      <c r="N67" s="432"/>
      <c r="O67" s="432"/>
      <c r="P67" s="432"/>
      <c r="Q67" s="432"/>
      <c r="R67" s="432"/>
      <c r="S67" s="432"/>
      <c r="T67" s="432"/>
      <c r="U67" s="432"/>
      <c r="V67" s="432"/>
      <c r="W67" s="432"/>
      <c r="X67" s="432"/>
      <c r="Y67" s="432"/>
      <c r="Z67" s="432"/>
      <c r="AA67" s="432"/>
      <c r="AB67" s="432"/>
      <c r="AC67" s="432"/>
      <c r="AD67" s="432"/>
      <c r="AE67" s="432"/>
    </row>
    <row r="68">
      <c r="A68" s="432"/>
      <c r="B68" s="432"/>
      <c r="C68" s="432"/>
      <c r="D68" s="432"/>
      <c r="E68" s="432"/>
      <c r="F68" s="432"/>
      <c r="G68" s="432"/>
      <c r="H68" s="432"/>
      <c r="I68" s="432"/>
      <c r="J68" s="432"/>
      <c r="K68" s="432"/>
      <c r="L68" s="432"/>
      <c r="M68" s="432"/>
      <c r="N68" s="432"/>
      <c r="O68" s="432"/>
      <c r="P68" s="432"/>
      <c r="Q68" s="432"/>
      <c r="R68" s="432"/>
      <c r="S68" s="432"/>
      <c r="T68" s="432"/>
      <c r="U68" s="432"/>
      <c r="V68" s="432"/>
      <c r="W68" s="432"/>
      <c r="X68" s="432"/>
      <c r="Y68" s="432"/>
      <c r="Z68" s="432"/>
      <c r="AA68" s="432"/>
      <c r="AB68" s="432"/>
      <c r="AC68" s="432"/>
      <c r="AD68" s="432"/>
      <c r="AE68" s="432"/>
    </row>
    <row r="69">
      <c r="A69" s="432"/>
      <c r="B69" s="432"/>
      <c r="C69" s="432"/>
      <c r="D69" s="432"/>
      <c r="E69" s="432"/>
      <c r="F69" s="432"/>
      <c r="G69" s="432"/>
      <c r="H69" s="432"/>
      <c r="I69" s="432"/>
      <c r="J69" s="432"/>
      <c r="K69" s="432"/>
      <c r="L69" s="432"/>
      <c r="M69" s="432"/>
      <c r="N69" s="432"/>
      <c r="O69" s="432"/>
      <c r="P69" s="432"/>
      <c r="Q69" s="432"/>
      <c r="R69" s="432"/>
      <c r="S69" s="432"/>
      <c r="T69" s="432"/>
      <c r="U69" s="432"/>
      <c r="V69" s="432"/>
      <c r="W69" s="432"/>
      <c r="X69" s="432"/>
      <c r="Y69" s="432"/>
      <c r="Z69" s="432"/>
      <c r="AA69" s="432"/>
      <c r="AB69" s="432"/>
      <c r="AC69" s="432"/>
      <c r="AD69" s="432"/>
      <c r="AE69" s="432"/>
    </row>
    <row r="70">
      <c r="A70" s="432"/>
      <c r="B70" s="432"/>
      <c r="C70" s="432"/>
      <c r="D70" s="432"/>
      <c r="E70" s="432"/>
      <c r="F70" s="432"/>
      <c r="G70" s="432"/>
      <c r="H70" s="432"/>
      <c r="I70" s="432"/>
      <c r="J70" s="432"/>
      <c r="K70" s="432"/>
      <c r="L70" s="432"/>
      <c r="M70" s="432"/>
      <c r="N70" s="432"/>
      <c r="O70" s="432"/>
      <c r="P70" s="432"/>
      <c r="Q70" s="432"/>
      <c r="R70" s="432"/>
      <c r="S70" s="432"/>
      <c r="T70" s="432"/>
      <c r="U70" s="432"/>
      <c r="V70" s="432"/>
      <c r="W70" s="432"/>
      <c r="X70" s="432"/>
      <c r="Y70" s="432"/>
      <c r="Z70" s="432"/>
      <c r="AA70" s="432"/>
      <c r="AB70" s="432"/>
      <c r="AC70" s="432"/>
      <c r="AD70" s="432"/>
      <c r="AE70" s="432"/>
    </row>
    <row r="71">
      <c r="A71" s="432"/>
      <c r="B71" s="432"/>
      <c r="C71" s="432"/>
      <c r="D71" s="432"/>
      <c r="E71" s="432"/>
      <c r="F71" s="432"/>
      <c r="G71" s="432"/>
      <c r="H71" s="432"/>
      <c r="I71" s="432"/>
      <c r="J71" s="432"/>
      <c r="K71" s="432"/>
      <c r="L71" s="432"/>
      <c r="M71" s="432"/>
      <c r="N71" s="432"/>
      <c r="O71" s="432"/>
      <c r="P71" s="432"/>
      <c r="Q71" s="432"/>
      <c r="R71" s="432"/>
      <c r="S71" s="432"/>
      <c r="T71" s="432"/>
      <c r="U71" s="432"/>
      <c r="V71" s="432"/>
      <c r="W71" s="432"/>
      <c r="X71" s="432"/>
      <c r="Y71" s="432"/>
      <c r="Z71" s="432"/>
      <c r="AA71" s="432"/>
      <c r="AB71" s="432"/>
      <c r="AC71" s="432"/>
      <c r="AD71" s="432"/>
      <c r="AE71" s="432"/>
    </row>
    <row r="72">
      <c r="A72" s="432"/>
      <c r="B72" s="432"/>
      <c r="C72" s="432"/>
      <c r="D72" s="432"/>
      <c r="E72" s="432"/>
      <c r="F72" s="432"/>
      <c r="G72" s="432"/>
      <c r="H72" s="432"/>
      <c r="I72" s="432"/>
      <c r="J72" s="432"/>
      <c r="K72" s="432"/>
      <c r="L72" s="432"/>
      <c r="M72" s="432"/>
      <c r="N72" s="432"/>
      <c r="O72" s="432"/>
      <c r="P72" s="432"/>
      <c r="Q72" s="432"/>
      <c r="R72" s="432"/>
      <c r="S72" s="432"/>
      <c r="T72" s="432"/>
      <c r="U72" s="432"/>
      <c r="V72" s="432"/>
      <c r="W72" s="432"/>
      <c r="X72" s="432"/>
      <c r="Y72" s="432"/>
      <c r="Z72" s="432"/>
      <c r="AA72" s="432"/>
      <c r="AB72" s="432"/>
      <c r="AC72" s="432"/>
      <c r="AD72" s="432"/>
      <c r="AE72" s="432"/>
    </row>
    <row r="73">
      <c r="A73" s="432"/>
      <c r="B73" s="432"/>
      <c r="C73" s="432"/>
      <c r="D73" s="432"/>
      <c r="E73" s="432"/>
      <c r="F73" s="432"/>
      <c r="G73" s="432"/>
      <c r="H73" s="432"/>
      <c r="I73" s="432"/>
      <c r="J73" s="432"/>
      <c r="K73" s="432"/>
      <c r="L73" s="432"/>
      <c r="M73" s="432"/>
      <c r="N73" s="432"/>
      <c r="O73" s="432"/>
      <c r="P73" s="432"/>
      <c r="Q73" s="432"/>
      <c r="R73" s="432"/>
      <c r="S73" s="432"/>
      <c r="T73" s="432"/>
      <c r="U73" s="432"/>
      <c r="V73" s="432"/>
      <c r="W73" s="432"/>
      <c r="X73" s="432"/>
      <c r="Y73" s="432"/>
      <c r="Z73" s="432"/>
      <c r="AA73" s="432"/>
      <c r="AB73" s="432"/>
      <c r="AC73" s="432"/>
      <c r="AD73" s="432"/>
      <c r="AE73" s="432"/>
    </row>
    <row r="74">
      <c r="A74" s="432"/>
      <c r="B74" s="432"/>
      <c r="C74" s="432"/>
      <c r="D74" s="432"/>
      <c r="E74" s="432"/>
      <c r="F74" s="432"/>
      <c r="G74" s="432"/>
      <c r="H74" s="432"/>
      <c r="I74" s="432"/>
      <c r="J74" s="432"/>
      <c r="K74" s="432"/>
      <c r="L74" s="432"/>
      <c r="M74" s="432"/>
      <c r="N74" s="432"/>
      <c r="O74" s="432"/>
      <c r="P74" s="432"/>
      <c r="Q74" s="432"/>
      <c r="R74" s="432"/>
      <c r="S74" s="432"/>
      <c r="T74" s="432"/>
      <c r="U74" s="432"/>
      <c r="V74" s="432"/>
      <c r="W74" s="432"/>
      <c r="X74" s="432"/>
      <c r="Y74" s="432"/>
      <c r="Z74" s="432"/>
      <c r="AA74" s="432"/>
      <c r="AB74" s="432"/>
      <c r="AC74" s="432"/>
      <c r="AD74" s="432"/>
      <c r="AE74" s="432"/>
    </row>
    <row r="75">
      <c r="A75" s="432"/>
      <c r="B75" s="432"/>
      <c r="C75" s="432"/>
      <c r="D75" s="432"/>
      <c r="E75" s="432"/>
      <c r="F75" s="432"/>
      <c r="G75" s="432"/>
      <c r="H75" s="432"/>
      <c r="I75" s="432"/>
      <c r="J75" s="432"/>
      <c r="K75" s="432"/>
      <c r="L75" s="432"/>
      <c r="M75" s="432"/>
      <c r="N75" s="432"/>
      <c r="O75" s="432"/>
      <c r="P75" s="432"/>
      <c r="Q75" s="432"/>
      <c r="R75" s="432"/>
      <c r="S75" s="432"/>
      <c r="T75" s="432"/>
      <c r="U75" s="432"/>
      <c r="V75" s="432"/>
      <c r="W75" s="432"/>
      <c r="X75" s="432"/>
      <c r="Y75" s="432"/>
      <c r="Z75" s="432"/>
      <c r="AA75" s="432"/>
      <c r="AB75" s="432"/>
      <c r="AC75" s="432"/>
      <c r="AD75" s="432"/>
      <c r="AE75" s="432"/>
    </row>
    <row r="76">
      <c r="A76" s="432"/>
      <c r="B76" s="432"/>
      <c r="C76" s="432"/>
      <c r="D76" s="432"/>
      <c r="E76" s="432"/>
      <c r="F76" s="432"/>
      <c r="G76" s="432"/>
      <c r="H76" s="432"/>
      <c r="I76" s="432"/>
      <c r="J76" s="432"/>
      <c r="K76" s="432"/>
      <c r="L76" s="432"/>
      <c r="M76" s="432"/>
      <c r="N76" s="432"/>
      <c r="O76" s="432"/>
      <c r="P76" s="432"/>
      <c r="Q76" s="432"/>
      <c r="R76" s="432"/>
      <c r="S76" s="432"/>
      <c r="T76" s="432"/>
      <c r="U76" s="432"/>
      <c r="V76" s="432"/>
      <c r="W76" s="432"/>
      <c r="X76" s="432"/>
      <c r="Y76" s="432"/>
      <c r="Z76" s="432"/>
      <c r="AA76" s="432"/>
      <c r="AB76" s="432"/>
      <c r="AC76" s="432"/>
      <c r="AD76" s="432"/>
      <c r="AE76" s="432"/>
    </row>
    <row r="77">
      <c r="A77" s="432"/>
      <c r="B77" s="432"/>
      <c r="C77" s="432"/>
      <c r="D77" s="432"/>
      <c r="E77" s="432"/>
      <c r="F77" s="432"/>
      <c r="G77" s="432"/>
      <c r="H77" s="432"/>
      <c r="I77" s="432"/>
      <c r="J77" s="432"/>
      <c r="K77" s="432"/>
      <c r="L77" s="432"/>
      <c r="M77" s="432"/>
      <c r="N77" s="432"/>
      <c r="O77" s="432"/>
      <c r="P77" s="432"/>
      <c r="Q77" s="432"/>
      <c r="R77" s="432"/>
      <c r="S77" s="432"/>
      <c r="T77" s="432"/>
      <c r="U77" s="432"/>
      <c r="V77" s="432"/>
      <c r="W77" s="432"/>
      <c r="X77" s="432"/>
      <c r="Y77" s="432"/>
      <c r="Z77" s="432"/>
      <c r="AA77" s="432"/>
      <c r="AB77" s="432"/>
      <c r="AC77" s="432"/>
      <c r="AD77" s="432"/>
      <c r="AE77" s="432"/>
    </row>
    <row r="78">
      <c r="A78" s="432"/>
      <c r="B78" s="432"/>
      <c r="C78" s="432"/>
      <c r="D78" s="432"/>
      <c r="E78" s="432"/>
      <c r="F78" s="432"/>
      <c r="G78" s="432"/>
      <c r="H78" s="432"/>
      <c r="I78" s="432"/>
      <c r="J78" s="432"/>
      <c r="K78" s="432"/>
      <c r="L78" s="432"/>
      <c r="M78" s="432"/>
      <c r="N78" s="432"/>
      <c r="O78" s="432"/>
      <c r="P78" s="432"/>
      <c r="Q78" s="432"/>
      <c r="R78" s="432"/>
      <c r="S78" s="432"/>
      <c r="T78" s="432"/>
      <c r="U78" s="432"/>
      <c r="V78" s="432"/>
      <c r="W78" s="432"/>
      <c r="X78" s="432"/>
      <c r="Y78" s="432"/>
      <c r="Z78" s="432"/>
      <c r="AA78" s="432"/>
      <c r="AB78" s="432"/>
      <c r="AC78" s="432"/>
      <c r="AD78" s="432"/>
      <c r="AE78" s="432"/>
    </row>
    <row r="79">
      <c r="A79" s="432"/>
      <c r="B79" s="432"/>
      <c r="C79" s="432"/>
      <c r="D79" s="432"/>
      <c r="E79" s="432"/>
      <c r="F79" s="432"/>
      <c r="G79" s="432"/>
      <c r="H79" s="432"/>
      <c r="I79" s="432"/>
      <c r="J79" s="432"/>
      <c r="K79" s="432"/>
      <c r="L79" s="432"/>
      <c r="M79" s="432"/>
      <c r="N79" s="432"/>
      <c r="O79" s="432"/>
      <c r="P79" s="432"/>
      <c r="Q79" s="432"/>
      <c r="R79" s="432"/>
      <c r="S79" s="432"/>
      <c r="T79" s="432"/>
      <c r="U79" s="432"/>
      <c r="V79" s="432"/>
      <c r="W79" s="432"/>
      <c r="X79" s="432"/>
      <c r="Y79" s="432"/>
      <c r="Z79" s="432"/>
      <c r="AA79" s="432"/>
      <c r="AB79" s="432"/>
      <c r="AC79" s="432"/>
      <c r="AD79" s="432"/>
      <c r="AE79" s="432"/>
    </row>
    <row r="80">
      <c r="A80" s="432"/>
      <c r="B80" s="432"/>
      <c r="C80" s="432"/>
      <c r="D80" s="432"/>
      <c r="E80" s="432"/>
      <c r="F80" s="432"/>
      <c r="G80" s="432"/>
      <c r="H80" s="432"/>
      <c r="I80" s="432"/>
      <c r="J80" s="432"/>
      <c r="K80" s="432"/>
      <c r="L80" s="432"/>
      <c r="M80" s="432"/>
      <c r="N80" s="432"/>
      <c r="O80" s="432"/>
      <c r="P80" s="432"/>
      <c r="Q80" s="432"/>
      <c r="R80" s="432"/>
      <c r="S80" s="432"/>
      <c r="T80" s="432"/>
      <c r="U80" s="432"/>
      <c r="V80" s="432"/>
      <c r="W80" s="432"/>
      <c r="X80" s="432"/>
      <c r="Y80" s="432"/>
      <c r="Z80" s="432"/>
      <c r="AA80" s="432"/>
      <c r="AB80" s="432"/>
      <c r="AC80" s="432"/>
      <c r="AD80" s="432"/>
      <c r="AE80" s="432"/>
    </row>
    <row r="81">
      <c r="A81" s="432"/>
      <c r="B81" s="432"/>
      <c r="C81" s="432"/>
      <c r="D81" s="432"/>
      <c r="E81" s="432"/>
      <c r="F81" s="432"/>
      <c r="G81" s="432"/>
      <c r="H81" s="432"/>
      <c r="I81" s="432"/>
      <c r="J81" s="432"/>
      <c r="K81" s="432"/>
      <c r="L81" s="432"/>
      <c r="M81" s="432"/>
      <c r="N81" s="432"/>
      <c r="O81" s="432"/>
      <c r="P81" s="432"/>
      <c r="Q81" s="432"/>
      <c r="R81" s="432"/>
      <c r="S81" s="432"/>
      <c r="T81" s="432"/>
      <c r="U81" s="432"/>
      <c r="V81" s="432"/>
      <c r="W81" s="432"/>
      <c r="X81" s="432"/>
      <c r="Y81" s="432"/>
      <c r="Z81" s="432"/>
      <c r="AA81" s="432"/>
      <c r="AB81" s="432"/>
      <c r="AC81" s="432"/>
      <c r="AD81" s="432"/>
      <c r="AE81" s="432"/>
    </row>
    <row r="82">
      <c r="A82" s="432"/>
      <c r="B82" s="432"/>
      <c r="C82" s="432"/>
      <c r="D82" s="432"/>
      <c r="E82" s="432"/>
      <c r="F82" s="432"/>
      <c r="G82" s="432"/>
      <c r="H82" s="432"/>
      <c r="I82" s="432"/>
      <c r="J82" s="432"/>
      <c r="K82" s="432"/>
      <c r="L82" s="432"/>
      <c r="M82" s="432"/>
      <c r="N82" s="432"/>
      <c r="O82" s="432"/>
      <c r="P82" s="432"/>
      <c r="Q82" s="432"/>
      <c r="R82" s="432"/>
      <c r="S82" s="432"/>
      <c r="T82" s="432"/>
      <c r="U82" s="432"/>
      <c r="V82" s="432"/>
      <c r="W82" s="432"/>
      <c r="X82" s="432"/>
      <c r="Y82" s="432"/>
      <c r="Z82" s="432"/>
      <c r="AA82" s="432"/>
      <c r="AB82" s="432"/>
      <c r="AC82" s="432"/>
      <c r="AD82" s="432"/>
      <c r="AE82" s="432"/>
    </row>
    <row r="83">
      <c r="A83" s="432"/>
      <c r="B83" s="432"/>
      <c r="C83" s="432"/>
      <c r="D83" s="432"/>
      <c r="E83" s="432"/>
      <c r="F83" s="432"/>
      <c r="G83" s="432"/>
      <c r="H83" s="432"/>
      <c r="I83" s="432"/>
      <c r="J83" s="432"/>
      <c r="K83" s="432"/>
      <c r="L83" s="432"/>
      <c r="M83" s="432"/>
      <c r="N83" s="432"/>
      <c r="O83" s="432"/>
      <c r="P83" s="432"/>
      <c r="Q83" s="432"/>
      <c r="R83" s="432"/>
      <c r="S83" s="432"/>
      <c r="T83" s="432"/>
      <c r="U83" s="432"/>
      <c r="V83" s="432"/>
      <c r="W83" s="432"/>
      <c r="X83" s="432"/>
      <c r="Y83" s="432"/>
      <c r="Z83" s="432"/>
      <c r="AA83" s="432"/>
      <c r="AB83" s="432"/>
      <c r="AC83" s="432"/>
      <c r="AD83" s="432"/>
      <c r="AE83" s="432"/>
    </row>
    <row r="84">
      <c r="A84" s="432"/>
      <c r="B84" s="432"/>
      <c r="C84" s="432"/>
      <c r="D84" s="432"/>
      <c r="E84" s="432"/>
      <c r="F84" s="432"/>
      <c r="G84" s="432"/>
      <c r="H84" s="432"/>
      <c r="I84" s="432"/>
      <c r="J84" s="432"/>
      <c r="K84" s="432"/>
      <c r="L84" s="432"/>
      <c r="M84" s="432"/>
      <c r="N84" s="432"/>
      <c r="O84" s="432"/>
      <c r="P84" s="432"/>
      <c r="Q84" s="432"/>
      <c r="R84" s="432"/>
      <c r="S84" s="432"/>
      <c r="T84" s="432"/>
      <c r="U84" s="432"/>
      <c r="V84" s="432"/>
      <c r="W84" s="432"/>
      <c r="X84" s="432"/>
      <c r="Y84" s="432"/>
      <c r="Z84" s="432"/>
      <c r="AA84" s="432"/>
      <c r="AB84" s="432"/>
      <c r="AC84" s="432"/>
      <c r="AD84" s="432"/>
      <c r="AE84" s="432"/>
    </row>
    <row r="85">
      <c r="A85" s="432"/>
      <c r="B85" s="432"/>
      <c r="C85" s="432"/>
      <c r="D85" s="432"/>
      <c r="E85" s="432"/>
      <c r="F85" s="432"/>
      <c r="G85" s="432"/>
      <c r="H85" s="432"/>
      <c r="I85" s="432"/>
      <c r="J85" s="432"/>
      <c r="K85" s="432"/>
      <c r="L85" s="432"/>
      <c r="M85" s="432"/>
      <c r="N85" s="432"/>
      <c r="O85" s="432"/>
      <c r="P85" s="432"/>
      <c r="Q85" s="432"/>
      <c r="R85" s="432"/>
      <c r="S85" s="432"/>
      <c r="T85" s="432"/>
      <c r="U85" s="432"/>
      <c r="V85" s="432"/>
      <c r="W85" s="432"/>
      <c r="X85" s="432"/>
      <c r="Y85" s="432"/>
      <c r="Z85" s="432"/>
      <c r="AA85" s="432"/>
      <c r="AB85" s="432"/>
      <c r="AC85" s="432"/>
      <c r="AD85" s="432"/>
      <c r="AE85" s="432"/>
    </row>
    <row r="86">
      <c r="A86" s="432"/>
      <c r="B86" s="432"/>
      <c r="C86" s="432"/>
      <c r="D86" s="432"/>
      <c r="E86" s="432"/>
      <c r="F86" s="432"/>
      <c r="G86" s="432"/>
      <c r="H86" s="432"/>
      <c r="I86" s="432"/>
      <c r="J86" s="432"/>
      <c r="K86" s="432"/>
      <c r="L86" s="432"/>
      <c r="M86" s="432"/>
      <c r="N86" s="432"/>
      <c r="O86" s="432"/>
      <c r="P86" s="432"/>
      <c r="Q86" s="432"/>
      <c r="R86" s="432"/>
      <c r="S86" s="432"/>
      <c r="T86" s="432"/>
      <c r="U86" s="432"/>
      <c r="V86" s="432"/>
      <c r="W86" s="432"/>
      <c r="X86" s="432"/>
      <c r="Y86" s="432"/>
      <c r="Z86" s="432"/>
      <c r="AA86" s="432"/>
      <c r="AB86" s="432"/>
      <c r="AC86" s="432"/>
      <c r="AD86" s="432"/>
      <c r="AE86" s="432"/>
    </row>
    <row r="87">
      <c r="A87" s="432"/>
      <c r="B87" s="432"/>
      <c r="C87" s="432"/>
      <c r="D87" s="432"/>
      <c r="E87" s="432"/>
      <c r="F87" s="432"/>
      <c r="G87" s="432"/>
      <c r="H87" s="432"/>
      <c r="I87" s="432"/>
      <c r="J87" s="432"/>
      <c r="K87" s="432"/>
      <c r="L87" s="432"/>
      <c r="M87" s="432"/>
      <c r="N87" s="432"/>
      <c r="O87" s="432"/>
      <c r="P87" s="432"/>
      <c r="Q87" s="432"/>
      <c r="R87" s="432"/>
      <c r="S87" s="432"/>
      <c r="T87" s="432"/>
      <c r="U87" s="432"/>
      <c r="V87" s="432"/>
      <c r="W87" s="432"/>
      <c r="X87" s="432"/>
      <c r="Y87" s="432"/>
      <c r="Z87" s="432"/>
      <c r="AA87" s="432"/>
      <c r="AB87" s="432"/>
      <c r="AC87" s="432"/>
      <c r="AD87" s="432"/>
      <c r="AE87" s="432"/>
    </row>
    <row r="88">
      <c r="A88" s="432"/>
      <c r="B88" s="432"/>
      <c r="C88" s="432"/>
      <c r="D88" s="432"/>
      <c r="E88" s="432"/>
      <c r="F88" s="432"/>
      <c r="G88" s="432"/>
      <c r="H88" s="432"/>
      <c r="I88" s="432"/>
      <c r="J88" s="432"/>
      <c r="K88" s="432"/>
      <c r="L88" s="432"/>
      <c r="M88" s="432"/>
      <c r="N88" s="432"/>
      <c r="O88" s="432"/>
      <c r="P88" s="432"/>
      <c r="Q88" s="432"/>
      <c r="R88" s="432"/>
      <c r="S88" s="432"/>
      <c r="T88" s="432"/>
      <c r="U88" s="432"/>
      <c r="V88" s="432"/>
      <c r="W88" s="432"/>
      <c r="X88" s="432"/>
      <c r="Y88" s="432"/>
      <c r="Z88" s="432"/>
      <c r="AA88" s="432"/>
      <c r="AB88" s="432"/>
      <c r="AC88" s="432"/>
      <c r="AD88" s="432"/>
      <c r="AE88" s="432"/>
    </row>
    <row r="89">
      <c r="A89" s="432"/>
      <c r="B89" s="432"/>
      <c r="C89" s="432"/>
      <c r="D89" s="432"/>
      <c r="E89" s="432"/>
      <c r="F89" s="432"/>
      <c r="G89" s="432"/>
      <c r="H89" s="432"/>
      <c r="I89" s="432"/>
      <c r="J89" s="432"/>
      <c r="K89" s="432"/>
      <c r="L89" s="432"/>
      <c r="M89" s="432"/>
      <c r="N89" s="432"/>
      <c r="O89" s="432"/>
      <c r="P89" s="432"/>
      <c r="Q89" s="432"/>
      <c r="R89" s="432"/>
      <c r="S89" s="432"/>
      <c r="T89" s="432"/>
      <c r="U89" s="432"/>
      <c r="V89" s="432"/>
      <c r="W89" s="432"/>
      <c r="X89" s="432"/>
      <c r="Y89" s="432"/>
      <c r="Z89" s="432"/>
      <c r="AA89" s="432"/>
      <c r="AB89" s="432"/>
      <c r="AC89" s="432"/>
      <c r="AD89" s="432"/>
      <c r="AE89" s="432"/>
    </row>
    <row r="90">
      <c r="A90" s="432"/>
      <c r="B90" s="432"/>
      <c r="C90" s="432"/>
      <c r="D90" s="432"/>
      <c r="E90" s="432"/>
      <c r="F90" s="432"/>
      <c r="G90" s="432"/>
      <c r="H90" s="432"/>
      <c r="I90" s="432"/>
      <c r="J90" s="432"/>
      <c r="K90" s="432"/>
      <c r="L90" s="432"/>
      <c r="M90" s="432"/>
      <c r="N90" s="432"/>
      <c r="O90" s="432"/>
      <c r="P90" s="432"/>
      <c r="Q90" s="432"/>
      <c r="R90" s="432"/>
      <c r="S90" s="432"/>
      <c r="T90" s="432"/>
      <c r="U90" s="432"/>
      <c r="V90" s="432"/>
      <c r="W90" s="432"/>
      <c r="X90" s="432"/>
      <c r="Y90" s="432"/>
      <c r="Z90" s="432"/>
      <c r="AA90" s="432"/>
      <c r="AB90" s="432"/>
      <c r="AC90" s="432"/>
      <c r="AD90" s="432"/>
      <c r="AE90" s="432"/>
    </row>
    <row r="91">
      <c r="A91" s="432"/>
      <c r="B91" s="432"/>
      <c r="C91" s="432"/>
      <c r="D91" s="432"/>
      <c r="E91" s="432"/>
      <c r="F91" s="432"/>
      <c r="G91" s="432"/>
      <c r="H91" s="432"/>
      <c r="I91" s="432"/>
      <c r="J91" s="432"/>
      <c r="K91" s="432"/>
      <c r="L91" s="432"/>
      <c r="M91" s="432"/>
      <c r="N91" s="432"/>
      <c r="O91" s="432"/>
      <c r="P91" s="432"/>
      <c r="Q91" s="432"/>
      <c r="R91" s="432"/>
      <c r="S91" s="432"/>
      <c r="T91" s="432"/>
      <c r="U91" s="432"/>
      <c r="V91" s="432"/>
      <c r="W91" s="432"/>
      <c r="X91" s="432"/>
      <c r="Y91" s="432"/>
      <c r="Z91" s="432"/>
      <c r="AA91" s="432"/>
      <c r="AB91" s="432"/>
      <c r="AC91" s="432"/>
      <c r="AD91" s="432"/>
      <c r="AE91" s="432"/>
    </row>
    <row r="92">
      <c r="A92" s="432"/>
      <c r="B92" s="432"/>
      <c r="C92" s="432"/>
      <c r="D92" s="432"/>
      <c r="E92" s="432"/>
      <c r="F92" s="432"/>
      <c r="G92" s="432"/>
      <c r="H92" s="432"/>
      <c r="I92" s="432"/>
      <c r="J92" s="432"/>
      <c r="K92" s="432"/>
      <c r="L92" s="432"/>
      <c r="M92" s="432"/>
      <c r="N92" s="432"/>
      <c r="O92" s="432"/>
      <c r="P92" s="432"/>
      <c r="Q92" s="432"/>
      <c r="R92" s="432"/>
      <c r="S92" s="432"/>
      <c r="T92" s="432"/>
      <c r="U92" s="432"/>
      <c r="V92" s="432"/>
      <c r="W92" s="432"/>
      <c r="X92" s="432"/>
      <c r="Y92" s="432"/>
      <c r="Z92" s="432"/>
      <c r="AA92" s="432"/>
      <c r="AB92" s="432"/>
      <c r="AC92" s="432"/>
      <c r="AD92" s="432"/>
      <c r="AE92" s="432"/>
    </row>
    <row r="93">
      <c r="A93" s="432"/>
      <c r="B93" s="432"/>
      <c r="C93" s="432"/>
      <c r="D93" s="432"/>
      <c r="E93" s="432"/>
      <c r="F93" s="432"/>
      <c r="G93" s="432"/>
      <c r="H93" s="432"/>
      <c r="I93" s="432"/>
      <c r="J93" s="432"/>
      <c r="K93" s="432"/>
      <c r="L93" s="432"/>
      <c r="M93" s="432"/>
      <c r="N93" s="432"/>
      <c r="O93" s="432"/>
      <c r="P93" s="432"/>
      <c r="Q93" s="432"/>
      <c r="R93" s="432"/>
      <c r="S93" s="432"/>
      <c r="T93" s="432"/>
      <c r="U93" s="432"/>
      <c r="V93" s="432"/>
      <c r="W93" s="432"/>
      <c r="X93" s="432"/>
      <c r="Y93" s="432"/>
      <c r="Z93" s="432"/>
      <c r="AA93" s="432"/>
      <c r="AB93" s="432"/>
      <c r="AC93" s="432"/>
      <c r="AD93" s="432"/>
      <c r="AE93" s="432"/>
    </row>
    <row r="94">
      <c r="A94" s="432"/>
      <c r="B94" s="432"/>
      <c r="C94" s="432"/>
      <c r="D94" s="432"/>
      <c r="E94" s="432"/>
      <c r="F94" s="432"/>
      <c r="G94" s="432"/>
      <c r="H94" s="432"/>
      <c r="I94" s="432"/>
      <c r="J94" s="432"/>
      <c r="K94" s="432"/>
      <c r="L94" s="432"/>
      <c r="M94" s="432"/>
      <c r="N94" s="432"/>
      <c r="O94" s="432"/>
      <c r="P94" s="432"/>
      <c r="Q94" s="432"/>
      <c r="R94" s="432"/>
      <c r="S94" s="432"/>
      <c r="T94" s="432"/>
      <c r="U94" s="432"/>
      <c r="V94" s="432"/>
      <c r="W94" s="432"/>
      <c r="X94" s="432"/>
      <c r="Y94" s="432"/>
      <c r="Z94" s="432"/>
      <c r="AA94" s="432"/>
      <c r="AB94" s="432"/>
      <c r="AC94" s="432"/>
      <c r="AD94" s="432"/>
      <c r="AE94" s="432"/>
    </row>
    <row r="95">
      <c r="A95" s="432"/>
      <c r="B95" s="432"/>
      <c r="C95" s="432"/>
      <c r="D95" s="432"/>
      <c r="E95" s="432"/>
      <c r="F95" s="432"/>
      <c r="G95" s="432"/>
      <c r="H95" s="432"/>
      <c r="I95" s="432"/>
      <c r="J95" s="432"/>
      <c r="K95" s="432"/>
      <c r="L95" s="432"/>
      <c r="M95" s="432"/>
      <c r="N95" s="432"/>
      <c r="O95" s="432"/>
      <c r="P95" s="432"/>
      <c r="Q95" s="432"/>
      <c r="R95" s="432"/>
      <c r="S95" s="432"/>
      <c r="T95" s="432"/>
      <c r="U95" s="432"/>
      <c r="V95" s="432"/>
      <c r="W95" s="432"/>
      <c r="X95" s="432"/>
      <c r="Y95" s="432"/>
      <c r="Z95" s="432"/>
      <c r="AA95" s="432"/>
      <c r="AB95" s="432"/>
      <c r="AC95" s="432"/>
      <c r="AD95" s="432"/>
      <c r="AE95" s="432"/>
    </row>
    <row r="96">
      <c r="A96" s="432"/>
      <c r="B96" s="432"/>
      <c r="C96" s="432"/>
      <c r="D96" s="432"/>
      <c r="E96" s="432"/>
      <c r="F96" s="432"/>
      <c r="G96" s="432"/>
      <c r="H96" s="432"/>
      <c r="I96" s="432"/>
      <c r="J96" s="432"/>
      <c r="K96" s="432"/>
      <c r="L96" s="432"/>
      <c r="M96" s="432"/>
      <c r="N96" s="432"/>
      <c r="O96" s="432"/>
      <c r="P96" s="432"/>
      <c r="Q96" s="432"/>
      <c r="R96" s="432"/>
      <c r="S96" s="432"/>
      <c r="T96" s="432"/>
      <c r="U96" s="432"/>
      <c r="V96" s="432"/>
      <c r="W96" s="432"/>
      <c r="X96" s="432"/>
      <c r="Y96" s="432"/>
      <c r="Z96" s="432"/>
      <c r="AA96" s="432"/>
      <c r="AB96" s="432"/>
      <c r="AC96" s="432"/>
      <c r="AD96" s="432"/>
      <c r="AE96" s="432"/>
    </row>
    <row r="97">
      <c r="A97" s="432"/>
      <c r="B97" s="432"/>
      <c r="C97" s="432"/>
      <c r="D97" s="432"/>
      <c r="E97" s="432"/>
      <c r="F97" s="432"/>
      <c r="G97" s="432"/>
      <c r="H97" s="432"/>
      <c r="I97" s="432"/>
      <c r="J97" s="432"/>
      <c r="K97" s="432"/>
      <c r="L97" s="432"/>
      <c r="M97" s="432"/>
      <c r="N97" s="432"/>
      <c r="O97" s="432"/>
      <c r="P97" s="432"/>
      <c r="Q97" s="432"/>
      <c r="R97" s="432"/>
      <c r="S97" s="432"/>
      <c r="T97" s="432"/>
      <c r="U97" s="432"/>
      <c r="V97" s="432"/>
      <c r="W97" s="432"/>
      <c r="X97" s="432"/>
      <c r="Y97" s="432"/>
      <c r="Z97" s="432"/>
      <c r="AA97" s="432"/>
      <c r="AB97" s="432"/>
      <c r="AC97" s="432"/>
      <c r="AD97" s="432"/>
      <c r="AE97" s="432"/>
    </row>
    <row r="98">
      <c r="A98" s="432"/>
      <c r="B98" s="432"/>
      <c r="C98" s="432"/>
      <c r="D98" s="432"/>
      <c r="E98" s="432"/>
      <c r="F98" s="432"/>
      <c r="G98" s="432"/>
      <c r="H98" s="432"/>
      <c r="I98" s="432"/>
      <c r="J98" s="432"/>
      <c r="K98" s="432"/>
      <c r="L98" s="432"/>
      <c r="M98" s="432"/>
      <c r="N98" s="432"/>
      <c r="O98" s="432"/>
      <c r="P98" s="432"/>
      <c r="Q98" s="432"/>
      <c r="R98" s="432"/>
      <c r="S98" s="432"/>
      <c r="T98" s="432"/>
      <c r="U98" s="432"/>
      <c r="V98" s="432"/>
      <c r="W98" s="432"/>
      <c r="X98" s="432"/>
      <c r="Y98" s="432"/>
      <c r="Z98" s="432"/>
      <c r="AA98" s="432"/>
      <c r="AB98" s="432"/>
      <c r="AC98" s="432"/>
      <c r="AD98" s="432"/>
      <c r="AE98" s="432"/>
    </row>
    <row r="99">
      <c r="A99" s="432"/>
      <c r="B99" s="432"/>
      <c r="C99" s="432"/>
      <c r="D99" s="432"/>
      <c r="E99" s="432"/>
      <c r="F99" s="432"/>
      <c r="G99" s="432"/>
      <c r="H99" s="432"/>
      <c r="I99" s="432"/>
      <c r="J99" s="432"/>
      <c r="K99" s="432"/>
      <c r="L99" s="432"/>
      <c r="M99" s="432"/>
      <c r="N99" s="432"/>
      <c r="O99" s="432"/>
      <c r="P99" s="432"/>
      <c r="Q99" s="432"/>
      <c r="R99" s="432"/>
      <c r="S99" s="432"/>
      <c r="T99" s="432"/>
      <c r="U99" s="432"/>
      <c r="V99" s="432"/>
      <c r="W99" s="432"/>
      <c r="X99" s="432"/>
      <c r="Y99" s="432"/>
      <c r="Z99" s="432"/>
      <c r="AA99" s="432"/>
      <c r="AB99" s="432"/>
      <c r="AC99" s="432"/>
      <c r="AD99" s="432"/>
      <c r="AE99" s="432"/>
    </row>
    <row r="100">
      <c r="A100" s="432"/>
      <c r="B100" s="432"/>
      <c r="C100" s="432"/>
      <c r="D100" s="432"/>
      <c r="E100" s="432"/>
      <c r="F100" s="432"/>
      <c r="G100" s="432"/>
      <c r="H100" s="432"/>
      <c r="I100" s="432"/>
      <c r="J100" s="432"/>
      <c r="K100" s="432"/>
      <c r="L100" s="432"/>
      <c r="M100" s="432"/>
      <c r="N100" s="432"/>
      <c r="O100" s="432"/>
      <c r="P100" s="432"/>
      <c r="Q100" s="432"/>
      <c r="R100" s="432"/>
      <c r="S100" s="432"/>
      <c r="T100" s="432"/>
      <c r="U100" s="432"/>
      <c r="V100" s="432"/>
      <c r="W100" s="432"/>
      <c r="X100" s="432"/>
      <c r="Y100" s="432"/>
      <c r="Z100" s="432"/>
      <c r="AA100" s="432"/>
      <c r="AB100" s="432"/>
      <c r="AC100" s="432"/>
      <c r="AD100" s="432"/>
      <c r="AE100" s="432"/>
    </row>
    <row r="101">
      <c r="A101" s="432"/>
      <c r="B101" s="432"/>
      <c r="C101" s="432"/>
      <c r="D101" s="432"/>
      <c r="E101" s="432"/>
      <c r="F101" s="432"/>
      <c r="G101" s="432"/>
      <c r="H101" s="432"/>
      <c r="I101" s="432"/>
      <c r="J101" s="432"/>
      <c r="K101" s="432"/>
      <c r="L101" s="432"/>
      <c r="M101" s="432"/>
      <c r="N101" s="432"/>
      <c r="O101" s="432"/>
      <c r="P101" s="432"/>
      <c r="Q101" s="432"/>
      <c r="R101" s="432"/>
      <c r="S101" s="432"/>
      <c r="T101" s="432"/>
      <c r="U101" s="432"/>
      <c r="V101" s="432"/>
      <c r="W101" s="432"/>
      <c r="X101" s="432"/>
      <c r="Y101" s="432"/>
      <c r="Z101" s="432"/>
      <c r="AA101" s="432"/>
      <c r="AB101" s="432"/>
      <c r="AC101" s="432"/>
      <c r="AD101" s="432"/>
      <c r="AE101" s="432"/>
    </row>
    <row r="102">
      <c r="A102" s="432"/>
      <c r="B102" s="432"/>
      <c r="C102" s="432"/>
      <c r="D102" s="432"/>
      <c r="E102" s="432"/>
      <c r="F102" s="432"/>
      <c r="G102" s="432"/>
      <c r="H102" s="432"/>
      <c r="I102" s="432"/>
      <c r="J102" s="432"/>
      <c r="K102" s="432"/>
      <c r="L102" s="432"/>
      <c r="M102" s="432"/>
      <c r="N102" s="432"/>
      <c r="O102" s="432"/>
      <c r="P102" s="432"/>
      <c r="Q102" s="432"/>
      <c r="R102" s="432"/>
      <c r="S102" s="432"/>
      <c r="T102" s="432"/>
      <c r="U102" s="432"/>
      <c r="V102" s="432"/>
      <c r="W102" s="432"/>
      <c r="X102" s="432"/>
      <c r="Y102" s="432"/>
      <c r="Z102" s="432"/>
      <c r="AA102" s="432"/>
      <c r="AB102" s="432"/>
      <c r="AC102" s="432"/>
      <c r="AD102" s="432"/>
      <c r="AE102" s="432"/>
    </row>
    <row r="103">
      <c r="A103" s="432"/>
      <c r="B103" s="432"/>
      <c r="C103" s="432"/>
      <c r="D103" s="432"/>
      <c r="E103" s="432"/>
      <c r="F103" s="432"/>
      <c r="G103" s="432"/>
      <c r="H103" s="432"/>
      <c r="I103" s="432"/>
      <c r="J103" s="432"/>
      <c r="K103" s="432"/>
      <c r="L103" s="432"/>
      <c r="M103" s="432"/>
      <c r="N103" s="432"/>
      <c r="O103" s="432"/>
      <c r="P103" s="432"/>
      <c r="Q103" s="432"/>
      <c r="R103" s="432"/>
      <c r="S103" s="432"/>
      <c r="T103" s="432"/>
      <c r="U103" s="432"/>
      <c r="V103" s="432"/>
      <c r="W103" s="432"/>
      <c r="X103" s="432"/>
      <c r="Y103" s="432"/>
      <c r="Z103" s="432"/>
      <c r="AA103" s="432"/>
      <c r="AB103" s="432"/>
      <c r="AC103" s="432"/>
      <c r="AD103" s="432"/>
      <c r="AE103" s="432"/>
    </row>
    <row r="104">
      <c r="A104" s="432"/>
      <c r="B104" s="432"/>
      <c r="C104" s="432"/>
      <c r="D104" s="432"/>
      <c r="E104" s="432"/>
      <c r="F104" s="432"/>
      <c r="G104" s="432"/>
      <c r="H104" s="432"/>
      <c r="I104" s="432"/>
      <c r="J104" s="432"/>
      <c r="K104" s="432"/>
      <c r="L104" s="432"/>
      <c r="M104" s="432"/>
      <c r="N104" s="432"/>
      <c r="O104" s="432"/>
      <c r="P104" s="432"/>
      <c r="Q104" s="432"/>
      <c r="R104" s="432"/>
      <c r="S104" s="432"/>
      <c r="T104" s="432"/>
      <c r="U104" s="432"/>
      <c r="V104" s="432"/>
      <c r="W104" s="432"/>
      <c r="X104" s="432"/>
      <c r="Y104" s="432"/>
      <c r="Z104" s="432"/>
      <c r="AA104" s="432"/>
      <c r="AB104" s="432"/>
      <c r="AC104" s="432"/>
      <c r="AD104" s="432"/>
      <c r="AE104" s="432"/>
    </row>
    <row r="105">
      <c r="A105" s="432"/>
      <c r="B105" s="432"/>
      <c r="C105" s="432"/>
      <c r="D105" s="432"/>
      <c r="E105" s="432"/>
      <c r="F105" s="432"/>
      <c r="G105" s="432"/>
      <c r="H105" s="432"/>
      <c r="I105" s="432"/>
      <c r="J105" s="432"/>
      <c r="K105" s="432"/>
      <c r="L105" s="432"/>
      <c r="M105" s="432"/>
      <c r="N105" s="432"/>
      <c r="O105" s="432"/>
      <c r="P105" s="432"/>
      <c r="Q105" s="432"/>
      <c r="R105" s="432"/>
      <c r="S105" s="432"/>
      <c r="T105" s="432"/>
      <c r="U105" s="432"/>
      <c r="V105" s="432"/>
      <c r="W105" s="432"/>
      <c r="X105" s="432"/>
      <c r="Y105" s="432"/>
      <c r="Z105" s="432"/>
      <c r="AA105" s="432"/>
      <c r="AB105" s="432"/>
      <c r="AC105" s="432"/>
      <c r="AD105" s="432"/>
      <c r="AE105" s="432"/>
    </row>
    <row r="106">
      <c r="A106" s="432"/>
      <c r="B106" s="432"/>
      <c r="C106" s="432"/>
      <c r="D106" s="432"/>
      <c r="E106" s="432"/>
      <c r="F106" s="432"/>
      <c r="G106" s="432"/>
      <c r="H106" s="432"/>
      <c r="I106" s="432"/>
      <c r="J106" s="432"/>
      <c r="K106" s="432"/>
      <c r="L106" s="432"/>
      <c r="M106" s="432"/>
      <c r="N106" s="432"/>
      <c r="O106" s="432"/>
      <c r="P106" s="432"/>
      <c r="Q106" s="432"/>
      <c r="R106" s="432"/>
      <c r="S106" s="432"/>
      <c r="T106" s="432"/>
      <c r="U106" s="432"/>
      <c r="V106" s="432"/>
      <c r="W106" s="432"/>
      <c r="X106" s="432"/>
      <c r="Y106" s="432"/>
      <c r="Z106" s="432"/>
      <c r="AA106" s="432"/>
      <c r="AB106" s="432"/>
      <c r="AC106" s="432"/>
      <c r="AD106" s="432"/>
      <c r="AE106" s="432"/>
    </row>
    <row r="107">
      <c r="A107" s="432"/>
      <c r="B107" s="432"/>
      <c r="C107" s="432"/>
      <c r="D107" s="432"/>
      <c r="E107" s="432"/>
      <c r="F107" s="432"/>
      <c r="G107" s="432"/>
      <c r="H107" s="432"/>
      <c r="I107" s="432"/>
      <c r="J107" s="432"/>
      <c r="K107" s="432"/>
      <c r="L107" s="432"/>
      <c r="M107" s="432"/>
      <c r="N107" s="432"/>
      <c r="O107" s="432"/>
      <c r="P107" s="432"/>
      <c r="Q107" s="432"/>
      <c r="R107" s="432"/>
      <c r="S107" s="432"/>
      <c r="T107" s="432"/>
      <c r="U107" s="432"/>
      <c r="V107" s="432"/>
      <c r="W107" s="432"/>
      <c r="X107" s="432"/>
      <c r="Y107" s="432"/>
      <c r="Z107" s="432"/>
      <c r="AA107" s="432"/>
      <c r="AB107" s="432"/>
      <c r="AC107" s="432"/>
      <c r="AD107" s="432"/>
      <c r="AE107" s="432"/>
    </row>
    <row r="108">
      <c r="A108" s="432"/>
      <c r="B108" s="432"/>
      <c r="C108" s="432"/>
      <c r="D108" s="432"/>
      <c r="E108" s="432"/>
      <c r="F108" s="432"/>
      <c r="G108" s="432"/>
      <c r="H108" s="432"/>
      <c r="I108" s="432"/>
      <c r="J108" s="432"/>
      <c r="K108" s="432"/>
      <c r="L108" s="432"/>
      <c r="M108" s="432"/>
      <c r="N108" s="432"/>
      <c r="O108" s="432"/>
      <c r="P108" s="432"/>
      <c r="Q108" s="432"/>
      <c r="R108" s="432"/>
      <c r="S108" s="432"/>
      <c r="T108" s="432"/>
      <c r="U108" s="432"/>
      <c r="V108" s="432"/>
      <c r="W108" s="432"/>
      <c r="X108" s="432"/>
      <c r="Y108" s="432"/>
      <c r="Z108" s="432"/>
      <c r="AA108" s="432"/>
      <c r="AB108" s="432"/>
      <c r="AC108" s="432"/>
      <c r="AD108" s="432"/>
      <c r="AE108" s="432"/>
    </row>
    <row r="109">
      <c r="A109" s="432"/>
      <c r="B109" s="432"/>
      <c r="C109" s="432"/>
      <c r="D109" s="432"/>
      <c r="E109" s="432"/>
      <c r="F109" s="432"/>
      <c r="G109" s="432"/>
      <c r="H109" s="432"/>
      <c r="I109" s="432"/>
      <c r="J109" s="432"/>
      <c r="K109" s="432"/>
      <c r="L109" s="432"/>
      <c r="M109" s="432"/>
      <c r="N109" s="432"/>
      <c r="O109" s="432"/>
      <c r="P109" s="432"/>
      <c r="Q109" s="432"/>
      <c r="R109" s="432"/>
      <c r="S109" s="432"/>
      <c r="T109" s="432"/>
      <c r="U109" s="432"/>
      <c r="V109" s="432"/>
      <c r="W109" s="432"/>
      <c r="X109" s="432"/>
      <c r="Y109" s="432"/>
      <c r="Z109" s="432"/>
      <c r="AA109" s="432"/>
      <c r="AB109" s="432"/>
      <c r="AC109" s="432"/>
      <c r="AD109" s="432"/>
      <c r="AE109" s="432"/>
    </row>
    <row r="110">
      <c r="A110" s="432"/>
      <c r="B110" s="432"/>
      <c r="C110" s="432"/>
      <c r="D110" s="432"/>
      <c r="E110" s="432"/>
      <c r="F110" s="432"/>
      <c r="G110" s="432"/>
      <c r="H110" s="432"/>
      <c r="I110" s="432"/>
      <c r="J110" s="432"/>
      <c r="K110" s="432"/>
      <c r="L110" s="432"/>
      <c r="M110" s="432"/>
      <c r="N110" s="432"/>
      <c r="O110" s="432"/>
      <c r="P110" s="432"/>
      <c r="Q110" s="432"/>
      <c r="R110" s="432"/>
      <c r="S110" s="432"/>
      <c r="T110" s="432"/>
      <c r="U110" s="432"/>
      <c r="V110" s="432"/>
      <c r="W110" s="432"/>
      <c r="X110" s="432"/>
      <c r="Y110" s="432"/>
      <c r="Z110" s="432"/>
      <c r="AA110" s="432"/>
      <c r="AB110" s="432"/>
      <c r="AC110" s="432"/>
      <c r="AD110" s="432"/>
      <c r="AE110" s="432"/>
    </row>
    <row r="111">
      <c r="A111" s="432"/>
      <c r="B111" s="432"/>
      <c r="C111" s="432"/>
      <c r="D111" s="432"/>
      <c r="E111" s="432"/>
      <c r="F111" s="432"/>
      <c r="G111" s="432"/>
      <c r="H111" s="432"/>
      <c r="I111" s="432"/>
      <c r="J111" s="432"/>
      <c r="K111" s="432"/>
      <c r="L111" s="432"/>
      <c r="M111" s="432"/>
      <c r="N111" s="432"/>
      <c r="O111" s="432"/>
      <c r="P111" s="432"/>
      <c r="Q111" s="432"/>
      <c r="R111" s="432"/>
      <c r="S111" s="432"/>
      <c r="T111" s="432"/>
      <c r="U111" s="432"/>
      <c r="V111" s="432"/>
      <c r="W111" s="432"/>
      <c r="X111" s="432"/>
      <c r="Y111" s="432"/>
      <c r="Z111" s="432"/>
      <c r="AA111" s="432"/>
      <c r="AB111" s="432"/>
      <c r="AC111" s="432"/>
      <c r="AD111" s="432"/>
      <c r="AE111" s="432"/>
    </row>
    <row r="112">
      <c r="A112" s="432"/>
      <c r="B112" s="432"/>
      <c r="C112" s="432"/>
      <c r="D112" s="432"/>
      <c r="E112" s="432"/>
      <c r="F112" s="432"/>
      <c r="G112" s="432"/>
      <c r="H112" s="432"/>
      <c r="I112" s="432"/>
      <c r="J112" s="432"/>
      <c r="K112" s="432"/>
      <c r="L112" s="432"/>
      <c r="M112" s="432"/>
      <c r="N112" s="432"/>
      <c r="O112" s="432"/>
      <c r="P112" s="432"/>
      <c r="Q112" s="432"/>
      <c r="R112" s="432"/>
      <c r="S112" s="432"/>
      <c r="T112" s="432"/>
      <c r="U112" s="432"/>
      <c r="V112" s="432"/>
      <c r="W112" s="432"/>
      <c r="X112" s="432"/>
      <c r="Y112" s="432"/>
      <c r="Z112" s="432"/>
      <c r="AA112" s="432"/>
      <c r="AB112" s="432"/>
      <c r="AC112" s="432"/>
      <c r="AD112" s="432"/>
      <c r="AE112" s="432"/>
    </row>
    <row r="113">
      <c r="A113" s="432"/>
      <c r="B113" s="432"/>
      <c r="C113" s="432"/>
      <c r="D113" s="432"/>
      <c r="E113" s="432"/>
      <c r="F113" s="432"/>
      <c r="G113" s="432"/>
      <c r="H113" s="432"/>
      <c r="I113" s="432"/>
      <c r="J113" s="432"/>
      <c r="K113" s="432"/>
      <c r="L113" s="432"/>
      <c r="M113" s="432"/>
      <c r="N113" s="432"/>
      <c r="O113" s="432"/>
      <c r="P113" s="432"/>
      <c r="Q113" s="432"/>
      <c r="R113" s="432"/>
      <c r="S113" s="432"/>
      <c r="T113" s="432"/>
      <c r="U113" s="432"/>
      <c r="V113" s="432"/>
      <c r="W113" s="432"/>
      <c r="X113" s="432"/>
      <c r="Y113" s="432"/>
      <c r="Z113" s="432"/>
      <c r="AA113" s="432"/>
      <c r="AB113" s="432"/>
      <c r="AC113" s="432"/>
      <c r="AD113" s="432"/>
      <c r="AE113" s="432"/>
    </row>
    <row r="114">
      <c r="A114" s="432"/>
      <c r="B114" s="432"/>
      <c r="C114" s="432"/>
      <c r="D114" s="432"/>
      <c r="E114" s="432"/>
      <c r="F114" s="432"/>
      <c r="G114" s="432"/>
      <c r="H114" s="432"/>
      <c r="I114" s="432"/>
      <c r="J114" s="432"/>
      <c r="K114" s="432"/>
      <c r="L114" s="432"/>
      <c r="M114" s="432"/>
      <c r="N114" s="432"/>
      <c r="O114" s="432"/>
      <c r="P114" s="432"/>
      <c r="Q114" s="432"/>
      <c r="R114" s="432"/>
      <c r="S114" s="432"/>
      <c r="T114" s="432"/>
      <c r="U114" s="432"/>
      <c r="V114" s="432"/>
      <c r="W114" s="432"/>
      <c r="X114" s="432"/>
      <c r="Y114" s="432"/>
      <c r="Z114" s="432"/>
      <c r="AA114" s="432"/>
      <c r="AB114" s="432"/>
      <c r="AC114" s="432"/>
      <c r="AD114" s="432"/>
      <c r="AE114" s="432"/>
    </row>
    <row r="115">
      <c r="A115" s="432"/>
      <c r="B115" s="432"/>
      <c r="C115" s="432"/>
      <c r="D115" s="432"/>
      <c r="E115" s="432"/>
      <c r="F115" s="432"/>
      <c r="G115" s="432"/>
      <c r="H115" s="432"/>
      <c r="I115" s="432"/>
      <c r="J115" s="432"/>
      <c r="K115" s="432"/>
      <c r="L115" s="432"/>
      <c r="M115" s="432"/>
      <c r="N115" s="432"/>
      <c r="O115" s="432"/>
      <c r="P115" s="432"/>
      <c r="Q115" s="432"/>
      <c r="R115" s="432"/>
      <c r="S115" s="432"/>
      <c r="T115" s="432"/>
      <c r="U115" s="432"/>
      <c r="V115" s="432"/>
      <c r="W115" s="432"/>
      <c r="X115" s="432"/>
      <c r="Y115" s="432"/>
      <c r="Z115" s="432"/>
      <c r="AA115" s="432"/>
      <c r="AB115" s="432"/>
      <c r="AC115" s="432"/>
      <c r="AD115" s="432"/>
      <c r="AE115" s="432"/>
    </row>
    <row r="116">
      <c r="A116" s="432"/>
      <c r="B116" s="432"/>
      <c r="C116" s="432"/>
      <c r="D116" s="432"/>
      <c r="E116" s="432"/>
      <c r="F116" s="432"/>
      <c r="G116" s="432"/>
      <c r="H116" s="432"/>
      <c r="I116" s="432"/>
      <c r="J116" s="432"/>
      <c r="K116" s="432"/>
      <c r="L116" s="432"/>
      <c r="M116" s="432"/>
      <c r="N116" s="432"/>
      <c r="O116" s="432"/>
      <c r="P116" s="432"/>
      <c r="Q116" s="432"/>
      <c r="R116" s="432"/>
      <c r="S116" s="432"/>
      <c r="T116" s="432"/>
      <c r="U116" s="432"/>
      <c r="V116" s="432"/>
      <c r="W116" s="432"/>
      <c r="X116" s="432"/>
      <c r="Y116" s="432"/>
      <c r="Z116" s="432"/>
      <c r="AA116" s="432"/>
      <c r="AB116" s="432"/>
      <c r="AC116" s="432"/>
      <c r="AD116" s="432"/>
      <c r="AE116" s="432"/>
    </row>
    <row r="117">
      <c r="A117" s="432"/>
      <c r="B117" s="432"/>
      <c r="C117" s="432"/>
      <c r="D117" s="432"/>
      <c r="E117" s="432"/>
      <c r="F117" s="432"/>
      <c r="G117" s="432"/>
      <c r="H117" s="432"/>
      <c r="I117" s="432"/>
      <c r="J117" s="432"/>
      <c r="K117" s="432"/>
      <c r="L117" s="432"/>
      <c r="M117" s="432"/>
      <c r="N117" s="432"/>
      <c r="O117" s="432"/>
      <c r="P117" s="432"/>
      <c r="Q117" s="432"/>
      <c r="R117" s="432"/>
      <c r="S117" s="432"/>
      <c r="T117" s="432"/>
      <c r="U117" s="432"/>
      <c r="V117" s="432"/>
      <c r="W117" s="432"/>
      <c r="X117" s="432"/>
      <c r="Y117" s="432"/>
      <c r="Z117" s="432"/>
      <c r="AA117" s="432"/>
      <c r="AB117" s="432"/>
      <c r="AC117" s="432"/>
      <c r="AD117" s="432"/>
      <c r="AE117" s="432"/>
    </row>
    <row r="118">
      <c r="A118" s="432"/>
      <c r="B118" s="432"/>
      <c r="C118" s="432"/>
      <c r="D118" s="432"/>
      <c r="E118" s="432"/>
      <c r="F118" s="432"/>
      <c r="G118" s="432"/>
      <c r="H118" s="432"/>
      <c r="I118" s="432"/>
      <c r="J118" s="432"/>
      <c r="K118" s="432"/>
      <c r="L118" s="432"/>
      <c r="M118" s="432"/>
      <c r="N118" s="432"/>
      <c r="O118" s="432"/>
      <c r="P118" s="432"/>
      <c r="Q118" s="432"/>
      <c r="R118" s="432"/>
      <c r="S118" s="432"/>
      <c r="T118" s="432"/>
      <c r="U118" s="432"/>
      <c r="V118" s="432"/>
      <c r="W118" s="432"/>
      <c r="X118" s="432"/>
      <c r="Y118" s="432"/>
      <c r="Z118" s="432"/>
      <c r="AA118" s="432"/>
      <c r="AB118" s="432"/>
      <c r="AC118" s="432"/>
      <c r="AD118" s="432"/>
      <c r="AE118" s="432"/>
    </row>
    <row r="119">
      <c r="A119" s="432"/>
      <c r="B119" s="432"/>
      <c r="C119" s="432"/>
      <c r="D119" s="432"/>
      <c r="E119" s="432"/>
      <c r="F119" s="432"/>
      <c r="G119" s="432"/>
      <c r="H119" s="432"/>
      <c r="I119" s="432"/>
      <c r="J119" s="432"/>
      <c r="K119" s="432"/>
      <c r="L119" s="432"/>
      <c r="M119" s="432"/>
      <c r="N119" s="432"/>
      <c r="O119" s="432"/>
      <c r="P119" s="432"/>
      <c r="Q119" s="432"/>
      <c r="R119" s="432"/>
      <c r="S119" s="432"/>
      <c r="T119" s="432"/>
      <c r="U119" s="432"/>
      <c r="V119" s="432"/>
      <c r="W119" s="432"/>
      <c r="X119" s="432"/>
      <c r="Y119" s="432"/>
      <c r="Z119" s="432"/>
      <c r="AA119" s="432"/>
      <c r="AB119" s="432"/>
      <c r="AC119" s="432"/>
      <c r="AD119" s="432"/>
      <c r="AE119" s="432"/>
    </row>
    <row r="120">
      <c r="A120" s="432"/>
      <c r="B120" s="432"/>
      <c r="C120" s="432"/>
      <c r="D120" s="432"/>
      <c r="E120" s="432"/>
      <c r="F120" s="432"/>
      <c r="G120" s="432"/>
      <c r="H120" s="432"/>
      <c r="I120" s="432"/>
      <c r="J120" s="432"/>
      <c r="K120" s="432"/>
      <c r="L120" s="432"/>
      <c r="M120" s="432"/>
      <c r="N120" s="432"/>
      <c r="O120" s="432"/>
      <c r="P120" s="432"/>
      <c r="Q120" s="432"/>
      <c r="R120" s="432"/>
      <c r="S120" s="432"/>
      <c r="T120" s="432"/>
      <c r="U120" s="432"/>
      <c r="V120" s="432"/>
      <c r="W120" s="432"/>
      <c r="X120" s="432"/>
      <c r="Y120" s="432"/>
      <c r="Z120" s="432"/>
      <c r="AA120" s="432"/>
      <c r="AB120" s="432"/>
      <c r="AC120" s="432"/>
      <c r="AD120" s="432"/>
      <c r="AE120" s="432"/>
    </row>
    <row r="121">
      <c r="A121" s="432"/>
      <c r="B121" s="432"/>
      <c r="C121" s="432"/>
      <c r="D121" s="432"/>
      <c r="E121" s="432"/>
      <c r="F121" s="432"/>
      <c r="G121" s="432"/>
      <c r="H121" s="432"/>
      <c r="I121" s="432"/>
      <c r="J121" s="432"/>
      <c r="K121" s="432"/>
      <c r="L121" s="432"/>
      <c r="M121" s="432"/>
      <c r="N121" s="432"/>
      <c r="O121" s="432"/>
      <c r="P121" s="432"/>
      <c r="Q121" s="432"/>
      <c r="R121" s="432"/>
      <c r="S121" s="432"/>
      <c r="T121" s="432"/>
      <c r="U121" s="432"/>
      <c r="V121" s="432"/>
      <c r="W121" s="432"/>
      <c r="X121" s="432"/>
      <c r="Y121" s="432"/>
      <c r="Z121" s="432"/>
      <c r="AA121" s="432"/>
      <c r="AB121" s="432"/>
      <c r="AC121" s="432"/>
      <c r="AD121" s="432"/>
      <c r="AE121" s="432"/>
    </row>
    <row r="122">
      <c r="A122" s="432"/>
      <c r="B122" s="432"/>
      <c r="C122" s="432"/>
      <c r="D122" s="432"/>
      <c r="E122" s="432"/>
      <c r="F122" s="432"/>
      <c r="G122" s="432"/>
      <c r="H122" s="432"/>
      <c r="I122" s="432"/>
      <c r="J122" s="432"/>
      <c r="K122" s="432"/>
      <c r="L122" s="432"/>
      <c r="M122" s="432"/>
      <c r="N122" s="432"/>
      <c r="O122" s="432"/>
      <c r="P122" s="432"/>
      <c r="Q122" s="432"/>
      <c r="R122" s="432"/>
      <c r="S122" s="432"/>
      <c r="T122" s="432"/>
      <c r="U122" s="432"/>
      <c r="V122" s="432"/>
      <c r="W122" s="432"/>
      <c r="X122" s="432"/>
      <c r="Y122" s="432"/>
      <c r="Z122" s="432"/>
      <c r="AA122" s="432"/>
      <c r="AB122" s="432"/>
      <c r="AC122" s="432"/>
      <c r="AD122" s="432"/>
      <c r="AE122" s="432"/>
    </row>
    <row r="123">
      <c r="A123" s="432"/>
      <c r="B123" s="432"/>
      <c r="C123" s="432"/>
      <c r="D123" s="432"/>
      <c r="E123" s="432"/>
      <c r="F123" s="432"/>
      <c r="G123" s="432"/>
      <c r="H123" s="432"/>
      <c r="I123" s="432"/>
      <c r="J123" s="432"/>
      <c r="K123" s="432"/>
      <c r="L123" s="432"/>
      <c r="M123" s="432"/>
      <c r="N123" s="432"/>
      <c r="O123" s="432"/>
      <c r="P123" s="432"/>
      <c r="Q123" s="432"/>
      <c r="R123" s="432"/>
      <c r="S123" s="432"/>
      <c r="T123" s="432"/>
      <c r="U123" s="432"/>
      <c r="V123" s="432"/>
      <c r="W123" s="432"/>
      <c r="X123" s="432"/>
      <c r="Y123" s="432"/>
      <c r="Z123" s="432"/>
      <c r="AA123" s="432"/>
      <c r="AB123" s="432"/>
      <c r="AC123" s="432"/>
      <c r="AD123" s="432"/>
      <c r="AE123" s="432"/>
    </row>
    <row r="124">
      <c r="A124" s="432"/>
      <c r="B124" s="432"/>
      <c r="C124" s="432"/>
      <c r="D124" s="432"/>
      <c r="E124" s="432"/>
      <c r="F124" s="432"/>
      <c r="G124" s="432"/>
      <c r="H124" s="432"/>
      <c r="I124" s="432"/>
      <c r="J124" s="432"/>
      <c r="K124" s="432"/>
      <c r="L124" s="432"/>
      <c r="M124" s="432"/>
      <c r="N124" s="432"/>
      <c r="O124" s="432"/>
      <c r="P124" s="432"/>
      <c r="Q124" s="432"/>
      <c r="R124" s="432"/>
      <c r="S124" s="432"/>
      <c r="T124" s="432"/>
      <c r="U124" s="432"/>
      <c r="V124" s="432"/>
      <c r="W124" s="432"/>
      <c r="X124" s="432"/>
      <c r="Y124" s="432"/>
      <c r="Z124" s="432"/>
      <c r="AA124" s="432"/>
      <c r="AB124" s="432"/>
      <c r="AC124" s="432"/>
      <c r="AD124" s="432"/>
      <c r="AE124" s="432"/>
    </row>
    <row r="125">
      <c r="A125" s="432"/>
      <c r="B125" s="432"/>
      <c r="C125" s="432"/>
      <c r="D125" s="432"/>
      <c r="E125" s="432"/>
      <c r="F125" s="43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c r="AC125" s="432"/>
      <c r="AD125" s="432"/>
      <c r="AE125" s="432"/>
    </row>
    <row r="126">
      <c r="A126" s="432"/>
      <c r="B126" s="432"/>
      <c r="C126" s="432"/>
      <c r="D126" s="432"/>
      <c r="E126" s="432"/>
      <c r="F126" s="432"/>
      <c r="G126" s="432"/>
      <c r="H126" s="432"/>
      <c r="I126" s="432"/>
      <c r="J126" s="432"/>
      <c r="K126" s="432"/>
      <c r="L126" s="432"/>
      <c r="M126" s="432"/>
      <c r="N126" s="432"/>
      <c r="O126" s="432"/>
      <c r="P126" s="432"/>
      <c r="Q126" s="432"/>
      <c r="R126" s="432"/>
      <c r="S126" s="432"/>
      <c r="T126" s="432"/>
      <c r="U126" s="432"/>
      <c r="V126" s="432"/>
      <c r="W126" s="432"/>
      <c r="X126" s="432"/>
      <c r="Y126" s="432"/>
      <c r="Z126" s="432"/>
      <c r="AA126" s="432"/>
      <c r="AB126" s="432"/>
      <c r="AC126" s="432"/>
      <c r="AD126" s="432"/>
      <c r="AE126" s="432"/>
    </row>
    <row r="127">
      <c r="A127" s="432"/>
      <c r="B127" s="432"/>
      <c r="C127" s="432"/>
      <c r="D127" s="432"/>
      <c r="E127" s="432"/>
      <c r="F127" s="432"/>
      <c r="G127" s="432"/>
      <c r="H127" s="432"/>
      <c r="I127" s="432"/>
      <c r="J127" s="432"/>
      <c r="K127" s="432"/>
      <c r="L127" s="432"/>
      <c r="M127" s="432"/>
      <c r="N127" s="432"/>
      <c r="O127" s="432"/>
      <c r="P127" s="432"/>
      <c r="Q127" s="432"/>
      <c r="R127" s="432"/>
      <c r="S127" s="432"/>
      <c r="T127" s="432"/>
      <c r="U127" s="432"/>
      <c r="V127" s="432"/>
      <c r="W127" s="432"/>
      <c r="X127" s="432"/>
      <c r="Y127" s="432"/>
      <c r="Z127" s="432"/>
      <c r="AA127" s="432"/>
      <c r="AB127" s="432"/>
      <c r="AC127" s="432"/>
      <c r="AD127" s="432"/>
      <c r="AE127" s="432"/>
    </row>
    <row r="128">
      <c r="A128" s="432"/>
      <c r="B128" s="432"/>
      <c r="C128" s="432"/>
      <c r="D128" s="432"/>
      <c r="E128" s="432"/>
      <c r="F128" s="432"/>
      <c r="G128" s="432"/>
      <c r="H128" s="432"/>
      <c r="I128" s="432"/>
      <c r="J128" s="432"/>
      <c r="K128" s="432"/>
      <c r="L128" s="432"/>
      <c r="M128" s="432"/>
      <c r="N128" s="432"/>
      <c r="O128" s="432"/>
      <c r="P128" s="432"/>
      <c r="Q128" s="432"/>
      <c r="R128" s="432"/>
      <c r="S128" s="432"/>
      <c r="T128" s="432"/>
      <c r="U128" s="432"/>
      <c r="V128" s="432"/>
      <c r="W128" s="432"/>
      <c r="X128" s="432"/>
      <c r="Y128" s="432"/>
      <c r="Z128" s="432"/>
      <c r="AA128" s="432"/>
      <c r="AB128" s="432"/>
      <c r="AC128" s="432"/>
      <c r="AD128" s="432"/>
      <c r="AE128" s="432"/>
    </row>
    <row r="129">
      <c r="A129" s="432"/>
      <c r="B129" s="432"/>
      <c r="C129" s="432"/>
      <c r="D129" s="432"/>
      <c r="E129" s="432"/>
      <c r="F129" s="432"/>
      <c r="G129" s="432"/>
      <c r="H129" s="432"/>
      <c r="I129" s="432"/>
      <c r="J129" s="432"/>
      <c r="K129" s="432"/>
      <c r="L129" s="432"/>
      <c r="M129" s="432"/>
      <c r="N129" s="432"/>
      <c r="O129" s="432"/>
      <c r="P129" s="432"/>
      <c r="Q129" s="432"/>
      <c r="R129" s="432"/>
      <c r="S129" s="432"/>
      <c r="T129" s="432"/>
      <c r="U129" s="432"/>
      <c r="V129" s="432"/>
      <c r="W129" s="432"/>
      <c r="X129" s="432"/>
      <c r="Y129" s="432"/>
      <c r="Z129" s="432"/>
      <c r="AA129" s="432"/>
      <c r="AB129" s="432"/>
      <c r="AC129" s="432"/>
      <c r="AD129" s="432"/>
      <c r="AE129" s="432"/>
    </row>
    <row r="130">
      <c r="A130" s="432"/>
      <c r="B130" s="432"/>
      <c r="C130" s="432"/>
      <c r="D130" s="432"/>
      <c r="E130" s="432"/>
      <c r="F130" s="432"/>
      <c r="G130" s="432"/>
      <c r="H130" s="432"/>
      <c r="I130" s="432"/>
      <c r="J130" s="432"/>
      <c r="K130" s="432"/>
      <c r="L130" s="432"/>
      <c r="M130" s="432"/>
      <c r="N130" s="432"/>
      <c r="O130" s="432"/>
      <c r="P130" s="432"/>
      <c r="Q130" s="432"/>
      <c r="R130" s="432"/>
      <c r="S130" s="432"/>
      <c r="T130" s="432"/>
      <c r="U130" s="432"/>
      <c r="V130" s="432"/>
      <c r="W130" s="432"/>
      <c r="X130" s="432"/>
      <c r="Y130" s="432"/>
      <c r="Z130" s="432"/>
      <c r="AA130" s="432"/>
      <c r="AB130" s="432"/>
      <c r="AC130" s="432"/>
      <c r="AD130" s="432"/>
      <c r="AE130" s="432"/>
    </row>
    <row r="131">
      <c r="A131" s="432"/>
      <c r="B131" s="432"/>
      <c r="C131" s="432"/>
      <c r="D131" s="432"/>
      <c r="E131" s="432"/>
      <c r="F131" s="432"/>
      <c r="G131" s="432"/>
      <c r="H131" s="432"/>
      <c r="I131" s="432"/>
      <c r="J131" s="432"/>
      <c r="K131" s="432"/>
      <c r="L131" s="432"/>
      <c r="M131" s="432"/>
      <c r="N131" s="432"/>
      <c r="O131" s="432"/>
      <c r="P131" s="432"/>
      <c r="Q131" s="432"/>
      <c r="R131" s="432"/>
      <c r="S131" s="432"/>
      <c r="T131" s="432"/>
      <c r="U131" s="432"/>
      <c r="V131" s="432"/>
      <c r="W131" s="432"/>
      <c r="X131" s="432"/>
      <c r="Y131" s="432"/>
      <c r="Z131" s="432"/>
      <c r="AA131" s="432"/>
      <c r="AB131" s="432"/>
      <c r="AC131" s="432"/>
      <c r="AD131" s="432"/>
      <c r="AE131" s="432"/>
    </row>
    <row r="132">
      <c r="A132" s="432"/>
      <c r="B132" s="432"/>
      <c r="C132" s="432"/>
      <c r="D132" s="432"/>
      <c r="E132" s="432"/>
      <c r="F132" s="432"/>
      <c r="G132" s="432"/>
      <c r="H132" s="432"/>
      <c r="I132" s="432"/>
      <c r="J132" s="432"/>
      <c r="K132" s="432"/>
      <c r="L132" s="432"/>
      <c r="M132" s="432"/>
      <c r="N132" s="432"/>
      <c r="O132" s="432"/>
      <c r="P132" s="432"/>
      <c r="Q132" s="432"/>
      <c r="R132" s="432"/>
      <c r="S132" s="432"/>
      <c r="T132" s="432"/>
      <c r="U132" s="432"/>
      <c r="V132" s="432"/>
      <c r="W132" s="432"/>
      <c r="X132" s="432"/>
      <c r="Y132" s="432"/>
      <c r="Z132" s="432"/>
      <c r="AA132" s="432"/>
      <c r="AB132" s="432"/>
      <c r="AC132" s="432"/>
      <c r="AD132" s="432"/>
      <c r="AE132" s="432"/>
    </row>
    <row r="133">
      <c r="A133" s="432"/>
      <c r="B133" s="432"/>
      <c r="C133" s="432"/>
      <c r="D133" s="432"/>
      <c r="E133" s="432"/>
      <c r="F133" s="432"/>
      <c r="G133" s="432"/>
      <c r="H133" s="432"/>
      <c r="I133" s="432"/>
      <c r="J133" s="432"/>
      <c r="K133" s="432"/>
      <c r="L133" s="432"/>
      <c r="M133" s="432"/>
      <c r="N133" s="432"/>
      <c r="O133" s="432"/>
      <c r="P133" s="432"/>
      <c r="Q133" s="432"/>
      <c r="R133" s="432"/>
      <c r="S133" s="432"/>
      <c r="T133" s="432"/>
      <c r="U133" s="432"/>
      <c r="V133" s="432"/>
      <c r="W133" s="432"/>
      <c r="X133" s="432"/>
      <c r="Y133" s="432"/>
      <c r="Z133" s="432"/>
      <c r="AA133" s="432"/>
      <c r="AB133" s="432"/>
      <c r="AC133" s="432"/>
      <c r="AD133" s="432"/>
      <c r="AE133" s="432"/>
    </row>
    <row r="134">
      <c r="A134" s="432"/>
      <c r="B134" s="432"/>
      <c r="C134" s="432"/>
      <c r="D134" s="432"/>
      <c r="E134" s="432"/>
      <c r="F134" s="432"/>
      <c r="G134" s="432"/>
      <c r="H134" s="432"/>
      <c r="I134" s="432"/>
      <c r="J134" s="432"/>
      <c r="K134" s="432"/>
      <c r="L134" s="432"/>
      <c r="M134" s="432"/>
      <c r="N134" s="432"/>
      <c r="O134" s="432"/>
      <c r="P134" s="432"/>
      <c r="Q134" s="432"/>
      <c r="R134" s="432"/>
      <c r="S134" s="432"/>
      <c r="T134" s="432"/>
      <c r="U134" s="432"/>
      <c r="V134" s="432"/>
      <c r="W134" s="432"/>
      <c r="X134" s="432"/>
      <c r="Y134" s="432"/>
      <c r="Z134" s="432"/>
      <c r="AA134" s="432"/>
      <c r="AB134" s="432"/>
      <c r="AC134" s="432"/>
      <c r="AD134" s="432"/>
      <c r="AE134" s="432"/>
    </row>
    <row r="135">
      <c r="A135" s="432"/>
      <c r="B135" s="432"/>
      <c r="C135" s="432"/>
      <c r="D135" s="432"/>
      <c r="E135" s="432"/>
      <c r="F135" s="432"/>
      <c r="G135" s="432"/>
      <c r="H135" s="432"/>
      <c r="I135" s="432"/>
      <c r="J135" s="432"/>
      <c r="K135" s="432"/>
      <c r="L135" s="432"/>
      <c r="M135" s="432"/>
      <c r="N135" s="432"/>
      <c r="O135" s="432"/>
      <c r="P135" s="432"/>
      <c r="Q135" s="432"/>
      <c r="R135" s="432"/>
      <c r="S135" s="432"/>
      <c r="T135" s="432"/>
      <c r="U135" s="432"/>
      <c r="V135" s="432"/>
      <c r="W135" s="432"/>
      <c r="X135" s="432"/>
      <c r="Y135" s="432"/>
      <c r="Z135" s="432"/>
      <c r="AA135" s="432"/>
      <c r="AB135" s="432"/>
      <c r="AC135" s="432"/>
      <c r="AD135" s="432"/>
      <c r="AE135" s="432"/>
    </row>
    <row r="136">
      <c r="A136" s="432"/>
      <c r="B136" s="432"/>
      <c r="C136" s="432"/>
      <c r="D136" s="432"/>
      <c r="E136" s="432"/>
      <c r="F136" s="432"/>
      <c r="G136" s="432"/>
      <c r="H136" s="432"/>
      <c r="I136" s="432"/>
      <c r="J136" s="432"/>
      <c r="K136" s="432"/>
      <c r="L136" s="432"/>
      <c r="M136" s="432"/>
      <c r="N136" s="432"/>
      <c r="O136" s="432"/>
      <c r="P136" s="432"/>
      <c r="Q136" s="432"/>
      <c r="R136" s="432"/>
      <c r="S136" s="432"/>
      <c r="T136" s="432"/>
      <c r="U136" s="432"/>
      <c r="V136" s="432"/>
      <c r="W136" s="432"/>
      <c r="X136" s="432"/>
      <c r="Y136" s="432"/>
      <c r="Z136" s="432"/>
      <c r="AA136" s="432"/>
      <c r="AB136" s="432"/>
      <c r="AC136" s="432"/>
      <c r="AD136" s="432"/>
      <c r="AE136" s="432"/>
    </row>
    <row r="137">
      <c r="A137" s="432"/>
      <c r="B137" s="432"/>
      <c r="C137" s="432"/>
      <c r="D137" s="432"/>
      <c r="E137" s="432"/>
      <c r="F137" s="432"/>
      <c r="G137" s="432"/>
      <c r="H137" s="432"/>
      <c r="I137" s="432"/>
      <c r="J137" s="432"/>
      <c r="K137" s="432"/>
      <c r="L137" s="432"/>
      <c r="M137" s="432"/>
      <c r="N137" s="432"/>
      <c r="O137" s="432"/>
      <c r="P137" s="432"/>
      <c r="Q137" s="432"/>
      <c r="R137" s="432"/>
      <c r="S137" s="432"/>
      <c r="T137" s="432"/>
      <c r="U137" s="432"/>
      <c r="V137" s="432"/>
      <c r="W137" s="432"/>
      <c r="X137" s="432"/>
      <c r="Y137" s="432"/>
      <c r="Z137" s="432"/>
      <c r="AA137" s="432"/>
      <c r="AB137" s="432"/>
      <c r="AC137" s="432"/>
      <c r="AD137" s="432"/>
      <c r="AE137" s="432"/>
    </row>
    <row r="138">
      <c r="A138" s="432"/>
      <c r="B138" s="432"/>
      <c r="C138" s="432"/>
      <c r="D138" s="432"/>
      <c r="E138" s="432"/>
      <c r="F138" s="432"/>
      <c r="G138" s="432"/>
      <c r="H138" s="432"/>
      <c r="I138" s="432"/>
      <c r="J138" s="432"/>
      <c r="K138" s="432"/>
      <c r="L138" s="432"/>
      <c r="M138" s="432"/>
      <c r="N138" s="432"/>
      <c r="O138" s="432"/>
      <c r="P138" s="432"/>
      <c r="Q138" s="432"/>
      <c r="R138" s="432"/>
      <c r="S138" s="432"/>
      <c r="T138" s="432"/>
      <c r="U138" s="432"/>
      <c r="V138" s="432"/>
      <c r="W138" s="432"/>
      <c r="X138" s="432"/>
      <c r="Y138" s="432"/>
      <c r="Z138" s="432"/>
      <c r="AA138" s="432"/>
      <c r="AB138" s="432"/>
      <c r="AC138" s="432"/>
      <c r="AD138" s="432"/>
      <c r="AE138" s="432"/>
    </row>
    <row r="139">
      <c r="A139" s="432"/>
      <c r="B139" s="432"/>
      <c r="C139" s="432"/>
      <c r="D139" s="432"/>
      <c r="E139" s="432"/>
      <c r="F139" s="432"/>
      <c r="G139" s="432"/>
      <c r="H139" s="432"/>
      <c r="I139" s="432"/>
      <c r="J139" s="432"/>
      <c r="K139" s="432"/>
      <c r="L139" s="432"/>
      <c r="M139" s="432"/>
      <c r="N139" s="432"/>
      <c r="O139" s="432"/>
      <c r="P139" s="432"/>
      <c r="Q139" s="432"/>
      <c r="R139" s="432"/>
      <c r="S139" s="432"/>
      <c r="T139" s="432"/>
      <c r="U139" s="432"/>
      <c r="V139" s="432"/>
      <c r="W139" s="432"/>
      <c r="X139" s="432"/>
      <c r="Y139" s="432"/>
      <c r="Z139" s="432"/>
      <c r="AA139" s="432"/>
      <c r="AB139" s="432"/>
      <c r="AC139" s="432"/>
      <c r="AD139" s="432"/>
      <c r="AE139" s="432"/>
    </row>
    <row r="140">
      <c r="A140" s="432"/>
      <c r="B140" s="432"/>
      <c r="C140" s="432"/>
      <c r="D140" s="432"/>
      <c r="E140" s="432"/>
      <c r="F140" s="432"/>
      <c r="G140" s="432"/>
      <c r="H140" s="432"/>
      <c r="I140" s="432"/>
      <c r="J140" s="432"/>
      <c r="K140" s="432"/>
      <c r="L140" s="432"/>
      <c r="M140" s="432"/>
      <c r="N140" s="432"/>
      <c r="O140" s="432"/>
      <c r="P140" s="432"/>
      <c r="Q140" s="432"/>
      <c r="R140" s="432"/>
      <c r="S140" s="432"/>
      <c r="T140" s="432"/>
      <c r="U140" s="432"/>
      <c r="V140" s="432"/>
      <c r="W140" s="432"/>
      <c r="X140" s="432"/>
      <c r="Y140" s="432"/>
      <c r="Z140" s="432"/>
      <c r="AA140" s="432"/>
      <c r="AB140" s="432"/>
      <c r="AC140" s="432"/>
      <c r="AD140" s="432"/>
      <c r="AE140" s="432"/>
    </row>
    <row r="141">
      <c r="A141" s="432"/>
      <c r="B141" s="432"/>
      <c r="C141" s="432"/>
      <c r="D141" s="432"/>
      <c r="E141" s="432"/>
      <c r="F141" s="432"/>
      <c r="G141" s="432"/>
      <c r="H141" s="432"/>
      <c r="I141" s="432"/>
      <c r="J141" s="432"/>
      <c r="K141" s="432"/>
      <c r="L141" s="432"/>
      <c r="M141" s="432"/>
      <c r="N141" s="432"/>
      <c r="O141" s="432"/>
      <c r="P141" s="432"/>
      <c r="Q141" s="432"/>
      <c r="R141" s="432"/>
      <c r="S141" s="432"/>
      <c r="T141" s="432"/>
      <c r="U141" s="432"/>
      <c r="V141" s="432"/>
      <c r="W141" s="432"/>
      <c r="X141" s="432"/>
      <c r="Y141" s="432"/>
      <c r="Z141" s="432"/>
      <c r="AA141" s="432"/>
      <c r="AB141" s="432"/>
      <c r="AC141" s="432"/>
      <c r="AD141" s="432"/>
      <c r="AE141" s="432"/>
    </row>
    <row r="142">
      <c r="A142" s="432"/>
      <c r="B142" s="432"/>
      <c r="C142" s="432"/>
      <c r="D142" s="432"/>
      <c r="E142" s="432"/>
      <c r="F142" s="432"/>
      <c r="G142" s="432"/>
      <c r="H142" s="432"/>
      <c r="I142" s="432"/>
      <c r="J142" s="432"/>
      <c r="K142" s="432"/>
      <c r="L142" s="432"/>
      <c r="M142" s="432"/>
      <c r="N142" s="432"/>
      <c r="O142" s="432"/>
      <c r="P142" s="432"/>
      <c r="Q142" s="432"/>
      <c r="R142" s="432"/>
      <c r="S142" s="432"/>
      <c r="T142" s="432"/>
      <c r="U142" s="432"/>
      <c r="V142" s="432"/>
      <c r="W142" s="432"/>
      <c r="X142" s="432"/>
      <c r="Y142" s="432"/>
      <c r="Z142" s="432"/>
      <c r="AA142" s="432"/>
      <c r="AB142" s="432"/>
      <c r="AC142" s="432"/>
      <c r="AD142" s="432"/>
      <c r="AE142" s="432"/>
    </row>
    <row r="143">
      <c r="A143" s="432"/>
      <c r="B143" s="432"/>
      <c r="C143" s="432"/>
      <c r="D143" s="432"/>
      <c r="E143" s="432"/>
      <c r="F143" s="432"/>
      <c r="G143" s="432"/>
      <c r="H143" s="432"/>
      <c r="I143" s="432"/>
      <c r="J143" s="432"/>
      <c r="K143" s="432"/>
      <c r="L143" s="432"/>
      <c r="M143" s="432"/>
      <c r="N143" s="432"/>
      <c r="O143" s="432"/>
      <c r="P143" s="432"/>
      <c r="Q143" s="432"/>
      <c r="R143" s="432"/>
      <c r="S143" s="432"/>
      <c r="T143" s="432"/>
      <c r="U143" s="432"/>
      <c r="V143" s="432"/>
      <c r="W143" s="432"/>
      <c r="X143" s="432"/>
      <c r="Y143" s="432"/>
      <c r="Z143" s="432"/>
      <c r="AA143" s="432"/>
      <c r="AB143" s="432"/>
      <c r="AC143" s="432"/>
      <c r="AD143" s="432"/>
      <c r="AE143" s="432"/>
    </row>
    <row r="144">
      <c r="A144" s="432"/>
      <c r="B144" s="432"/>
      <c r="C144" s="432"/>
      <c r="D144" s="432"/>
      <c r="E144" s="432"/>
      <c r="F144" s="432"/>
      <c r="G144" s="432"/>
      <c r="H144" s="432"/>
      <c r="I144" s="432"/>
      <c r="J144" s="432"/>
      <c r="K144" s="432"/>
      <c r="L144" s="432"/>
      <c r="M144" s="432"/>
      <c r="N144" s="432"/>
      <c r="O144" s="432"/>
      <c r="P144" s="432"/>
      <c r="Q144" s="432"/>
      <c r="R144" s="432"/>
      <c r="S144" s="432"/>
      <c r="T144" s="432"/>
      <c r="U144" s="432"/>
      <c r="V144" s="432"/>
      <c r="W144" s="432"/>
      <c r="X144" s="432"/>
      <c r="Y144" s="432"/>
      <c r="Z144" s="432"/>
      <c r="AA144" s="432"/>
      <c r="AB144" s="432"/>
      <c r="AC144" s="432"/>
      <c r="AD144" s="432"/>
      <c r="AE144" s="432"/>
    </row>
    <row r="145">
      <c r="A145" s="432"/>
      <c r="B145" s="432"/>
      <c r="C145" s="432"/>
      <c r="D145" s="432"/>
      <c r="E145" s="432"/>
      <c r="F145" s="432"/>
      <c r="G145" s="432"/>
      <c r="H145" s="432"/>
      <c r="I145" s="432"/>
      <c r="J145" s="432"/>
      <c r="K145" s="432"/>
      <c r="L145" s="432"/>
      <c r="M145" s="432"/>
      <c r="N145" s="432"/>
      <c r="O145" s="432"/>
      <c r="P145" s="432"/>
      <c r="Q145" s="432"/>
      <c r="R145" s="432"/>
      <c r="S145" s="432"/>
      <c r="T145" s="432"/>
      <c r="U145" s="432"/>
      <c r="V145" s="432"/>
      <c r="W145" s="432"/>
      <c r="X145" s="432"/>
      <c r="Y145" s="432"/>
      <c r="Z145" s="432"/>
      <c r="AA145" s="432"/>
      <c r="AB145" s="432"/>
      <c r="AC145" s="432"/>
      <c r="AD145" s="432"/>
      <c r="AE145" s="432"/>
    </row>
    <row r="146">
      <c r="A146" s="432"/>
      <c r="B146" s="432"/>
      <c r="C146" s="432"/>
      <c r="D146" s="432"/>
      <c r="E146" s="432"/>
      <c r="F146" s="432"/>
      <c r="G146" s="432"/>
      <c r="H146" s="432"/>
      <c r="I146" s="432"/>
      <c r="J146" s="432"/>
      <c r="K146" s="432"/>
      <c r="L146" s="432"/>
      <c r="M146" s="432"/>
      <c r="N146" s="432"/>
      <c r="O146" s="432"/>
      <c r="P146" s="432"/>
      <c r="Q146" s="432"/>
      <c r="R146" s="432"/>
      <c r="S146" s="432"/>
      <c r="T146" s="432"/>
      <c r="U146" s="432"/>
      <c r="V146" s="432"/>
      <c r="W146" s="432"/>
      <c r="X146" s="432"/>
      <c r="Y146" s="432"/>
      <c r="Z146" s="432"/>
      <c r="AA146" s="432"/>
      <c r="AB146" s="432"/>
      <c r="AC146" s="432"/>
      <c r="AD146" s="432"/>
      <c r="AE146" s="432"/>
    </row>
    <row r="147">
      <c r="A147" s="432"/>
      <c r="B147" s="432"/>
      <c r="C147" s="432"/>
      <c r="D147" s="432"/>
      <c r="E147" s="432"/>
      <c r="F147" s="432"/>
      <c r="G147" s="432"/>
      <c r="H147" s="432"/>
      <c r="I147" s="432"/>
      <c r="J147" s="432"/>
      <c r="K147" s="432"/>
      <c r="L147" s="432"/>
      <c r="M147" s="432"/>
      <c r="N147" s="432"/>
      <c r="O147" s="432"/>
      <c r="P147" s="432"/>
      <c r="Q147" s="432"/>
      <c r="R147" s="432"/>
      <c r="S147" s="432"/>
      <c r="T147" s="432"/>
      <c r="U147" s="432"/>
      <c r="V147" s="432"/>
      <c r="W147" s="432"/>
      <c r="X147" s="432"/>
      <c r="Y147" s="432"/>
      <c r="Z147" s="432"/>
      <c r="AA147" s="432"/>
      <c r="AB147" s="432"/>
      <c r="AC147" s="432"/>
      <c r="AD147" s="432"/>
      <c r="AE147" s="432"/>
    </row>
    <row r="148">
      <c r="A148" s="432"/>
      <c r="B148" s="432"/>
      <c r="C148" s="432"/>
      <c r="D148" s="432"/>
      <c r="E148" s="432"/>
      <c r="F148" s="432"/>
      <c r="G148" s="432"/>
      <c r="H148" s="432"/>
      <c r="I148" s="432"/>
      <c r="J148" s="432"/>
      <c r="K148" s="432"/>
      <c r="L148" s="432"/>
      <c r="M148" s="432"/>
      <c r="N148" s="432"/>
      <c r="O148" s="432"/>
      <c r="P148" s="432"/>
      <c r="Q148" s="432"/>
      <c r="R148" s="432"/>
      <c r="S148" s="432"/>
      <c r="T148" s="432"/>
      <c r="U148" s="432"/>
      <c r="V148" s="432"/>
      <c r="W148" s="432"/>
      <c r="X148" s="432"/>
      <c r="Y148" s="432"/>
      <c r="Z148" s="432"/>
      <c r="AA148" s="432"/>
      <c r="AB148" s="432"/>
      <c r="AC148" s="432"/>
      <c r="AD148" s="432"/>
      <c r="AE148" s="432"/>
    </row>
    <row r="149">
      <c r="A149" s="432"/>
      <c r="B149" s="432"/>
      <c r="C149" s="432"/>
      <c r="D149" s="432"/>
      <c r="E149" s="432"/>
      <c r="F149" s="432"/>
      <c r="G149" s="432"/>
      <c r="H149" s="432"/>
      <c r="I149" s="432"/>
      <c r="J149" s="432"/>
      <c r="K149" s="432"/>
      <c r="L149" s="432"/>
      <c r="M149" s="432"/>
      <c r="N149" s="432"/>
      <c r="O149" s="432"/>
      <c r="P149" s="432"/>
      <c r="Q149" s="432"/>
      <c r="R149" s="432"/>
      <c r="S149" s="432"/>
      <c r="T149" s="432"/>
      <c r="U149" s="432"/>
      <c r="V149" s="432"/>
      <c r="W149" s="432"/>
      <c r="X149" s="432"/>
      <c r="Y149" s="432"/>
      <c r="Z149" s="432"/>
      <c r="AA149" s="432"/>
      <c r="AB149" s="432"/>
      <c r="AC149" s="432"/>
      <c r="AD149" s="432"/>
      <c r="AE149" s="432"/>
    </row>
    <row r="150">
      <c r="A150" s="432"/>
      <c r="B150" s="432"/>
      <c r="C150" s="432"/>
      <c r="D150" s="432"/>
      <c r="E150" s="432"/>
      <c r="F150" s="432"/>
      <c r="G150" s="432"/>
      <c r="H150" s="432"/>
      <c r="I150" s="432"/>
      <c r="J150" s="432"/>
      <c r="K150" s="432"/>
      <c r="L150" s="432"/>
      <c r="M150" s="432"/>
      <c r="N150" s="432"/>
      <c r="O150" s="432"/>
      <c r="P150" s="432"/>
      <c r="Q150" s="432"/>
      <c r="R150" s="432"/>
      <c r="S150" s="432"/>
      <c r="T150" s="432"/>
      <c r="U150" s="432"/>
      <c r="V150" s="432"/>
      <c r="W150" s="432"/>
      <c r="X150" s="432"/>
      <c r="Y150" s="432"/>
      <c r="Z150" s="432"/>
      <c r="AA150" s="432"/>
      <c r="AB150" s="432"/>
      <c r="AC150" s="432"/>
      <c r="AD150" s="432"/>
      <c r="AE150" s="432"/>
    </row>
    <row r="151">
      <c r="A151" s="432"/>
      <c r="B151" s="432"/>
      <c r="C151" s="432"/>
      <c r="D151" s="432"/>
      <c r="E151" s="432"/>
      <c r="F151" s="432"/>
      <c r="G151" s="432"/>
      <c r="H151" s="432"/>
      <c r="I151" s="432"/>
      <c r="J151" s="432"/>
      <c r="K151" s="432"/>
      <c r="L151" s="432"/>
      <c r="M151" s="432"/>
      <c r="N151" s="432"/>
      <c r="O151" s="432"/>
      <c r="P151" s="432"/>
      <c r="Q151" s="432"/>
      <c r="R151" s="432"/>
      <c r="S151" s="432"/>
      <c r="T151" s="432"/>
      <c r="U151" s="432"/>
      <c r="V151" s="432"/>
      <c r="W151" s="432"/>
      <c r="X151" s="432"/>
      <c r="Y151" s="432"/>
      <c r="Z151" s="432"/>
      <c r="AA151" s="432"/>
      <c r="AB151" s="432"/>
      <c r="AC151" s="432"/>
      <c r="AD151" s="432"/>
      <c r="AE151" s="432"/>
    </row>
    <row r="152">
      <c r="A152" s="432"/>
      <c r="B152" s="432"/>
      <c r="C152" s="432"/>
      <c r="D152" s="432"/>
      <c r="E152" s="432"/>
      <c r="F152" s="432"/>
      <c r="G152" s="432"/>
      <c r="H152" s="432"/>
      <c r="I152" s="432"/>
      <c r="J152" s="432"/>
      <c r="K152" s="432"/>
      <c r="L152" s="432"/>
      <c r="M152" s="432"/>
      <c r="N152" s="432"/>
      <c r="O152" s="432"/>
      <c r="P152" s="432"/>
      <c r="Q152" s="432"/>
      <c r="R152" s="432"/>
      <c r="S152" s="432"/>
      <c r="T152" s="432"/>
      <c r="U152" s="432"/>
      <c r="V152" s="432"/>
      <c r="W152" s="432"/>
      <c r="X152" s="432"/>
      <c r="Y152" s="432"/>
      <c r="Z152" s="432"/>
      <c r="AA152" s="432"/>
      <c r="AB152" s="432"/>
      <c r="AC152" s="432"/>
      <c r="AD152" s="432"/>
      <c r="AE152" s="432"/>
    </row>
    <row r="153">
      <c r="A153" s="432"/>
      <c r="B153" s="432"/>
      <c r="C153" s="432"/>
      <c r="D153" s="432"/>
      <c r="E153" s="432"/>
      <c r="F153" s="432"/>
      <c r="G153" s="432"/>
      <c r="H153" s="432"/>
      <c r="I153" s="432"/>
      <c r="J153" s="432"/>
      <c r="K153" s="432"/>
      <c r="L153" s="432"/>
      <c r="M153" s="432"/>
      <c r="N153" s="432"/>
      <c r="O153" s="432"/>
      <c r="P153" s="432"/>
      <c r="Q153" s="432"/>
      <c r="R153" s="432"/>
      <c r="S153" s="432"/>
      <c r="T153" s="432"/>
      <c r="U153" s="432"/>
      <c r="V153" s="432"/>
      <c r="W153" s="432"/>
      <c r="X153" s="432"/>
      <c r="Y153" s="432"/>
      <c r="Z153" s="432"/>
      <c r="AA153" s="432"/>
      <c r="AB153" s="432"/>
      <c r="AC153" s="432"/>
      <c r="AD153" s="432"/>
      <c r="AE153" s="432"/>
    </row>
    <row r="154">
      <c r="A154" s="432"/>
      <c r="B154" s="432"/>
      <c r="C154" s="432"/>
      <c r="D154" s="432"/>
      <c r="E154" s="432"/>
      <c r="F154" s="432"/>
      <c r="G154" s="432"/>
      <c r="H154" s="432"/>
      <c r="I154" s="432"/>
      <c r="J154" s="432"/>
      <c r="K154" s="432"/>
      <c r="L154" s="432"/>
      <c r="M154" s="432"/>
      <c r="N154" s="432"/>
      <c r="O154" s="432"/>
      <c r="P154" s="432"/>
      <c r="Q154" s="432"/>
      <c r="R154" s="432"/>
      <c r="S154" s="432"/>
      <c r="T154" s="432"/>
      <c r="U154" s="432"/>
      <c r="V154" s="432"/>
      <c r="W154" s="432"/>
      <c r="X154" s="432"/>
      <c r="Y154" s="432"/>
      <c r="Z154" s="432"/>
      <c r="AA154" s="432"/>
      <c r="AB154" s="432"/>
      <c r="AC154" s="432"/>
      <c r="AD154" s="432"/>
      <c r="AE154" s="432"/>
    </row>
    <row r="155">
      <c r="A155" s="432"/>
      <c r="B155" s="432"/>
      <c r="C155" s="432"/>
      <c r="D155" s="432"/>
      <c r="E155" s="432"/>
      <c r="F155" s="432"/>
      <c r="G155" s="432"/>
      <c r="H155" s="432"/>
      <c r="I155" s="432"/>
      <c r="J155" s="432"/>
      <c r="K155" s="432"/>
      <c r="L155" s="432"/>
      <c r="M155" s="432"/>
      <c r="N155" s="432"/>
      <c r="O155" s="432"/>
      <c r="P155" s="432"/>
      <c r="Q155" s="432"/>
      <c r="R155" s="432"/>
      <c r="S155" s="432"/>
      <c r="T155" s="432"/>
      <c r="U155" s="432"/>
      <c r="V155" s="432"/>
      <c r="W155" s="432"/>
      <c r="X155" s="432"/>
      <c r="Y155" s="432"/>
      <c r="Z155" s="432"/>
      <c r="AA155" s="432"/>
      <c r="AB155" s="432"/>
      <c r="AC155" s="432"/>
      <c r="AD155" s="432"/>
      <c r="AE155" s="432"/>
    </row>
    <row r="156">
      <c r="A156" s="432"/>
      <c r="B156" s="432"/>
      <c r="C156" s="432"/>
      <c r="D156" s="432"/>
      <c r="E156" s="432"/>
      <c r="F156" s="432"/>
      <c r="G156" s="432"/>
      <c r="H156" s="432"/>
      <c r="I156" s="432"/>
      <c r="J156" s="432"/>
      <c r="K156" s="432"/>
      <c r="L156" s="432"/>
      <c r="M156" s="432"/>
      <c r="N156" s="432"/>
      <c r="O156" s="432"/>
      <c r="P156" s="432"/>
      <c r="Q156" s="432"/>
      <c r="R156" s="432"/>
      <c r="S156" s="432"/>
      <c r="T156" s="432"/>
      <c r="U156" s="432"/>
      <c r="V156" s="432"/>
      <c r="W156" s="432"/>
      <c r="X156" s="432"/>
      <c r="Y156" s="432"/>
      <c r="Z156" s="432"/>
      <c r="AA156" s="432"/>
      <c r="AB156" s="432"/>
      <c r="AC156" s="432"/>
      <c r="AD156" s="432"/>
      <c r="AE156" s="432"/>
    </row>
    <row r="157">
      <c r="A157" s="432"/>
      <c r="B157" s="432"/>
      <c r="C157" s="432"/>
      <c r="D157" s="432"/>
      <c r="E157" s="432"/>
      <c r="F157" s="432"/>
      <c r="G157" s="432"/>
      <c r="H157" s="432"/>
      <c r="I157" s="432"/>
      <c r="J157" s="432"/>
      <c r="K157" s="432"/>
      <c r="L157" s="432"/>
      <c r="M157" s="432"/>
      <c r="N157" s="432"/>
      <c r="O157" s="432"/>
      <c r="P157" s="432"/>
      <c r="Q157" s="432"/>
      <c r="R157" s="432"/>
      <c r="S157" s="432"/>
      <c r="T157" s="432"/>
      <c r="U157" s="432"/>
      <c r="V157" s="432"/>
      <c r="W157" s="432"/>
      <c r="X157" s="432"/>
      <c r="Y157" s="432"/>
      <c r="Z157" s="432"/>
      <c r="AA157" s="432"/>
      <c r="AB157" s="432"/>
      <c r="AC157" s="432"/>
      <c r="AD157" s="432"/>
      <c r="AE157" s="432"/>
    </row>
    <row r="158">
      <c r="A158" s="432"/>
      <c r="B158" s="432"/>
      <c r="C158" s="432"/>
      <c r="D158" s="432"/>
      <c r="E158" s="432"/>
      <c r="F158" s="432"/>
      <c r="G158" s="432"/>
      <c r="H158" s="432"/>
      <c r="I158" s="432"/>
      <c r="J158" s="432"/>
      <c r="K158" s="432"/>
      <c r="L158" s="432"/>
      <c r="M158" s="432"/>
      <c r="N158" s="432"/>
      <c r="O158" s="432"/>
      <c r="P158" s="432"/>
      <c r="Q158" s="432"/>
      <c r="R158" s="432"/>
      <c r="S158" s="432"/>
      <c r="T158" s="432"/>
      <c r="U158" s="432"/>
      <c r="V158" s="432"/>
      <c r="W158" s="432"/>
      <c r="X158" s="432"/>
      <c r="Y158" s="432"/>
      <c r="Z158" s="432"/>
      <c r="AA158" s="432"/>
      <c r="AB158" s="432"/>
      <c r="AC158" s="432"/>
      <c r="AD158" s="432"/>
      <c r="AE158" s="432"/>
    </row>
    <row r="159">
      <c r="A159" s="432"/>
      <c r="B159" s="432"/>
      <c r="C159" s="432"/>
      <c r="D159" s="432"/>
      <c r="E159" s="432"/>
      <c r="F159" s="432"/>
      <c r="G159" s="432"/>
      <c r="H159" s="432"/>
      <c r="I159" s="432"/>
      <c r="J159" s="432"/>
      <c r="K159" s="432"/>
      <c r="L159" s="432"/>
      <c r="M159" s="432"/>
      <c r="N159" s="432"/>
      <c r="O159" s="432"/>
      <c r="P159" s="432"/>
      <c r="Q159" s="432"/>
      <c r="R159" s="432"/>
      <c r="S159" s="432"/>
      <c r="T159" s="432"/>
      <c r="U159" s="432"/>
      <c r="V159" s="432"/>
      <c r="W159" s="432"/>
      <c r="X159" s="432"/>
      <c r="Y159" s="432"/>
      <c r="Z159" s="432"/>
      <c r="AA159" s="432"/>
      <c r="AB159" s="432"/>
      <c r="AC159" s="432"/>
      <c r="AD159" s="432"/>
      <c r="AE159" s="432"/>
    </row>
    <row r="160">
      <c r="A160" s="432"/>
      <c r="B160" s="432"/>
      <c r="C160" s="432"/>
      <c r="D160" s="432"/>
      <c r="E160" s="432"/>
      <c r="F160" s="432"/>
      <c r="G160" s="432"/>
      <c r="H160" s="432"/>
      <c r="I160" s="432"/>
      <c r="J160" s="432"/>
      <c r="K160" s="432"/>
      <c r="L160" s="432"/>
      <c r="M160" s="432"/>
      <c r="N160" s="432"/>
      <c r="O160" s="432"/>
      <c r="P160" s="432"/>
      <c r="Q160" s="432"/>
      <c r="R160" s="432"/>
      <c r="S160" s="432"/>
      <c r="T160" s="432"/>
      <c r="U160" s="432"/>
      <c r="V160" s="432"/>
      <c r="W160" s="432"/>
      <c r="X160" s="432"/>
      <c r="Y160" s="432"/>
      <c r="Z160" s="432"/>
      <c r="AA160" s="432"/>
      <c r="AB160" s="432"/>
      <c r="AC160" s="432"/>
      <c r="AD160" s="432"/>
      <c r="AE160" s="432"/>
    </row>
    <row r="161">
      <c r="A161" s="432"/>
      <c r="B161" s="432"/>
      <c r="C161" s="432"/>
      <c r="D161" s="432"/>
      <c r="E161" s="432"/>
      <c r="F161" s="432"/>
      <c r="G161" s="432"/>
      <c r="H161" s="432"/>
      <c r="I161" s="432"/>
      <c r="J161" s="432"/>
      <c r="K161" s="432"/>
      <c r="L161" s="432"/>
      <c r="M161" s="432"/>
      <c r="N161" s="432"/>
      <c r="O161" s="432"/>
      <c r="P161" s="432"/>
      <c r="Q161" s="432"/>
      <c r="R161" s="432"/>
      <c r="S161" s="432"/>
      <c r="T161" s="432"/>
      <c r="U161" s="432"/>
      <c r="V161" s="432"/>
      <c r="W161" s="432"/>
      <c r="X161" s="432"/>
      <c r="Y161" s="432"/>
      <c r="Z161" s="432"/>
      <c r="AA161" s="432"/>
      <c r="AB161" s="432"/>
      <c r="AC161" s="432"/>
      <c r="AD161" s="432"/>
      <c r="AE161" s="432"/>
    </row>
    <row r="162">
      <c r="A162" s="432"/>
      <c r="B162" s="432"/>
      <c r="C162" s="432"/>
      <c r="D162" s="432"/>
      <c r="E162" s="432"/>
      <c r="F162" s="432"/>
      <c r="G162" s="432"/>
      <c r="H162" s="432"/>
      <c r="I162" s="432"/>
      <c r="J162" s="432"/>
      <c r="K162" s="432"/>
      <c r="L162" s="432"/>
      <c r="M162" s="432"/>
      <c r="N162" s="432"/>
      <c r="O162" s="432"/>
      <c r="P162" s="432"/>
      <c r="Q162" s="432"/>
      <c r="R162" s="432"/>
      <c r="S162" s="432"/>
      <c r="T162" s="432"/>
      <c r="U162" s="432"/>
      <c r="V162" s="432"/>
      <c r="W162" s="432"/>
      <c r="X162" s="432"/>
      <c r="Y162" s="432"/>
      <c r="Z162" s="432"/>
      <c r="AA162" s="432"/>
      <c r="AB162" s="432"/>
      <c r="AC162" s="432"/>
      <c r="AD162" s="432"/>
      <c r="AE162" s="432"/>
    </row>
    <row r="163">
      <c r="A163" s="432"/>
      <c r="B163" s="432"/>
      <c r="C163" s="432"/>
      <c r="D163" s="432"/>
      <c r="E163" s="432"/>
      <c r="F163" s="432"/>
      <c r="G163" s="432"/>
      <c r="H163" s="432"/>
      <c r="I163" s="432"/>
      <c r="J163" s="432"/>
      <c r="K163" s="432"/>
      <c r="L163" s="432"/>
      <c r="M163" s="432"/>
      <c r="N163" s="432"/>
      <c r="O163" s="432"/>
      <c r="P163" s="432"/>
      <c r="Q163" s="432"/>
      <c r="R163" s="432"/>
      <c r="S163" s="432"/>
      <c r="T163" s="432"/>
      <c r="U163" s="432"/>
      <c r="V163" s="432"/>
      <c r="W163" s="432"/>
      <c r="X163" s="432"/>
      <c r="Y163" s="432"/>
      <c r="Z163" s="432"/>
      <c r="AA163" s="432"/>
      <c r="AB163" s="432"/>
      <c r="AC163" s="432"/>
      <c r="AD163" s="432"/>
      <c r="AE163" s="432"/>
    </row>
    <row r="164">
      <c r="A164" s="432"/>
      <c r="B164" s="432"/>
      <c r="C164" s="432"/>
      <c r="D164" s="432"/>
      <c r="E164" s="432"/>
      <c r="F164" s="432"/>
      <c r="G164" s="432"/>
      <c r="H164" s="432"/>
      <c r="I164" s="432"/>
      <c r="J164" s="432"/>
      <c r="K164" s="432"/>
      <c r="L164" s="432"/>
      <c r="M164" s="432"/>
      <c r="N164" s="432"/>
      <c r="O164" s="432"/>
      <c r="P164" s="432"/>
      <c r="Q164" s="432"/>
      <c r="R164" s="432"/>
      <c r="S164" s="432"/>
      <c r="T164" s="432"/>
      <c r="U164" s="432"/>
      <c r="V164" s="432"/>
      <c r="W164" s="432"/>
      <c r="X164" s="432"/>
      <c r="Y164" s="432"/>
      <c r="Z164" s="432"/>
      <c r="AA164" s="432"/>
      <c r="AB164" s="432"/>
      <c r="AC164" s="432"/>
      <c r="AD164" s="432"/>
      <c r="AE164" s="432"/>
    </row>
    <row r="165">
      <c r="A165" s="432"/>
      <c r="B165" s="432"/>
      <c r="C165" s="432"/>
      <c r="D165" s="432"/>
      <c r="E165" s="432"/>
      <c r="F165" s="432"/>
      <c r="G165" s="432"/>
      <c r="H165" s="432"/>
      <c r="I165" s="432"/>
      <c r="J165" s="432"/>
      <c r="K165" s="432"/>
      <c r="L165" s="432"/>
      <c r="M165" s="432"/>
      <c r="N165" s="432"/>
      <c r="O165" s="432"/>
      <c r="P165" s="432"/>
      <c r="Q165" s="432"/>
      <c r="R165" s="432"/>
      <c r="S165" s="432"/>
      <c r="T165" s="432"/>
      <c r="U165" s="432"/>
      <c r="V165" s="432"/>
      <c r="W165" s="432"/>
      <c r="X165" s="432"/>
      <c r="Y165" s="432"/>
      <c r="Z165" s="432"/>
      <c r="AA165" s="432"/>
      <c r="AB165" s="432"/>
      <c r="AC165" s="432"/>
      <c r="AD165" s="432"/>
      <c r="AE165" s="432"/>
    </row>
    <row r="166">
      <c r="A166" s="432"/>
      <c r="B166" s="432"/>
      <c r="C166" s="432"/>
      <c r="D166" s="432"/>
      <c r="E166" s="432"/>
      <c r="F166" s="432"/>
      <c r="G166" s="432"/>
      <c r="H166" s="432"/>
      <c r="I166" s="432"/>
      <c r="J166" s="432"/>
      <c r="K166" s="432"/>
      <c r="L166" s="432"/>
      <c r="M166" s="432"/>
      <c r="N166" s="432"/>
      <c r="O166" s="432"/>
      <c r="P166" s="432"/>
      <c r="Q166" s="432"/>
      <c r="R166" s="432"/>
      <c r="S166" s="432"/>
      <c r="T166" s="432"/>
      <c r="U166" s="432"/>
      <c r="V166" s="432"/>
      <c r="W166" s="432"/>
      <c r="X166" s="432"/>
      <c r="Y166" s="432"/>
      <c r="Z166" s="432"/>
      <c r="AA166" s="432"/>
      <c r="AB166" s="432"/>
      <c r="AC166" s="432"/>
      <c r="AD166" s="432"/>
      <c r="AE166" s="432"/>
    </row>
    <row r="167">
      <c r="A167" s="432"/>
      <c r="B167" s="432"/>
      <c r="C167" s="432"/>
      <c r="D167" s="432"/>
      <c r="E167" s="432"/>
      <c r="F167" s="432"/>
      <c r="G167" s="432"/>
      <c r="H167" s="432"/>
      <c r="I167" s="432"/>
      <c r="J167" s="432"/>
      <c r="K167" s="432"/>
      <c r="L167" s="432"/>
      <c r="M167" s="432"/>
      <c r="N167" s="432"/>
      <c r="O167" s="432"/>
      <c r="P167" s="432"/>
      <c r="Q167" s="432"/>
      <c r="R167" s="432"/>
      <c r="S167" s="432"/>
      <c r="T167" s="432"/>
      <c r="U167" s="432"/>
      <c r="V167" s="432"/>
      <c r="W167" s="432"/>
      <c r="X167" s="432"/>
      <c r="Y167" s="432"/>
      <c r="Z167" s="432"/>
      <c r="AA167" s="432"/>
      <c r="AB167" s="432"/>
      <c r="AC167" s="432"/>
      <c r="AD167" s="432"/>
      <c r="AE167" s="432"/>
    </row>
    <row r="168">
      <c r="A168" s="432"/>
      <c r="B168" s="432"/>
      <c r="C168" s="432"/>
      <c r="D168" s="432"/>
      <c r="E168" s="432"/>
      <c r="F168" s="432"/>
      <c r="G168" s="432"/>
      <c r="H168" s="432"/>
      <c r="I168" s="432"/>
      <c r="J168" s="432"/>
      <c r="K168" s="432"/>
      <c r="L168" s="432"/>
      <c r="M168" s="432"/>
      <c r="N168" s="432"/>
      <c r="O168" s="432"/>
      <c r="P168" s="432"/>
      <c r="Q168" s="432"/>
      <c r="R168" s="432"/>
      <c r="S168" s="432"/>
      <c r="T168" s="432"/>
      <c r="U168" s="432"/>
      <c r="V168" s="432"/>
      <c r="W168" s="432"/>
      <c r="X168" s="432"/>
      <c r="Y168" s="432"/>
      <c r="Z168" s="432"/>
      <c r="AA168" s="432"/>
      <c r="AB168" s="432"/>
      <c r="AC168" s="432"/>
      <c r="AD168" s="432"/>
      <c r="AE168" s="432"/>
    </row>
    <row r="169">
      <c r="A169" s="432"/>
      <c r="B169" s="432"/>
      <c r="C169" s="432"/>
      <c r="D169" s="432"/>
      <c r="E169" s="432"/>
      <c r="F169" s="432"/>
      <c r="G169" s="432"/>
      <c r="H169" s="432"/>
      <c r="I169" s="432"/>
      <c r="J169" s="432"/>
      <c r="K169" s="432"/>
      <c r="L169" s="432"/>
      <c r="M169" s="432"/>
      <c r="N169" s="432"/>
      <c r="O169" s="432"/>
      <c r="P169" s="432"/>
      <c r="Q169" s="432"/>
      <c r="R169" s="432"/>
      <c r="S169" s="432"/>
      <c r="T169" s="432"/>
      <c r="U169" s="432"/>
      <c r="V169" s="432"/>
      <c r="W169" s="432"/>
      <c r="X169" s="432"/>
      <c r="Y169" s="432"/>
      <c r="Z169" s="432"/>
      <c r="AA169" s="432"/>
      <c r="AB169" s="432"/>
      <c r="AC169" s="432"/>
      <c r="AD169" s="432"/>
      <c r="AE169" s="432"/>
    </row>
    <row r="170">
      <c r="A170" s="432"/>
      <c r="B170" s="432"/>
      <c r="C170" s="432"/>
      <c r="D170" s="432"/>
      <c r="E170" s="432"/>
      <c r="F170" s="432"/>
      <c r="G170" s="432"/>
      <c r="H170" s="432"/>
      <c r="I170" s="432"/>
      <c r="J170" s="432"/>
      <c r="K170" s="432"/>
      <c r="L170" s="432"/>
      <c r="M170" s="432"/>
      <c r="N170" s="432"/>
      <c r="O170" s="432"/>
      <c r="P170" s="432"/>
      <c r="Q170" s="432"/>
      <c r="R170" s="432"/>
      <c r="S170" s="432"/>
      <c r="T170" s="432"/>
      <c r="U170" s="432"/>
      <c r="V170" s="432"/>
      <c r="W170" s="432"/>
      <c r="X170" s="432"/>
      <c r="Y170" s="432"/>
      <c r="Z170" s="432"/>
      <c r="AA170" s="432"/>
      <c r="AB170" s="432"/>
      <c r="AC170" s="432"/>
      <c r="AD170" s="432"/>
      <c r="AE170" s="432"/>
    </row>
    <row r="171">
      <c r="A171" s="432"/>
      <c r="B171" s="432"/>
      <c r="C171" s="432"/>
      <c r="D171" s="432"/>
      <c r="E171" s="432"/>
      <c r="F171" s="432"/>
      <c r="G171" s="432"/>
      <c r="H171" s="432"/>
      <c r="I171" s="432"/>
      <c r="J171" s="432"/>
      <c r="K171" s="432"/>
      <c r="L171" s="432"/>
      <c r="M171" s="432"/>
      <c r="N171" s="432"/>
      <c r="O171" s="432"/>
      <c r="P171" s="432"/>
      <c r="Q171" s="432"/>
      <c r="R171" s="432"/>
      <c r="S171" s="432"/>
      <c r="T171" s="432"/>
      <c r="U171" s="432"/>
      <c r="V171" s="432"/>
      <c r="W171" s="432"/>
      <c r="X171" s="432"/>
      <c r="Y171" s="432"/>
      <c r="Z171" s="432"/>
      <c r="AA171" s="432"/>
      <c r="AB171" s="432"/>
      <c r="AC171" s="432"/>
      <c r="AD171" s="432"/>
      <c r="AE171" s="432"/>
    </row>
    <row r="172">
      <c r="A172" s="432"/>
      <c r="B172" s="432"/>
      <c r="C172" s="432"/>
      <c r="D172" s="432"/>
      <c r="E172" s="432"/>
      <c r="F172" s="432"/>
      <c r="G172" s="432"/>
      <c r="H172" s="432"/>
      <c r="I172" s="432"/>
      <c r="J172" s="432"/>
      <c r="K172" s="432"/>
      <c r="L172" s="432"/>
      <c r="M172" s="432"/>
      <c r="N172" s="432"/>
      <c r="O172" s="432"/>
      <c r="P172" s="432"/>
      <c r="Q172" s="432"/>
      <c r="R172" s="432"/>
      <c r="S172" s="432"/>
      <c r="T172" s="432"/>
      <c r="U172" s="432"/>
      <c r="V172" s="432"/>
      <c r="W172" s="432"/>
      <c r="X172" s="432"/>
      <c r="Y172" s="432"/>
      <c r="Z172" s="432"/>
      <c r="AA172" s="432"/>
      <c r="AB172" s="432"/>
      <c r="AC172" s="432"/>
      <c r="AD172" s="432"/>
      <c r="AE172" s="432"/>
    </row>
    <row r="173">
      <c r="A173" s="432"/>
      <c r="B173" s="432"/>
      <c r="C173" s="432"/>
      <c r="D173" s="432"/>
      <c r="E173" s="432"/>
      <c r="F173" s="432"/>
      <c r="G173" s="432"/>
      <c r="H173" s="432"/>
      <c r="I173" s="432"/>
      <c r="J173" s="432"/>
      <c r="K173" s="432"/>
      <c r="L173" s="432"/>
      <c r="M173" s="432"/>
      <c r="N173" s="432"/>
      <c r="O173" s="432"/>
      <c r="P173" s="432"/>
      <c r="Q173" s="432"/>
      <c r="R173" s="432"/>
      <c r="S173" s="432"/>
      <c r="T173" s="432"/>
      <c r="U173" s="432"/>
      <c r="V173" s="432"/>
      <c r="W173" s="432"/>
      <c r="X173" s="432"/>
      <c r="Y173" s="432"/>
      <c r="Z173" s="432"/>
      <c r="AA173" s="432"/>
      <c r="AB173" s="432"/>
      <c r="AC173" s="432"/>
      <c r="AD173" s="432"/>
      <c r="AE173" s="432"/>
    </row>
    <row r="174">
      <c r="A174" s="432"/>
      <c r="B174" s="432"/>
      <c r="C174" s="432"/>
      <c r="D174" s="432"/>
      <c r="E174" s="432"/>
      <c r="F174" s="432"/>
      <c r="G174" s="432"/>
      <c r="H174" s="432"/>
      <c r="I174" s="432"/>
      <c r="J174" s="432"/>
      <c r="K174" s="432"/>
      <c r="L174" s="432"/>
      <c r="M174" s="432"/>
      <c r="N174" s="432"/>
      <c r="O174" s="432"/>
      <c r="P174" s="432"/>
      <c r="Q174" s="432"/>
      <c r="R174" s="432"/>
      <c r="S174" s="432"/>
      <c r="T174" s="432"/>
      <c r="U174" s="432"/>
      <c r="V174" s="432"/>
      <c r="W174" s="432"/>
      <c r="X174" s="432"/>
      <c r="Y174" s="432"/>
      <c r="Z174" s="432"/>
      <c r="AA174" s="432"/>
      <c r="AB174" s="432"/>
      <c r="AC174" s="432"/>
      <c r="AD174" s="432"/>
      <c r="AE174" s="432"/>
    </row>
    <row r="175">
      <c r="A175" s="432"/>
      <c r="B175" s="432"/>
      <c r="C175" s="432"/>
      <c r="D175" s="432"/>
      <c r="E175" s="432"/>
      <c r="F175" s="432"/>
      <c r="G175" s="432"/>
      <c r="H175" s="432"/>
      <c r="I175" s="432"/>
      <c r="J175" s="432"/>
      <c r="K175" s="432"/>
      <c r="L175" s="432"/>
      <c r="M175" s="432"/>
      <c r="N175" s="432"/>
      <c r="O175" s="432"/>
      <c r="P175" s="432"/>
      <c r="Q175" s="432"/>
      <c r="R175" s="432"/>
      <c r="S175" s="432"/>
      <c r="T175" s="432"/>
      <c r="U175" s="432"/>
      <c r="V175" s="432"/>
      <c r="W175" s="432"/>
      <c r="X175" s="432"/>
      <c r="Y175" s="432"/>
      <c r="Z175" s="432"/>
      <c r="AA175" s="432"/>
      <c r="AB175" s="432"/>
      <c r="AC175" s="432"/>
      <c r="AD175" s="432"/>
      <c r="AE175" s="432"/>
    </row>
    <row r="176">
      <c r="A176" s="432"/>
      <c r="B176" s="432"/>
      <c r="C176" s="432"/>
      <c r="D176" s="432"/>
      <c r="E176" s="432"/>
      <c r="F176" s="432"/>
      <c r="G176" s="432"/>
      <c r="H176" s="432"/>
      <c r="I176" s="432"/>
      <c r="J176" s="432"/>
      <c r="K176" s="432"/>
      <c r="L176" s="432"/>
      <c r="M176" s="432"/>
      <c r="N176" s="432"/>
      <c r="O176" s="432"/>
      <c r="P176" s="432"/>
      <c r="Q176" s="432"/>
      <c r="R176" s="432"/>
      <c r="S176" s="432"/>
      <c r="T176" s="432"/>
      <c r="U176" s="432"/>
      <c r="V176" s="432"/>
      <c r="W176" s="432"/>
      <c r="X176" s="432"/>
      <c r="Y176" s="432"/>
      <c r="Z176" s="432"/>
      <c r="AA176" s="432"/>
      <c r="AB176" s="432"/>
      <c r="AC176" s="432"/>
      <c r="AD176" s="432"/>
      <c r="AE176" s="432"/>
    </row>
    <row r="177">
      <c r="A177" s="432"/>
      <c r="B177" s="432"/>
      <c r="C177" s="432"/>
      <c r="D177" s="432"/>
      <c r="E177" s="432"/>
      <c r="F177" s="432"/>
      <c r="G177" s="432"/>
      <c r="H177" s="432"/>
      <c r="I177" s="432"/>
      <c r="J177" s="432"/>
      <c r="K177" s="432"/>
      <c r="L177" s="432"/>
      <c r="M177" s="432"/>
      <c r="N177" s="432"/>
      <c r="O177" s="432"/>
      <c r="P177" s="432"/>
      <c r="Q177" s="432"/>
      <c r="R177" s="432"/>
      <c r="S177" s="432"/>
      <c r="T177" s="432"/>
      <c r="U177" s="432"/>
      <c r="V177" s="432"/>
      <c r="W177" s="432"/>
      <c r="X177" s="432"/>
      <c r="Y177" s="432"/>
      <c r="Z177" s="432"/>
      <c r="AA177" s="432"/>
      <c r="AB177" s="432"/>
      <c r="AC177" s="432"/>
      <c r="AD177" s="432"/>
      <c r="AE177" s="432"/>
    </row>
    <row r="178">
      <c r="A178" s="432"/>
      <c r="B178" s="432"/>
      <c r="C178" s="432"/>
      <c r="D178" s="432"/>
      <c r="E178" s="432"/>
      <c r="F178" s="432"/>
      <c r="G178" s="432"/>
      <c r="H178" s="432"/>
      <c r="I178" s="432"/>
      <c r="J178" s="432"/>
      <c r="K178" s="432"/>
      <c r="L178" s="432"/>
      <c r="M178" s="432"/>
      <c r="N178" s="432"/>
      <c r="O178" s="432"/>
      <c r="P178" s="432"/>
      <c r="Q178" s="432"/>
      <c r="R178" s="432"/>
      <c r="S178" s="432"/>
      <c r="T178" s="432"/>
      <c r="U178" s="432"/>
      <c r="V178" s="432"/>
      <c r="W178" s="432"/>
      <c r="X178" s="432"/>
      <c r="Y178" s="432"/>
      <c r="Z178" s="432"/>
      <c r="AA178" s="432"/>
      <c r="AB178" s="432"/>
      <c r="AC178" s="432"/>
      <c r="AD178" s="432"/>
      <c r="AE178" s="432"/>
    </row>
    <row r="179">
      <c r="A179" s="432"/>
      <c r="B179" s="432"/>
      <c r="C179" s="432"/>
      <c r="D179" s="432"/>
      <c r="E179" s="432"/>
      <c r="F179" s="432"/>
      <c r="G179" s="432"/>
      <c r="H179" s="432"/>
      <c r="I179" s="432"/>
      <c r="J179" s="432"/>
      <c r="K179" s="432"/>
      <c r="L179" s="432"/>
      <c r="M179" s="432"/>
      <c r="N179" s="432"/>
      <c r="O179" s="432"/>
      <c r="P179" s="432"/>
      <c r="Q179" s="432"/>
      <c r="R179" s="432"/>
      <c r="S179" s="432"/>
      <c r="T179" s="432"/>
      <c r="U179" s="432"/>
      <c r="V179" s="432"/>
      <c r="W179" s="432"/>
      <c r="X179" s="432"/>
      <c r="Y179" s="432"/>
      <c r="Z179" s="432"/>
      <c r="AA179" s="432"/>
      <c r="AB179" s="432"/>
      <c r="AC179" s="432"/>
      <c r="AD179" s="432"/>
      <c r="AE179" s="432"/>
    </row>
    <row r="180">
      <c r="A180" s="432"/>
      <c r="B180" s="432"/>
      <c r="C180" s="432"/>
      <c r="D180" s="432"/>
      <c r="E180" s="432"/>
      <c r="F180" s="432"/>
      <c r="G180" s="432"/>
      <c r="H180" s="432"/>
      <c r="I180" s="432"/>
      <c r="J180" s="432"/>
      <c r="K180" s="432"/>
      <c r="L180" s="432"/>
      <c r="M180" s="432"/>
      <c r="N180" s="432"/>
      <c r="O180" s="432"/>
      <c r="P180" s="432"/>
      <c r="Q180" s="432"/>
      <c r="R180" s="432"/>
      <c r="S180" s="432"/>
      <c r="T180" s="432"/>
      <c r="U180" s="432"/>
      <c r="V180" s="432"/>
      <c r="W180" s="432"/>
      <c r="X180" s="432"/>
      <c r="Y180" s="432"/>
      <c r="Z180" s="432"/>
      <c r="AA180" s="432"/>
      <c r="AB180" s="432"/>
      <c r="AC180" s="432"/>
      <c r="AD180" s="432"/>
      <c r="AE180" s="432"/>
    </row>
    <row r="181">
      <c r="A181" s="432"/>
      <c r="B181" s="432"/>
      <c r="C181" s="432"/>
      <c r="D181" s="432"/>
      <c r="E181" s="432"/>
      <c r="F181" s="432"/>
      <c r="G181" s="432"/>
      <c r="H181" s="432"/>
      <c r="I181" s="432"/>
      <c r="J181" s="432"/>
      <c r="K181" s="432"/>
      <c r="L181" s="432"/>
      <c r="M181" s="432"/>
      <c r="N181" s="432"/>
      <c r="O181" s="432"/>
      <c r="P181" s="432"/>
      <c r="Q181" s="432"/>
      <c r="R181" s="432"/>
      <c r="S181" s="432"/>
      <c r="T181" s="432"/>
      <c r="U181" s="432"/>
      <c r="V181" s="432"/>
      <c r="W181" s="432"/>
      <c r="X181" s="432"/>
      <c r="Y181" s="432"/>
      <c r="Z181" s="432"/>
      <c r="AA181" s="432"/>
      <c r="AB181" s="432"/>
      <c r="AC181" s="432"/>
      <c r="AD181" s="432"/>
      <c r="AE181" s="432"/>
    </row>
    <row r="182">
      <c r="A182" s="432"/>
      <c r="B182" s="432"/>
      <c r="C182" s="432"/>
      <c r="D182" s="432"/>
      <c r="E182" s="432"/>
      <c r="F182" s="432"/>
      <c r="G182" s="432"/>
      <c r="H182" s="432"/>
      <c r="I182" s="432"/>
      <c r="J182" s="432"/>
      <c r="K182" s="432"/>
      <c r="L182" s="432"/>
      <c r="M182" s="432"/>
      <c r="N182" s="432"/>
      <c r="O182" s="432"/>
      <c r="P182" s="432"/>
      <c r="Q182" s="432"/>
      <c r="R182" s="432"/>
      <c r="S182" s="432"/>
      <c r="T182" s="432"/>
      <c r="U182" s="432"/>
      <c r="V182" s="432"/>
      <c r="W182" s="432"/>
      <c r="X182" s="432"/>
      <c r="Y182" s="432"/>
      <c r="Z182" s="432"/>
      <c r="AA182" s="432"/>
      <c r="AB182" s="432"/>
      <c r="AC182" s="432"/>
      <c r="AD182" s="432"/>
      <c r="AE182" s="432"/>
    </row>
    <row r="183">
      <c r="A183" s="432"/>
      <c r="B183" s="432"/>
      <c r="C183" s="432"/>
      <c r="D183" s="432"/>
      <c r="E183" s="432"/>
      <c r="F183" s="432"/>
      <c r="G183" s="432"/>
      <c r="H183" s="432"/>
      <c r="I183" s="432"/>
      <c r="J183" s="432"/>
      <c r="K183" s="432"/>
      <c r="L183" s="432"/>
      <c r="M183" s="432"/>
      <c r="N183" s="432"/>
      <c r="O183" s="432"/>
      <c r="P183" s="432"/>
      <c r="Q183" s="432"/>
      <c r="R183" s="432"/>
      <c r="S183" s="432"/>
      <c r="T183" s="432"/>
      <c r="U183" s="432"/>
      <c r="V183" s="432"/>
      <c r="W183" s="432"/>
      <c r="X183" s="432"/>
      <c r="Y183" s="432"/>
      <c r="Z183" s="432"/>
      <c r="AA183" s="432"/>
      <c r="AB183" s="432"/>
      <c r="AC183" s="432"/>
      <c r="AD183" s="432"/>
      <c r="AE183" s="432"/>
    </row>
    <row r="184">
      <c r="A184" s="432"/>
      <c r="B184" s="432"/>
      <c r="C184" s="432"/>
      <c r="D184" s="432"/>
      <c r="E184" s="432"/>
      <c r="F184" s="432"/>
      <c r="G184" s="432"/>
      <c r="H184" s="432"/>
      <c r="I184" s="432"/>
      <c r="J184" s="432"/>
      <c r="K184" s="432"/>
      <c r="L184" s="432"/>
      <c r="M184" s="432"/>
      <c r="N184" s="432"/>
      <c r="O184" s="432"/>
      <c r="P184" s="432"/>
      <c r="Q184" s="432"/>
      <c r="R184" s="432"/>
      <c r="S184" s="432"/>
      <c r="T184" s="432"/>
      <c r="U184" s="432"/>
      <c r="V184" s="432"/>
      <c r="W184" s="432"/>
      <c r="X184" s="432"/>
      <c r="Y184" s="432"/>
      <c r="Z184" s="432"/>
      <c r="AA184" s="432"/>
      <c r="AB184" s="432"/>
      <c r="AC184" s="432"/>
      <c r="AD184" s="432"/>
      <c r="AE184" s="432"/>
    </row>
    <row r="185">
      <c r="A185" s="432"/>
      <c r="B185" s="432"/>
      <c r="C185" s="432"/>
      <c r="D185" s="432"/>
      <c r="E185" s="432"/>
      <c r="F185" s="432"/>
      <c r="G185" s="432"/>
      <c r="H185" s="432"/>
      <c r="I185" s="432"/>
      <c r="J185" s="432"/>
      <c r="K185" s="432"/>
      <c r="L185" s="432"/>
      <c r="M185" s="432"/>
      <c r="N185" s="432"/>
      <c r="O185" s="432"/>
      <c r="P185" s="432"/>
      <c r="Q185" s="432"/>
      <c r="R185" s="432"/>
      <c r="S185" s="432"/>
      <c r="T185" s="432"/>
      <c r="U185" s="432"/>
      <c r="V185" s="432"/>
      <c r="W185" s="432"/>
      <c r="X185" s="432"/>
      <c r="Y185" s="432"/>
      <c r="Z185" s="432"/>
      <c r="AA185" s="432"/>
      <c r="AB185" s="432"/>
      <c r="AC185" s="432"/>
      <c r="AD185" s="432"/>
      <c r="AE185" s="432"/>
    </row>
    <row r="186">
      <c r="A186" s="432"/>
      <c r="B186" s="432"/>
      <c r="C186" s="432"/>
      <c r="D186" s="432"/>
      <c r="E186" s="432"/>
      <c r="F186" s="432"/>
      <c r="G186" s="432"/>
      <c r="H186" s="432"/>
      <c r="I186" s="432"/>
      <c r="J186" s="432"/>
      <c r="K186" s="432"/>
      <c r="L186" s="432"/>
      <c r="M186" s="432"/>
      <c r="N186" s="432"/>
      <c r="O186" s="432"/>
      <c r="P186" s="432"/>
      <c r="Q186" s="432"/>
      <c r="R186" s="432"/>
      <c r="S186" s="432"/>
      <c r="T186" s="432"/>
      <c r="U186" s="432"/>
      <c r="V186" s="432"/>
      <c r="W186" s="432"/>
      <c r="X186" s="432"/>
      <c r="Y186" s="432"/>
      <c r="Z186" s="432"/>
      <c r="AA186" s="432"/>
      <c r="AB186" s="432"/>
      <c r="AC186" s="432"/>
      <c r="AD186" s="432"/>
      <c r="AE186" s="432"/>
    </row>
    <row r="187">
      <c r="A187" s="432"/>
      <c r="B187" s="432"/>
      <c r="C187" s="432"/>
      <c r="D187" s="432"/>
      <c r="E187" s="432"/>
      <c r="F187" s="432"/>
      <c r="G187" s="432"/>
      <c r="H187" s="432"/>
      <c r="I187" s="432"/>
      <c r="J187" s="432"/>
      <c r="K187" s="432"/>
      <c r="L187" s="432"/>
      <c r="M187" s="432"/>
      <c r="N187" s="432"/>
      <c r="O187" s="432"/>
      <c r="P187" s="432"/>
      <c r="Q187" s="432"/>
      <c r="R187" s="432"/>
      <c r="S187" s="432"/>
      <c r="T187" s="432"/>
      <c r="U187" s="432"/>
      <c r="V187" s="432"/>
      <c r="W187" s="432"/>
      <c r="X187" s="432"/>
      <c r="Y187" s="432"/>
      <c r="Z187" s="432"/>
      <c r="AA187" s="432"/>
      <c r="AB187" s="432"/>
      <c r="AC187" s="432"/>
      <c r="AD187" s="432"/>
      <c r="AE187" s="432"/>
    </row>
    <row r="188">
      <c r="A188" s="432"/>
      <c r="B188" s="432"/>
      <c r="C188" s="432"/>
      <c r="D188" s="432"/>
      <c r="E188" s="432"/>
      <c r="F188" s="432"/>
      <c r="G188" s="432"/>
      <c r="H188" s="432"/>
      <c r="I188" s="432"/>
      <c r="J188" s="432"/>
      <c r="K188" s="432"/>
      <c r="L188" s="432"/>
      <c r="M188" s="432"/>
      <c r="N188" s="432"/>
      <c r="O188" s="432"/>
      <c r="P188" s="432"/>
      <c r="Q188" s="432"/>
      <c r="R188" s="432"/>
      <c r="S188" s="432"/>
      <c r="T188" s="432"/>
      <c r="U188" s="432"/>
      <c r="V188" s="432"/>
      <c r="W188" s="432"/>
      <c r="X188" s="432"/>
      <c r="Y188" s="432"/>
      <c r="Z188" s="432"/>
      <c r="AA188" s="432"/>
      <c r="AB188" s="432"/>
      <c r="AC188" s="432"/>
      <c r="AD188" s="432"/>
      <c r="AE188" s="432"/>
    </row>
    <row r="189">
      <c r="A189" s="432"/>
      <c r="B189" s="432"/>
      <c r="C189" s="432"/>
      <c r="D189" s="432"/>
      <c r="E189" s="432"/>
      <c r="F189" s="432"/>
      <c r="G189" s="432"/>
      <c r="H189" s="432"/>
      <c r="I189" s="432"/>
      <c r="J189" s="432"/>
      <c r="K189" s="432"/>
      <c r="L189" s="432"/>
      <c r="M189" s="432"/>
      <c r="N189" s="432"/>
      <c r="O189" s="432"/>
      <c r="P189" s="432"/>
      <c r="Q189" s="432"/>
      <c r="R189" s="432"/>
      <c r="S189" s="432"/>
      <c r="T189" s="432"/>
      <c r="U189" s="432"/>
      <c r="V189" s="432"/>
      <c r="W189" s="432"/>
      <c r="X189" s="432"/>
      <c r="Y189" s="432"/>
      <c r="Z189" s="432"/>
      <c r="AA189" s="432"/>
      <c r="AB189" s="432"/>
      <c r="AC189" s="432"/>
      <c r="AD189" s="432"/>
      <c r="AE189" s="432"/>
    </row>
    <row r="190">
      <c r="A190" s="432"/>
      <c r="B190" s="432"/>
      <c r="C190" s="432"/>
      <c r="D190" s="432"/>
      <c r="E190" s="432"/>
      <c r="F190" s="432"/>
      <c r="G190" s="432"/>
      <c r="H190" s="432"/>
      <c r="I190" s="432"/>
      <c r="J190" s="432"/>
      <c r="K190" s="432"/>
      <c r="L190" s="432"/>
      <c r="M190" s="432"/>
      <c r="N190" s="432"/>
      <c r="O190" s="432"/>
      <c r="P190" s="432"/>
      <c r="Q190" s="432"/>
      <c r="R190" s="432"/>
      <c r="S190" s="432"/>
      <c r="T190" s="432"/>
      <c r="U190" s="432"/>
      <c r="V190" s="432"/>
      <c r="W190" s="432"/>
      <c r="X190" s="432"/>
      <c r="Y190" s="432"/>
      <c r="Z190" s="432"/>
      <c r="AA190" s="432"/>
      <c r="AB190" s="432"/>
      <c r="AC190" s="432"/>
      <c r="AD190" s="432"/>
      <c r="AE190" s="432"/>
    </row>
    <row r="191">
      <c r="A191" s="432"/>
      <c r="B191" s="432"/>
      <c r="C191" s="432"/>
      <c r="D191" s="432"/>
      <c r="E191" s="432"/>
      <c r="F191" s="432"/>
      <c r="G191" s="432"/>
      <c r="H191" s="432"/>
      <c r="I191" s="432"/>
      <c r="J191" s="432"/>
      <c r="K191" s="432"/>
      <c r="L191" s="432"/>
      <c r="M191" s="432"/>
      <c r="N191" s="432"/>
      <c r="O191" s="432"/>
      <c r="P191" s="432"/>
      <c r="Q191" s="432"/>
      <c r="R191" s="432"/>
      <c r="S191" s="432"/>
      <c r="T191" s="432"/>
      <c r="U191" s="432"/>
      <c r="V191" s="432"/>
      <c r="W191" s="432"/>
      <c r="X191" s="432"/>
      <c r="Y191" s="432"/>
      <c r="Z191" s="432"/>
      <c r="AA191" s="432"/>
      <c r="AB191" s="432"/>
      <c r="AC191" s="432"/>
      <c r="AD191" s="432"/>
      <c r="AE191" s="432"/>
    </row>
    <row r="192">
      <c r="A192" s="432"/>
      <c r="B192" s="432"/>
      <c r="C192" s="432"/>
      <c r="D192" s="432"/>
      <c r="E192" s="432"/>
      <c r="F192" s="432"/>
      <c r="G192" s="432"/>
      <c r="H192" s="432"/>
      <c r="I192" s="432"/>
      <c r="J192" s="432"/>
      <c r="K192" s="432"/>
      <c r="L192" s="432"/>
      <c r="M192" s="432"/>
      <c r="N192" s="432"/>
      <c r="O192" s="432"/>
      <c r="P192" s="432"/>
      <c r="Q192" s="432"/>
      <c r="R192" s="432"/>
      <c r="S192" s="432"/>
      <c r="T192" s="432"/>
      <c r="U192" s="432"/>
      <c r="V192" s="432"/>
      <c r="W192" s="432"/>
      <c r="X192" s="432"/>
      <c r="Y192" s="432"/>
      <c r="Z192" s="432"/>
      <c r="AA192" s="432"/>
      <c r="AB192" s="432"/>
      <c r="AC192" s="432"/>
      <c r="AD192" s="432"/>
      <c r="AE192" s="432"/>
    </row>
    <row r="193">
      <c r="A193" s="432"/>
      <c r="B193" s="432"/>
      <c r="C193" s="432"/>
      <c r="D193" s="432"/>
      <c r="E193" s="432"/>
      <c r="F193" s="432"/>
      <c r="G193" s="432"/>
      <c r="H193" s="432"/>
      <c r="I193" s="432"/>
      <c r="J193" s="432"/>
      <c r="K193" s="432"/>
      <c r="L193" s="432"/>
      <c r="M193" s="432"/>
      <c r="N193" s="432"/>
      <c r="O193" s="432"/>
      <c r="P193" s="432"/>
      <c r="Q193" s="432"/>
      <c r="R193" s="432"/>
      <c r="S193" s="432"/>
      <c r="T193" s="432"/>
      <c r="U193" s="432"/>
      <c r="V193" s="432"/>
      <c r="W193" s="432"/>
      <c r="X193" s="432"/>
      <c r="Y193" s="432"/>
      <c r="Z193" s="432"/>
      <c r="AA193" s="432"/>
      <c r="AB193" s="432"/>
      <c r="AC193" s="432"/>
      <c r="AD193" s="432"/>
      <c r="AE193" s="432"/>
    </row>
    <row r="194">
      <c r="A194" s="432"/>
      <c r="B194" s="432"/>
      <c r="C194" s="432"/>
      <c r="D194" s="432"/>
      <c r="E194" s="432"/>
      <c r="F194" s="432"/>
      <c r="G194" s="432"/>
      <c r="H194" s="432"/>
      <c r="I194" s="432"/>
      <c r="J194" s="432"/>
      <c r="K194" s="432"/>
      <c r="L194" s="432"/>
      <c r="M194" s="432"/>
      <c r="N194" s="432"/>
      <c r="O194" s="432"/>
      <c r="P194" s="432"/>
      <c r="Q194" s="432"/>
      <c r="R194" s="432"/>
      <c r="S194" s="432"/>
      <c r="T194" s="432"/>
      <c r="U194" s="432"/>
      <c r="V194" s="432"/>
      <c r="W194" s="432"/>
      <c r="X194" s="432"/>
      <c r="Y194" s="432"/>
      <c r="Z194" s="432"/>
      <c r="AA194" s="432"/>
      <c r="AB194" s="432"/>
      <c r="AC194" s="432"/>
      <c r="AD194" s="432"/>
      <c r="AE194" s="432"/>
    </row>
    <row r="195">
      <c r="A195" s="432"/>
      <c r="B195" s="432"/>
      <c r="C195" s="432"/>
      <c r="D195" s="432"/>
      <c r="E195" s="432"/>
      <c r="F195" s="432"/>
      <c r="G195" s="432"/>
      <c r="H195" s="432"/>
      <c r="I195" s="432"/>
      <c r="J195" s="432"/>
      <c r="K195" s="432"/>
      <c r="L195" s="432"/>
      <c r="M195" s="432"/>
      <c r="N195" s="432"/>
      <c r="O195" s="432"/>
      <c r="P195" s="432"/>
      <c r="Q195" s="432"/>
      <c r="R195" s="432"/>
      <c r="S195" s="432"/>
      <c r="T195" s="432"/>
      <c r="U195" s="432"/>
      <c r="V195" s="432"/>
      <c r="W195" s="432"/>
      <c r="X195" s="432"/>
      <c r="Y195" s="432"/>
      <c r="Z195" s="432"/>
      <c r="AA195" s="432"/>
      <c r="AB195" s="432"/>
      <c r="AC195" s="432"/>
      <c r="AD195" s="432"/>
      <c r="AE195" s="432"/>
    </row>
    <row r="196">
      <c r="A196" s="432"/>
      <c r="B196" s="432"/>
      <c r="C196" s="432"/>
      <c r="D196" s="432"/>
      <c r="E196" s="432"/>
      <c r="F196" s="432"/>
      <c r="G196" s="432"/>
      <c r="H196" s="432"/>
      <c r="I196" s="432"/>
      <c r="J196" s="432"/>
      <c r="K196" s="432"/>
      <c r="L196" s="432"/>
      <c r="M196" s="432"/>
      <c r="N196" s="432"/>
      <c r="O196" s="432"/>
      <c r="P196" s="432"/>
      <c r="Q196" s="432"/>
      <c r="R196" s="432"/>
      <c r="S196" s="432"/>
      <c r="T196" s="432"/>
      <c r="U196" s="432"/>
      <c r="V196" s="432"/>
      <c r="W196" s="432"/>
      <c r="X196" s="432"/>
      <c r="Y196" s="432"/>
      <c r="Z196" s="432"/>
      <c r="AA196" s="432"/>
      <c r="AB196" s="432"/>
      <c r="AC196" s="432"/>
      <c r="AD196" s="432"/>
      <c r="AE196" s="432"/>
    </row>
    <row r="197">
      <c r="A197" s="432"/>
      <c r="B197" s="432"/>
      <c r="C197" s="432"/>
      <c r="D197" s="432"/>
      <c r="E197" s="432"/>
      <c r="F197" s="432"/>
      <c r="G197" s="432"/>
      <c r="H197" s="432"/>
      <c r="I197" s="432"/>
      <c r="J197" s="432"/>
      <c r="K197" s="432"/>
      <c r="L197" s="432"/>
      <c r="M197" s="432"/>
      <c r="N197" s="432"/>
      <c r="O197" s="432"/>
      <c r="P197" s="432"/>
      <c r="Q197" s="432"/>
      <c r="R197" s="432"/>
      <c r="S197" s="432"/>
      <c r="T197" s="432"/>
      <c r="U197" s="432"/>
      <c r="V197" s="432"/>
      <c r="W197" s="432"/>
      <c r="X197" s="432"/>
      <c r="Y197" s="432"/>
      <c r="Z197" s="432"/>
      <c r="AA197" s="432"/>
      <c r="AB197" s="432"/>
      <c r="AC197" s="432"/>
      <c r="AD197" s="432"/>
      <c r="AE197" s="432"/>
    </row>
    <row r="198">
      <c r="A198" s="432"/>
      <c r="B198" s="432"/>
      <c r="C198" s="432"/>
      <c r="D198" s="432"/>
      <c r="E198" s="432"/>
      <c r="F198" s="432"/>
      <c r="G198" s="432"/>
      <c r="H198" s="432"/>
      <c r="I198" s="432"/>
      <c r="J198" s="432"/>
      <c r="K198" s="432"/>
      <c r="L198" s="432"/>
      <c r="M198" s="432"/>
      <c r="N198" s="432"/>
      <c r="O198" s="432"/>
      <c r="P198" s="432"/>
      <c r="Q198" s="432"/>
      <c r="R198" s="432"/>
      <c r="S198" s="432"/>
      <c r="T198" s="432"/>
      <c r="U198" s="432"/>
      <c r="V198" s="432"/>
      <c r="W198" s="432"/>
      <c r="X198" s="432"/>
      <c r="Y198" s="432"/>
      <c r="Z198" s="432"/>
      <c r="AA198" s="432"/>
      <c r="AB198" s="432"/>
      <c r="AC198" s="432"/>
      <c r="AD198" s="432"/>
      <c r="AE198" s="432"/>
    </row>
    <row r="199">
      <c r="A199" s="432"/>
      <c r="B199" s="432"/>
      <c r="C199" s="432"/>
      <c r="D199" s="432"/>
      <c r="E199" s="432"/>
      <c r="F199" s="432"/>
      <c r="G199" s="432"/>
      <c r="H199" s="432"/>
      <c r="I199" s="432"/>
      <c r="J199" s="432"/>
      <c r="K199" s="432"/>
      <c r="L199" s="432"/>
      <c r="M199" s="432"/>
      <c r="N199" s="432"/>
      <c r="O199" s="432"/>
      <c r="P199" s="432"/>
      <c r="Q199" s="432"/>
      <c r="R199" s="432"/>
      <c r="S199" s="432"/>
      <c r="T199" s="432"/>
      <c r="U199" s="432"/>
      <c r="V199" s="432"/>
      <c r="W199" s="432"/>
      <c r="X199" s="432"/>
      <c r="Y199" s="432"/>
      <c r="Z199" s="432"/>
      <c r="AA199" s="432"/>
      <c r="AB199" s="432"/>
      <c r="AC199" s="432"/>
      <c r="AD199" s="432"/>
      <c r="AE199" s="432"/>
    </row>
    <row r="200">
      <c r="A200" s="432"/>
      <c r="B200" s="432"/>
      <c r="C200" s="432"/>
      <c r="D200" s="432"/>
      <c r="E200" s="432"/>
      <c r="F200" s="432"/>
      <c r="G200" s="432"/>
      <c r="H200" s="432"/>
      <c r="I200" s="432"/>
      <c r="J200" s="432"/>
      <c r="K200" s="432"/>
      <c r="L200" s="432"/>
      <c r="M200" s="432"/>
      <c r="N200" s="432"/>
      <c r="O200" s="432"/>
      <c r="P200" s="432"/>
      <c r="Q200" s="432"/>
      <c r="R200" s="432"/>
      <c r="S200" s="432"/>
      <c r="T200" s="432"/>
      <c r="U200" s="432"/>
      <c r="V200" s="432"/>
      <c r="W200" s="432"/>
      <c r="X200" s="432"/>
      <c r="Y200" s="432"/>
      <c r="Z200" s="432"/>
      <c r="AA200" s="432"/>
      <c r="AB200" s="432"/>
      <c r="AC200" s="432"/>
      <c r="AD200" s="432"/>
      <c r="AE200" s="432"/>
    </row>
    <row r="201">
      <c r="A201" s="432"/>
      <c r="B201" s="432"/>
      <c r="C201" s="432"/>
      <c r="D201" s="432"/>
      <c r="E201" s="432"/>
      <c r="F201" s="432"/>
      <c r="G201" s="432"/>
      <c r="H201" s="432"/>
      <c r="I201" s="432"/>
      <c r="J201" s="432"/>
      <c r="K201" s="432"/>
      <c r="L201" s="432"/>
      <c r="M201" s="432"/>
      <c r="N201" s="432"/>
      <c r="O201" s="432"/>
      <c r="P201" s="432"/>
      <c r="Q201" s="432"/>
      <c r="R201" s="432"/>
      <c r="S201" s="432"/>
      <c r="T201" s="432"/>
      <c r="U201" s="432"/>
      <c r="V201" s="432"/>
      <c r="W201" s="432"/>
      <c r="X201" s="432"/>
      <c r="Y201" s="432"/>
      <c r="Z201" s="432"/>
      <c r="AA201" s="432"/>
      <c r="AB201" s="432"/>
      <c r="AC201" s="432"/>
      <c r="AD201" s="432"/>
      <c r="AE201" s="432"/>
    </row>
    <row r="202">
      <c r="A202" s="432"/>
      <c r="B202" s="432"/>
      <c r="C202" s="432"/>
      <c r="D202" s="432"/>
      <c r="E202" s="432"/>
      <c r="F202" s="432"/>
      <c r="G202" s="432"/>
      <c r="H202" s="432"/>
      <c r="I202" s="432"/>
      <c r="J202" s="432"/>
      <c r="K202" s="432"/>
      <c r="L202" s="432"/>
      <c r="M202" s="432"/>
      <c r="N202" s="432"/>
      <c r="O202" s="432"/>
      <c r="P202" s="432"/>
      <c r="Q202" s="432"/>
      <c r="R202" s="432"/>
      <c r="S202" s="432"/>
      <c r="T202" s="432"/>
      <c r="U202" s="432"/>
      <c r="V202" s="432"/>
      <c r="W202" s="432"/>
      <c r="X202" s="432"/>
      <c r="Y202" s="432"/>
      <c r="Z202" s="432"/>
      <c r="AA202" s="432"/>
      <c r="AB202" s="432"/>
      <c r="AC202" s="432"/>
      <c r="AD202" s="432"/>
      <c r="AE202" s="432"/>
    </row>
    <row r="203">
      <c r="A203" s="432"/>
      <c r="B203" s="432"/>
      <c r="C203" s="432"/>
      <c r="D203" s="432"/>
      <c r="E203" s="432"/>
      <c r="F203" s="432"/>
      <c r="G203" s="432"/>
      <c r="H203" s="432"/>
      <c r="I203" s="432"/>
      <c r="J203" s="432"/>
      <c r="K203" s="432"/>
      <c r="L203" s="432"/>
      <c r="M203" s="432"/>
      <c r="N203" s="432"/>
      <c r="O203" s="432"/>
      <c r="P203" s="432"/>
      <c r="Q203" s="432"/>
      <c r="R203" s="432"/>
      <c r="S203" s="432"/>
      <c r="T203" s="432"/>
      <c r="U203" s="432"/>
      <c r="V203" s="432"/>
      <c r="W203" s="432"/>
      <c r="X203" s="432"/>
      <c r="Y203" s="432"/>
      <c r="Z203" s="432"/>
      <c r="AA203" s="432"/>
      <c r="AB203" s="432"/>
      <c r="AC203" s="432"/>
      <c r="AD203" s="432"/>
      <c r="AE203" s="432"/>
    </row>
    <row r="204">
      <c r="A204" s="432"/>
      <c r="B204" s="432"/>
      <c r="C204" s="432"/>
      <c r="D204" s="432"/>
      <c r="E204" s="432"/>
      <c r="F204" s="432"/>
      <c r="G204" s="432"/>
      <c r="H204" s="432"/>
      <c r="I204" s="432"/>
      <c r="J204" s="432"/>
      <c r="K204" s="432"/>
      <c r="L204" s="432"/>
      <c r="M204" s="432"/>
      <c r="N204" s="432"/>
      <c r="O204" s="432"/>
      <c r="P204" s="432"/>
      <c r="Q204" s="432"/>
      <c r="R204" s="432"/>
      <c r="S204" s="432"/>
      <c r="T204" s="432"/>
      <c r="U204" s="432"/>
      <c r="V204" s="432"/>
      <c r="W204" s="432"/>
      <c r="X204" s="432"/>
      <c r="Y204" s="432"/>
      <c r="Z204" s="432"/>
      <c r="AA204" s="432"/>
      <c r="AB204" s="432"/>
      <c r="AC204" s="432"/>
      <c r="AD204" s="432"/>
      <c r="AE204" s="432"/>
    </row>
    <row r="205">
      <c r="A205" s="432"/>
      <c r="B205" s="432"/>
      <c r="C205" s="432"/>
      <c r="D205" s="432"/>
      <c r="E205" s="432"/>
      <c r="F205" s="432"/>
      <c r="G205" s="432"/>
      <c r="H205" s="432"/>
      <c r="I205" s="432"/>
      <c r="J205" s="432"/>
      <c r="K205" s="432"/>
      <c r="L205" s="432"/>
      <c r="M205" s="432"/>
      <c r="N205" s="432"/>
      <c r="O205" s="432"/>
      <c r="P205" s="432"/>
      <c r="Q205" s="432"/>
      <c r="R205" s="432"/>
      <c r="S205" s="432"/>
      <c r="T205" s="432"/>
      <c r="U205" s="432"/>
      <c r="V205" s="432"/>
      <c r="W205" s="432"/>
      <c r="X205" s="432"/>
      <c r="Y205" s="432"/>
      <c r="Z205" s="432"/>
      <c r="AA205" s="432"/>
      <c r="AB205" s="432"/>
      <c r="AC205" s="432"/>
      <c r="AD205" s="432"/>
      <c r="AE205" s="432"/>
    </row>
    <row r="206">
      <c r="A206" s="432"/>
      <c r="B206" s="432"/>
      <c r="C206" s="432"/>
      <c r="D206" s="432"/>
      <c r="E206" s="432"/>
      <c r="F206" s="432"/>
      <c r="G206" s="432"/>
      <c r="H206" s="432"/>
      <c r="I206" s="432"/>
      <c r="J206" s="432"/>
      <c r="K206" s="432"/>
      <c r="L206" s="432"/>
      <c r="M206" s="432"/>
      <c r="N206" s="432"/>
      <c r="O206" s="432"/>
      <c r="P206" s="432"/>
      <c r="Q206" s="432"/>
      <c r="R206" s="432"/>
      <c r="S206" s="432"/>
      <c r="T206" s="432"/>
      <c r="U206" s="432"/>
      <c r="V206" s="432"/>
      <c r="W206" s="432"/>
      <c r="X206" s="432"/>
      <c r="Y206" s="432"/>
      <c r="Z206" s="432"/>
      <c r="AA206" s="432"/>
      <c r="AB206" s="432"/>
      <c r="AC206" s="432"/>
      <c r="AD206" s="432"/>
      <c r="AE206" s="432"/>
    </row>
    <row r="207">
      <c r="A207" s="432"/>
      <c r="B207" s="432"/>
      <c r="C207" s="432"/>
      <c r="D207" s="432"/>
      <c r="E207" s="432"/>
      <c r="F207" s="432"/>
      <c r="G207" s="432"/>
      <c r="H207" s="432"/>
      <c r="I207" s="432"/>
      <c r="J207" s="432"/>
      <c r="K207" s="432"/>
      <c r="L207" s="432"/>
      <c r="M207" s="432"/>
      <c r="N207" s="432"/>
      <c r="O207" s="432"/>
      <c r="P207" s="432"/>
      <c r="Q207" s="432"/>
      <c r="R207" s="432"/>
      <c r="S207" s="432"/>
      <c r="T207" s="432"/>
      <c r="U207" s="432"/>
      <c r="V207" s="432"/>
      <c r="W207" s="432"/>
      <c r="X207" s="432"/>
      <c r="Y207" s="432"/>
      <c r="Z207" s="432"/>
      <c r="AA207" s="432"/>
      <c r="AB207" s="432"/>
      <c r="AC207" s="432"/>
      <c r="AD207" s="432"/>
      <c r="AE207" s="432"/>
    </row>
    <row r="208">
      <c r="A208" s="432"/>
      <c r="B208" s="432"/>
      <c r="C208" s="432"/>
      <c r="D208" s="432"/>
      <c r="E208" s="432"/>
      <c r="F208" s="432"/>
      <c r="G208" s="432"/>
      <c r="H208" s="432"/>
      <c r="I208" s="432"/>
      <c r="J208" s="432"/>
      <c r="K208" s="432"/>
      <c r="L208" s="432"/>
      <c r="M208" s="432"/>
      <c r="N208" s="432"/>
      <c r="O208" s="432"/>
      <c r="P208" s="432"/>
      <c r="Q208" s="432"/>
      <c r="R208" s="432"/>
      <c r="S208" s="432"/>
      <c r="T208" s="432"/>
      <c r="U208" s="432"/>
      <c r="V208" s="432"/>
      <c r="W208" s="432"/>
      <c r="X208" s="432"/>
      <c r="Y208" s="432"/>
      <c r="Z208" s="432"/>
      <c r="AA208" s="432"/>
      <c r="AB208" s="432"/>
      <c r="AC208" s="432"/>
      <c r="AD208" s="432"/>
      <c r="AE208" s="432"/>
    </row>
    <row r="209">
      <c r="A209" s="432"/>
      <c r="B209" s="432"/>
      <c r="C209" s="432"/>
      <c r="D209" s="432"/>
      <c r="E209" s="432"/>
      <c r="F209" s="432"/>
      <c r="G209" s="432"/>
      <c r="H209" s="432"/>
      <c r="I209" s="432"/>
      <c r="J209" s="432"/>
      <c r="K209" s="432"/>
      <c r="L209" s="432"/>
      <c r="M209" s="432"/>
      <c r="N209" s="432"/>
      <c r="O209" s="432"/>
      <c r="P209" s="432"/>
      <c r="Q209" s="432"/>
      <c r="R209" s="432"/>
      <c r="S209" s="432"/>
      <c r="T209" s="432"/>
      <c r="U209" s="432"/>
      <c r="V209" s="432"/>
      <c r="W209" s="432"/>
      <c r="X209" s="432"/>
      <c r="Y209" s="432"/>
      <c r="Z209" s="432"/>
      <c r="AA209" s="432"/>
      <c r="AB209" s="432"/>
      <c r="AC209" s="432"/>
      <c r="AD209" s="432"/>
      <c r="AE209" s="432"/>
    </row>
    <row r="210">
      <c r="A210" s="432"/>
      <c r="B210" s="432"/>
      <c r="C210" s="432"/>
      <c r="D210" s="432"/>
      <c r="E210" s="432"/>
      <c r="F210" s="432"/>
      <c r="G210" s="432"/>
      <c r="H210" s="432"/>
      <c r="I210" s="432"/>
      <c r="J210" s="432"/>
      <c r="K210" s="432"/>
      <c r="L210" s="432"/>
      <c r="M210" s="432"/>
      <c r="N210" s="432"/>
      <c r="O210" s="432"/>
      <c r="P210" s="432"/>
      <c r="Q210" s="432"/>
      <c r="R210" s="432"/>
      <c r="S210" s="432"/>
      <c r="T210" s="432"/>
      <c r="U210" s="432"/>
      <c r="V210" s="432"/>
      <c r="W210" s="432"/>
      <c r="X210" s="432"/>
      <c r="Y210" s="432"/>
      <c r="Z210" s="432"/>
      <c r="AA210" s="432"/>
      <c r="AB210" s="432"/>
      <c r="AC210" s="432"/>
      <c r="AD210" s="432"/>
      <c r="AE210" s="432"/>
    </row>
    <row r="211">
      <c r="A211" s="432"/>
      <c r="B211" s="432"/>
      <c r="C211" s="432"/>
      <c r="D211" s="432"/>
      <c r="E211" s="432"/>
      <c r="F211" s="432"/>
      <c r="G211" s="432"/>
      <c r="H211" s="432"/>
      <c r="I211" s="432"/>
      <c r="J211" s="432"/>
      <c r="K211" s="432"/>
      <c r="L211" s="432"/>
      <c r="M211" s="432"/>
      <c r="N211" s="432"/>
      <c r="O211" s="432"/>
      <c r="P211" s="432"/>
      <c r="Q211" s="432"/>
      <c r="R211" s="432"/>
      <c r="S211" s="432"/>
      <c r="T211" s="432"/>
      <c r="U211" s="432"/>
      <c r="V211" s="432"/>
      <c r="W211" s="432"/>
      <c r="X211" s="432"/>
      <c r="Y211" s="432"/>
      <c r="Z211" s="432"/>
      <c r="AA211" s="432"/>
      <c r="AB211" s="432"/>
      <c r="AC211" s="432"/>
      <c r="AD211" s="432"/>
      <c r="AE211" s="432"/>
    </row>
    <row r="212">
      <c r="A212" s="432"/>
      <c r="B212" s="432"/>
      <c r="C212" s="432"/>
      <c r="D212" s="432"/>
      <c r="E212" s="432"/>
      <c r="F212" s="432"/>
      <c r="G212" s="432"/>
      <c r="H212" s="432"/>
      <c r="I212" s="432"/>
      <c r="J212" s="432"/>
      <c r="K212" s="432"/>
      <c r="L212" s="432"/>
      <c r="M212" s="432"/>
      <c r="N212" s="432"/>
      <c r="O212" s="432"/>
      <c r="P212" s="432"/>
      <c r="Q212" s="432"/>
      <c r="R212" s="432"/>
      <c r="S212" s="432"/>
      <c r="T212" s="432"/>
      <c r="U212" s="432"/>
      <c r="V212" s="432"/>
      <c r="W212" s="432"/>
      <c r="X212" s="432"/>
      <c r="Y212" s="432"/>
      <c r="Z212" s="432"/>
      <c r="AA212" s="432"/>
      <c r="AB212" s="432"/>
      <c r="AC212" s="432"/>
      <c r="AD212" s="432"/>
      <c r="AE212" s="432"/>
    </row>
    <row r="213">
      <c r="A213" s="432"/>
      <c r="B213" s="432"/>
      <c r="C213" s="432"/>
      <c r="D213" s="432"/>
      <c r="E213" s="432"/>
      <c r="F213" s="432"/>
      <c r="G213" s="432"/>
      <c r="H213" s="432"/>
      <c r="I213" s="432"/>
      <c r="J213" s="432"/>
      <c r="K213" s="432"/>
      <c r="L213" s="432"/>
      <c r="M213" s="432"/>
      <c r="N213" s="432"/>
      <c r="O213" s="432"/>
      <c r="P213" s="432"/>
      <c r="Q213" s="432"/>
      <c r="R213" s="432"/>
      <c r="S213" s="432"/>
      <c r="T213" s="432"/>
      <c r="U213" s="432"/>
      <c r="V213" s="432"/>
      <c r="W213" s="432"/>
      <c r="X213" s="432"/>
      <c r="Y213" s="432"/>
      <c r="Z213" s="432"/>
      <c r="AA213" s="432"/>
      <c r="AB213" s="432"/>
      <c r="AC213" s="432"/>
      <c r="AD213" s="432"/>
      <c r="AE213" s="432"/>
    </row>
    <row r="214">
      <c r="A214" s="432"/>
      <c r="B214" s="432"/>
      <c r="C214" s="432"/>
      <c r="D214" s="432"/>
      <c r="E214" s="432"/>
      <c r="F214" s="432"/>
      <c r="G214" s="432"/>
      <c r="H214" s="432"/>
      <c r="I214" s="432"/>
      <c r="J214" s="432"/>
      <c r="K214" s="432"/>
      <c r="L214" s="432"/>
      <c r="M214" s="432"/>
      <c r="N214" s="432"/>
      <c r="O214" s="432"/>
      <c r="P214" s="432"/>
      <c r="Q214" s="432"/>
      <c r="R214" s="432"/>
      <c r="S214" s="432"/>
      <c r="T214" s="432"/>
      <c r="U214" s="432"/>
      <c r="V214" s="432"/>
      <c r="W214" s="432"/>
      <c r="X214" s="432"/>
      <c r="Y214" s="432"/>
      <c r="Z214" s="432"/>
      <c r="AA214" s="432"/>
      <c r="AB214" s="432"/>
      <c r="AC214" s="432"/>
      <c r="AD214" s="432"/>
      <c r="AE214" s="432"/>
    </row>
    <row r="215">
      <c r="A215" s="432"/>
      <c r="B215" s="432"/>
      <c r="C215" s="432"/>
      <c r="D215" s="432"/>
      <c r="E215" s="432"/>
      <c r="F215" s="432"/>
      <c r="G215" s="432"/>
      <c r="H215" s="432"/>
      <c r="I215" s="432"/>
      <c r="J215" s="432"/>
      <c r="K215" s="432"/>
      <c r="L215" s="432"/>
      <c r="M215" s="432"/>
      <c r="N215" s="432"/>
      <c r="O215" s="432"/>
      <c r="P215" s="432"/>
      <c r="Q215" s="432"/>
      <c r="R215" s="432"/>
      <c r="S215" s="432"/>
      <c r="T215" s="432"/>
      <c r="U215" s="432"/>
      <c r="V215" s="432"/>
      <c r="W215" s="432"/>
      <c r="X215" s="432"/>
      <c r="Y215" s="432"/>
      <c r="Z215" s="432"/>
      <c r="AA215" s="432"/>
      <c r="AB215" s="432"/>
      <c r="AC215" s="432"/>
      <c r="AD215" s="432"/>
      <c r="AE215" s="432"/>
    </row>
    <row r="216">
      <c r="A216" s="432"/>
      <c r="B216" s="432"/>
      <c r="C216" s="432"/>
      <c r="D216" s="432"/>
      <c r="E216" s="432"/>
      <c r="F216" s="432"/>
      <c r="G216" s="432"/>
      <c r="H216" s="432"/>
      <c r="I216" s="432"/>
      <c r="J216" s="432"/>
      <c r="K216" s="432"/>
      <c r="L216" s="432"/>
      <c r="M216" s="432"/>
      <c r="N216" s="432"/>
      <c r="O216" s="432"/>
      <c r="P216" s="432"/>
      <c r="Q216" s="432"/>
      <c r="R216" s="432"/>
      <c r="S216" s="432"/>
      <c r="T216" s="432"/>
      <c r="U216" s="432"/>
      <c r="V216" s="432"/>
      <c r="W216" s="432"/>
      <c r="X216" s="432"/>
      <c r="Y216" s="432"/>
      <c r="Z216" s="432"/>
      <c r="AA216" s="432"/>
      <c r="AB216" s="432"/>
      <c r="AC216" s="432"/>
      <c r="AD216" s="432"/>
      <c r="AE216" s="432"/>
    </row>
    <row r="217">
      <c r="A217" s="432"/>
      <c r="B217" s="432"/>
      <c r="C217" s="432"/>
      <c r="D217" s="432"/>
      <c r="E217" s="432"/>
      <c r="F217" s="432"/>
      <c r="G217" s="432"/>
      <c r="H217" s="432"/>
      <c r="I217" s="432"/>
      <c r="J217" s="432"/>
      <c r="K217" s="432"/>
      <c r="L217" s="432"/>
      <c r="M217" s="432"/>
      <c r="N217" s="432"/>
      <c r="O217" s="432"/>
      <c r="P217" s="432"/>
      <c r="Q217" s="432"/>
      <c r="R217" s="432"/>
      <c r="S217" s="432"/>
      <c r="T217" s="432"/>
      <c r="U217" s="432"/>
      <c r="V217" s="432"/>
      <c r="W217" s="432"/>
      <c r="X217" s="432"/>
      <c r="Y217" s="432"/>
      <c r="Z217" s="432"/>
      <c r="AA217" s="432"/>
      <c r="AB217" s="432"/>
      <c r="AC217" s="432"/>
      <c r="AD217" s="432"/>
      <c r="AE217" s="432"/>
    </row>
    <row r="218">
      <c r="A218" s="432"/>
      <c r="B218" s="432"/>
      <c r="C218" s="432"/>
      <c r="D218" s="432"/>
      <c r="E218" s="432"/>
      <c r="F218" s="432"/>
      <c r="G218" s="432"/>
      <c r="H218" s="432"/>
      <c r="I218" s="432"/>
      <c r="J218" s="432"/>
      <c r="K218" s="432"/>
      <c r="L218" s="432"/>
      <c r="M218" s="432"/>
      <c r="N218" s="432"/>
      <c r="O218" s="432"/>
      <c r="P218" s="432"/>
      <c r="Q218" s="432"/>
      <c r="R218" s="432"/>
      <c r="S218" s="432"/>
      <c r="T218" s="432"/>
      <c r="U218" s="432"/>
      <c r="V218" s="432"/>
      <c r="W218" s="432"/>
      <c r="X218" s="432"/>
      <c r="Y218" s="432"/>
      <c r="Z218" s="432"/>
      <c r="AA218" s="432"/>
      <c r="AB218" s="432"/>
      <c r="AC218" s="432"/>
      <c r="AD218" s="432"/>
      <c r="AE218" s="432"/>
    </row>
    <row r="219">
      <c r="A219" s="432"/>
      <c r="B219" s="432"/>
      <c r="C219" s="432"/>
      <c r="D219" s="432"/>
      <c r="E219" s="432"/>
      <c r="F219" s="432"/>
      <c r="G219" s="432"/>
      <c r="H219" s="432"/>
      <c r="I219" s="432"/>
      <c r="J219" s="432"/>
      <c r="K219" s="432"/>
      <c r="L219" s="432"/>
      <c r="M219" s="432"/>
      <c r="N219" s="432"/>
      <c r="O219" s="432"/>
      <c r="P219" s="432"/>
      <c r="Q219" s="432"/>
      <c r="R219" s="432"/>
      <c r="S219" s="432"/>
      <c r="T219" s="432"/>
      <c r="U219" s="432"/>
      <c r="V219" s="432"/>
      <c r="W219" s="432"/>
      <c r="X219" s="432"/>
      <c r="Y219" s="432"/>
      <c r="Z219" s="432"/>
      <c r="AA219" s="432"/>
      <c r="AB219" s="432"/>
      <c r="AC219" s="432"/>
      <c r="AD219" s="432"/>
      <c r="AE219" s="432"/>
    </row>
    <row r="220">
      <c r="A220" s="432"/>
      <c r="B220" s="432"/>
      <c r="C220" s="432"/>
      <c r="D220" s="432"/>
      <c r="E220" s="432"/>
      <c r="F220" s="432"/>
      <c r="G220" s="432"/>
      <c r="H220" s="432"/>
      <c r="I220" s="432"/>
      <c r="J220" s="432"/>
      <c r="K220" s="432"/>
      <c r="L220" s="432"/>
      <c r="M220" s="432"/>
      <c r="N220" s="432"/>
      <c r="O220" s="432"/>
      <c r="P220" s="432"/>
      <c r="Q220" s="432"/>
      <c r="R220" s="432"/>
      <c r="S220" s="432"/>
      <c r="T220" s="432"/>
      <c r="U220" s="432"/>
      <c r="V220" s="432"/>
      <c r="W220" s="432"/>
      <c r="X220" s="432"/>
      <c r="Y220" s="432"/>
      <c r="Z220" s="432"/>
      <c r="AA220" s="432"/>
      <c r="AB220" s="432"/>
      <c r="AC220" s="432"/>
      <c r="AD220" s="432"/>
      <c r="AE220" s="432"/>
    </row>
    <row r="221">
      <c r="A221" s="432"/>
      <c r="B221" s="432"/>
      <c r="C221" s="432"/>
      <c r="D221" s="432"/>
      <c r="E221" s="432"/>
      <c r="F221" s="432"/>
      <c r="G221" s="432"/>
      <c r="H221" s="432"/>
      <c r="I221" s="432"/>
      <c r="J221" s="432"/>
      <c r="K221" s="432"/>
      <c r="L221" s="432"/>
      <c r="M221" s="432"/>
      <c r="N221" s="432"/>
      <c r="O221" s="432"/>
      <c r="P221" s="432"/>
      <c r="Q221" s="432"/>
      <c r="R221" s="432"/>
      <c r="S221" s="432"/>
      <c r="T221" s="432"/>
      <c r="U221" s="432"/>
      <c r="V221" s="432"/>
      <c r="W221" s="432"/>
      <c r="X221" s="432"/>
      <c r="Y221" s="432"/>
      <c r="Z221" s="432"/>
      <c r="AA221" s="432"/>
      <c r="AB221" s="432"/>
      <c r="AC221" s="432"/>
      <c r="AD221" s="432"/>
      <c r="AE221" s="432"/>
    </row>
    <row r="222">
      <c r="A222" s="432"/>
      <c r="B222" s="432"/>
      <c r="C222" s="432"/>
      <c r="D222" s="432"/>
      <c r="E222" s="432"/>
      <c r="F222" s="432"/>
      <c r="G222" s="432"/>
      <c r="H222" s="432"/>
      <c r="I222" s="432"/>
      <c r="J222" s="432"/>
      <c r="K222" s="432"/>
      <c r="L222" s="432"/>
      <c r="M222" s="432"/>
      <c r="N222" s="432"/>
      <c r="O222" s="432"/>
      <c r="P222" s="432"/>
      <c r="Q222" s="432"/>
      <c r="R222" s="432"/>
      <c r="S222" s="432"/>
      <c r="T222" s="432"/>
      <c r="U222" s="432"/>
      <c r="V222" s="432"/>
      <c r="W222" s="432"/>
      <c r="X222" s="432"/>
      <c r="Y222" s="432"/>
      <c r="Z222" s="432"/>
      <c r="AA222" s="432"/>
      <c r="AB222" s="432"/>
      <c r="AC222" s="432"/>
      <c r="AD222" s="432"/>
      <c r="AE222" s="432"/>
    </row>
    <row r="223">
      <c r="A223" s="432"/>
      <c r="B223" s="432"/>
      <c r="C223" s="432"/>
      <c r="D223" s="432"/>
      <c r="E223" s="432"/>
      <c r="F223" s="432"/>
      <c r="G223" s="432"/>
      <c r="H223" s="432"/>
      <c r="I223" s="432"/>
      <c r="J223" s="432"/>
      <c r="K223" s="432"/>
      <c r="L223" s="432"/>
      <c r="M223" s="432"/>
      <c r="N223" s="432"/>
      <c r="O223" s="432"/>
      <c r="P223" s="432"/>
      <c r="Q223" s="432"/>
      <c r="R223" s="432"/>
      <c r="S223" s="432"/>
      <c r="T223" s="432"/>
      <c r="U223" s="432"/>
      <c r="V223" s="432"/>
      <c r="W223" s="432"/>
      <c r="X223" s="432"/>
      <c r="Y223" s="432"/>
      <c r="Z223" s="432"/>
      <c r="AA223" s="432"/>
      <c r="AB223" s="432"/>
      <c r="AC223" s="432"/>
      <c r="AD223" s="432"/>
      <c r="AE223" s="432"/>
    </row>
    <row r="224">
      <c r="A224" s="432"/>
      <c r="B224" s="432"/>
      <c r="C224" s="432"/>
      <c r="D224" s="432"/>
      <c r="E224" s="432"/>
      <c r="F224" s="432"/>
      <c r="G224" s="432"/>
      <c r="H224" s="432"/>
      <c r="I224" s="432"/>
      <c r="J224" s="432"/>
      <c r="K224" s="432"/>
      <c r="L224" s="432"/>
      <c r="M224" s="432"/>
      <c r="N224" s="432"/>
      <c r="O224" s="432"/>
      <c r="P224" s="432"/>
      <c r="Q224" s="432"/>
      <c r="R224" s="432"/>
      <c r="S224" s="432"/>
      <c r="T224" s="432"/>
      <c r="U224" s="432"/>
      <c r="V224" s="432"/>
      <c r="W224" s="432"/>
      <c r="X224" s="432"/>
      <c r="Y224" s="432"/>
      <c r="Z224" s="432"/>
      <c r="AA224" s="432"/>
      <c r="AB224" s="432"/>
      <c r="AC224" s="432"/>
      <c r="AD224" s="432"/>
      <c r="AE224" s="432"/>
    </row>
    <row r="225">
      <c r="A225" s="432"/>
      <c r="B225" s="432"/>
      <c r="C225" s="432"/>
      <c r="D225" s="432"/>
      <c r="E225" s="432"/>
      <c r="F225" s="432"/>
      <c r="G225" s="432"/>
      <c r="H225" s="432"/>
      <c r="I225" s="432"/>
      <c r="J225" s="432"/>
      <c r="K225" s="432"/>
      <c r="L225" s="432"/>
      <c r="M225" s="432"/>
      <c r="N225" s="432"/>
      <c r="O225" s="432"/>
      <c r="P225" s="432"/>
      <c r="Q225" s="432"/>
      <c r="R225" s="432"/>
      <c r="S225" s="432"/>
      <c r="T225" s="432"/>
      <c r="U225" s="432"/>
      <c r="V225" s="432"/>
      <c r="W225" s="432"/>
      <c r="X225" s="432"/>
      <c r="Y225" s="432"/>
      <c r="Z225" s="432"/>
      <c r="AA225" s="432"/>
      <c r="AB225" s="432"/>
      <c r="AC225" s="432"/>
      <c r="AD225" s="432"/>
      <c r="AE225" s="432"/>
    </row>
    <row r="226">
      <c r="A226" s="432"/>
      <c r="B226" s="432"/>
      <c r="C226" s="432"/>
      <c r="D226" s="432"/>
      <c r="E226" s="432"/>
      <c r="F226" s="432"/>
      <c r="G226" s="432"/>
      <c r="H226" s="432"/>
      <c r="I226" s="432"/>
      <c r="J226" s="432"/>
      <c r="K226" s="432"/>
      <c r="L226" s="432"/>
      <c r="M226" s="432"/>
      <c r="N226" s="432"/>
      <c r="O226" s="432"/>
      <c r="P226" s="432"/>
      <c r="Q226" s="432"/>
      <c r="R226" s="432"/>
      <c r="S226" s="432"/>
      <c r="T226" s="432"/>
      <c r="U226" s="432"/>
      <c r="V226" s="432"/>
      <c r="W226" s="432"/>
      <c r="X226" s="432"/>
      <c r="Y226" s="432"/>
      <c r="Z226" s="432"/>
      <c r="AA226" s="432"/>
      <c r="AB226" s="432"/>
      <c r="AC226" s="432"/>
      <c r="AD226" s="432"/>
      <c r="AE226" s="432"/>
    </row>
    <row r="227">
      <c r="A227" s="432"/>
      <c r="B227" s="432"/>
      <c r="C227" s="432"/>
      <c r="D227" s="432"/>
      <c r="E227" s="432"/>
      <c r="F227" s="432"/>
      <c r="G227" s="432"/>
      <c r="H227" s="432"/>
      <c r="I227" s="432"/>
      <c r="J227" s="432"/>
      <c r="K227" s="432"/>
      <c r="L227" s="432"/>
      <c r="M227" s="432"/>
      <c r="N227" s="432"/>
      <c r="O227" s="432"/>
      <c r="P227" s="432"/>
      <c r="Q227" s="432"/>
      <c r="R227" s="432"/>
      <c r="S227" s="432"/>
      <c r="T227" s="432"/>
      <c r="U227" s="432"/>
      <c r="V227" s="432"/>
      <c r="W227" s="432"/>
      <c r="X227" s="432"/>
      <c r="Y227" s="432"/>
      <c r="Z227" s="432"/>
      <c r="AA227" s="432"/>
      <c r="AB227" s="432"/>
      <c r="AC227" s="432"/>
      <c r="AD227" s="432"/>
      <c r="AE227" s="432"/>
    </row>
    <row r="228">
      <c r="A228" s="432"/>
      <c r="B228" s="432"/>
      <c r="C228" s="432"/>
      <c r="D228" s="432"/>
      <c r="E228" s="432"/>
      <c r="F228" s="432"/>
      <c r="G228" s="432"/>
      <c r="H228" s="432"/>
      <c r="I228" s="432"/>
      <c r="J228" s="432"/>
      <c r="K228" s="432"/>
      <c r="L228" s="432"/>
      <c r="M228" s="432"/>
      <c r="N228" s="432"/>
      <c r="O228" s="432"/>
      <c r="P228" s="432"/>
      <c r="Q228" s="432"/>
      <c r="R228" s="432"/>
      <c r="S228" s="432"/>
      <c r="T228" s="432"/>
      <c r="U228" s="432"/>
      <c r="V228" s="432"/>
      <c r="W228" s="432"/>
      <c r="X228" s="432"/>
      <c r="Y228" s="432"/>
      <c r="Z228" s="432"/>
      <c r="AA228" s="432"/>
      <c r="AB228" s="432"/>
      <c r="AC228" s="432"/>
      <c r="AD228" s="432"/>
      <c r="AE228" s="432"/>
    </row>
    <row r="229">
      <c r="A229" s="432"/>
      <c r="B229" s="432"/>
      <c r="C229" s="432"/>
      <c r="D229" s="432"/>
      <c r="E229" s="432"/>
      <c r="F229" s="432"/>
      <c r="G229" s="432"/>
      <c r="H229" s="432"/>
      <c r="I229" s="432"/>
      <c r="J229" s="432"/>
      <c r="K229" s="432"/>
      <c r="L229" s="432"/>
      <c r="M229" s="432"/>
      <c r="N229" s="432"/>
      <c r="O229" s="432"/>
      <c r="P229" s="432"/>
      <c r="Q229" s="432"/>
      <c r="R229" s="432"/>
      <c r="S229" s="432"/>
      <c r="T229" s="432"/>
      <c r="U229" s="432"/>
      <c r="V229" s="432"/>
      <c r="W229" s="432"/>
      <c r="X229" s="432"/>
      <c r="Y229" s="432"/>
      <c r="Z229" s="432"/>
      <c r="AA229" s="432"/>
      <c r="AB229" s="432"/>
      <c r="AC229" s="432"/>
      <c r="AD229" s="432"/>
      <c r="AE229" s="432"/>
    </row>
    <row r="230">
      <c r="A230" s="432"/>
      <c r="B230" s="432"/>
      <c r="C230" s="432"/>
      <c r="D230" s="432"/>
      <c r="E230" s="432"/>
      <c r="F230" s="432"/>
      <c r="G230" s="432"/>
      <c r="H230" s="432"/>
      <c r="I230" s="432"/>
      <c r="J230" s="432"/>
      <c r="K230" s="432"/>
      <c r="L230" s="432"/>
      <c r="M230" s="432"/>
      <c r="N230" s="432"/>
      <c r="O230" s="432"/>
      <c r="P230" s="432"/>
      <c r="Q230" s="432"/>
      <c r="R230" s="432"/>
      <c r="S230" s="432"/>
      <c r="T230" s="432"/>
      <c r="U230" s="432"/>
      <c r="V230" s="432"/>
      <c r="W230" s="432"/>
      <c r="X230" s="432"/>
      <c r="Y230" s="432"/>
      <c r="Z230" s="432"/>
      <c r="AA230" s="432"/>
      <c r="AB230" s="432"/>
      <c r="AC230" s="432"/>
      <c r="AD230" s="432"/>
      <c r="AE230" s="432"/>
    </row>
    <row r="231">
      <c r="A231" s="432"/>
      <c r="B231" s="432"/>
      <c r="C231" s="432"/>
      <c r="D231" s="432"/>
      <c r="E231" s="432"/>
      <c r="F231" s="432"/>
      <c r="G231" s="432"/>
      <c r="H231" s="432"/>
      <c r="I231" s="432"/>
      <c r="J231" s="432"/>
      <c r="K231" s="432"/>
      <c r="L231" s="432"/>
      <c r="M231" s="432"/>
      <c r="N231" s="432"/>
      <c r="O231" s="432"/>
      <c r="P231" s="432"/>
      <c r="Q231" s="432"/>
      <c r="R231" s="432"/>
      <c r="S231" s="432"/>
      <c r="T231" s="432"/>
      <c r="U231" s="432"/>
      <c r="V231" s="432"/>
      <c r="W231" s="432"/>
      <c r="X231" s="432"/>
      <c r="Y231" s="432"/>
      <c r="Z231" s="432"/>
      <c r="AA231" s="432"/>
      <c r="AB231" s="432"/>
      <c r="AC231" s="432"/>
      <c r="AD231" s="432"/>
      <c r="AE231" s="432"/>
    </row>
    <row r="232">
      <c r="A232" s="432"/>
      <c r="B232" s="432"/>
      <c r="C232" s="432"/>
      <c r="D232" s="432"/>
      <c r="E232" s="432"/>
      <c r="F232" s="432"/>
      <c r="G232" s="432"/>
      <c r="H232" s="432"/>
      <c r="I232" s="432"/>
      <c r="J232" s="432"/>
      <c r="K232" s="432"/>
      <c r="L232" s="432"/>
      <c r="M232" s="432"/>
      <c r="N232" s="432"/>
      <c r="O232" s="432"/>
      <c r="P232" s="432"/>
      <c r="Q232" s="432"/>
      <c r="R232" s="432"/>
      <c r="S232" s="432"/>
      <c r="T232" s="432"/>
      <c r="U232" s="432"/>
      <c r="V232" s="432"/>
      <c r="W232" s="432"/>
      <c r="X232" s="432"/>
      <c r="Y232" s="432"/>
      <c r="Z232" s="432"/>
      <c r="AA232" s="432"/>
      <c r="AB232" s="432"/>
      <c r="AC232" s="432"/>
      <c r="AD232" s="432"/>
      <c r="AE232" s="432"/>
    </row>
    <row r="233">
      <c r="A233" s="432"/>
      <c r="B233" s="432"/>
      <c r="C233" s="432"/>
      <c r="D233" s="432"/>
      <c r="E233" s="432"/>
      <c r="F233" s="432"/>
      <c r="G233" s="432"/>
      <c r="H233" s="432"/>
      <c r="I233" s="432"/>
      <c r="J233" s="432"/>
      <c r="K233" s="432"/>
      <c r="L233" s="432"/>
      <c r="M233" s="432"/>
      <c r="N233" s="432"/>
      <c r="O233" s="432"/>
      <c r="P233" s="432"/>
      <c r="Q233" s="432"/>
      <c r="R233" s="432"/>
      <c r="S233" s="432"/>
      <c r="T233" s="432"/>
      <c r="U233" s="432"/>
      <c r="V233" s="432"/>
      <c r="W233" s="432"/>
      <c r="X233" s="432"/>
      <c r="Y233" s="432"/>
      <c r="Z233" s="432"/>
      <c r="AA233" s="432"/>
      <c r="AB233" s="432"/>
      <c r="AC233" s="432"/>
      <c r="AD233" s="432"/>
      <c r="AE233" s="432"/>
    </row>
    <row r="234">
      <c r="A234" s="432"/>
      <c r="B234" s="432"/>
      <c r="C234" s="432"/>
      <c r="D234" s="432"/>
      <c r="E234" s="432"/>
      <c r="F234" s="432"/>
      <c r="G234" s="432"/>
      <c r="H234" s="432"/>
      <c r="I234" s="432"/>
      <c r="J234" s="432"/>
      <c r="K234" s="432"/>
      <c r="L234" s="432"/>
      <c r="M234" s="432"/>
      <c r="N234" s="432"/>
      <c r="O234" s="432"/>
      <c r="P234" s="432"/>
      <c r="Q234" s="432"/>
      <c r="R234" s="432"/>
      <c r="S234" s="432"/>
      <c r="T234" s="432"/>
      <c r="U234" s="432"/>
      <c r="V234" s="432"/>
      <c r="W234" s="432"/>
      <c r="X234" s="432"/>
      <c r="Y234" s="432"/>
      <c r="Z234" s="432"/>
      <c r="AA234" s="432"/>
      <c r="AB234" s="432"/>
      <c r="AC234" s="432"/>
      <c r="AD234" s="432"/>
      <c r="AE234" s="432"/>
    </row>
    <row r="235">
      <c r="A235" s="432"/>
      <c r="B235" s="432"/>
      <c r="C235" s="432"/>
      <c r="D235" s="432"/>
      <c r="E235" s="432"/>
      <c r="F235" s="432"/>
      <c r="G235" s="432"/>
      <c r="H235" s="432"/>
      <c r="I235" s="432"/>
      <c r="J235" s="432"/>
      <c r="K235" s="432"/>
      <c r="L235" s="432"/>
      <c r="M235" s="432"/>
      <c r="N235" s="432"/>
      <c r="O235" s="432"/>
      <c r="P235" s="432"/>
      <c r="Q235" s="432"/>
      <c r="R235" s="432"/>
      <c r="S235" s="432"/>
      <c r="T235" s="432"/>
      <c r="U235" s="432"/>
      <c r="V235" s="432"/>
      <c r="W235" s="432"/>
      <c r="X235" s="432"/>
      <c r="Y235" s="432"/>
      <c r="Z235" s="432"/>
      <c r="AA235" s="432"/>
      <c r="AB235" s="432"/>
      <c r="AC235" s="432"/>
      <c r="AD235" s="432"/>
      <c r="AE235" s="432"/>
    </row>
    <row r="236">
      <c r="A236" s="432"/>
      <c r="B236" s="432"/>
      <c r="C236" s="432"/>
      <c r="D236" s="432"/>
      <c r="E236" s="432"/>
      <c r="F236" s="432"/>
      <c r="G236" s="432"/>
      <c r="H236" s="432"/>
      <c r="I236" s="432"/>
      <c r="J236" s="432"/>
      <c r="K236" s="432"/>
      <c r="L236" s="432"/>
      <c r="M236" s="432"/>
      <c r="N236" s="432"/>
      <c r="O236" s="432"/>
      <c r="P236" s="432"/>
      <c r="Q236" s="432"/>
      <c r="R236" s="432"/>
      <c r="S236" s="432"/>
      <c r="T236" s="432"/>
      <c r="U236" s="432"/>
      <c r="V236" s="432"/>
      <c r="W236" s="432"/>
      <c r="X236" s="432"/>
      <c r="Y236" s="432"/>
      <c r="Z236" s="432"/>
      <c r="AA236" s="432"/>
      <c r="AB236" s="432"/>
      <c r="AC236" s="432"/>
      <c r="AD236" s="432"/>
      <c r="AE236" s="432"/>
    </row>
    <row r="237">
      <c r="A237" s="432"/>
      <c r="B237" s="432"/>
      <c r="C237" s="432"/>
      <c r="D237" s="432"/>
      <c r="E237" s="432"/>
      <c r="F237" s="432"/>
      <c r="G237" s="432"/>
      <c r="H237" s="432"/>
      <c r="I237" s="432"/>
      <c r="J237" s="432"/>
      <c r="K237" s="432"/>
      <c r="L237" s="432"/>
      <c r="M237" s="432"/>
      <c r="N237" s="432"/>
      <c r="O237" s="432"/>
      <c r="P237" s="432"/>
      <c r="Q237" s="432"/>
      <c r="R237" s="432"/>
      <c r="S237" s="432"/>
      <c r="T237" s="432"/>
      <c r="U237" s="432"/>
      <c r="V237" s="432"/>
      <c r="W237" s="432"/>
      <c r="X237" s="432"/>
      <c r="Y237" s="432"/>
      <c r="Z237" s="432"/>
      <c r="AA237" s="432"/>
      <c r="AB237" s="432"/>
      <c r="AC237" s="432"/>
      <c r="AD237" s="432"/>
      <c r="AE237" s="432"/>
    </row>
    <row r="238">
      <c r="A238" s="432"/>
      <c r="B238" s="432"/>
      <c r="C238" s="432"/>
      <c r="D238" s="432"/>
      <c r="E238" s="432"/>
      <c r="F238" s="432"/>
      <c r="G238" s="432"/>
      <c r="H238" s="432"/>
      <c r="I238" s="432"/>
      <c r="J238" s="432"/>
      <c r="K238" s="432"/>
      <c r="L238" s="432"/>
      <c r="M238" s="432"/>
      <c r="N238" s="432"/>
      <c r="O238" s="432"/>
      <c r="P238" s="432"/>
      <c r="Q238" s="432"/>
      <c r="R238" s="432"/>
      <c r="S238" s="432"/>
      <c r="T238" s="432"/>
      <c r="U238" s="432"/>
      <c r="V238" s="432"/>
      <c r="W238" s="432"/>
      <c r="X238" s="432"/>
      <c r="Y238" s="432"/>
      <c r="Z238" s="432"/>
      <c r="AA238" s="432"/>
      <c r="AB238" s="432"/>
      <c r="AC238" s="432"/>
      <c r="AD238" s="432"/>
      <c r="AE238" s="432"/>
    </row>
    <row r="239">
      <c r="A239" s="432"/>
      <c r="B239" s="432"/>
      <c r="C239" s="432"/>
      <c r="D239" s="432"/>
      <c r="E239" s="432"/>
      <c r="F239" s="432"/>
      <c r="G239" s="432"/>
      <c r="H239" s="432"/>
      <c r="I239" s="432"/>
      <c r="J239" s="432"/>
      <c r="K239" s="432"/>
      <c r="L239" s="432"/>
      <c r="M239" s="432"/>
      <c r="N239" s="432"/>
      <c r="O239" s="432"/>
      <c r="P239" s="432"/>
      <c r="Q239" s="432"/>
      <c r="R239" s="432"/>
      <c r="S239" s="432"/>
      <c r="T239" s="432"/>
      <c r="U239" s="432"/>
      <c r="V239" s="432"/>
      <c r="W239" s="432"/>
      <c r="X239" s="432"/>
      <c r="Y239" s="432"/>
      <c r="Z239" s="432"/>
      <c r="AA239" s="432"/>
      <c r="AB239" s="432"/>
      <c r="AC239" s="432"/>
      <c r="AD239" s="432"/>
      <c r="AE239" s="432"/>
    </row>
    <row r="240">
      <c r="A240" s="432"/>
      <c r="B240" s="432"/>
      <c r="C240" s="432"/>
      <c r="D240" s="432"/>
      <c r="E240" s="432"/>
      <c r="F240" s="432"/>
      <c r="G240" s="432"/>
      <c r="H240" s="432"/>
      <c r="I240" s="432"/>
      <c r="J240" s="432"/>
      <c r="K240" s="432"/>
      <c r="L240" s="432"/>
      <c r="M240" s="432"/>
      <c r="N240" s="432"/>
      <c r="O240" s="432"/>
      <c r="P240" s="432"/>
      <c r="Q240" s="432"/>
      <c r="R240" s="432"/>
      <c r="S240" s="432"/>
      <c r="T240" s="432"/>
      <c r="U240" s="432"/>
      <c r="V240" s="432"/>
      <c r="W240" s="432"/>
      <c r="X240" s="432"/>
      <c r="Y240" s="432"/>
      <c r="Z240" s="432"/>
      <c r="AA240" s="432"/>
      <c r="AB240" s="432"/>
      <c r="AC240" s="432"/>
      <c r="AD240" s="432"/>
      <c r="AE240" s="432"/>
    </row>
    <row r="241">
      <c r="A241" s="432"/>
      <c r="B241" s="432"/>
      <c r="C241" s="432"/>
      <c r="D241" s="432"/>
      <c r="E241" s="432"/>
      <c r="F241" s="432"/>
      <c r="G241" s="432"/>
      <c r="H241" s="432"/>
      <c r="I241" s="432"/>
      <c r="J241" s="432"/>
      <c r="K241" s="432"/>
      <c r="L241" s="432"/>
      <c r="M241" s="432"/>
      <c r="N241" s="432"/>
      <c r="O241" s="432"/>
      <c r="P241" s="432"/>
      <c r="Q241" s="432"/>
      <c r="R241" s="432"/>
      <c r="S241" s="432"/>
      <c r="T241" s="432"/>
      <c r="U241" s="432"/>
      <c r="V241" s="432"/>
      <c r="W241" s="432"/>
      <c r="X241" s="432"/>
      <c r="Y241" s="432"/>
      <c r="Z241" s="432"/>
      <c r="AA241" s="432"/>
      <c r="AB241" s="432"/>
      <c r="AC241" s="432"/>
      <c r="AD241" s="432"/>
      <c r="AE241" s="432"/>
    </row>
    <row r="242">
      <c r="A242" s="432"/>
      <c r="B242" s="432"/>
      <c r="C242" s="432"/>
      <c r="D242" s="432"/>
      <c r="E242" s="432"/>
      <c r="F242" s="432"/>
      <c r="G242" s="432"/>
      <c r="H242" s="432"/>
      <c r="I242" s="432"/>
      <c r="J242" s="432"/>
      <c r="K242" s="432"/>
      <c r="L242" s="432"/>
      <c r="M242" s="432"/>
      <c r="N242" s="432"/>
      <c r="O242" s="432"/>
      <c r="P242" s="432"/>
      <c r="Q242" s="432"/>
      <c r="R242" s="432"/>
      <c r="S242" s="432"/>
      <c r="T242" s="432"/>
      <c r="U242" s="432"/>
      <c r="V242" s="432"/>
      <c r="W242" s="432"/>
      <c r="X242" s="432"/>
      <c r="Y242" s="432"/>
      <c r="Z242" s="432"/>
      <c r="AA242" s="432"/>
      <c r="AB242" s="432"/>
      <c r="AC242" s="432"/>
      <c r="AD242" s="432"/>
      <c r="AE242" s="432"/>
    </row>
    <row r="243">
      <c r="A243" s="432"/>
      <c r="B243" s="432"/>
      <c r="C243" s="432"/>
      <c r="D243" s="432"/>
      <c r="E243" s="432"/>
      <c r="F243" s="432"/>
      <c r="G243" s="432"/>
      <c r="H243" s="432"/>
      <c r="I243" s="432"/>
      <c r="J243" s="432"/>
      <c r="K243" s="432"/>
      <c r="L243" s="432"/>
      <c r="M243" s="432"/>
      <c r="N243" s="432"/>
      <c r="O243" s="432"/>
      <c r="P243" s="432"/>
      <c r="Q243" s="432"/>
      <c r="R243" s="432"/>
      <c r="S243" s="432"/>
      <c r="T243" s="432"/>
      <c r="U243" s="432"/>
      <c r="V243" s="432"/>
      <c r="W243" s="432"/>
      <c r="X243" s="432"/>
      <c r="Y243" s="432"/>
      <c r="Z243" s="432"/>
      <c r="AA243" s="432"/>
      <c r="AB243" s="432"/>
      <c r="AC243" s="432"/>
      <c r="AD243" s="432"/>
      <c r="AE243" s="432"/>
    </row>
    <row r="244">
      <c r="A244" s="432"/>
      <c r="B244" s="432"/>
      <c r="C244" s="432"/>
      <c r="D244" s="432"/>
      <c r="E244" s="432"/>
      <c r="F244" s="432"/>
      <c r="G244" s="432"/>
      <c r="H244" s="432"/>
      <c r="I244" s="432"/>
      <c r="J244" s="432"/>
      <c r="K244" s="432"/>
      <c r="L244" s="432"/>
      <c r="M244" s="432"/>
      <c r="N244" s="432"/>
      <c r="O244" s="432"/>
      <c r="P244" s="432"/>
      <c r="Q244" s="432"/>
      <c r="R244" s="432"/>
      <c r="S244" s="432"/>
      <c r="T244" s="432"/>
      <c r="U244" s="432"/>
      <c r="V244" s="432"/>
      <c r="W244" s="432"/>
      <c r="X244" s="432"/>
      <c r="Y244" s="432"/>
      <c r="Z244" s="432"/>
      <c r="AA244" s="432"/>
      <c r="AB244" s="432"/>
      <c r="AC244" s="432"/>
      <c r="AD244" s="432"/>
      <c r="AE244" s="432"/>
    </row>
    <row r="245">
      <c r="A245" s="432"/>
      <c r="B245" s="432"/>
      <c r="C245" s="432"/>
      <c r="D245" s="432"/>
      <c r="E245" s="432"/>
      <c r="F245" s="432"/>
      <c r="G245" s="432"/>
      <c r="H245" s="432"/>
      <c r="I245" s="432"/>
      <c r="J245" s="432"/>
      <c r="K245" s="432"/>
      <c r="L245" s="432"/>
      <c r="M245" s="432"/>
      <c r="N245" s="432"/>
      <c r="O245" s="432"/>
      <c r="P245" s="432"/>
      <c r="Q245" s="432"/>
      <c r="R245" s="432"/>
      <c r="S245" s="432"/>
      <c r="T245" s="432"/>
      <c r="U245" s="432"/>
      <c r="V245" s="432"/>
      <c r="W245" s="432"/>
      <c r="X245" s="432"/>
      <c r="Y245" s="432"/>
      <c r="Z245" s="432"/>
      <c r="AA245" s="432"/>
      <c r="AB245" s="432"/>
      <c r="AC245" s="432"/>
      <c r="AD245" s="432"/>
      <c r="AE245" s="432"/>
    </row>
    <row r="246">
      <c r="A246" s="432"/>
      <c r="B246" s="432"/>
      <c r="C246" s="432"/>
      <c r="D246" s="432"/>
      <c r="E246" s="432"/>
      <c r="F246" s="432"/>
      <c r="G246" s="432"/>
      <c r="H246" s="432"/>
      <c r="I246" s="432"/>
      <c r="J246" s="432"/>
      <c r="K246" s="432"/>
      <c r="L246" s="432"/>
      <c r="M246" s="432"/>
      <c r="N246" s="432"/>
      <c r="O246" s="432"/>
      <c r="P246" s="432"/>
      <c r="Q246" s="432"/>
      <c r="R246" s="432"/>
      <c r="S246" s="432"/>
      <c r="T246" s="432"/>
      <c r="U246" s="432"/>
      <c r="V246" s="432"/>
      <c r="W246" s="432"/>
      <c r="X246" s="432"/>
      <c r="Y246" s="432"/>
      <c r="Z246" s="432"/>
      <c r="AA246" s="432"/>
      <c r="AB246" s="432"/>
      <c r="AC246" s="432"/>
      <c r="AD246" s="432"/>
      <c r="AE246" s="432"/>
    </row>
    <row r="247">
      <c r="A247" s="432"/>
      <c r="B247" s="432"/>
      <c r="C247" s="432"/>
      <c r="D247" s="432"/>
      <c r="E247" s="432"/>
      <c r="F247" s="432"/>
      <c r="G247" s="432"/>
      <c r="H247" s="432"/>
      <c r="I247" s="432"/>
      <c r="J247" s="432"/>
      <c r="K247" s="432"/>
      <c r="L247" s="432"/>
      <c r="M247" s="432"/>
      <c r="N247" s="432"/>
      <c r="O247" s="432"/>
      <c r="P247" s="432"/>
      <c r="Q247" s="432"/>
      <c r="R247" s="432"/>
      <c r="S247" s="432"/>
      <c r="T247" s="432"/>
      <c r="U247" s="432"/>
      <c r="V247" s="432"/>
      <c r="W247" s="432"/>
      <c r="X247" s="432"/>
      <c r="Y247" s="432"/>
      <c r="Z247" s="432"/>
      <c r="AA247" s="432"/>
      <c r="AB247" s="432"/>
      <c r="AC247" s="432"/>
      <c r="AD247" s="432"/>
      <c r="AE247" s="432"/>
    </row>
    <row r="248">
      <c r="A248" s="432"/>
      <c r="B248" s="432"/>
      <c r="C248" s="432"/>
      <c r="D248" s="432"/>
      <c r="E248" s="432"/>
      <c r="F248" s="432"/>
      <c r="G248" s="432"/>
      <c r="H248" s="432"/>
      <c r="I248" s="432"/>
      <c r="J248" s="432"/>
      <c r="K248" s="432"/>
      <c r="L248" s="432"/>
      <c r="M248" s="432"/>
      <c r="N248" s="432"/>
      <c r="O248" s="432"/>
      <c r="P248" s="432"/>
      <c r="Q248" s="432"/>
      <c r="R248" s="432"/>
      <c r="S248" s="432"/>
      <c r="T248" s="432"/>
      <c r="U248" s="432"/>
      <c r="V248" s="432"/>
      <c r="W248" s="432"/>
      <c r="X248" s="432"/>
      <c r="Y248" s="432"/>
      <c r="Z248" s="432"/>
      <c r="AA248" s="432"/>
      <c r="AB248" s="432"/>
      <c r="AC248" s="432"/>
      <c r="AD248" s="432"/>
      <c r="AE248" s="432"/>
    </row>
    <row r="249">
      <c r="A249" s="432"/>
      <c r="B249" s="432"/>
      <c r="C249" s="432"/>
      <c r="D249" s="432"/>
      <c r="E249" s="432"/>
      <c r="F249" s="432"/>
      <c r="G249" s="432"/>
      <c r="H249" s="432"/>
      <c r="I249" s="432"/>
      <c r="J249" s="432"/>
      <c r="K249" s="432"/>
      <c r="L249" s="432"/>
      <c r="M249" s="432"/>
      <c r="N249" s="432"/>
      <c r="O249" s="432"/>
      <c r="P249" s="432"/>
      <c r="Q249" s="432"/>
      <c r="R249" s="432"/>
      <c r="S249" s="432"/>
      <c r="T249" s="432"/>
      <c r="U249" s="432"/>
      <c r="V249" s="432"/>
      <c r="W249" s="432"/>
      <c r="X249" s="432"/>
      <c r="Y249" s="432"/>
      <c r="Z249" s="432"/>
      <c r="AA249" s="432"/>
      <c r="AB249" s="432"/>
      <c r="AC249" s="432"/>
      <c r="AD249" s="432"/>
      <c r="AE249" s="432"/>
    </row>
    <row r="250">
      <c r="A250" s="432"/>
      <c r="B250" s="432"/>
      <c r="C250" s="432"/>
      <c r="D250" s="432"/>
      <c r="E250" s="432"/>
      <c r="F250" s="432"/>
      <c r="G250" s="432"/>
      <c r="H250" s="432"/>
      <c r="I250" s="432"/>
      <c r="J250" s="432"/>
      <c r="K250" s="432"/>
      <c r="L250" s="432"/>
      <c r="M250" s="432"/>
      <c r="N250" s="432"/>
      <c r="O250" s="432"/>
      <c r="P250" s="432"/>
      <c r="Q250" s="432"/>
      <c r="R250" s="432"/>
      <c r="S250" s="432"/>
      <c r="T250" s="432"/>
      <c r="U250" s="432"/>
      <c r="V250" s="432"/>
      <c r="W250" s="432"/>
      <c r="X250" s="432"/>
      <c r="Y250" s="432"/>
      <c r="Z250" s="432"/>
      <c r="AA250" s="432"/>
      <c r="AB250" s="432"/>
      <c r="AC250" s="432"/>
      <c r="AD250" s="432"/>
      <c r="AE250" s="432"/>
    </row>
    <row r="251">
      <c r="A251" s="432"/>
      <c r="B251" s="432"/>
      <c r="C251" s="432"/>
      <c r="D251" s="432"/>
      <c r="E251" s="432"/>
      <c r="F251" s="432"/>
      <c r="G251" s="432"/>
      <c r="H251" s="432"/>
      <c r="I251" s="432"/>
      <c r="J251" s="432"/>
      <c r="K251" s="432"/>
      <c r="L251" s="432"/>
      <c r="M251" s="432"/>
      <c r="N251" s="432"/>
      <c r="O251" s="432"/>
      <c r="P251" s="432"/>
      <c r="Q251" s="432"/>
      <c r="R251" s="432"/>
      <c r="S251" s="432"/>
      <c r="T251" s="432"/>
      <c r="U251" s="432"/>
      <c r="V251" s="432"/>
      <c r="W251" s="432"/>
      <c r="X251" s="432"/>
      <c r="Y251" s="432"/>
      <c r="Z251" s="432"/>
      <c r="AA251" s="432"/>
      <c r="AB251" s="432"/>
      <c r="AC251" s="432"/>
      <c r="AD251" s="432"/>
      <c r="AE251" s="432"/>
    </row>
    <row r="252">
      <c r="A252" s="432"/>
      <c r="B252" s="432"/>
      <c r="C252" s="432"/>
      <c r="D252" s="432"/>
      <c r="E252" s="432"/>
      <c r="F252" s="432"/>
      <c r="G252" s="432"/>
      <c r="H252" s="432"/>
      <c r="I252" s="432"/>
      <c r="J252" s="432"/>
      <c r="K252" s="432"/>
      <c r="L252" s="432"/>
      <c r="M252" s="432"/>
      <c r="N252" s="432"/>
      <c r="O252" s="432"/>
      <c r="P252" s="432"/>
      <c r="Q252" s="432"/>
      <c r="R252" s="432"/>
      <c r="S252" s="432"/>
      <c r="T252" s="432"/>
      <c r="U252" s="432"/>
      <c r="V252" s="432"/>
      <c r="W252" s="432"/>
      <c r="X252" s="432"/>
      <c r="Y252" s="432"/>
      <c r="Z252" s="432"/>
      <c r="AA252" s="432"/>
      <c r="AB252" s="432"/>
      <c r="AC252" s="432"/>
      <c r="AD252" s="432"/>
      <c r="AE252" s="432"/>
    </row>
    <row r="253">
      <c r="A253" s="432"/>
      <c r="B253" s="432"/>
      <c r="C253" s="432"/>
      <c r="D253" s="432"/>
      <c r="E253" s="432"/>
      <c r="F253" s="432"/>
      <c r="G253" s="432"/>
      <c r="H253" s="432"/>
      <c r="I253" s="432"/>
      <c r="J253" s="432"/>
      <c r="K253" s="432"/>
      <c r="L253" s="432"/>
      <c r="M253" s="432"/>
      <c r="N253" s="432"/>
      <c r="O253" s="432"/>
      <c r="P253" s="432"/>
      <c r="Q253" s="432"/>
      <c r="R253" s="432"/>
      <c r="S253" s="432"/>
      <c r="T253" s="432"/>
      <c r="U253" s="432"/>
      <c r="V253" s="432"/>
      <c r="W253" s="432"/>
      <c r="X253" s="432"/>
      <c r="Y253" s="432"/>
      <c r="Z253" s="432"/>
      <c r="AA253" s="432"/>
      <c r="AB253" s="432"/>
      <c r="AC253" s="432"/>
      <c r="AD253" s="432"/>
      <c r="AE253" s="432"/>
    </row>
    <row r="254">
      <c r="A254" s="432"/>
      <c r="B254" s="432"/>
      <c r="C254" s="432"/>
      <c r="D254" s="432"/>
      <c r="E254" s="432"/>
      <c r="F254" s="432"/>
      <c r="G254" s="432"/>
      <c r="H254" s="432"/>
      <c r="I254" s="432"/>
      <c r="J254" s="432"/>
      <c r="K254" s="432"/>
      <c r="L254" s="432"/>
      <c r="M254" s="432"/>
      <c r="N254" s="432"/>
      <c r="O254" s="432"/>
      <c r="P254" s="432"/>
      <c r="Q254" s="432"/>
      <c r="R254" s="432"/>
      <c r="S254" s="432"/>
      <c r="T254" s="432"/>
      <c r="U254" s="432"/>
      <c r="V254" s="432"/>
      <c r="W254" s="432"/>
      <c r="X254" s="432"/>
      <c r="Y254" s="432"/>
      <c r="Z254" s="432"/>
      <c r="AA254" s="432"/>
      <c r="AB254" s="432"/>
      <c r="AC254" s="432"/>
      <c r="AD254" s="432"/>
      <c r="AE254" s="432"/>
    </row>
    <row r="255">
      <c r="A255" s="432"/>
      <c r="B255" s="432"/>
      <c r="C255" s="432"/>
      <c r="D255" s="432"/>
      <c r="E255" s="432"/>
      <c r="F255" s="432"/>
      <c r="G255" s="432"/>
      <c r="H255" s="432"/>
      <c r="I255" s="432"/>
      <c r="J255" s="432"/>
      <c r="K255" s="432"/>
      <c r="L255" s="432"/>
      <c r="M255" s="432"/>
      <c r="N255" s="432"/>
      <c r="O255" s="432"/>
      <c r="P255" s="432"/>
      <c r="Q255" s="432"/>
      <c r="R255" s="432"/>
      <c r="S255" s="432"/>
      <c r="T255" s="432"/>
      <c r="U255" s="432"/>
      <c r="V255" s="432"/>
      <c r="W255" s="432"/>
      <c r="X255" s="432"/>
      <c r="Y255" s="432"/>
      <c r="Z255" s="432"/>
      <c r="AA255" s="432"/>
      <c r="AB255" s="432"/>
      <c r="AC255" s="432"/>
      <c r="AD255" s="432"/>
      <c r="AE255" s="432"/>
    </row>
    <row r="256">
      <c r="A256" s="432"/>
      <c r="B256" s="432"/>
      <c r="C256" s="432"/>
      <c r="D256" s="432"/>
      <c r="E256" s="432"/>
      <c r="F256" s="432"/>
      <c r="G256" s="432"/>
      <c r="H256" s="432"/>
      <c r="I256" s="432"/>
      <c r="J256" s="432"/>
      <c r="K256" s="432"/>
      <c r="L256" s="432"/>
      <c r="M256" s="432"/>
      <c r="N256" s="432"/>
      <c r="O256" s="432"/>
      <c r="P256" s="432"/>
      <c r="Q256" s="432"/>
      <c r="R256" s="432"/>
      <c r="S256" s="432"/>
      <c r="T256" s="432"/>
      <c r="U256" s="432"/>
      <c r="V256" s="432"/>
      <c r="W256" s="432"/>
      <c r="X256" s="432"/>
      <c r="Y256" s="432"/>
      <c r="Z256" s="432"/>
      <c r="AA256" s="432"/>
      <c r="AB256" s="432"/>
      <c r="AC256" s="432"/>
      <c r="AD256" s="432"/>
      <c r="AE256" s="432"/>
    </row>
    <row r="257">
      <c r="A257" s="432"/>
      <c r="B257" s="432"/>
      <c r="C257" s="432"/>
      <c r="D257" s="432"/>
      <c r="E257" s="432"/>
      <c r="F257" s="432"/>
      <c r="G257" s="432"/>
      <c r="H257" s="432"/>
      <c r="I257" s="432"/>
      <c r="J257" s="432"/>
      <c r="K257" s="432"/>
      <c r="L257" s="432"/>
      <c r="M257" s="432"/>
      <c r="N257" s="432"/>
      <c r="O257" s="432"/>
      <c r="P257" s="432"/>
      <c r="Q257" s="432"/>
      <c r="R257" s="432"/>
      <c r="S257" s="432"/>
      <c r="T257" s="432"/>
      <c r="U257" s="432"/>
      <c r="V257" s="432"/>
      <c r="W257" s="432"/>
      <c r="X257" s="432"/>
      <c r="Y257" s="432"/>
      <c r="Z257" s="432"/>
      <c r="AA257" s="432"/>
      <c r="AB257" s="432"/>
      <c r="AC257" s="432"/>
      <c r="AD257" s="432"/>
      <c r="AE257" s="432"/>
    </row>
    <row r="258">
      <c r="A258" s="432"/>
      <c r="B258" s="432"/>
      <c r="C258" s="432"/>
      <c r="D258" s="432"/>
      <c r="E258" s="432"/>
      <c r="F258" s="432"/>
      <c r="G258" s="432"/>
      <c r="H258" s="432"/>
      <c r="I258" s="432"/>
      <c r="J258" s="432"/>
      <c r="K258" s="432"/>
      <c r="L258" s="432"/>
      <c r="M258" s="432"/>
      <c r="N258" s="432"/>
      <c r="O258" s="432"/>
      <c r="P258" s="432"/>
      <c r="Q258" s="432"/>
      <c r="R258" s="432"/>
      <c r="S258" s="432"/>
      <c r="T258" s="432"/>
      <c r="U258" s="432"/>
      <c r="V258" s="432"/>
      <c r="W258" s="432"/>
      <c r="X258" s="432"/>
      <c r="Y258" s="432"/>
      <c r="Z258" s="432"/>
      <c r="AA258" s="432"/>
      <c r="AB258" s="432"/>
      <c r="AC258" s="432"/>
      <c r="AD258" s="432"/>
      <c r="AE258" s="432"/>
    </row>
    <row r="259">
      <c r="A259" s="432"/>
      <c r="B259" s="432"/>
      <c r="C259" s="432"/>
      <c r="D259" s="432"/>
      <c r="E259" s="432"/>
      <c r="F259" s="432"/>
      <c r="G259" s="432"/>
      <c r="H259" s="432"/>
      <c r="I259" s="432"/>
      <c r="J259" s="432"/>
      <c r="K259" s="432"/>
      <c r="L259" s="432"/>
      <c r="M259" s="432"/>
      <c r="N259" s="432"/>
      <c r="O259" s="432"/>
      <c r="P259" s="432"/>
      <c r="Q259" s="432"/>
      <c r="R259" s="432"/>
      <c r="S259" s="432"/>
      <c r="T259" s="432"/>
      <c r="U259" s="432"/>
      <c r="V259" s="432"/>
      <c r="W259" s="432"/>
      <c r="X259" s="432"/>
      <c r="Y259" s="432"/>
      <c r="Z259" s="432"/>
      <c r="AA259" s="432"/>
      <c r="AB259" s="432"/>
      <c r="AC259" s="432"/>
      <c r="AD259" s="432"/>
      <c r="AE259" s="432"/>
    </row>
    <row r="260">
      <c r="A260" s="432"/>
      <c r="B260" s="432"/>
      <c r="C260" s="432"/>
      <c r="D260" s="432"/>
      <c r="E260" s="432"/>
      <c r="F260" s="432"/>
      <c r="G260" s="432"/>
      <c r="H260" s="432"/>
      <c r="I260" s="432"/>
      <c r="J260" s="432"/>
      <c r="K260" s="432"/>
      <c r="L260" s="432"/>
      <c r="M260" s="432"/>
      <c r="N260" s="432"/>
      <c r="O260" s="432"/>
      <c r="P260" s="432"/>
      <c r="Q260" s="432"/>
      <c r="R260" s="432"/>
      <c r="S260" s="432"/>
      <c r="T260" s="432"/>
      <c r="U260" s="432"/>
      <c r="V260" s="432"/>
      <c r="W260" s="432"/>
      <c r="X260" s="432"/>
      <c r="Y260" s="432"/>
      <c r="Z260" s="432"/>
      <c r="AA260" s="432"/>
      <c r="AB260" s="432"/>
      <c r="AC260" s="432"/>
      <c r="AD260" s="432"/>
      <c r="AE260" s="432"/>
    </row>
    <row r="261">
      <c r="A261" s="432"/>
      <c r="B261" s="432"/>
      <c r="C261" s="432"/>
      <c r="D261" s="432"/>
      <c r="E261" s="432"/>
      <c r="F261" s="432"/>
      <c r="G261" s="432"/>
      <c r="H261" s="432"/>
      <c r="I261" s="432"/>
      <c r="J261" s="432"/>
      <c r="K261" s="432"/>
      <c r="L261" s="432"/>
      <c r="M261" s="432"/>
      <c r="N261" s="432"/>
      <c r="O261" s="432"/>
      <c r="P261" s="432"/>
      <c r="Q261" s="432"/>
      <c r="R261" s="432"/>
      <c r="S261" s="432"/>
      <c r="T261" s="432"/>
      <c r="U261" s="432"/>
      <c r="V261" s="432"/>
      <c r="W261" s="432"/>
      <c r="X261" s="432"/>
      <c r="Y261" s="432"/>
      <c r="Z261" s="432"/>
      <c r="AA261" s="432"/>
      <c r="AB261" s="432"/>
      <c r="AC261" s="432"/>
      <c r="AD261" s="432"/>
      <c r="AE261" s="432"/>
    </row>
    <row r="262">
      <c r="A262" s="432"/>
      <c r="B262" s="432"/>
      <c r="C262" s="432"/>
      <c r="D262" s="432"/>
      <c r="E262" s="432"/>
      <c r="F262" s="432"/>
      <c r="G262" s="432"/>
      <c r="H262" s="432"/>
      <c r="I262" s="432"/>
      <c r="J262" s="432"/>
      <c r="K262" s="432"/>
      <c r="L262" s="432"/>
      <c r="M262" s="432"/>
      <c r="N262" s="432"/>
      <c r="O262" s="432"/>
      <c r="P262" s="432"/>
      <c r="Q262" s="432"/>
      <c r="R262" s="432"/>
      <c r="S262" s="432"/>
      <c r="T262" s="432"/>
      <c r="U262" s="432"/>
      <c r="V262" s="432"/>
      <c r="W262" s="432"/>
      <c r="X262" s="432"/>
      <c r="Y262" s="432"/>
      <c r="Z262" s="432"/>
      <c r="AA262" s="432"/>
      <c r="AB262" s="432"/>
      <c r="AC262" s="432"/>
      <c r="AD262" s="432"/>
      <c r="AE262" s="432"/>
    </row>
    <row r="263">
      <c r="A263" s="432"/>
      <c r="B263" s="432"/>
      <c r="C263" s="432"/>
      <c r="D263" s="432"/>
      <c r="E263" s="432"/>
      <c r="F263" s="432"/>
      <c r="G263" s="432"/>
      <c r="H263" s="432"/>
      <c r="I263" s="432"/>
      <c r="J263" s="432"/>
      <c r="K263" s="432"/>
      <c r="L263" s="432"/>
      <c r="M263" s="432"/>
      <c r="N263" s="432"/>
      <c r="O263" s="432"/>
      <c r="P263" s="432"/>
      <c r="Q263" s="432"/>
      <c r="R263" s="432"/>
      <c r="S263" s="432"/>
      <c r="T263" s="432"/>
      <c r="U263" s="432"/>
      <c r="V263" s="432"/>
      <c r="W263" s="432"/>
      <c r="X263" s="432"/>
      <c r="Y263" s="432"/>
      <c r="Z263" s="432"/>
      <c r="AA263" s="432"/>
      <c r="AB263" s="432"/>
      <c r="AC263" s="432"/>
      <c r="AD263" s="432"/>
      <c r="AE263" s="432"/>
    </row>
    <row r="264">
      <c r="A264" s="432"/>
      <c r="B264" s="432"/>
      <c r="C264" s="432"/>
      <c r="D264" s="432"/>
      <c r="E264" s="432"/>
      <c r="F264" s="432"/>
      <c r="G264" s="432"/>
      <c r="H264" s="432"/>
      <c r="I264" s="432"/>
      <c r="J264" s="432"/>
      <c r="K264" s="432"/>
      <c r="L264" s="432"/>
      <c r="M264" s="432"/>
      <c r="N264" s="432"/>
      <c r="O264" s="432"/>
      <c r="P264" s="432"/>
      <c r="Q264" s="432"/>
      <c r="R264" s="432"/>
      <c r="S264" s="432"/>
      <c r="T264" s="432"/>
      <c r="U264" s="432"/>
      <c r="V264" s="432"/>
      <c r="W264" s="432"/>
      <c r="X264" s="432"/>
      <c r="Y264" s="432"/>
      <c r="Z264" s="432"/>
      <c r="AA264" s="432"/>
      <c r="AB264" s="432"/>
      <c r="AC264" s="432"/>
      <c r="AD264" s="432"/>
      <c r="AE264" s="432"/>
    </row>
    <row r="265">
      <c r="A265" s="432"/>
      <c r="B265" s="432"/>
      <c r="C265" s="432"/>
      <c r="D265" s="432"/>
      <c r="E265" s="432"/>
      <c r="F265" s="432"/>
      <c r="G265" s="432"/>
      <c r="H265" s="432"/>
      <c r="I265" s="432"/>
      <c r="J265" s="432"/>
      <c r="K265" s="432"/>
      <c r="L265" s="432"/>
      <c r="M265" s="432"/>
      <c r="N265" s="432"/>
      <c r="O265" s="432"/>
      <c r="P265" s="432"/>
      <c r="Q265" s="432"/>
      <c r="R265" s="432"/>
      <c r="S265" s="432"/>
      <c r="T265" s="432"/>
      <c r="U265" s="432"/>
      <c r="V265" s="432"/>
      <c r="W265" s="432"/>
      <c r="X265" s="432"/>
      <c r="Y265" s="432"/>
      <c r="Z265" s="432"/>
      <c r="AA265" s="432"/>
      <c r="AB265" s="432"/>
      <c r="AC265" s="432"/>
      <c r="AD265" s="432"/>
      <c r="AE265" s="432"/>
    </row>
    <row r="266">
      <c r="A266" s="432"/>
      <c r="B266" s="432"/>
      <c r="C266" s="432"/>
      <c r="D266" s="432"/>
      <c r="E266" s="432"/>
      <c r="F266" s="432"/>
      <c r="G266" s="432"/>
      <c r="H266" s="432"/>
      <c r="I266" s="432"/>
      <c r="J266" s="432"/>
      <c r="K266" s="432"/>
      <c r="L266" s="432"/>
      <c r="M266" s="432"/>
      <c r="N266" s="432"/>
      <c r="O266" s="432"/>
      <c r="P266" s="432"/>
      <c r="Q266" s="432"/>
      <c r="R266" s="432"/>
      <c r="S266" s="432"/>
      <c r="T266" s="432"/>
      <c r="U266" s="432"/>
      <c r="V266" s="432"/>
      <c r="W266" s="432"/>
      <c r="X266" s="432"/>
      <c r="Y266" s="432"/>
      <c r="Z266" s="432"/>
      <c r="AA266" s="432"/>
      <c r="AB266" s="432"/>
      <c r="AC266" s="432"/>
      <c r="AD266" s="432"/>
      <c r="AE266" s="432"/>
    </row>
    <row r="267">
      <c r="A267" s="432"/>
      <c r="B267" s="432"/>
      <c r="C267" s="432"/>
      <c r="D267" s="432"/>
      <c r="E267" s="432"/>
      <c r="F267" s="432"/>
      <c r="G267" s="432"/>
      <c r="H267" s="432"/>
      <c r="I267" s="432"/>
      <c r="J267" s="432"/>
      <c r="K267" s="432"/>
      <c r="L267" s="432"/>
      <c r="M267" s="432"/>
      <c r="N267" s="432"/>
      <c r="O267" s="432"/>
      <c r="P267" s="432"/>
      <c r="Q267" s="432"/>
      <c r="R267" s="432"/>
      <c r="S267" s="432"/>
      <c r="T267" s="432"/>
      <c r="U267" s="432"/>
      <c r="V267" s="432"/>
      <c r="W267" s="432"/>
      <c r="X267" s="432"/>
      <c r="Y267" s="432"/>
      <c r="Z267" s="432"/>
      <c r="AA267" s="432"/>
      <c r="AB267" s="432"/>
      <c r="AC267" s="432"/>
      <c r="AD267" s="432"/>
      <c r="AE267" s="432"/>
    </row>
    <row r="268">
      <c r="A268" s="432"/>
      <c r="B268" s="432"/>
      <c r="C268" s="432"/>
      <c r="D268" s="432"/>
      <c r="E268" s="432"/>
      <c r="F268" s="432"/>
      <c r="G268" s="432"/>
      <c r="H268" s="432"/>
      <c r="I268" s="432"/>
      <c r="J268" s="432"/>
      <c r="K268" s="432"/>
      <c r="L268" s="432"/>
      <c r="M268" s="432"/>
      <c r="N268" s="432"/>
      <c r="O268" s="432"/>
      <c r="P268" s="432"/>
      <c r="Q268" s="432"/>
      <c r="R268" s="432"/>
      <c r="S268" s="432"/>
      <c r="T268" s="432"/>
      <c r="U268" s="432"/>
      <c r="V268" s="432"/>
      <c r="W268" s="432"/>
      <c r="X268" s="432"/>
      <c r="Y268" s="432"/>
      <c r="Z268" s="432"/>
      <c r="AA268" s="432"/>
      <c r="AB268" s="432"/>
      <c r="AC268" s="432"/>
      <c r="AD268" s="432"/>
      <c r="AE268" s="432"/>
    </row>
    <row r="269">
      <c r="A269" s="432"/>
      <c r="B269" s="432"/>
      <c r="C269" s="432"/>
      <c r="D269" s="432"/>
      <c r="E269" s="432"/>
      <c r="F269" s="432"/>
      <c r="G269" s="432"/>
      <c r="H269" s="432"/>
      <c r="I269" s="432"/>
      <c r="J269" s="432"/>
      <c r="K269" s="432"/>
      <c r="L269" s="432"/>
      <c r="M269" s="432"/>
      <c r="N269" s="432"/>
      <c r="O269" s="432"/>
      <c r="P269" s="432"/>
      <c r="Q269" s="432"/>
      <c r="R269" s="432"/>
      <c r="S269" s="432"/>
      <c r="T269" s="432"/>
      <c r="U269" s="432"/>
      <c r="V269" s="432"/>
      <c r="W269" s="432"/>
      <c r="X269" s="432"/>
      <c r="Y269" s="432"/>
      <c r="Z269" s="432"/>
      <c r="AA269" s="432"/>
      <c r="AB269" s="432"/>
      <c r="AC269" s="432"/>
      <c r="AD269" s="432"/>
      <c r="AE269" s="432"/>
    </row>
    <row r="270">
      <c r="A270" s="432"/>
      <c r="B270" s="432"/>
      <c r="C270" s="432"/>
      <c r="D270" s="432"/>
      <c r="E270" s="432"/>
      <c r="F270" s="432"/>
      <c r="G270" s="432"/>
      <c r="H270" s="432"/>
      <c r="I270" s="432"/>
      <c r="J270" s="432"/>
      <c r="K270" s="432"/>
      <c r="L270" s="432"/>
      <c r="M270" s="432"/>
      <c r="N270" s="432"/>
      <c r="O270" s="432"/>
      <c r="P270" s="432"/>
      <c r="Q270" s="432"/>
      <c r="R270" s="432"/>
      <c r="S270" s="432"/>
      <c r="T270" s="432"/>
      <c r="U270" s="432"/>
      <c r="V270" s="432"/>
      <c r="W270" s="432"/>
      <c r="X270" s="432"/>
      <c r="Y270" s="432"/>
      <c r="Z270" s="432"/>
      <c r="AA270" s="432"/>
      <c r="AB270" s="432"/>
      <c r="AC270" s="432"/>
      <c r="AD270" s="432"/>
      <c r="AE270" s="432"/>
    </row>
    <row r="271">
      <c r="A271" s="432"/>
      <c r="B271" s="432"/>
      <c r="C271" s="432"/>
      <c r="D271" s="432"/>
      <c r="E271" s="432"/>
      <c r="F271" s="432"/>
      <c r="G271" s="432"/>
      <c r="H271" s="432"/>
      <c r="I271" s="432"/>
      <c r="J271" s="432"/>
      <c r="K271" s="432"/>
      <c r="L271" s="432"/>
      <c r="M271" s="432"/>
      <c r="N271" s="432"/>
      <c r="O271" s="432"/>
      <c r="P271" s="432"/>
      <c r="Q271" s="432"/>
      <c r="R271" s="432"/>
      <c r="S271" s="432"/>
      <c r="T271" s="432"/>
      <c r="U271" s="432"/>
      <c r="V271" s="432"/>
      <c r="W271" s="432"/>
      <c r="X271" s="432"/>
      <c r="Y271" s="432"/>
      <c r="Z271" s="432"/>
      <c r="AA271" s="432"/>
      <c r="AB271" s="432"/>
      <c r="AC271" s="432"/>
      <c r="AD271" s="432"/>
      <c r="AE271" s="432"/>
    </row>
    <row r="272">
      <c r="A272" s="432"/>
      <c r="B272" s="432"/>
      <c r="C272" s="432"/>
      <c r="D272" s="432"/>
      <c r="E272" s="432"/>
      <c r="F272" s="432"/>
      <c r="G272" s="432"/>
      <c r="H272" s="432"/>
      <c r="I272" s="432"/>
      <c r="J272" s="432"/>
      <c r="K272" s="432"/>
      <c r="L272" s="432"/>
      <c r="M272" s="432"/>
      <c r="N272" s="432"/>
      <c r="O272" s="432"/>
      <c r="P272" s="432"/>
      <c r="Q272" s="432"/>
      <c r="R272" s="432"/>
      <c r="S272" s="432"/>
      <c r="T272" s="432"/>
      <c r="U272" s="432"/>
      <c r="V272" s="432"/>
      <c r="W272" s="432"/>
      <c r="X272" s="432"/>
      <c r="Y272" s="432"/>
      <c r="Z272" s="432"/>
      <c r="AA272" s="432"/>
      <c r="AB272" s="432"/>
      <c r="AC272" s="432"/>
      <c r="AD272" s="432"/>
      <c r="AE272" s="432"/>
    </row>
    <row r="273">
      <c r="A273" s="432"/>
      <c r="B273" s="432"/>
      <c r="C273" s="432"/>
      <c r="D273" s="432"/>
      <c r="E273" s="432"/>
      <c r="F273" s="432"/>
      <c r="G273" s="432"/>
      <c r="H273" s="432"/>
      <c r="I273" s="432"/>
      <c r="J273" s="432"/>
      <c r="K273" s="432"/>
      <c r="L273" s="432"/>
      <c r="M273" s="432"/>
      <c r="N273" s="432"/>
      <c r="O273" s="432"/>
      <c r="P273" s="432"/>
      <c r="Q273" s="432"/>
      <c r="R273" s="432"/>
      <c r="S273" s="432"/>
      <c r="T273" s="432"/>
      <c r="U273" s="432"/>
      <c r="V273" s="432"/>
      <c r="W273" s="432"/>
      <c r="X273" s="432"/>
      <c r="Y273" s="432"/>
      <c r="Z273" s="432"/>
      <c r="AA273" s="432"/>
      <c r="AB273" s="432"/>
      <c r="AC273" s="432"/>
      <c r="AD273" s="432"/>
      <c r="AE273" s="432"/>
    </row>
    <row r="274">
      <c r="A274" s="432"/>
      <c r="B274" s="432"/>
      <c r="C274" s="432"/>
      <c r="D274" s="432"/>
      <c r="E274" s="432"/>
      <c r="F274" s="432"/>
      <c r="G274" s="432"/>
      <c r="H274" s="432"/>
      <c r="I274" s="432"/>
      <c r="J274" s="432"/>
      <c r="K274" s="432"/>
      <c r="L274" s="432"/>
      <c r="M274" s="432"/>
      <c r="N274" s="432"/>
      <c r="O274" s="432"/>
      <c r="P274" s="432"/>
      <c r="Q274" s="432"/>
      <c r="R274" s="432"/>
      <c r="S274" s="432"/>
      <c r="T274" s="432"/>
      <c r="U274" s="432"/>
      <c r="V274" s="432"/>
      <c r="W274" s="432"/>
      <c r="X274" s="432"/>
      <c r="Y274" s="432"/>
      <c r="Z274" s="432"/>
      <c r="AA274" s="432"/>
      <c r="AB274" s="432"/>
      <c r="AC274" s="432"/>
      <c r="AD274" s="432"/>
      <c r="AE274" s="432"/>
    </row>
    <row r="275">
      <c r="A275" s="432"/>
      <c r="B275" s="432"/>
      <c r="C275" s="432"/>
      <c r="D275" s="432"/>
      <c r="E275" s="432"/>
      <c r="F275" s="432"/>
      <c r="G275" s="432"/>
      <c r="H275" s="432"/>
      <c r="I275" s="432"/>
      <c r="J275" s="432"/>
      <c r="K275" s="432"/>
      <c r="L275" s="432"/>
      <c r="M275" s="432"/>
      <c r="N275" s="432"/>
      <c r="O275" s="432"/>
      <c r="P275" s="432"/>
      <c r="Q275" s="432"/>
      <c r="R275" s="432"/>
      <c r="S275" s="432"/>
      <c r="T275" s="432"/>
      <c r="U275" s="432"/>
      <c r="V275" s="432"/>
      <c r="W275" s="432"/>
      <c r="X275" s="432"/>
      <c r="Y275" s="432"/>
      <c r="Z275" s="432"/>
      <c r="AA275" s="432"/>
      <c r="AB275" s="432"/>
      <c r="AC275" s="432"/>
      <c r="AD275" s="432"/>
      <c r="AE275" s="432"/>
    </row>
    <row r="276">
      <c r="A276" s="432"/>
      <c r="B276" s="432"/>
      <c r="C276" s="432"/>
      <c r="D276" s="432"/>
      <c r="E276" s="432"/>
      <c r="F276" s="432"/>
      <c r="G276" s="432"/>
      <c r="H276" s="432"/>
      <c r="I276" s="432"/>
      <c r="J276" s="432"/>
      <c r="K276" s="432"/>
      <c r="L276" s="432"/>
      <c r="M276" s="432"/>
      <c r="N276" s="432"/>
      <c r="O276" s="432"/>
      <c r="P276" s="432"/>
      <c r="Q276" s="432"/>
      <c r="R276" s="432"/>
      <c r="S276" s="432"/>
      <c r="T276" s="432"/>
      <c r="U276" s="432"/>
      <c r="V276" s="432"/>
      <c r="W276" s="432"/>
      <c r="X276" s="432"/>
      <c r="Y276" s="432"/>
      <c r="Z276" s="432"/>
      <c r="AA276" s="432"/>
      <c r="AB276" s="432"/>
      <c r="AC276" s="432"/>
      <c r="AD276" s="432"/>
      <c r="AE276" s="432"/>
    </row>
    <row r="277">
      <c r="A277" s="432"/>
      <c r="B277" s="432"/>
      <c r="C277" s="432"/>
      <c r="D277" s="432"/>
      <c r="E277" s="432"/>
      <c r="F277" s="432"/>
      <c r="G277" s="432"/>
      <c r="H277" s="432"/>
      <c r="I277" s="432"/>
      <c r="J277" s="432"/>
      <c r="K277" s="432"/>
      <c r="L277" s="432"/>
      <c r="M277" s="432"/>
      <c r="N277" s="432"/>
      <c r="O277" s="432"/>
      <c r="P277" s="432"/>
      <c r="Q277" s="432"/>
      <c r="R277" s="432"/>
      <c r="S277" s="432"/>
      <c r="T277" s="432"/>
      <c r="U277" s="432"/>
      <c r="V277" s="432"/>
      <c r="W277" s="432"/>
      <c r="X277" s="432"/>
      <c r="Y277" s="432"/>
      <c r="Z277" s="432"/>
      <c r="AA277" s="432"/>
      <c r="AB277" s="432"/>
      <c r="AC277" s="432"/>
      <c r="AD277" s="432"/>
      <c r="AE277" s="432"/>
    </row>
    <row r="278">
      <c r="A278" s="432"/>
      <c r="B278" s="432"/>
      <c r="C278" s="432"/>
      <c r="D278" s="432"/>
      <c r="E278" s="432"/>
      <c r="F278" s="432"/>
      <c r="G278" s="432"/>
      <c r="H278" s="432"/>
      <c r="I278" s="432"/>
      <c r="J278" s="432"/>
      <c r="K278" s="432"/>
      <c r="L278" s="432"/>
      <c r="M278" s="432"/>
      <c r="N278" s="432"/>
      <c r="O278" s="432"/>
      <c r="P278" s="432"/>
      <c r="Q278" s="432"/>
      <c r="R278" s="432"/>
      <c r="S278" s="432"/>
      <c r="T278" s="432"/>
      <c r="U278" s="432"/>
      <c r="V278" s="432"/>
      <c r="W278" s="432"/>
      <c r="X278" s="432"/>
      <c r="Y278" s="432"/>
      <c r="Z278" s="432"/>
      <c r="AA278" s="432"/>
      <c r="AB278" s="432"/>
      <c r="AC278" s="432"/>
      <c r="AD278" s="432"/>
      <c r="AE278" s="432"/>
    </row>
    <row r="279">
      <c r="A279" s="432"/>
      <c r="B279" s="432"/>
      <c r="C279" s="432"/>
      <c r="D279" s="432"/>
      <c r="E279" s="432"/>
      <c r="F279" s="432"/>
      <c r="G279" s="432"/>
      <c r="H279" s="432"/>
      <c r="I279" s="432"/>
      <c r="J279" s="432"/>
      <c r="K279" s="432"/>
      <c r="L279" s="432"/>
      <c r="M279" s="432"/>
      <c r="N279" s="432"/>
      <c r="O279" s="432"/>
      <c r="P279" s="432"/>
      <c r="Q279" s="432"/>
      <c r="R279" s="432"/>
      <c r="S279" s="432"/>
      <c r="T279" s="432"/>
      <c r="U279" s="432"/>
      <c r="V279" s="432"/>
      <c r="W279" s="432"/>
      <c r="X279" s="432"/>
      <c r="Y279" s="432"/>
      <c r="Z279" s="432"/>
      <c r="AA279" s="432"/>
      <c r="AB279" s="432"/>
      <c r="AC279" s="432"/>
      <c r="AD279" s="432"/>
      <c r="AE279" s="432"/>
    </row>
    <row r="280">
      <c r="A280" s="432"/>
      <c r="B280" s="432"/>
      <c r="C280" s="432"/>
      <c r="D280" s="432"/>
      <c r="E280" s="432"/>
      <c r="F280" s="432"/>
      <c r="G280" s="432"/>
      <c r="H280" s="432"/>
      <c r="I280" s="432"/>
      <c r="J280" s="432"/>
      <c r="K280" s="432"/>
      <c r="L280" s="432"/>
      <c r="M280" s="432"/>
      <c r="N280" s="432"/>
      <c r="O280" s="432"/>
      <c r="P280" s="432"/>
      <c r="Q280" s="432"/>
      <c r="R280" s="432"/>
      <c r="S280" s="432"/>
      <c r="T280" s="432"/>
      <c r="U280" s="432"/>
      <c r="V280" s="432"/>
      <c r="W280" s="432"/>
      <c r="X280" s="432"/>
      <c r="Y280" s="432"/>
      <c r="Z280" s="432"/>
      <c r="AA280" s="432"/>
      <c r="AB280" s="432"/>
      <c r="AC280" s="432"/>
      <c r="AD280" s="432"/>
      <c r="AE280" s="432"/>
    </row>
    <row r="281">
      <c r="A281" s="432"/>
      <c r="B281" s="432"/>
      <c r="C281" s="432"/>
      <c r="D281" s="432"/>
      <c r="E281" s="432"/>
      <c r="F281" s="432"/>
      <c r="G281" s="432"/>
      <c r="H281" s="432"/>
      <c r="I281" s="432"/>
      <c r="J281" s="432"/>
      <c r="K281" s="432"/>
      <c r="L281" s="432"/>
      <c r="M281" s="432"/>
      <c r="N281" s="432"/>
      <c r="O281" s="432"/>
      <c r="P281" s="432"/>
      <c r="Q281" s="432"/>
      <c r="R281" s="432"/>
      <c r="S281" s="432"/>
      <c r="T281" s="432"/>
      <c r="U281" s="432"/>
      <c r="V281" s="432"/>
      <c r="W281" s="432"/>
      <c r="X281" s="432"/>
      <c r="Y281" s="432"/>
      <c r="Z281" s="432"/>
      <c r="AA281" s="432"/>
      <c r="AB281" s="432"/>
      <c r="AC281" s="432"/>
      <c r="AD281" s="432"/>
      <c r="AE281" s="432"/>
    </row>
    <row r="282">
      <c r="A282" s="432"/>
      <c r="B282" s="432"/>
      <c r="C282" s="432"/>
      <c r="D282" s="432"/>
      <c r="E282" s="432"/>
      <c r="F282" s="432"/>
      <c r="G282" s="432"/>
      <c r="H282" s="432"/>
      <c r="I282" s="432"/>
      <c r="J282" s="432"/>
      <c r="K282" s="432"/>
      <c r="L282" s="432"/>
      <c r="M282" s="432"/>
      <c r="N282" s="432"/>
      <c r="O282" s="432"/>
      <c r="P282" s="432"/>
      <c r="Q282" s="432"/>
      <c r="R282" s="432"/>
      <c r="S282" s="432"/>
      <c r="T282" s="432"/>
      <c r="U282" s="432"/>
      <c r="V282" s="432"/>
      <c r="W282" s="432"/>
      <c r="X282" s="432"/>
      <c r="Y282" s="432"/>
      <c r="Z282" s="432"/>
      <c r="AA282" s="432"/>
      <c r="AB282" s="432"/>
      <c r="AC282" s="432"/>
      <c r="AD282" s="432"/>
      <c r="AE282" s="432"/>
    </row>
    <row r="283">
      <c r="A283" s="432"/>
      <c r="B283" s="432"/>
      <c r="C283" s="432"/>
      <c r="D283" s="432"/>
      <c r="E283" s="432"/>
      <c r="F283" s="432"/>
      <c r="G283" s="432"/>
      <c r="H283" s="432"/>
      <c r="I283" s="432"/>
      <c r="J283" s="432"/>
      <c r="K283" s="432"/>
      <c r="L283" s="432"/>
      <c r="M283" s="432"/>
      <c r="N283" s="432"/>
      <c r="O283" s="432"/>
      <c r="P283" s="432"/>
      <c r="Q283" s="432"/>
      <c r="R283" s="432"/>
      <c r="S283" s="432"/>
      <c r="T283" s="432"/>
      <c r="U283" s="432"/>
      <c r="V283" s="432"/>
      <c r="W283" s="432"/>
      <c r="X283" s="432"/>
      <c r="Y283" s="432"/>
      <c r="Z283" s="432"/>
      <c r="AA283" s="432"/>
      <c r="AB283" s="432"/>
      <c r="AC283" s="432"/>
      <c r="AD283" s="432"/>
      <c r="AE283" s="432"/>
    </row>
    <row r="284">
      <c r="A284" s="432"/>
      <c r="B284" s="432"/>
      <c r="C284" s="432"/>
      <c r="D284" s="432"/>
      <c r="E284" s="432"/>
      <c r="F284" s="432"/>
      <c r="G284" s="432"/>
      <c r="H284" s="432"/>
      <c r="I284" s="432"/>
      <c r="J284" s="432"/>
      <c r="K284" s="432"/>
      <c r="L284" s="432"/>
      <c r="M284" s="432"/>
      <c r="N284" s="432"/>
      <c r="O284" s="432"/>
      <c r="P284" s="432"/>
      <c r="Q284" s="432"/>
      <c r="R284" s="432"/>
      <c r="S284" s="432"/>
      <c r="T284" s="432"/>
      <c r="U284" s="432"/>
      <c r="V284" s="432"/>
      <c r="W284" s="432"/>
      <c r="X284" s="432"/>
      <c r="Y284" s="432"/>
      <c r="Z284" s="432"/>
      <c r="AA284" s="432"/>
      <c r="AB284" s="432"/>
      <c r="AC284" s="432"/>
      <c r="AD284" s="432"/>
      <c r="AE284" s="432"/>
    </row>
    <row r="285">
      <c r="A285" s="432"/>
      <c r="B285" s="432"/>
      <c r="C285" s="432"/>
      <c r="D285" s="432"/>
      <c r="E285" s="432"/>
      <c r="F285" s="432"/>
      <c r="G285" s="432"/>
      <c r="H285" s="432"/>
      <c r="I285" s="432"/>
      <c r="J285" s="432"/>
      <c r="K285" s="432"/>
      <c r="L285" s="432"/>
      <c r="M285" s="432"/>
      <c r="N285" s="432"/>
      <c r="O285" s="432"/>
      <c r="P285" s="432"/>
      <c r="Q285" s="432"/>
      <c r="R285" s="432"/>
      <c r="S285" s="432"/>
      <c r="T285" s="432"/>
      <c r="U285" s="432"/>
      <c r="V285" s="432"/>
      <c r="W285" s="432"/>
      <c r="X285" s="432"/>
      <c r="Y285" s="432"/>
      <c r="Z285" s="432"/>
      <c r="AA285" s="432"/>
      <c r="AB285" s="432"/>
      <c r="AC285" s="432"/>
      <c r="AD285" s="432"/>
      <c r="AE285" s="432"/>
    </row>
    <row r="286">
      <c r="A286" s="432"/>
      <c r="B286" s="432"/>
      <c r="C286" s="432"/>
      <c r="D286" s="432"/>
      <c r="E286" s="432"/>
      <c r="F286" s="432"/>
      <c r="G286" s="432"/>
      <c r="H286" s="432"/>
      <c r="I286" s="432"/>
      <c r="J286" s="432"/>
      <c r="K286" s="432"/>
      <c r="L286" s="432"/>
      <c r="M286" s="432"/>
      <c r="N286" s="432"/>
      <c r="O286" s="432"/>
      <c r="P286" s="432"/>
      <c r="Q286" s="432"/>
      <c r="R286" s="432"/>
      <c r="S286" s="432"/>
      <c r="T286" s="432"/>
      <c r="U286" s="432"/>
      <c r="V286" s="432"/>
      <c r="W286" s="432"/>
      <c r="X286" s="432"/>
      <c r="Y286" s="432"/>
      <c r="Z286" s="432"/>
      <c r="AA286" s="432"/>
      <c r="AB286" s="432"/>
      <c r="AC286" s="432"/>
      <c r="AD286" s="432"/>
      <c r="AE286" s="432"/>
    </row>
    <row r="287">
      <c r="A287" s="432"/>
      <c r="B287" s="432"/>
      <c r="C287" s="432"/>
      <c r="D287" s="432"/>
      <c r="E287" s="432"/>
      <c r="F287" s="432"/>
      <c r="G287" s="432"/>
      <c r="H287" s="432"/>
      <c r="I287" s="432"/>
      <c r="J287" s="432"/>
      <c r="K287" s="432"/>
      <c r="L287" s="432"/>
      <c r="M287" s="432"/>
      <c r="N287" s="432"/>
      <c r="O287" s="432"/>
      <c r="P287" s="432"/>
      <c r="Q287" s="432"/>
      <c r="R287" s="432"/>
      <c r="S287" s="432"/>
      <c r="T287" s="432"/>
      <c r="U287" s="432"/>
      <c r="V287" s="432"/>
      <c r="W287" s="432"/>
      <c r="X287" s="432"/>
      <c r="Y287" s="432"/>
      <c r="Z287" s="432"/>
      <c r="AA287" s="432"/>
      <c r="AB287" s="432"/>
      <c r="AC287" s="432"/>
      <c r="AD287" s="432"/>
      <c r="AE287" s="432"/>
    </row>
    <row r="288">
      <c r="A288" s="432"/>
      <c r="B288" s="432"/>
      <c r="C288" s="432"/>
      <c r="D288" s="432"/>
      <c r="E288" s="432"/>
      <c r="F288" s="432"/>
      <c r="G288" s="432"/>
      <c r="H288" s="432"/>
      <c r="I288" s="432"/>
      <c r="J288" s="432"/>
      <c r="K288" s="432"/>
      <c r="L288" s="432"/>
      <c r="M288" s="432"/>
      <c r="N288" s="432"/>
      <c r="O288" s="432"/>
      <c r="P288" s="432"/>
      <c r="Q288" s="432"/>
      <c r="R288" s="432"/>
      <c r="S288" s="432"/>
      <c r="T288" s="432"/>
      <c r="U288" s="432"/>
      <c r="V288" s="432"/>
      <c r="W288" s="432"/>
      <c r="X288" s="432"/>
      <c r="Y288" s="432"/>
      <c r="Z288" s="432"/>
      <c r="AA288" s="432"/>
      <c r="AB288" s="432"/>
      <c r="AC288" s="432"/>
      <c r="AD288" s="432"/>
      <c r="AE288" s="432"/>
    </row>
    <row r="289">
      <c r="A289" s="432"/>
      <c r="B289" s="432"/>
      <c r="C289" s="432"/>
      <c r="D289" s="432"/>
      <c r="E289" s="432"/>
      <c r="F289" s="432"/>
      <c r="G289" s="432"/>
      <c r="H289" s="432"/>
      <c r="I289" s="432"/>
      <c r="J289" s="432"/>
      <c r="K289" s="432"/>
      <c r="L289" s="432"/>
      <c r="M289" s="432"/>
      <c r="N289" s="432"/>
      <c r="O289" s="432"/>
      <c r="P289" s="432"/>
      <c r="Q289" s="432"/>
      <c r="R289" s="432"/>
      <c r="S289" s="432"/>
      <c r="T289" s="432"/>
      <c r="U289" s="432"/>
      <c r="V289" s="432"/>
      <c r="W289" s="432"/>
      <c r="X289" s="432"/>
      <c r="Y289" s="432"/>
      <c r="Z289" s="432"/>
      <c r="AA289" s="432"/>
      <c r="AB289" s="432"/>
      <c r="AC289" s="432"/>
      <c r="AD289" s="432"/>
      <c r="AE289" s="432"/>
    </row>
    <row r="290">
      <c r="A290" s="432"/>
      <c r="B290" s="432"/>
      <c r="C290" s="432"/>
      <c r="D290" s="432"/>
      <c r="E290" s="432"/>
      <c r="F290" s="432"/>
      <c r="G290" s="432"/>
      <c r="H290" s="432"/>
      <c r="I290" s="432"/>
      <c r="J290" s="432"/>
      <c r="K290" s="432"/>
      <c r="L290" s="432"/>
      <c r="M290" s="432"/>
      <c r="N290" s="432"/>
      <c r="O290" s="432"/>
      <c r="P290" s="432"/>
      <c r="Q290" s="432"/>
      <c r="R290" s="432"/>
      <c r="S290" s="432"/>
      <c r="T290" s="432"/>
      <c r="U290" s="432"/>
      <c r="V290" s="432"/>
      <c r="W290" s="432"/>
      <c r="X290" s="432"/>
      <c r="Y290" s="432"/>
      <c r="Z290" s="432"/>
      <c r="AA290" s="432"/>
      <c r="AB290" s="432"/>
      <c r="AC290" s="432"/>
      <c r="AD290" s="432"/>
      <c r="AE290" s="432"/>
    </row>
    <row r="291">
      <c r="A291" s="432"/>
      <c r="B291" s="432"/>
      <c r="C291" s="432"/>
      <c r="D291" s="432"/>
      <c r="E291" s="432"/>
      <c r="F291" s="432"/>
      <c r="G291" s="432"/>
      <c r="H291" s="432"/>
      <c r="I291" s="432"/>
      <c r="J291" s="432"/>
      <c r="K291" s="432"/>
      <c r="L291" s="432"/>
      <c r="M291" s="432"/>
      <c r="N291" s="432"/>
      <c r="O291" s="432"/>
      <c r="P291" s="432"/>
      <c r="Q291" s="432"/>
      <c r="R291" s="432"/>
      <c r="S291" s="432"/>
      <c r="T291" s="432"/>
      <c r="U291" s="432"/>
      <c r="V291" s="432"/>
      <c r="W291" s="432"/>
      <c r="X291" s="432"/>
      <c r="Y291" s="432"/>
      <c r="Z291" s="432"/>
      <c r="AA291" s="432"/>
      <c r="AB291" s="432"/>
      <c r="AC291" s="432"/>
      <c r="AD291" s="432"/>
      <c r="AE291" s="432"/>
    </row>
    <row r="292">
      <c r="A292" s="432"/>
      <c r="B292" s="432"/>
      <c r="C292" s="432"/>
      <c r="D292" s="432"/>
      <c r="E292" s="432"/>
      <c r="F292" s="432"/>
      <c r="G292" s="432"/>
      <c r="H292" s="432"/>
      <c r="I292" s="432"/>
      <c r="J292" s="432"/>
      <c r="K292" s="432"/>
      <c r="L292" s="432"/>
      <c r="M292" s="432"/>
      <c r="N292" s="432"/>
      <c r="O292" s="432"/>
      <c r="P292" s="432"/>
      <c r="Q292" s="432"/>
      <c r="R292" s="432"/>
      <c r="S292" s="432"/>
      <c r="T292" s="432"/>
      <c r="U292" s="432"/>
      <c r="V292" s="432"/>
      <c r="W292" s="432"/>
      <c r="X292" s="432"/>
      <c r="Y292" s="432"/>
      <c r="Z292" s="432"/>
      <c r="AA292" s="432"/>
      <c r="AB292" s="432"/>
      <c r="AC292" s="432"/>
      <c r="AD292" s="432"/>
      <c r="AE292" s="432"/>
    </row>
    <row r="293">
      <c r="A293" s="432"/>
      <c r="B293" s="432"/>
      <c r="C293" s="432"/>
      <c r="D293" s="432"/>
      <c r="E293" s="432"/>
      <c r="F293" s="432"/>
      <c r="G293" s="432"/>
      <c r="H293" s="432"/>
      <c r="I293" s="432"/>
      <c r="J293" s="432"/>
      <c r="K293" s="432"/>
      <c r="L293" s="432"/>
      <c r="M293" s="432"/>
      <c r="N293" s="432"/>
      <c r="O293" s="432"/>
      <c r="P293" s="432"/>
      <c r="Q293" s="432"/>
      <c r="R293" s="432"/>
      <c r="S293" s="432"/>
      <c r="T293" s="432"/>
      <c r="U293" s="432"/>
      <c r="V293" s="432"/>
      <c r="W293" s="432"/>
      <c r="X293" s="432"/>
      <c r="Y293" s="432"/>
      <c r="Z293" s="432"/>
      <c r="AA293" s="432"/>
      <c r="AB293" s="432"/>
      <c r="AC293" s="432"/>
      <c r="AD293" s="432"/>
      <c r="AE293" s="432"/>
    </row>
    <row r="294">
      <c r="A294" s="432"/>
      <c r="B294" s="432"/>
      <c r="C294" s="432"/>
      <c r="D294" s="432"/>
      <c r="E294" s="432"/>
      <c r="F294" s="432"/>
      <c r="G294" s="432"/>
      <c r="H294" s="432"/>
      <c r="I294" s="432"/>
      <c r="J294" s="432"/>
      <c r="K294" s="432"/>
      <c r="L294" s="432"/>
      <c r="M294" s="432"/>
      <c r="N294" s="432"/>
      <c r="O294" s="432"/>
      <c r="P294" s="432"/>
      <c r="Q294" s="432"/>
      <c r="R294" s="432"/>
      <c r="S294" s="432"/>
      <c r="T294" s="432"/>
      <c r="U294" s="432"/>
      <c r="V294" s="432"/>
      <c r="W294" s="432"/>
      <c r="X294" s="432"/>
      <c r="Y294" s="432"/>
      <c r="Z294" s="432"/>
      <c r="AA294" s="432"/>
      <c r="AB294" s="432"/>
      <c r="AC294" s="432"/>
      <c r="AD294" s="432"/>
      <c r="AE294" s="432"/>
    </row>
    <row r="295">
      <c r="A295" s="432"/>
      <c r="B295" s="432"/>
      <c r="C295" s="432"/>
      <c r="D295" s="432"/>
      <c r="E295" s="432"/>
      <c r="F295" s="432"/>
      <c r="G295" s="432"/>
      <c r="H295" s="432"/>
      <c r="I295" s="432"/>
      <c r="J295" s="432"/>
      <c r="K295" s="432"/>
      <c r="L295" s="432"/>
      <c r="M295" s="432"/>
      <c r="N295" s="432"/>
      <c r="O295" s="432"/>
      <c r="P295" s="432"/>
      <c r="Q295" s="432"/>
      <c r="R295" s="432"/>
      <c r="S295" s="432"/>
      <c r="T295" s="432"/>
      <c r="U295" s="432"/>
      <c r="V295" s="432"/>
      <c r="W295" s="432"/>
      <c r="X295" s="432"/>
      <c r="Y295" s="432"/>
      <c r="Z295" s="432"/>
      <c r="AA295" s="432"/>
      <c r="AB295" s="432"/>
      <c r="AC295" s="432"/>
      <c r="AD295" s="432"/>
      <c r="AE295" s="432"/>
    </row>
    <row r="296">
      <c r="A296" s="432"/>
      <c r="B296" s="432"/>
      <c r="C296" s="432"/>
      <c r="D296" s="432"/>
      <c r="E296" s="432"/>
      <c r="F296" s="432"/>
      <c r="G296" s="432"/>
      <c r="H296" s="432"/>
      <c r="I296" s="432"/>
      <c r="J296" s="432"/>
      <c r="K296" s="432"/>
      <c r="L296" s="432"/>
      <c r="M296" s="432"/>
      <c r="N296" s="432"/>
      <c r="O296" s="432"/>
      <c r="P296" s="432"/>
      <c r="Q296" s="432"/>
      <c r="R296" s="432"/>
      <c r="S296" s="432"/>
      <c r="T296" s="432"/>
      <c r="U296" s="432"/>
      <c r="V296" s="432"/>
      <c r="W296" s="432"/>
      <c r="X296" s="432"/>
      <c r="Y296" s="432"/>
      <c r="Z296" s="432"/>
      <c r="AA296" s="432"/>
      <c r="AB296" s="432"/>
      <c r="AC296" s="432"/>
      <c r="AD296" s="432"/>
      <c r="AE296" s="432"/>
    </row>
    <row r="297">
      <c r="A297" s="432"/>
      <c r="B297" s="432"/>
      <c r="C297" s="432"/>
      <c r="D297" s="432"/>
      <c r="E297" s="432"/>
      <c r="F297" s="432"/>
      <c r="G297" s="432"/>
      <c r="H297" s="432"/>
      <c r="I297" s="432"/>
      <c r="J297" s="432"/>
      <c r="K297" s="432"/>
      <c r="L297" s="432"/>
      <c r="M297" s="432"/>
      <c r="N297" s="432"/>
      <c r="O297" s="432"/>
      <c r="P297" s="432"/>
      <c r="Q297" s="432"/>
      <c r="R297" s="432"/>
      <c r="S297" s="432"/>
      <c r="T297" s="432"/>
      <c r="U297" s="432"/>
      <c r="V297" s="432"/>
      <c r="W297" s="432"/>
      <c r="X297" s="432"/>
      <c r="Y297" s="432"/>
      <c r="Z297" s="432"/>
      <c r="AA297" s="432"/>
      <c r="AB297" s="432"/>
      <c r="AC297" s="432"/>
      <c r="AD297" s="432"/>
      <c r="AE297" s="432"/>
    </row>
    <row r="298">
      <c r="A298" s="432"/>
      <c r="B298" s="432"/>
      <c r="C298" s="432"/>
      <c r="D298" s="432"/>
      <c r="E298" s="432"/>
      <c r="F298" s="432"/>
      <c r="G298" s="432"/>
      <c r="H298" s="432"/>
      <c r="I298" s="432"/>
      <c r="J298" s="432"/>
      <c r="K298" s="432"/>
      <c r="L298" s="432"/>
      <c r="M298" s="432"/>
      <c r="N298" s="432"/>
      <c r="O298" s="432"/>
      <c r="P298" s="432"/>
      <c r="Q298" s="432"/>
      <c r="R298" s="432"/>
      <c r="S298" s="432"/>
      <c r="T298" s="432"/>
      <c r="U298" s="432"/>
      <c r="V298" s="432"/>
      <c r="W298" s="432"/>
      <c r="X298" s="432"/>
      <c r="Y298" s="432"/>
      <c r="Z298" s="432"/>
      <c r="AA298" s="432"/>
      <c r="AB298" s="432"/>
      <c r="AC298" s="432"/>
      <c r="AD298" s="432"/>
      <c r="AE298" s="432"/>
    </row>
    <row r="299">
      <c r="A299" s="432"/>
      <c r="B299" s="432"/>
      <c r="C299" s="432"/>
      <c r="D299" s="432"/>
      <c r="E299" s="432"/>
      <c r="F299" s="432"/>
      <c r="G299" s="432"/>
      <c r="H299" s="432"/>
      <c r="I299" s="432"/>
      <c r="J299" s="432"/>
      <c r="K299" s="432"/>
      <c r="L299" s="432"/>
      <c r="M299" s="432"/>
      <c r="N299" s="432"/>
      <c r="O299" s="432"/>
      <c r="P299" s="432"/>
      <c r="Q299" s="432"/>
      <c r="R299" s="432"/>
      <c r="S299" s="432"/>
      <c r="T299" s="432"/>
      <c r="U299" s="432"/>
      <c r="V299" s="432"/>
      <c r="W299" s="432"/>
      <c r="X299" s="432"/>
      <c r="Y299" s="432"/>
      <c r="Z299" s="432"/>
      <c r="AA299" s="432"/>
      <c r="AB299" s="432"/>
      <c r="AC299" s="432"/>
      <c r="AD299" s="432"/>
      <c r="AE299" s="432"/>
    </row>
    <row r="300">
      <c r="A300" s="432"/>
      <c r="B300" s="432"/>
      <c r="C300" s="432"/>
      <c r="D300" s="432"/>
      <c r="E300" s="432"/>
      <c r="F300" s="432"/>
      <c r="G300" s="432"/>
      <c r="H300" s="432"/>
      <c r="I300" s="432"/>
      <c r="J300" s="432"/>
      <c r="K300" s="432"/>
      <c r="L300" s="432"/>
      <c r="M300" s="432"/>
      <c r="N300" s="432"/>
      <c r="O300" s="432"/>
      <c r="P300" s="432"/>
      <c r="Q300" s="432"/>
      <c r="R300" s="432"/>
      <c r="S300" s="432"/>
      <c r="T300" s="432"/>
      <c r="U300" s="432"/>
      <c r="V300" s="432"/>
      <c r="W300" s="432"/>
      <c r="X300" s="432"/>
      <c r="Y300" s="432"/>
      <c r="Z300" s="432"/>
      <c r="AA300" s="432"/>
      <c r="AB300" s="432"/>
      <c r="AC300" s="432"/>
      <c r="AD300" s="432"/>
      <c r="AE300" s="432"/>
    </row>
    <row r="301">
      <c r="A301" s="432"/>
      <c r="B301" s="432"/>
      <c r="C301" s="432"/>
      <c r="D301" s="432"/>
      <c r="E301" s="432"/>
      <c r="F301" s="432"/>
      <c r="G301" s="432"/>
      <c r="H301" s="432"/>
      <c r="I301" s="432"/>
      <c r="J301" s="432"/>
      <c r="K301" s="432"/>
      <c r="L301" s="432"/>
      <c r="M301" s="432"/>
      <c r="N301" s="432"/>
      <c r="O301" s="432"/>
      <c r="P301" s="432"/>
      <c r="Q301" s="432"/>
      <c r="R301" s="432"/>
      <c r="S301" s="432"/>
      <c r="T301" s="432"/>
      <c r="U301" s="432"/>
      <c r="V301" s="432"/>
      <c r="W301" s="432"/>
      <c r="X301" s="432"/>
      <c r="Y301" s="432"/>
      <c r="Z301" s="432"/>
      <c r="AA301" s="432"/>
      <c r="AB301" s="432"/>
      <c r="AC301" s="432"/>
      <c r="AD301" s="432"/>
      <c r="AE301" s="432"/>
    </row>
    <row r="302">
      <c r="A302" s="432"/>
      <c r="B302" s="432"/>
      <c r="C302" s="432"/>
      <c r="D302" s="432"/>
      <c r="E302" s="432"/>
      <c r="F302" s="432"/>
      <c r="G302" s="432"/>
      <c r="H302" s="432"/>
      <c r="I302" s="432"/>
      <c r="J302" s="432"/>
      <c r="K302" s="432"/>
      <c r="L302" s="432"/>
      <c r="M302" s="432"/>
      <c r="N302" s="432"/>
      <c r="O302" s="432"/>
      <c r="P302" s="432"/>
      <c r="Q302" s="432"/>
      <c r="R302" s="432"/>
      <c r="S302" s="432"/>
      <c r="T302" s="432"/>
      <c r="U302" s="432"/>
      <c r="V302" s="432"/>
      <c r="W302" s="432"/>
      <c r="X302" s="432"/>
      <c r="Y302" s="432"/>
      <c r="Z302" s="432"/>
      <c r="AA302" s="432"/>
      <c r="AB302" s="432"/>
      <c r="AC302" s="432"/>
      <c r="AD302" s="432"/>
      <c r="AE302" s="432"/>
    </row>
    <row r="303">
      <c r="A303" s="432"/>
      <c r="B303" s="432"/>
      <c r="C303" s="432"/>
      <c r="D303" s="432"/>
      <c r="E303" s="432"/>
      <c r="F303" s="432"/>
      <c r="G303" s="432"/>
      <c r="H303" s="432"/>
      <c r="I303" s="432"/>
      <c r="J303" s="432"/>
      <c r="K303" s="432"/>
      <c r="L303" s="432"/>
      <c r="M303" s="432"/>
      <c r="N303" s="432"/>
      <c r="O303" s="432"/>
      <c r="P303" s="432"/>
      <c r="Q303" s="432"/>
      <c r="R303" s="432"/>
      <c r="S303" s="432"/>
      <c r="T303" s="432"/>
      <c r="U303" s="432"/>
      <c r="V303" s="432"/>
      <c r="W303" s="432"/>
      <c r="X303" s="432"/>
      <c r="Y303" s="432"/>
      <c r="Z303" s="432"/>
      <c r="AA303" s="432"/>
      <c r="AB303" s="432"/>
      <c r="AC303" s="432"/>
      <c r="AD303" s="432"/>
      <c r="AE303" s="432"/>
    </row>
    <row r="304">
      <c r="A304" s="432"/>
      <c r="B304" s="432"/>
      <c r="C304" s="432"/>
      <c r="D304" s="432"/>
      <c r="E304" s="432"/>
      <c r="F304" s="432"/>
      <c r="G304" s="432"/>
      <c r="H304" s="432"/>
      <c r="I304" s="432"/>
      <c r="J304" s="432"/>
      <c r="K304" s="432"/>
      <c r="L304" s="432"/>
      <c r="M304" s="432"/>
      <c r="N304" s="432"/>
      <c r="O304" s="432"/>
      <c r="P304" s="432"/>
      <c r="Q304" s="432"/>
      <c r="R304" s="432"/>
      <c r="S304" s="432"/>
      <c r="T304" s="432"/>
      <c r="U304" s="432"/>
      <c r="V304" s="432"/>
      <c r="W304" s="432"/>
      <c r="X304" s="432"/>
      <c r="Y304" s="432"/>
      <c r="Z304" s="432"/>
      <c r="AA304" s="432"/>
      <c r="AB304" s="432"/>
      <c r="AC304" s="432"/>
      <c r="AD304" s="432"/>
      <c r="AE304" s="432"/>
    </row>
    <row r="305">
      <c r="A305" s="432"/>
      <c r="B305" s="432"/>
      <c r="C305" s="432"/>
      <c r="D305" s="432"/>
      <c r="E305" s="432"/>
      <c r="F305" s="432"/>
      <c r="G305" s="432"/>
      <c r="H305" s="432"/>
      <c r="I305" s="432"/>
      <c r="J305" s="432"/>
      <c r="K305" s="432"/>
      <c r="L305" s="432"/>
      <c r="M305" s="432"/>
      <c r="N305" s="432"/>
      <c r="O305" s="432"/>
      <c r="P305" s="432"/>
      <c r="Q305" s="432"/>
      <c r="R305" s="432"/>
      <c r="S305" s="432"/>
      <c r="T305" s="432"/>
      <c r="U305" s="432"/>
      <c r="V305" s="432"/>
      <c r="W305" s="432"/>
      <c r="X305" s="432"/>
      <c r="Y305" s="432"/>
      <c r="Z305" s="432"/>
      <c r="AA305" s="432"/>
      <c r="AB305" s="432"/>
      <c r="AC305" s="432"/>
      <c r="AD305" s="432"/>
      <c r="AE305" s="432"/>
    </row>
    <row r="306">
      <c r="A306" s="432"/>
      <c r="B306" s="432"/>
      <c r="C306" s="432"/>
      <c r="D306" s="432"/>
      <c r="E306" s="432"/>
      <c r="F306" s="432"/>
      <c r="G306" s="432"/>
      <c r="H306" s="432"/>
      <c r="I306" s="432"/>
      <c r="J306" s="432"/>
      <c r="K306" s="432"/>
      <c r="L306" s="432"/>
      <c r="M306" s="432"/>
      <c r="N306" s="432"/>
      <c r="O306" s="432"/>
      <c r="P306" s="432"/>
      <c r="Q306" s="432"/>
      <c r="R306" s="432"/>
      <c r="S306" s="432"/>
      <c r="T306" s="432"/>
      <c r="U306" s="432"/>
      <c r="V306" s="432"/>
      <c r="W306" s="432"/>
      <c r="X306" s="432"/>
      <c r="Y306" s="432"/>
      <c r="Z306" s="432"/>
      <c r="AA306" s="432"/>
      <c r="AB306" s="432"/>
      <c r="AC306" s="432"/>
      <c r="AD306" s="432"/>
      <c r="AE306" s="432"/>
    </row>
    <row r="307">
      <c r="A307" s="432"/>
      <c r="B307" s="432"/>
      <c r="C307" s="432"/>
      <c r="D307" s="432"/>
      <c r="E307" s="432"/>
      <c r="F307" s="432"/>
      <c r="G307" s="432"/>
      <c r="H307" s="432"/>
      <c r="I307" s="432"/>
      <c r="J307" s="432"/>
      <c r="K307" s="432"/>
      <c r="L307" s="432"/>
      <c r="M307" s="432"/>
      <c r="N307" s="432"/>
      <c r="O307" s="432"/>
      <c r="P307" s="432"/>
      <c r="Q307" s="432"/>
      <c r="R307" s="432"/>
      <c r="S307" s="432"/>
      <c r="T307" s="432"/>
      <c r="U307" s="432"/>
      <c r="V307" s="432"/>
      <c r="W307" s="432"/>
      <c r="X307" s="432"/>
      <c r="Y307" s="432"/>
      <c r="Z307" s="432"/>
      <c r="AA307" s="432"/>
      <c r="AB307" s="432"/>
      <c r="AC307" s="432"/>
      <c r="AD307" s="432"/>
      <c r="AE307" s="432"/>
    </row>
    <row r="308">
      <c r="A308" s="432"/>
      <c r="B308" s="432"/>
      <c r="C308" s="432"/>
      <c r="D308" s="432"/>
      <c r="E308" s="432"/>
      <c r="F308" s="432"/>
      <c r="G308" s="432"/>
      <c r="H308" s="432"/>
      <c r="I308" s="432"/>
      <c r="J308" s="432"/>
      <c r="K308" s="432"/>
      <c r="L308" s="432"/>
      <c r="M308" s="432"/>
      <c r="N308" s="432"/>
      <c r="O308" s="432"/>
      <c r="P308" s="432"/>
      <c r="Q308" s="432"/>
      <c r="R308" s="432"/>
      <c r="S308" s="432"/>
      <c r="T308" s="432"/>
      <c r="U308" s="432"/>
      <c r="V308" s="432"/>
      <c r="W308" s="432"/>
      <c r="X308" s="432"/>
      <c r="Y308" s="432"/>
      <c r="Z308" s="432"/>
      <c r="AA308" s="432"/>
      <c r="AB308" s="432"/>
      <c r="AC308" s="432"/>
      <c r="AD308" s="432"/>
      <c r="AE308" s="432"/>
    </row>
    <row r="309">
      <c r="A309" s="432"/>
      <c r="B309" s="432"/>
      <c r="C309" s="432"/>
      <c r="D309" s="432"/>
      <c r="E309" s="432"/>
      <c r="F309" s="432"/>
      <c r="G309" s="432"/>
      <c r="H309" s="432"/>
      <c r="I309" s="432"/>
      <c r="J309" s="432"/>
      <c r="K309" s="432"/>
      <c r="L309" s="432"/>
      <c r="M309" s="432"/>
      <c r="N309" s="432"/>
      <c r="O309" s="432"/>
      <c r="P309" s="432"/>
      <c r="Q309" s="432"/>
      <c r="R309" s="432"/>
      <c r="S309" s="432"/>
      <c r="T309" s="432"/>
      <c r="U309" s="432"/>
      <c r="V309" s="432"/>
      <c r="W309" s="432"/>
      <c r="X309" s="432"/>
      <c r="Y309" s="432"/>
      <c r="Z309" s="432"/>
      <c r="AA309" s="432"/>
      <c r="AB309" s="432"/>
      <c r="AC309" s="432"/>
      <c r="AD309" s="432"/>
      <c r="AE309" s="432"/>
    </row>
    <row r="310">
      <c r="A310" s="432"/>
      <c r="B310" s="432"/>
      <c r="C310" s="432"/>
      <c r="D310" s="432"/>
      <c r="E310" s="432"/>
      <c r="F310" s="432"/>
      <c r="G310" s="432"/>
      <c r="H310" s="432"/>
      <c r="I310" s="432"/>
      <c r="J310" s="432"/>
      <c r="K310" s="432"/>
      <c r="L310" s="432"/>
      <c r="M310" s="432"/>
      <c r="N310" s="432"/>
      <c r="O310" s="432"/>
      <c r="P310" s="432"/>
      <c r="Q310" s="432"/>
      <c r="R310" s="432"/>
      <c r="S310" s="432"/>
      <c r="T310" s="432"/>
      <c r="U310" s="432"/>
      <c r="V310" s="432"/>
      <c r="W310" s="432"/>
      <c r="X310" s="432"/>
      <c r="Y310" s="432"/>
      <c r="Z310" s="432"/>
      <c r="AA310" s="432"/>
      <c r="AB310" s="432"/>
      <c r="AC310" s="432"/>
      <c r="AD310" s="432"/>
      <c r="AE310" s="432"/>
    </row>
    <row r="311">
      <c r="A311" s="432"/>
      <c r="B311" s="432"/>
      <c r="C311" s="432"/>
      <c r="D311" s="432"/>
      <c r="E311" s="432"/>
      <c r="F311" s="432"/>
      <c r="G311" s="432"/>
      <c r="H311" s="432"/>
      <c r="I311" s="432"/>
      <c r="J311" s="432"/>
      <c r="K311" s="432"/>
      <c r="L311" s="432"/>
      <c r="M311" s="432"/>
      <c r="N311" s="432"/>
      <c r="O311" s="432"/>
      <c r="P311" s="432"/>
      <c r="Q311" s="432"/>
      <c r="R311" s="432"/>
      <c r="S311" s="432"/>
      <c r="T311" s="432"/>
      <c r="U311" s="432"/>
      <c r="V311" s="432"/>
      <c r="W311" s="432"/>
      <c r="X311" s="432"/>
      <c r="Y311" s="432"/>
      <c r="Z311" s="432"/>
      <c r="AA311" s="432"/>
      <c r="AB311" s="432"/>
      <c r="AC311" s="432"/>
      <c r="AD311" s="432"/>
      <c r="AE311" s="432"/>
    </row>
    <row r="312">
      <c r="A312" s="432"/>
      <c r="B312" s="432"/>
      <c r="C312" s="432"/>
      <c r="D312" s="432"/>
      <c r="E312" s="432"/>
      <c r="F312" s="432"/>
      <c r="G312" s="432"/>
      <c r="H312" s="432"/>
      <c r="I312" s="432"/>
      <c r="J312" s="432"/>
      <c r="K312" s="432"/>
      <c r="L312" s="432"/>
      <c r="M312" s="432"/>
      <c r="N312" s="432"/>
      <c r="O312" s="432"/>
      <c r="P312" s="432"/>
      <c r="Q312" s="432"/>
      <c r="R312" s="432"/>
      <c r="S312" s="432"/>
      <c r="T312" s="432"/>
      <c r="U312" s="432"/>
      <c r="V312" s="432"/>
      <c r="W312" s="432"/>
      <c r="X312" s="432"/>
      <c r="Y312" s="432"/>
      <c r="Z312" s="432"/>
      <c r="AA312" s="432"/>
      <c r="AB312" s="432"/>
      <c r="AC312" s="432"/>
      <c r="AD312" s="432"/>
      <c r="AE312" s="432"/>
    </row>
    <row r="313">
      <c r="A313" s="432"/>
      <c r="B313" s="432"/>
      <c r="C313" s="432"/>
      <c r="D313" s="432"/>
      <c r="E313" s="432"/>
      <c r="F313" s="432"/>
      <c r="G313" s="432"/>
      <c r="H313" s="432"/>
      <c r="I313" s="432"/>
      <c r="J313" s="432"/>
      <c r="K313" s="432"/>
      <c r="L313" s="432"/>
      <c r="M313" s="432"/>
      <c r="N313" s="432"/>
      <c r="O313" s="432"/>
      <c r="P313" s="432"/>
      <c r="Q313" s="432"/>
      <c r="R313" s="432"/>
      <c r="S313" s="432"/>
      <c r="T313" s="432"/>
      <c r="U313" s="432"/>
      <c r="V313" s="432"/>
      <c r="W313" s="432"/>
      <c r="X313" s="432"/>
      <c r="Y313" s="432"/>
      <c r="Z313" s="432"/>
      <c r="AA313" s="432"/>
      <c r="AB313" s="432"/>
      <c r="AC313" s="432"/>
      <c r="AD313" s="432"/>
      <c r="AE313" s="432"/>
    </row>
    <row r="314">
      <c r="A314" s="432"/>
      <c r="B314" s="432"/>
      <c r="C314" s="432"/>
      <c r="D314" s="432"/>
      <c r="E314" s="432"/>
      <c r="F314" s="432"/>
      <c r="G314" s="432"/>
      <c r="H314" s="432"/>
      <c r="I314" s="432"/>
      <c r="J314" s="432"/>
      <c r="K314" s="432"/>
      <c r="L314" s="432"/>
      <c r="M314" s="432"/>
      <c r="N314" s="432"/>
      <c r="O314" s="432"/>
      <c r="P314" s="432"/>
      <c r="Q314" s="432"/>
      <c r="R314" s="432"/>
      <c r="S314" s="432"/>
      <c r="T314" s="432"/>
      <c r="U314" s="432"/>
      <c r="V314" s="432"/>
      <c r="W314" s="432"/>
      <c r="X314" s="432"/>
      <c r="Y314" s="432"/>
      <c r="Z314" s="432"/>
      <c r="AA314" s="432"/>
      <c r="AB314" s="432"/>
      <c r="AC314" s="432"/>
      <c r="AD314" s="432"/>
      <c r="AE314" s="432"/>
    </row>
    <row r="315">
      <c r="A315" s="432"/>
      <c r="B315" s="432"/>
      <c r="C315" s="432"/>
      <c r="D315" s="432"/>
      <c r="E315" s="432"/>
      <c r="F315" s="432"/>
      <c r="G315" s="432"/>
      <c r="H315" s="432"/>
      <c r="I315" s="432"/>
      <c r="J315" s="432"/>
      <c r="K315" s="432"/>
      <c r="L315" s="432"/>
      <c r="M315" s="432"/>
      <c r="N315" s="432"/>
      <c r="O315" s="432"/>
      <c r="P315" s="432"/>
      <c r="Q315" s="432"/>
      <c r="R315" s="432"/>
      <c r="S315" s="432"/>
      <c r="T315" s="432"/>
      <c r="U315" s="432"/>
      <c r="V315" s="432"/>
      <c r="W315" s="432"/>
      <c r="X315" s="432"/>
      <c r="Y315" s="432"/>
      <c r="Z315" s="432"/>
      <c r="AA315" s="432"/>
      <c r="AB315" s="432"/>
      <c r="AC315" s="432"/>
      <c r="AD315" s="432"/>
      <c r="AE315" s="432"/>
    </row>
    <row r="316">
      <c r="A316" s="432"/>
      <c r="B316" s="432"/>
      <c r="C316" s="432"/>
      <c r="D316" s="432"/>
      <c r="E316" s="432"/>
      <c r="F316" s="432"/>
      <c r="G316" s="432"/>
      <c r="H316" s="432"/>
      <c r="I316" s="432"/>
      <c r="J316" s="432"/>
      <c r="K316" s="432"/>
      <c r="L316" s="432"/>
      <c r="M316" s="432"/>
      <c r="N316" s="432"/>
      <c r="O316" s="432"/>
      <c r="P316" s="432"/>
      <c r="Q316" s="432"/>
      <c r="R316" s="432"/>
      <c r="S316" s="432"/>
      <c r="T316" s="432"/>
      <c r="U316" s="432"/>
      <c r="V316" s="432"/>
      <c r="W316" s="432"/>
      <c r="X316" s="432"/>
      <c r="Y316" s="432"/>
      <c r="Z316" s="432"/>
      <c r="AA316" s="432"/>
      <c r="AB316" s="432"/>
      <c r="AC316" s="432"/>
      <c r="AD316" s="432"/>
      <c r="AE316" s="432"/>
    </row>
    <row r="317">
      <c r="A317" s="432"/>
      <c r="B317" s="432"/>
      <c r="C317" s="432"/>
      <c r="D317" s="432"/>
      <c r="E317" s="432"/>
      <c r="F317" s="432"/>
      <c r="G317" s="432"/>
      <c r="H317" s="432"/>
      <c r="I317" s="432"/>
      <c r="J317" s="432"/>
      <c r="K317" s="432"/>
      <c r="L317" s="432"/>
      <c r="M317" s="432"/>
      <c r="N317" s="432"/>
      <c r="O317" s="432"/>
      <c r="P317" s="432"/>
      <c r="Q317" s="432"/>
      <c r="R317" s="432"/>
      <c r="S317" s="432"/>
      <c r="T317" s="432"/>
      <c r="U317" s="432"/>
      <c r="V317" s="432"/>
      <c r="W317" s="432"/>
      <c r="X317" s="432"/>
      <c r="Y317" s="432"/>
      <c r="Z317" s="432"/>
      <c r="AA317" s="432"/>
      <c r="AB317" s="432"/>
      <c r="AC317" s="432"/>
      <c r="AD317" s="432"/>
      <c r="AE317" s="432"/>
    </row>
    <row r="318">
      <c r="A318" s="432"/>
      <c r="B318" s="432"/>
      <c r="C318" s="432"/>
      <c r="D318" s="432"/>
      <c r="E318" s="432"/>
      <c r="F318" s="432"/>
      <c r="G318" s="432"/>
      <c r="H318" s="432"/>
      <c r="I318" s="432"/>
      <c r="J318" s="432"/>
      <c r="K318" s="432"/>
      <c r="L318" s="432"/>
      <c r="M318" s="432"/>
      <c r="N318" s="432"/>
      <c r="O318" s="432"/>
      <c r="P318" s="432"/>
      <c r="Q318" s="432"/>
      <c r="R318" s="432"/>
      <c r="S318" s="432"/>
      <c r="T318" s="432"/>
      <c r="U318" s="432"/>
      <c r="V318" s="432"/>
      <c r="W318" s="432"/>
      <c r="X318" s="432"/>
      <c r="Y318" s="432"/>
      <c r="Z318" s="432"/>
      <c r="AA318" s="432"/>
      <c r="AB318" s="432"/>
      <c r="AC318" s="432"/>
      <c r="AD318" s="432"/>
      <c r="AE318" s="432"/>
    </row>
    <row r="319">
      <c r="A319" s="432"/>
      <c r="B319" s="432"/>
      <c r="C319" s="432"/>
      <c r="D319" s="432"/>
      <c r="E319" s="432"/>
      <c r="F319" s="432"/>
      <c r="G319" s="432"/>
      <c r="H319" s="432"/>
      <c r="I319" s="432"/>
      <c r="J319" s="432"/>
      <c r="K319" s="432"/>
      <c r="L319" s="432"/>
      <c r="M319" s="432"/>
      <c r="N319" s="432"/>
      <c r="O319" s="432"/>
      <c r="P319" s="432"/>
      <c r="Q319" s="432"/>
      <c r="R319" s="432"/>
      <c r="S319" s="432"/>
      <c r="T319" s="432"/>
      <c r="U319" s="432"/>
      <c r="V319" s="432"/>
      <c r="W319" s="432"/>
      <c r="X319" s="432"/>
      <c r="Y319" s="432"/>
      <c r="Z319" s="432"/>
      <c r="AA319" s="432"/>
      <c r="AB319" s="432"/>
      <c r="AC319" s="432"/>
      <c r="AD319" s="432"/>
      <c r="AE319" s="432"/>
    </row>
    <row r="320">
      <c r="A320" s="432"/>
      <c r="B320" s="432"/>
      <c r="C320" s="432"/>
      <c r="D320" s="432"/>
      <c r="E320" s="432"/>
      <c r="F320" s="432"/>
      <c r="G320" s="432"/>
      <c r="H320" s="432"/>
      <c r="I320" s="432"/>
      <c r="J320" s="432"/>
      <c r="K320" s="432"/>
      <c r="L320" s="432"/>
      <c r="M320" s="432"/>
      <c r="N320" s="432"/>
      <c r="O320" s="432"/>
      <c r="P320" s="432"/>
      <c r="Q320" s="432"/>
      <c r="R320" s="432"/>
      <c r="S320" s="432"/>
      <c r="T320" s="432"/>
      <c r="U320" s="432"/>
      <c r="V320" s="432"/>
      <c r="W320" s="432"/>
      <c r="X320" s="432"/>
      <c r="Y320" s="432"/>
      <c r="Z320" s="432"/>
      <c r="AA320" s="432"/>
      <c r="AB320" s="432"/>
      <c r="AC320" s="432"/>
      <c r="AD320" s="432"/>
      <c r="AE320" s="432"/>
    </row>
    <row r="321">
      <c r="A321" s="432"/>
      <c r="B321" s="432"/>
      <c r="C321" s="432"/>
      <c r="D321" s="432"/>
      <c r="E321" s="432"/>
      <c r="F321" s="432"/>
      <c r="G321" s="432"/>
      <c r="H321" s="432"/>
      <c r="I321" s="432"/>
      <c r="J321" s="432"/>
      <c r="K321" s="432"/>
      <c r="L321" s="432"/>
      <c r="M321" s="432"/>
      <c r="N321" s="432"/>
      <c r="O321" s="432"/>
      <c r="P321" s="432"/>
      <c r="Q321" s="432"/>
      <c r="R321" s="432"/>
      <c r="S321" s="432"/>
      <c r="T321" s="432"/>
      <c r="U321" s="432"/>
      <c r="V321" s="432"/>
      <c r="W321" s="432"/>
      <c r="X321" s="432"/>
      <c r="Y321" s="432"/>
      <c r="Z321" s="432"/>
      <c r="AA321" s="432"/>
      <c r="AB321" s="432"/>
      <c r="AC321" s="432"/>
      <c r="AD321" s="432"/>
      <c r="AE321" s="432"/>
    </row>
    <row r="322">
      <c r="A322" s="432"/>
      <c r="B322" s="432"/>
      <c r="C322" s="432"/>
      <c r="D322" s="432"/>
      <c r="E322" s="432"/>
      <c r="F322" s="432"/>
      <c r="G322" s="432"/>
      <c r="H322" s="432"/>
      <c r="I322" s="432"/>
      <c r="J322" s="432"/>
      <c r="K322" s="432"/>
      <c r="L322" s="432"/>
      <c r="M322" s="432"/>
      <c r="N322" s="432"/>
      <c r="O322" s="432"/>
      <c r="P322" s="432"/>
      <c r="Q322" s="432"/>
      <c r="R322" s="432"/>
      <c r="S322" s="432"/>
      <c r="T322" s="432"/>
      <c r="U322" s="432"/>
      <c r="V322" s="432"/>
      <c r="W322" s="432"/>
      <c r="X322" s="432"/>
      <c r="Y322" s="432"/>
      <c r="Z322" s="432"/>
      <c r="AA322" s="432"/>
      <c r="AB322" s="432"/>
      <c r="AC322" s="432"/>
      <c r="AD322" s="432"/>
      <c r="AE322" s="432"/>
    </row>
    <row r="323">
      <c r="A323" s="432"/>
      <c r="B323" s="432"/>
      <c r="C323" s="432"/>
      <c r="D323" s="432"/>
      <c r="E323" s="432"/>
      <c r="F323" s="432"/>
      <c r="G323" s="432"/>
      <c r="H323" s="432"/>
      <c r="I323" s="432"/>
      <c r="J323" s="432"/>
      <c r="K323" s="432"/>
      <c r="L323" s="432"/>
      <c r="M323" s="432"/>
      <c r="N323" s="432"/>
      <c r="O323" s="432"/>
      <c r="P323" s="432"/>
      <c r="Q323" s="432"/>
      <c r="R323" s="432"/>
      <c r="S323" s="432"/>
      <c r="T323" s="432"/>
      <c r="U323" s="432"/>
      <c r="V323" s="432"/>
      <c r="W323" s="432"/>
      <c r="X323" s="432"/>
      <c r="Y323" s="432"/>
      <c r="Z323" s="432"/>
      <c r="AA323" s="432"/>
      <c r="AB323" s="432"/>
      <c r="AC323" s="432"/>
      <c r="AD323" s="432"/>
      <c r="AE323" s="432"/>
    </row>
    <row r="324">
      <c r="A324" s="432"/>
      <c r="B324" s="432"/>
      <c r="C324" s="432"/>
      <c r="D324" s="432"/>
      <c r="E324" s="432"/>
      <c r="F324" s="432"/>
      <c r="G324" s="432"/>
      <c r="H324" s="432"/>
      <c r="I324" s="432"/>
      <c r="J324" s="432"/>
      <c r="K324" s="432"/>
      <c r="L324" s="432"/>
      <c r="M324" s="432"/>
      <c r="N324" s="432"/>
      <c r="O324" s="432"/>
      <c r="P324" s="432"/>
      <c r="Q324" s="432"/>
      <c r="R324" s="432"/>
      <c r="S324" s="432"/>
      <c r="T324" s="432"/>
      <c r="U324" s="432"/>
      <c r="V324" s="432"/>
      <c r="W324" s="432"/>
      <c r="X324" s="432"/>
      <c r="Y324" s="432"/>
      <c r="Z324" s="432"/>
      <c r="AA324" s="432"/>
      <c r="AB324" s="432"/>
      <c r="AC324" s="432"/>
      <c r="AD324" s="432"/>
      <c r="AE324" s="432"/>
    </row>
    <row r="325">
      <c r="A325" s="432"/>
      <c r="B325" s="432"/>
      <c r="C325" s="432"/>
      <c r="D325" s="432"/>
      <c r="E325" s="432"/>
      <c r="F325" s="432"/>
      <c r="G325" s="432"/>
      <c r="H325" s="432"/>
      <c r="I325" s="432"/>
      <c r="J325" s="432"/>
      <c r="K325" s="432"/>
      <c r="L325" s="432"/>
      <c r="M325" s="432"/>
      <c r="N325" s="432"/>
      <c r="O325" s="432"/>
      <c r="P325" s="432"/>
      <c r="Q325" s="432"/>
      <c r="R325" s="432"/>
      <c r="S325" s="432"/>
      <c r="T325" s="432"/>
      <c r="U325" s="432"/>
      <c r="V325" s="432"/>
      <c r="W325" s="432"/>
      <c r="X325" s="432"/>
      <c r="Y325" s="432"/>
      <c r="Z325" s="432"/>
      <c r="AA325" s="432"/>
      <c r="AB325" s="432"/>
      <c r="AC325" s="432"/>
      <c r="AD325" s="432"/>
      <c r="AE325" s="432"/>
    </row>
    <row r="326">
      <c r="A326" s="432"/>
      <c r="B326" s="432"/>
      <c r="C326" s="432"/>
      <c r="D326" s="432"/>
      <c r="E326" s="432"/>
      <c r="F326" s="432"/>
      <c r="G326" s="432"/>
      <c r="H326" s="432"/>
      <c r="I326" s="432"/>
      <c r="J326" s="432"/>
      <c r="K326" s="432"/>
      <c r="L326" s="432"/>
      <c r="M326" s="432"/>
      <c r="N326" s="432"/>
      <c r="O326" s="432"/>
      <c r="P326" s="432"/>
      <c r="Q326" s="432"/>
      <c r="R326" s="432"/>
      <c r="S326" s="432"/>
      <c r="T326" s="432"/>
      <c r="U326" s="432"/>
      <c r="V326" s="432"/>
      <c r="W326" s="432"/>
      <c r="X326" s="432"/>
      <c r="Y326" s="432"/>
      <c r="Z326" s="432"/>
      <c r="AA326" s="432"/>
      <c r="AB326" s="432"/>
      <c r="AC326" s="432"/>
      <c r="AD326" s="432"/>
      <c r="AE326" s="432"/>
    </row>
    <row r="327">
      <c r="A327" s="432"/>
      <c r="B327" s="432"/>
      <c r="C327" s="432"/>
      <c r="D327" s="432"/>
      <c r="E327" s="432"/>
      <c r="F327" s="432"/>
      <c r="G327" s="432"/>
      <c r="H327" s="432"/>
      <c r="I327" s="432"/>
      <c r="J327" s="432"/>
      <c r="K327" s="432"/>
      <c r="L327" s="432"/>
      <c r="M327" s="432"/>
      <c r="N327" s="432"/>
      <c r="O327" s="432"/>
      <c r="P327" s="432"/>
      <c r="Q327" s="432"/>
      <c r="R327" s="432"/>
      <c r="S327" s="432"/>
      <c r="T327" s="432"/>
      <c r="U327" s="432"/>
      <c r="V327" s="432"/>
      <c r="W327" s="432"/>
      <c r="X327" s="432"/>
      <c r="Y327" s="432"/>
      <c r="Z327" s="432"/>
      <c r="AA327" s="432"/>
      <c r="AB327" s="432"/>
      <c r="AC327" s="432"/>
      <c r="AD327" s="432"/>
      <c r="AE327" s="432"/>
    </row>
    <row r="328">
      <c r="A328" s="432"/>
      <c r="B328" s="432"/>
      <c r="C328" s="432"/>
      <c r="D328" s="432"/>
      <c r="E328" s="432"/>
      <c r="F328" s="432"/>
      <c r="G328" s="432"/>
      <c r="H328" s="432"/>
      <c r="I328" s="432"/>
      <c r="J328" s="432"/>
      <c r="K328" s="432"/>
      <c r="L328" s="432"/>
      <c r="M328" s="432"/>
      <c r="N328" s="432"/>
      <c r="O328" s="432"/>
      <c r="P328" s="432"/>
      <c r="Q328" s="432"/>
      <c r="R328" s="432"/>
      <c r="S328" s="432"/>
      <c r="T328" s="432"/>
      <c r="U328" s="432"/>
      <c r="V328" s="432"/>
      <c r="W328" s="432"/>
      <c r="X328" s="432"/>
      <c r="Y328" s="432"/>
      <c r="Z328" s="432"/>
      <c r="AA328" s="432"/>
      <c r="AB328" s="432"/>
      <c r="AC328" s="432"/>
      <c r="AD328" s="432"/>
      <c r="AE328" s="432"/>
    </row>
    <row r="329">
      <c r="A329" s="432"/>
      <c r="B329" s="432"/>
      <c r="C329" s="432"/>
      <c r="D329" s="432"/>
      <c r="E329" s="432"/>
      <c r="F329" s="432"/>
      <c r="G329" s="432"/>
      <c r="H329" s="432"/>
      <c r="I329" s="432"/>
      <c r="J329" s="432"/>
      <c r="K329" s="432"/>
      <c r="L329" s="432"/>
      <c r="M329" s="432"/>
      <c r="N329" s="432"/>
      <c r="O329" s="432"/>
      <c r="P329" s="432"/>
      <c r="Q329" s="432"/>
      <c r="R329" s="432"/>
      <c r="S329" s="432"/>
      <c r="T329" s="432"/>
      <c r="U329" s="432"/>
      <c r="V329" s="432"/>
      <c r="W329" s="432"/>
      <c r="X329" s="432"/>
      <c r="Y329" s="432"/>
      <c r="Z329" s="432"/>
      <c r="AA329" s="432"/>
      <c r="AB329" s="432"/>
      <c r="AC329" s="432"/>
      <c r="AD329" s="432"/>
      <c r="AE329" s="432"/>
    </row>
    <row r="330">
      <c r="A330" s="432"/>
      <c r="B330" s="432"/>
      <c r="C330" s="432"/>
      <c r="D330" s="432"/>
      <c r="E330" s="432"/>
      <c r="F330" s="432"/>
      <c r="G330" s="432"/>
      <c r="H330" s="432"/>
      <c r="I330" s="432"/>
      <c r="J330" s="432"/>
      <c r="K330" s="432"/>
      <c r="L330" s="432"/>
      <c r="M330" s="432"/>
      <c r="N330" s="432"/>
      <c r="O330" s="432"/>
      <c r="P330" s="432"/>
      <c r="Q330" s="432"/>
      <c r="R330" s="432"/>
      <c r="S330" s="432"/>
      <c r="T330" s="432"/>
      <c r="U330" s="432"/>
      <c r="V330" s="432"/>
      <c r="W330" s="432"/>
      <c r="X330" s="432"/>
      <c r="Y330" s="432"/>
      <c r="Z330" s="432"/>
      <c r="AA330" s="432"/>
      <c r="AB330" s="432"/>
      <c r="AC330" s="432"/>
      <c r="AD330" s="432"/>
      <c r="AE330" s="432"/>
    </row>
    <row r="331">
      <c r="A331" s="432"/>
      <c r="B331" s="432"/>
      <c r="C331" s="432"/>
      <c r="D331" s="432"/>
      <c r="E331" s="432"/>
      <c r="F331" s="432"/>
      <c r="G331" s="432"/>
      <c r="H331" s="432"/>
      <c r="I331" s="432"/>
      <c r="J331" s="432"/>
      <c r="K331" s="432"/>
      <c r="L331" s="432"/>
      <c r="M331" s="432"/>
      <c r="N331" s="432"/>
      <c r="O331" s="432"/>
      <c r="P331" s="432"/>
      <c r="Q331" s="432"/>
      <c r="R331" s="432"/>
      <c r="S331" s="432"/>
      <c r="T331" s="432"/>
      <c r="U331" s="432"/>
      <c r="V331" s="432"/>
      <c r="W331" s="432"/>
      <c r="X331" s="432"/>
      <c r="Y331" s="432"/>
      <c r="Z331" s="432"/>
      <c r="AA331" s="432"/>
      <c r="AB331" s="432"/>
      <c r="AC331" s="432"/>
      <c r="AD331" s="432"/>
      <c r="AE331" s="432"/>
    </row>
    <row r="332">
      <c r="A332" s="432"/>
      <c r="B332" s="432"/>
      <c r="C332" s="432"/>
      <c r="D332" s="432"/>
      <c r="E332" s="432"/>
      <c r="F332" s="432"/>
      <c r="G332" s="432"/>
      <c r="H332" s="432"/>
      <c r="I332" s="432"/>
      <c r="J332" s="432"/>
      <c r="K332" s="432"/>
      <c r="L332" s="432"/>
      <c r="M332" s="432"/>
      <c r="N332" s="432"/>
      <c r="O332" s="432"/>
      <c r="P332" s="432"/>
      <c r="Q332" s="432"/>
      <c r="R332" s="432"/>
      <c r="S332" s="432"/>
      <c r="T332" s="432"/>
      <c r="U332" s="432"/>
      <c r="V332" s="432"/>
      <c r="W332" s="432"/>
      <c r="X332" s="432"/>
      <c r="Y332" s="432"/>
      <c r="Z332" s="432"/>
      <c r="AA332" s="432"/>
      <c r="AB332" s="432"/>
      <c r="AC332" s="432"/>
      <c r="AD332" s="432"/>
      <c r="AE332" s="432"/>
    </row>
    <row r="333">
      <c r="A333" s="432"/>
      <c r="B333" s="432"/>
      <c r="C333" s="432"/>
      <c r="D333" s="432"/>
      <c r="E333" s="432"/>
      <c r="F333" s="432"/>
      <c r="G333" s="432"/>
      <c r="H333" s="432"/>
      <c r="I333" s="432"/>
      <c r="J333" s="432"/>
      <c r="K333" s="432"/>
      <c r="L333" s="432"/>
      <c r="M333" s="432"/>
      <c r="N333" s="432"/>
      <c r="O333" s="432"/>
      <c r="P333" s="432"/>
      <c r="Q333" s="432"/>
      <c r="R333" s="432"/>
      <c r="S333" s="432"/>
      <c r="T333" s="432"/>
      <c r="U333" s="432"/>
      <c r="V333" s="432"/>
      <c r="W333" s="432"/>
      <c r="X333" s="432"/>
      <c r="Y333" s="432"/>
      <c r="Z333" s="432"/>
      <c r="AA333" s="432"/>
      <c r="AB333" s="432"/>
      <c r="AC333" s="432"/>
      <c r="AD333" s="432"/>
      <c r="AE333" s="432"/>
    </row>
    <row r="334">
      <c r="A334" s="432"/>
      <c r="B334" s="432"/>
      <c r="C334" s="432"/>
      <c r="D334" s="432"/>
      <c r="E334" s="432"/>
      <c r="F334" s="432"/>
      <c r="G334" s="432"/>
      <c r="H334" s="432"/>
      <c r="I334" s="432"/>
      <c r="J334" s="432"/>
      <c r="K334" s="432"/>
      <c r="L334" s="432"/>
      <c r="M334" s="432"/>
      <c r="N334" s="432"/>
      <c r="O334" s="432"/>
      <c r="P334" s="432"/>
      <c r="Q334" s="432"/>
      <c r="R334" s="432"/>
      <c r="S334" s="432"/>
      <c r="T334" s="432"/>
      <c r="U334" s="432"/>
      <c r="V334" s="432"/>
      <c r="W334" s="432"/>
      <c r="X334" s="432"/>
      <c r="Y334" s="432"/>
      <c r="Z334" s="432"/>
      <c r="AA334" s="432"/>
      <c r="AB334" s="432"/>
      <c r="AC334" s="432"/>
      <c r="AD334" s="432"/>
      <c r="AE334" s="432"/>
    </row>
    <row r="335">
      <c r="A335" s="432"/>
      <c r="B335" s="432"/>
      <c r="C335" s="432"/>
      <c r="D335" s="432"/>
      <c r="E335" s="432"/>
      <c r="F335" s="432"/>
      <c r="G335" s="432"/>
      <c r="H335" s="432"/>
      <c r="I335" s="432"/>
      <c r="J335" s="432"/>
      <c r="K335" s="432"/>
      <c r="L335" s="432"/>
      <c r="M335" s="432"/>
      <c r="N335" s="432"/>
      <c r="O335" s="432"/>
      <c r="P335" s="432"/>
      <c r="Q335" s="432"/>
      <c r="R335" s="432"/>
      <c r="S335" s="432"/>
      <c r="T335" s="432"/>
      <c r="U335" s="432"/>
      <c r="V335" s="432"/>
      <c r="W335" s="432"/>
      <c r="X335" s="432"/>
      <c r="Y335" s="432"/>
      <c r="Z335" s="432"/>
      <c r="AA335" s="432"/>
      <c r="AB335" s="432"/>
      <c r="AC335" s="432"/>
      <c r="AD335" s="432"/>
      <c r="AE335" s="432"/>
    </row>
    <row r="336">
      <c r="A336" s="432"/>
      <c r="B336" s="432"/>
      <c r="C336" s="432"/>
      <c r="D336" s="432"/>
      <c r="E336" s="432"/>
      <c r="F336" s="432"/>
      <c r="G336" s="432"/>
      <c r="H336" s="432"/>
      <c r="I336" s="432"/>
      <c r="J336" s="432"/>
      <c r="K336" s="432"/>
      <c r="L336" s="432"/>
      <c r="M336" s="432"/>
      <c r="N336" s="432"/>
      <c r="O336" s="432"/>
      <c r="P336" s="432"/>
      <c r="Q336" s="432"/>
      <c r="R336" s="432"/>
      <c r="S336" s="432"/>
      <c r="T336" s="432"/>
      <c r="U336" s="432"/>
      <c r="V336" s="432"/>
      <c r="W336" s="432"/>
      <c r="X336" s="432"/>
      <c r="Y336" s="432"/>
      <c r="Z336" s="432"/>
      <c r="AA336" s="432"/>
      <c r="AB336" s="432"/>
      <c r="AC336" s="432"/>
      <c r="AD336" s="432"/>
      <c r="AE336" s="432"/>
    </row>
    <row r="337">
      <c r="A337" s="432"/>
      <c r="B337" s="432"/>
      <c r="C337" s="432"/>
      <c r="D337" s="432"/>
      <c r="E337" s="432"/>
      <c r="F337" s="432"/>
      <c r="G337" s="432"/>
      <c r="H337" s="432"/>
      <c r="I337" s="432"/>
      <c r="J337" s="432"/>
      <c r="K337" s="432"/>
      <c r="L337" s="432"/>
      <c r="M337" s="432"/>
      <c r="N337" s="432"/>
      <c r="O337" s="432"/>
      <c r="P337" s="432"/>
      <c r="Q337" s="432"/>
      <c r="R337" s="432"/>
      <c r="S337" s="432"/>
      <c r="T337" s="432"/>
      <c r="U337" s="432"/>
      <c r="V337" s="432"/>
      <c r="W337" s="432"/>
      <c r="X337" s="432"/>
      <c r="Y337" s="432"/>
      <c r="Z337" s="432"/>
      <c r="AA337" s="432"/>
      <c r="AB337" s="432"/>
      <c r="AC337" s="432"/>
      <c r="AD337" s="432"/>
      <c r="AE337" s="432"/>
    </row>
    <row r="338">
      <c r="A338" s="432"/>
      <c r="B338" s="432"/>
      <c r="C338" s="432"/>
      <c r="D338" s="432"/>
      <c r="E338" s="432"/>
      <c r="F338" s="432"/>
      <c r="G338" s="432"/>
      <c r="H338" s="432"/>
      <c r="I338" s="432"/>
      <c r="J338" s="432"/>
      <c r="K338" s="432"/>
      <c r="L338" s="432"/>
      <c r="M338" s="432"/>
      <c r="N338" s="432"/>
      <c r="O338" s="432"/>
      <c r="P338" s="432"/>
      <c r="Q338" s="432"/>
      <c r="R338" s="432"/>
      <c r="S338" s="432"/>
      <c r="T338" s="432"/>
      <c r="U338" s="432"/>
      <c r="V338" s="432"/>
      <c r="W338" s="432"/>
      <c r="X338" s="432"/>
      <c r="Y338" s="432"/>
      <c r="Z338" s="432"/>
      <c r="AA338" s="432"/>
      <c r="AB338" s="432"/>
      <c r="AC338" s="432"/>
      <c r="AD338" s="432"/>
      <c r="AE338" s="432"/>
    </row>
    <row r="339">
      <c r="A339" s="432"/>
      <c r="B339" s="432"/>
      <c r="C339" s="432"/>
      <c r="D339" s="432"/>
      <c r="E339" s="432"/>
      <c r="F339" s="432"/>
      <c r="G339" s="432"/>
      <c r="H339" s="432"/>
      <c r="I339" s="432"/>
      <c r="J339" s="432"/>
      <c r="K339" s="432"/>
      <c r="L339" s="432"/>
      <c r="M339" s="432"/>
      <c r="N339" s="432"/>
      <c r="O339" s="432"/>
      <c r="P339" s="432"/>
      <c r="Q339" s="432"/>
      <c r="R339" s="432"/>
      <c r="S339" s="432"/>
      <c r="T339" s="432"/>
      <c r="U339" s="432"/>
      <c r="V339" s="432"/>
      <c r="W339" s="432"/>
      <c r="X339" s="432"/>
      <c r="Y339" s="432"/>
      <c r="Z339" s="432"/>
      <c r="AA339" s="432"/>
      <c r="AB339" s="432"/>
      <c r="AC339" s="432"/>
      <c r="AD339" s="432"/>
      <c r="AE339" s="432"/>
    </row>
    <row r="340">
      <c r="A340" s="432"/>
      <c r="B340" s="432"/>
      <c r="C340" s="432"/>
      <c r="D340" s="432"/>
      <c r="E340" s="432"/>
      <c r="F340" s="432"/>
      <c r="G340" s="432"/>
      <c r="H340" s="432"/>
      <c r="I340" s="432"/>
      <c r="J340" s="432"/>
      <c r="K340" s="432"/>
      <c r="L340" s="432"/>
      <c r="M340" s="432"/>
      <c r="N340" s="432"/>
      <c r="O340" s="432"/>
      <c r="P340" s="432"/>
      <c r="Q340" s="432"/>
      <c r="R340" s="432"/>
      <c r="S340" s="432"/>
      <c r="T340" s="432"/>
      <c r="U340" s="432"/>
      <c r="V340" s="432"/>
      <c r="W340" s="432"/>
      <c r="X340" s="432"/>
      <c r="Y340" s="432"/>
      <c r="Z340" s="432"/>
      <c r="AA340" s="432"/>
      <c r="AB340" s="432"/>
      <c r="AC340" s="432"/>
      <c r="AD340" s="432"/>
      <c r="AE340" s="432"/>
    </row>
    <row r="341">
      <c r="A341" s="432"/>
      <c r="B341" s="432"/>
      <c r="C341" s="432"/>
      <c r="D341" s="432"/>
      <c r="E341" s="432"/>
      <c r="F341" s="432"/>
      <c r="G341" s="432"/>
      <c r="H341" s="432"/>
      <c r="I341" s="432"/>
      <c r="J341" s="432"/>
      <c r="K341" s="432"/>
      <c r="L341" s="432"/>
      <c r="M341" s="432"/>
      <c r="N341" s="432"/>
      <c r="O341" s="432"/>
      <c r="P341" s="432"/>
      <c r="Q341" s="432"/>
      <c r="R341" s="432"/>
      <c r="S341" s="432"/>
      <c r="T341" s="432"/>
      <c r="U341" s="432"/>
      <c r="V341" s="432"/>
      <c r="W341" s="432"/>
      <c r="X341" s="432"/>
      <c r="Y341" s="432"/>
      <c r="Z341" s="432"/>
      <c r="AA341" s="432"/>
      <c r="AB341" s="432"/>
      <c r="AC341" s="432"/>
      <c r="AD341" s="432"/>
      <c r="AE341" s="432"/>
    </row>
    <row r="342">
      <c r="A342" s="432"/>
      <c r="B342" s="432"/>
      <c r="C342" s="432"/>
      <c r="D342" s="432"/>
      <c r="E342" s="432"/>
      <c r="F342" s="432"/>
      <c r="G342" s="432"/>
      <c r="H342" s="432"/>
      <c r="I342" s="432"/>
      <c r="J342" s="432"/>
      <c r="K342" s="432"/>
      <c r="L342" s="432"/>
      <c r="M342" s="432"/>
      <c r="N342" s="432"/>
      <c r="O342" s="432"/>
      <c r="P342" s="432"/>
      <c r="Q342" s="432"/>
      <c r="R342" s="432"/>
      <c r="S342" s="432"/>
      <c r="T342" s="432"/>
      <c r="U342" s="432"/>
      <c r="V342" s="432"/>
      <c r="W342" s="432"/>
      <c r="X342" s="432"/>
      <c r="Y342" s="432"/>
      <c r="Z342" s="432"/>
      <c r="AA342" s="432"/>
      <c r="AB342" s="432"/>
      <c r="AC342" s="432"/>
      <c r="AD342" s="432"/>
      <c r="AE342" s="432"/>
    </row>
    <row r="343">
      <c r="A343" s="432"/>
      <c r="B343" s="432"/>
      <c r="C343" s="432"/>
      <c r="D343" s="432"/>
      <c r="E343" s="432"/>
      <c r="F343" s="432"/>
      <c r="G343" s="432"/>
      <c r="H343" s="432"/>
      <c r="I343" s="432"/>
      <c r="J343" s="432"/>
      <c r="K343" s="432"/>
      <c r="L343" s="432"/>
      <c r="M343" s="432"/>
      <c r="N343" s="432"/>
      <c r="O343" s="432"/>
      <c r="P343" s="432"/>
      <c r="Q343" s="432"/>
      <c r="R343" s="432"/>
      <c r="S343" s="432"/>
      <c r="T343" s="432"/>
      <c r="U343" s="432"/>
      <c r="V343" s="432"/>
      <c r="W343" s="432"/>
      <c r="X343" s="432"/>
      <c r="Y343" s="432"/>
      <c r="Z343" s="432"/>
      <c r="AA343" s="432"/>
      <c r="AB343" s="432"/>
      <c r="AC343" s="432"/>
      <c r="AD343" s="432"/>
      <c r="AE343" s="432"/>
    </row>
    <row r="344">
      <c r="A344" s="432"/>
      <c r="B344" s="432"/>
      <c r="C344" s="432"/>
      <c r="D344" s="432"/>
      <c r="E344" s="432"/>
      <c r="F344" s="432"/>
      <c r="G344" s="432"/>
      <c r="H344" s="432"/>
      <c r="I344" s="432"/>
      <c r="J344" s="432"/>
      <c r="K344" s="432"/>
      <c r="L344" s="432"/>
      <c r="M344" s="432"/>
      <c r="N344" s="432"/>
      <c r="O344" s="432"/>
      <c r="P344" s="432"/>
      <c r="Q344" s="432"/>
      <c r="R344" s="432"/>
      <c r="S344" s="432"/>
      <c r="T344" s="432"/>
      <c r="U344" s="432"/>
      <c r="V344" s="432"/>
      <c r="W344" s="432"/>
      <c r="X344" s="432"/>
      <c r="Y344" s="432"/>
      <c r="Z344" s="432"/>
      <c r="AA344" s="432"/>
      <c r="AB344" s="432"/>
      <c r="AC344" s="432"/>
      <c r="AD344" s="432"/>
      <c r="AE344" s="432"/>
    </row>
    <row r="345">
      <c r="A345" s="432"/>
      <c r="B345" s="432"/>
      <c r="C345" s="432"/>
      <c r="D345" s="432"/>
      <c r="E345" s="432"/>
      <c r="F345" s="432"/>
      <c r="G345" s="432"/>
      <c r="H345" s="432"/>
      <c r="I345" s="432"/>
      <c r="J345" s="432"/>
      <c r="K345" s="432"/>
      <c r="L345" s="432"/>
      <c r="M345" s="432"/>
      <c r="N345" s="432"/>
      <c r="O345" s="432"/>
      <c r="P345" s="432"/>
      <c r="Q345" s="432"/>
      <c r="R345" s="432"/>
      <c r="S345" s="432"/>
      <c r="T345" s="432"/>
      <c r="U345" s="432"/>
      <c r="V345" s="432"/>
      <c r="W345" s="432"/>
      <c r="X345" s="432"/>
      <c r="Y345" s="432"/>
      <c r="Z345" s="432"/>
      <c r="AA345" s="432"/>
      <c r="AB345" s="432"/>
      <c r="AC345" s="432"/>
      <c r="AD345" s="432"/>
      <c r="AE345" s="432"/>
    </row>
    <row r="346">
      <c r="A346" s="432"/>
      <c r="B346" s="432"/>
      <c r="C346" s="432"/>
      <c r="D346" s="432"/>
      <c r="E346" s="432"/>
      <c r="F346" s="432"/>
      <c r="G346" s="432"/>
      <c r="H346" s="432"/>
      <c r="I346" s="432"/>
      <c r="J346" s="432"/>
      <c r="K346" s="432"/>
      <c r="L346" s="432"/>
      <c r="M346" s="432"/>
      <c r="N346" s="432"/>
      <c r="O346" s="432"/>
      <c r="P346" s="432"/>
      <c r="Q346" s="432"/>
      <c r="R346" s="432"/>
      <c r="S346" s="432"/>
      <c r="T346" s="432"/>
      <c r="U346" s="432"/>
      <c r="V346" s="432"/>
      <c r="W346" s="432"/>
      <c r="X346" s="432"/>
      <c r="Y346" s="432"/>
      <c r="Z346" s="432"/>
      <c r="AA346" s="432"/>
      <c r="AB346" s="432"/>
      <c r="AC346" s="432"/>
      <c r="AD346" s="432"/>
      <c r="AE346" s="432"/>
    </row>
    <row r="347">
      <c r="A347" s="432"/>
      <c r="B347" s="432"/>
      <c r="C347" s="432"/>
      <c r="D347" s="432"/>
      <c r="E347" s="432"/>
      <c r="F347" s="432"/>
      <c r="G347" s="432"/>
      <c r="H347" s="432"/>
      <c r="I347" s="432"/>
      <c r="J347" s="432"/>
      <c r="K347" s="432"/>
      <c r="L347" s="432"/>
      <c r="M347" s="432"/>
      <c r="N347" s="432"/>
      <c r="O347" s="432"/>
      <c r="P347" s="432"/>
      <c r="Q347" s="432"/>
      <c r="R347" s="432"/>
      <c r="S347" s="432"/>
      <c r="T347" s="432"/>
      <c r="U347" s="432"/>
      <c r="V347" s="432"/>
      <c r="W347" s="432"/>
      <c r="X347" s="432"/>
      <c r="Y347" s="432"/>
      <c r="Z347" s="432"/>
      <c r="AA347" s="432"/>
      <c r="AB347" s="432"/>
      <c r="AC347" s="432"/>
      <c r="AD347" s="432"/>
      <c r="AE347" s="432"/>
    </row>
    <row r="348">
      <c r="A348" s="432"/>
      <c r="B348" s="432"/>
      <c r="C348" s="432"/>
      <c r="D348" s="432"/>
      <c r="E348" s="432"/>
      <c r="F348" s="432"/>
      <c r="G348" s="432"/>
      <c r="H348" s="432"/>
      <c r="I348" s="432"/>
      <c r="J348" s="432"/>
      <c r="K348" s="432"/>
      <c r="L348" s="432"/>
      <c r="M348" s="432"/>
      <c r="N348" s="432"/>
      <c r="O348" s="432"/>
      <c r="P348" s="432"/>
      <c r="Q348" s="432"/>
      <c r="R348" s="432"/>
      <c r="S348" s="432"/>
      <c r="T348" s="432"/>
      <c r="U348" s="432"/>
      <c r="V348" s="432"/>
      <c r="W348" s="432"/>
      <c r="X348" s="432"/>
      <c r="Y348" s="432"/>
      <c r="Z348" s="432"/>
      <c r="AA348" s="432"/>
      <c r="AB348" s="432"/>
      <c r="AC348" s="432"/>
      <c r="AD348" s="432"/>
      <c r="AE348" s="432"/>
    </row>
    <row r="349">
      <c r="A349" s="432"/>
      <c r="B349" s="432"/>
      <c r="C349" s="432"/>
      <c r="D349" s="432"/>
      <c r="E349" s="432"/>
      <c r="F349" s="432"/>
      <c r="G349" s="432"/>
      <c r="H349" s="432"/>
      <c r="I349" s="432"/>
      <c r="J349" s="432"/>
      <c r="K349" s="432"/>
      <c r="L349" s="432"/>
      <c r="M349" s="432"/>
      <c r="N349" s="432"/>
      <c r="O349" s="432"/>
      <c r="P349" s="432"/>
      <c r="Q349" s="432"/>
      <c r="R349" s="432"/>
      <c r="S349" s="432"/>
      <c r="T349" s="432"/>
      <c r="U349" s="432"/>
      <c r="V349" s="432"/>
      <c r="W349" s="432"/>
      <c r="X349" s="432"/>
      <c r="Y349" s="432"/>
      <c r="Z349" s="432"/>
      <c r="AA349" s="432"/>
      <c r="AB349" s="432"/>
      <c r="AC349" s="432"/>
      <c r="AD349" s="432"/>
      <c r="AE349" s="432"/>
    </row>
    <row r="350">
      <c r="A350" s="432"/>
      <c r="B350" s="432"/>
      <c r="C350" s="432"/>
      <c r="D350" s="432"/>
      <c r="E350" s="432"/>
      <c r="F350" s="432"/>
      <c r="G350" s="432"/>
      <c r="H350" s="432"/>
      <c r="I350" s="432"/>
      <c r="J350" s="432"/>
      <c r="K350" s="432"/>
      <c r="L350" s="432"/>
      <c r="M350" s="432"/>
      <c r="N350" s="432"/>
      <c r="O350" s="432"/>
      <c r="P350" s="432"/>
      <c r="Q350" s="432"/>
      <c r="R350" s="432"/>
      <c r="S350" s="432"/>
      <c r="T350" s="432"/>
      <c r="U350" s="432"/>
      <c r="V350" s="432"/>
      <c r="W350" s="432"/>
      <c r="X350" s="432"/>
      <c r="Y350" s="432"/>
      <c r="Z350" s="432"/>
      <c r="AA350" s="432"/>
      <c r="AB350" s="432"/>
      <c r="AC350" s="432"/>
      <c r="AD350" s="432"/>
      <c r="AE350" s="432"/>
    </row>
    <row r="351">
      <c r="A351" s="432"/>
      <c r="B351" s="432"/>
      <c r="C351" s="432"/>
      <c r="D351" s="432"/>
      <c r="E351" s="432"/>
      <c r="F351" s="432"/>
      <c r="G351" s="432"/>
      <c r="H351" s="432"/>
      <c r="I351" s="432"/>
      <c r="J351" s="432"/>
      <c r="K351" s="432"/>
      <c r="L351" s="432"/>
      <c r="M351" s="432"/>
      <c r="N351" s="432"/>
      <c r="O351" s="432"/>
      <c r="P351" s="432"/>
      <c r="Q351" s="432"/>
      <c r="R351" s="432"/>
      <c r="S351" s="432"/>
      <c r="T351" s="432"/>
      <c r="U351" s="432"/>
      <c r="V351" s="432"/>
      <c r="W351" s="432"/>
      <c r="X351" s="432"/>
      <c r="Y351" s="432"/>
      <c r="Z351" s="432"/>
      <c r="AA351" s="432"/>
      <c r="AB351" s="432"/>
      <c r="AC351" s="432"/>
      <c r="AD351" s="432"/>
      <c r="AE351" s="432"/>
    </row>
    <row r="352">
      <c r="A352" s="432"/>
      <c r="B352" s="432"/>
      <c r="C352" s="432"/>
      <c r="D352" s="432"/>
      <c r="E352" s="432"/>
      <c r="F352" s="432"/>
      <c r="G352" s="432"/>
      <c r="H352" s="432"/>
      <c r="I352" s="432"/>
      <c r="J352" s="432"/>
      <c r="K352" s="432"/>
      <c r="L352" s="432"/>
      <c r="M352" s="432"/>
      <c r="N352" s="432"/>
      <c r="O352" s="432"/>
      <c r="P352" s="432"/>
      <c r="Q352" s="432"/>
      <c r="R352" s="432"/>
      <c r="S352" s="432"/>
      <c r="T352" s="432"/>
      <c r="U352" s="432"/>
      <c r="V352" s="432"/>
      <c r="W352" s="432"/>
      <c r="X352" s="432"/>
      <c r="Y352" s="432"/>
      <c r="Z352" s="432"/>
      <c r="AA352" s="432"/>
      <c r="AB352" s="432"/>
      <c r="AC352" s="432"/>
      <c r="AD352" s="432"/>
      <c r="AE352" s="432"/>
    </row>
    <row r="353">
      <c r="A353" s="432"/>
      <c r="B353" s="432"/>
      <c r="C353" s="432"/>
      <c r="D353" s="432"/>
      <c r="E353" s="432"/>
      <c r="F353" s="432"/>
      <c r="G353" s="432"/>
      <c r="H353" s="432"/>
      <c r="I353" s="432"/>
      <c r="J353" s="432"/>
      <c r="K353" s="432"/>
      <c r="L353" s="432"/>
      <c r="M353" s="432"/>
      <c r="N353" s="432"/>
      <c r="O353" s="432"/>
      <c r="P353" s="432"/>
      <c r="Q353" s="432"/>
      <c r="R353" s="432"/>
      <c r="S353" s="432"/>
      <c r="T353" s="432"/>
      <c r="U353" s="432"/>
      <c r="V353" s="432"/>
      <c r="W353" s="432"/>
      <c r="X353" s="432"/>
      <c r="Y353" s="432"/>
      <c r="Z353" s="432"/>
      <c r="AA353" s="432"/>
      <c r="AB353" s="432"/>
      <c r="AC353" s="432"/>
      <c r="AD353" s="432"/>
      <c r="AE353" s="432"/>
    </row>
    <row r="354">
      <c r="A354" s="432"/>
      <c r="B354" s="432"/>
      <c r="C354" s="432"/>
      <c r="D354" s="432"/>
      <c r="E354" s="432"/>
      <c r="F354" s="432"/>
      <c r="G354" s="432"/>
      <c r="H354" s="432"/>
      <c r="I354" s="432"/>
      <c r="J354" s="432"/>
      <c r="K354" s="432"/>
      <c r="L354" s="432"/>
      <c r="M354" s="432"/>
      <c r="N354" s="432"/>
      <c r="O354" s="432"/>
      <c r="P354" s="432"/>
      <c r="Q354" s="432"/>
      <c r="R354" s="432"/>
      <c r="S354" s="432"/>
      <c r="T354" s="432"/>
      <c r="U354" s="432"/>
      <c r="V354" s="432"/>
      <c r="W354" s="432"/>
      <c r="X354" s="432"/>
      <c r="Y354" s="432"/>
      <c r="Z354" s="432"/>
      <c r="AA354" s="432"/>
      <c r="AB354" s="432"/>
      <c r="AC354" s="432"/>
      <c r="AD354" s="432"/>
      <c r="AE354" s="432"/>
    </row>
    <row r="355">
      <c r="A355" s="432"/>
      <c r="B355" s="432"/>
      <c r="C355" s="432"/>
      <c r="D355" s="432"/>
      <c r="E355" s="432"/>
      <c r="F355" s="432"/>
      <c r="G355" s="432"/>
      <c r="H355" s="432"/>
      <c r="I355" s="432"/>
      <c r="J355" s="432"/>
      <c r="K355" s="432"/>
      <c r="L355" s="432"/>
      <c r="M355" s="432"/>
      <c r="N355" s="432"/>
      <c r="O355" s="432"/>
      <c r="P355" s="432"/>
      <c r="Q355" s="432"/>
      <c r="R355" s="432"/>
      <c r="S355" s="432"/>
      <c r="T355" s="432"/>
      <c r="U355" s="432"/>
      <c r="V355" s="432"/>
      <c r="W355" s="432"/>
      <c r="X355" s="432"/>
      <c r="Y355" s="432"/>
      <c r="Z355" s="432"/>
      <c r="AA355" s="432"/>
      <c r="AB355" s="432"/>
      <c r="AC355" s="432"/>
      <c r="AD355" s="432"/>
      <c r="AE355" s="432"/>
    </row>
    <row r="356">
      <c r="A356" s="432"/>
      <c r="B356" s="432"/>
      <c r="C356" s="432"/>
      <c r="D356" s="432"/>
      <c r="E356" s="432"/>
      <c r="F356" s="432"/>
      <c r="G356" s="432"/>
      <c r="H356" s="432"/>
      <c r="I356" s="432"/>
      <c r="J356" s="432"/>
      <c r="K356" s="432"/>
      <c r="L356" s="432"/>
      <c r="M356" s="432"/>
      <c r="N356" s="432"/>
      <c r="O356" s="432"/>
      <c r="P356" s="432"/>
      <c r="Q356" s="432"/>
      <c r="R356" s="432"/>
      <c r="S356" s="432"/>
      <c r="T356" s="432"/>
      <c r="U356" s="432"/>
      <c r="V356" s="432"/>
      <c r="W356" s="432"/>
      <c r="X356" s="432"/>
      <c r="Y356" s="432"/>
      <c r="Z356" s="432"/>
      <c r="AA356" s="432"/>
      <c r="AB356" s="432"/>
      <c r="AC356" s="432"/>
      <c r="AD356" s="432"/>
      <c r="AE356" s="432"/>
    </row>
    <row r="357">
      <c r="A357" s="432"/>
      <c r="B357" s="432"/>
      <c r="C357" s="432"/>
      <c r="D357" s="432"/>
      <c r="E357" s="432"/>
      <c r="F357" s="432"/>
      <c r="G357" s="432"/>
      <c r="H357" s="432"/>
      <c r="I357" s="432"/>
      <c r="J357" s="432"/>
      <c r="K357" s="432"/>
      <c r="L357" s="432"/>
      <c r="M357" s="432"/>
      <c r="N357" s="432"/>
      <c r="O357" s="432"/>
      <c r="P357" s="432"/>
      <c r="Q357" s="432"/>
      <c r="R357" s="432"/>
      <c r="S357" s="432"/>
      <c r="T357" s="432"/>
      <c r="U357" s="432"/>
      <c r="V357" s="432"/>
      <c r="W357" s="432"/>
      <c r="X357" s="432"/>
      <c r="Y357" s="432"/>
      <c r="Z357" s="432"/>
      <c r="AA357" s="432"/>
      <c r="AB357" s="432"/>
      <c r="AC357" s="432"/>
      <c r="AD357" s="432"/>
      <c r="AE357" s="432"/>
    </row>
    <row r="358">
      <c r="A358" s="432"/>
      <c r="B358" s="432"/>
      <c r="C358" s="432"/>
      <c r="D358" s="432"/>
      <c r="E358" s="432"/>
      <c r="F358" s="432"/>
      <c r="G358" s="432"/>
      <c r="H358" s="432"/>
      <c r="I358" s="432"/>
      <c r="J358" s="432"/>
      <c r="K358" s="432"/>
      <c r="L358" s="432"/>
      <c r="M358" s="432"/>
      <c r="N358" s="432"/>
      <c r="O358" s="432"/>
      <c r="P358" s="432"/>
      <c r="Q358" s="432"/>
      <c r="R358" s="432"/>
      <c r="S358" s="432"/>
      <c r="T358" s="432"/>
      <c r="U358" s="432"/>
      <c r="V358" s="432"/>
      <c r="W358" s="432"/>
      <c r="X358" s="432"/>
      <c r="Y358" s="432"/>
      <c r="Z358" s="432"/>
      <c r="AA358" s="432"/>
      <c r="AB358" s="432"/>
      <c r="AC358" s="432"/>
      <c r="AD358" s="432"/>
      <c r="AE358" s="432"/>
    </row>
    <row r="359">
      <c r="A359" s="432"/>
      <c r="B359" s="432"/>
      <c r="C359" s="432"/>
      <c r="D359" s="432"/>
      <c r="E359" s="432"/>
      <c r="F359" s="432"/>
      <c r="G359" s="432"/>
      <c r="H359" s="432"/>
      <c r="I359" s="432"/>
      <c r="J359" s="432"/>
      <c r="K359" s="432"/>
      <c r="L359" s="432"/>
      <c r="M359" s="432"/>
      <c r="N359" s="432"/>
      <c r="O359" s="432"/>
      <c r="P359" s="432"/>
      <c r="Q359" s="432"/>
      <c r="R359" s="432"/>
      <c r="S359" s="432"/>
      <c r="T359" s="432"/>
      <c r="U359" s="432"/>
      <c r="V359" s="432"/>
      <c r="W359" s="432"/>
      <c r="X359" s="432"/>
      <c r="Y359" s="432"/>
      <c r="Z359" s="432"/>
      <c r="AA359" s="432"/>
      <c r="AB359" s="432"/>
      <c r="AC359" s="432"/>
      <c r="AD359" s="432"/>
      <c r="AE359" s="432"/>
    </row>
    <row r="360">
      <c r="A360" s="432"/>
      <c r="B360" s="432"/>
      <c r="C360" s="432"/>
      <c r="D360" s="432"/>
      <c r="E360" s="432"/>
      <c r="F360" s="432"/>
      <c r="G360" s="432"/>
      <c r="H360" s="432"/>
      <c r="I360" s="432"/>
      <c r="J360" s="432"/>
      <c r="K360" s="432"/>
      <c r="L360" s="432"/>
      <c r="M360" s="432"/>
      <c r="N360" s="432"/>
      <c r="O360" s="432"/>
      <c r="P360" s="432"/>
      <c r="Q360" s="432"/>
      <c r="R360" s="432"/>
      <c r="S360" s="432"/>
      <c r="T360" s="432"/>
      <c r="U360" s="432"/>
      <c r="V360" s="432"/>
      <c r="W360" s="432"/>
      <c r="X360" s="432"/>
      <c r="Y360" s="432"/>
      <c r="Z360" s="432"/>
      <c r="AA360" s="432"/>
      <c r="AB360" s="432"/>
      <c r="AC360" s="432"/>
      <c r="AD360" s="432"/>
      <c r="AE360" s="432"/>
    </row>
    <row r="361">
      <c r="A361" s="432"/>
      <c r="B361" s="432"/>
      <c r="C361" s="432"/>
      <c r="D361" s="432"/>
      <c r="E361" s="432"/>
      <c r="F361" s="432"/>
      <c r="G361" s="432"/>
      <c r="H361" s="432"/>
      <c r="I361" s="432"/>
      <c r="J361" s="432"/>
      <c r="K361" s="432"/>
      <c r="L361" s="432"/>
      <c r="M361" s="432"/>
      <c r="N361" s="432"/>
      <c r="O361" s="432"/>
      <c r="P361" s="432"/>
      <c r="Q361" s="432"/>
      <c r="R361" s="432"/>
      <c r="S361" s="432"/>
      <c r="T361" s="432"/>
      <c r="U361" s="432"/>
      <c r="V361" s="432"/>
      <c r="W361" s="432"/>
      <c r="X361" s="432"/>
      <c r="Y361" s="432"/>
      <c r="Z361" s="432"/>
      <c r="AA361" s="432"/>
      <c r="AB361" s="432"/>
      <c r="AC361" s="432"/>
      <c r="AD361" s="432"/>
      <c r="AE361" s="432"/>
    </row>
    <row r="362">
      <c r="A362" s="432"/>
      <c r="B362" s="432"/>
      <c r="C362" s="432"/>
      <c r="D362" s="432"/>
      <c r="E362" s="432"/>
      <c r="F362" s="432"/>
      <c r="G362" s="432"/>
      <c r="H362" s="432"/>
      <c r="I362" s="432"/>
      <c r="J362" s="432"/>
      <c r="K362" s="432"/>
      <c r="L362" s="432"/>
      <c r="M362" s="432"/>
      <c r="N362" s="432"/>
      <c r="O362" s="432"/>
      <c r="P362" s="432"/>
      <c r="Q362" s="432"/>
      <c r="R362" s="432"/>
      <c r="S362" s="432"/>
      <c r="T362" s="432"/>
      <c r="U362" s="432"/>
      <c r="V362" s="432"/>
      <c r="W362" s="432"/>
      <c r="X362" s="432"/>
      <c r="Y362" s="432"/>
      <c r="Z362" s="432"/>
      <c r="AA362" s="432"/>
      <c r="AB362" s="432"/>
      <c r="AC362" s="432"/>
      <c r="AD362" s="432"/>
      <c r="AE362" s="432"/>
    </row>
    <row r="363">
      <c r="A363" s="432"/>
      <c r="B363" s="432"/>
      <c r="C363" s="432"/>
      <c r="D363" s="432"/>
      <c r="E363" s="432"/>
      <c r="F363" s="432"/>
      <c r="G363" s="432"/>
      <c r="H363" s="432"/>
      <c r="I363" s="432"/>
      <c r="J363" s="432"/>
      <c r="K363" s="432"/>
      <c r="L363" s="432"/>
      <c r="M363" s="432"/>
      <c r="N363" s="432"/>
      <c r="O363" s="432"/>
      <c r="P363" s="432"/>
      <c r="Q363" s="432"/>
      <c r="R363" s="432"/>
      <c r="S363" s="432"/>
      <c r="T363" s="432"/>
      <c r="U363" s="432"/>
      <c r="V363" s="432"/>
      <c r="W363" s="432"/>
      <c r="X363" s="432"/>
      <c r="Y363" s="432"/>
      <c r="Z363" s="432"/>
      <c r="AA363" s="432"/>
      <c r="AB363" s="432"/>
      <c r="AC363" s="432"/>
      <c r="AD363" s="432"/>
      <c r="AE363" s="432"/>
    </row>
    <row r="364">
      <c r="A364" s="432"/>
      <c r="B364" s="432"/>
      <c r="C364" s="432"/>
      <c r="D364" s="432"/>
      <c r="E364" s="432"/>
      <c r="F364" s="432"/>
      <c r="G364" s="432"/>
      <c r="H364" s="432"/>
      <c r="I364" s="432"/>
      <c r="J364" s="432"/>
      <c r="K364" s="432"/>
      <c r="L364" s="432"/>
      <c r="M364" s="432"/>
      <c r="N364" s="432"/>
      <c r="O364" s="432"/>
      <c r="P364" s="432"/>
      <c r="Q364" s="432"/>
      <c r="R364" s="432"/>
      <c r="S364" s="432"/>
      <c r="T364" s="432"/>
      <c r="U364" s="432"/>
      <c r="V364" s="432"/>
      <c r="W364" s="432"/>
      <c r="X364" s="432"/>
      <c r="Y364" s="432"/>
      <c r="Z364" s="432"/>
      <c r="AA364" s="432"/>
      <c r="AB364" s="432"/>
      <c r="AC364" s="432"/>
      <c r="AD364" s="432"/>
      <c r="AE364" s="432"/>
    </row>
    <row r="365">
      <c r="A365" s="432"/>
      <c r="B365" s="432"/>
      <c r="C365" s="432"/>
      <c r="D365" s="432"/>
      <c r="E365" s="432"/>
      <c r="F365" s="432"/>
      <c r="G365" s="432"/>
      <c r="H365" s="432"/>
      <c r="I365" s="432"/>
      <c r="J365" s="432"/>
      <c r="K365" s="432"/>
      <c r="L365" s="432"/>
      <c r="M365" s="432"/>
      <c r="N365" s="432"/>
      <c r="O365" s="432"/>
      <c r="P365" s="432"/>
      <c r="Q365" s="432"/>
      <c r="R365" s="432"/>
      <c r="S365" s="432"/>
      <c r="T365" s="432"/>
      <c r="U365" s="432"/>
      <c r="V365" s="432"/>
      <c r="W365" s="432"/>
      <c r="X365" s="432"/>
      <c r="Y365" s="432"/>
      <c r="Z365" s="432"/>
      <c r="AA365" s="432"/>
      <c r="AB365" s="432"/>
      <c r="AC365" s="432"/>
      <c r="AD365" s="432"/>
      <c r="AE365" s="432"/>
    </row>
    <row r="366">
      <c r="A366" s="432"/>
      <c r="B366" s="432"/>
      <c r="C366" s="432"/>
      <c r="D366" s="432"/>
      <c r="E366" s="432"/>
      <c r="F366" s="432"/>
      <c r="G366" s="432"/>
      <c r="H366" s="432"/>
      <c r="I366" s="432"/>
      <c r="J366" s="432"/>
      <c r="K366" s="432"/>
      <c r="L366" s="432"/>
      <c r="M366" s="432"/>
      <c r="N366" s="432"/>
      <c r="O366" s="432"/>
      <c r="P366" s="432"/>
      <c r="Q366" s="432"/>
      <c r="R366" s="432"/>
      <c r="S366" s="432"/>
      <c r="T366" s="432"/>
      <c r="U366" s="432"/>
      <c r="V366" s="432"/>
      <c r="W366" s="432"/>
      <c r="X366" s="432"/>
      <c r="Y366" s="432"/>
      <c r="Z366" s="432"/>
      <c r="AA366" s="432"/>
      <c r="AB366" s="432"/>
      <c r="AC366" s="432"/>
      <c r="AD366" s="432"/>
      <c r="AE366" s="432"/>
    </row>
    <row r="367">
      <c r="A367" s="432"/>
      <c r="B367" s="432"/>
      <c r="C367" s="432"/>
      <c r="D367" s="432"/>
      <c r="E367" s="432"/>
      <c r="F367" s="432"/>
      <c r="G367" s="432"/>
      <c r="H367" s="432"/>
      <c r="I367" s="432"/>
      <c r="J367" s="432"/>
      <c r="K367" s="432"/>
      <c r="L367" s="432"/>
      <c r="M367" s="432"/>
      <c r="N367" s="432"/>
      <c r="O367" s="432"/>
      <c r="P367" s="432"/>
      <c r="Q367" s="432"/>
      <c r="R367" s="432"/>
      <c r="S367" s="432"/>
      <c r="T367" s="432"/>
      <c r="U367" s="432"/>
      <c r="V367" s="432"/>
      <c r="W367" s="432"/>
      <c r="X367" s="432"/>
      <c r="Y367" s="432"/>
      <c r="Z367" s="432"/>
      <c r="AA367" s="432"/>
      <c r="AB367" s="432"/>
      <c r="AC367" s="432"/>
      <c r="AD367" s="432"/>
      <c r="AE367" s="432"/>
    </row>
    <row r="368">
      <c r="A368" s="432"/>
      <c r="B368" s="432"/>
      <c r="C368" s="432"/>
      <c r="D368" s="432"/>
      <c r="E368" s="432"/>
      <c r="F368" s="432"/>
      <c r="G368" s="432"/>
      <c r="H368" s="432"/>
      <c r="I368" s="432"/>
      <c r="J368" s="432"/>
      <c r="K368" s="432"/>
      <c r="L368" s="432"/>
      <c r="M368" s="432"/>
      <c r="N368" s="432"/>
      <c r="O368" s="432"/>
      <c r="P368" s="432"/>
      <c r="Q368" s="432"/>
      <c r="R368" s="432"/>
      <c r="S368" s="432"/>
      <c r="T368" s="432"/>
      <c r="U368" s="432"/>
      <c r="V368" s="432"/>
      <c r="W368" s="432"/>
      <c r="X368" s="432"/>
      <c r="Y368" s="432"/>
      <c r="Z368" s="432"/>
      <c r="AA368" s="432"/>
      <c r="AB368" s="432"/>
      <c r="AC368" s="432"/>
      <c r="AD368" s="432"/>
      <c r="AE368" s="432"/>
    </row>
    <row r="369">
      <c r="A369" s="432"/>
      <c r="B369" s="432"/>
      <c r="C369" s="432"/>
      <c r="D369" s="432"/>
      <c r="E369" s="432"/>
      <c r="F369" s="432"/>
      <c r="G369" s="432"/>
      <c r="H369" s="432"/>
      <c r="I369" s="432"/>
      <c r="J369" s="432"/>
      <c r="K369" s="432"/>
      <c r="L369" s="432"/>
      <c r="M369" s="432"/>
      <c r="N369" s="432"/>
      <c r="O369" s="432"/>
      <c r="P369" s="432"/>
      <c r="Q369" s="432"/>
      <c r="R369" s="432"/>
      <c r="S369" s="432"/>
      <c r="T369" s="432"/>
      <c r="U369" s="432"/>
      <c r="V369" s="432"/>
      <c r="W369" s="432"/>
      <c r="X369" s="432"/>
      <c r="Y369" s="432"/>
      <c r="Z369" s="432"/>
      <c r="AA369" s="432"/>
      <c r="AB369" s="432"/>
      <c r="AC369" s="432"/>
      <c r="AD369" s="432"/>
      <c r="AE369" s="432"/>
    </row>
    <row r="370">
      <c r="A370" s="432"/>
      <c r="B370" s="432"/>
      <c r="C370" s="432"/>
      <c r="D370" s="432"/>
      <c r="E370" s="432"/>
      <c r="F370" s="432"/>
      <c r="G370" s="432"/>
      <c r="H370" s="432"/>
      <c r="I370" s="432"/>
      <c r="J370" s="432"/>
      <c r="K370" s="432"/>
      <c r="L370" s="432"/>
      <c r="M370" s="432"/>
      <c r="N370" s="432"/>
      <c r="O370" s="432"/>
      <c r="P370" s="432"/>
      <c r="Q370" s="432"/>
      <c r="R370" s="432"/>
      <c r="S370" s="432"/>
      <c r="T370" s="432"/>
      <c r="U370" s="432"/>
      <c r="V370" s="432"/>
      <c r="W370" s="432"/>
      <c r="X370" s="432"/>
      <c r="Y370" s="432"/>
      <c r="Z370" s="432"/>
      <c r="AA370" s="432"/>
      <c r="AB370" s="432"/>
      <c r="AC370" s="432"/>
      <c r="AD370" s="432"/>
      <c r="AE370" s="432"/>
    </row>
    <row r="371">
      <c r="A371" s="432"/>
      <c r="B371" s="432"/>
      <c r="C371" s="432"/>
      <c r="D371" s="432"/>
      <c r="E371" s="432"/>
      <c r="F371" s="432"/>
      <c r="G371" s="432"/>
      <c r="H371" s="432"/>
      <c r="I371" s="432"/>
      <c r="J371" s="432"/>
      <c r="K371" s="432"/>
      <c r="L371" s="432"/>
      <c r="M371" s="432"/>
      <c r="N371" s="432"/>
      <c r="O371" s="432"/>
      <c r="P371" s="432"/>
      <c r="Q371" s="432"/>
      <c r="R371" s="432"/>
      <c r="S371" s="432"/>
      <c r="T371" s="432"/>
      <c r="U371" s="432"/>
      <c r="V371" s="432"/>
      <c r="W371" s="432"/>
      <c r="X371" s="432"/>
      <c r="Y371" s="432"/>
      <c r="Z371" s="432"/>
      <c r="AA371" s="432"/>
      <c r="AB371" s="432"/>
      <c r="AC371" s="432"/>
      <c r="AD371" s="432"/>
      <c r="AE371" s="432"/>
    </row>
    <row r="372">
      <c r="A372" s="432"/>
      <c r="B372" s="432"/>
      <c r="C372" s="432"/>
      <c r="D372" s="432"/>
      <c r="E372" s="432"/>
      <c r="F372" s="432"/>
      <c r="G372" s="432"/>
      <c r="H372" s="432"/>
      <c r="I372" s="432"/>
      <c r="J372" s="432"/>
      <c r="K372" s="432"/>
      <c r="L372" s="432"/>
      <c r="M372" s="432"/>
      <c r="N372" s="432"/>
      <c r="O372" s="432"/>
      <c r="P372" s="432"/>
      <c r="Q372" s="432"/>
      <c r="R372" s="432"/>
      <c r="S372" s="432"/>
      <c r="T372" s="432"/>
      <c r="U372" s="432"/>
      <c r="V372" s="432"/>
      <c r="W372" s="432"/>
      <c r="X372" s="432"/>
      <c r="Y372" s="432"/>
      <c r="Z372" s="432"/>
      <c r="AA372" s="432"/>
      <c r="AB372" s="432"/>
      <c r="AC372" s="432"/>
      <c r="AD372" s="432"/>
      <c r="AE372" s="432"/>
    </row>
    <row r="373">
      <c r="A373" s="432"/>
      <c r="B373" s="432"/>
      <c r="C373" s="432"/>
      <c r="D373" s="432"/>
      <c r="E373" s="432"/>
      <c r="F373" s="432"/>
      <c r="G373" s="432"/>
      <c r="H373" s="432"/>
      <c r="I373" s="432"/>
      <c r="J373" s="432"/>
      <c r="K373" s="432"/>
      <c r="L373" s="432"/>
      <c r="M373" s="432"/>
      <c r="N373" s="432"/>
      <c r="O373" s="432"/>
      <c r="P373" s="432"/>
      <c r="Q373" s="432"/>
      <c r="R373" s="432"/>
      <c r="S373" s="432"/>
      <c r="T373" s="432"/>
      <c r="U373" s="432"/>
      <c r="V373" s="432"/>
      <c r="W373" s="432"/>
      <c r="X373" s="432"/>
      <c r="Y373" s="432"/>
      <c r="Z373" s="432"/>
      <c r="AA373" s="432"/>
      <c r="AB373" s="432"/>
      <c r="AC373" s="432"/>
      <c r="AD373" s="432"/>
      <c r="AE373" s="432"/>
    </row>
    <row r="374">
      <c r="A374" s="432"/>
      <c r="B374" s="432"/>
      <c r="C374" s="432"/>
      <c r="D374" s="432"/>
      <c r="E374" s="432"/>
      <c r="F374" s="432"/>
      <c r="G374" s="432"/>
      <c r="H374" s="432"/>
      <c r="I374" s="432"/>
      <c r="J374" s="432"/>
      <c r="K374" s="432"/>
      <c r="L374" s="432"/>
      <c r="M374" s="432"/>
      <c r="N374" s="432"/>
      <c r="O374" s="432"/>
      <c r="P374" s="432"/>
      <c r="Q374" s="432"/>
      <c r="R374" s="432"/>
      <c r="S374" s="432"/>
      <c r="T374" s="432"/>
      <c r="U374" s="432"/>
      <c r="V374" s="432"/>
      <c r="W374" s="432"/>
      <c r="X374" s="432"/>
      <c r="Y374" s="432"/>
      <c r="Z374" s="432"/>
      <c r="AA374" s="432"/>
      <c r="AB374" s="432"/>
      <c r="AC374" s="432"/>
      <c r="AD374" s="432"/>
      <c r="AE374" s="432"/>
    </row>
    <row r="375">
      <c r="A375" s="432"/>
      <c r="B375" s="432"/>
      <c r="C375" s="432"/>
      <c r="D375" s="432"/>
      <c r="E375" s="432"/>
      <c r="F375" s="432"/>
      <c r="G375" s="432"/>
      <c r="H375" s="432"/>
      <c r="I375" s="432"/>
      <c r="J375" s="432"/>
      <c r="K375" s="432"/>
      <c r="L375" s="432"/>
      <c r="M375" s="432"/>
      <c r="N375" s="432"/>
      <c r="O375" s="432"/>
      <c r="P375" s="432"/>
      <c r="Q375" s="432"/>
      <c r="R375" s="432"/>
      <c r="S375" s="432"/>
      <c r="T375" s="432"/>
      <c r="U375" s="432"/>
      <c r="V375" s="432"/>
      <c r="W375" s="432"/>
      <c r="X375" s="432"/>
      <c r="Y375" s="432"/>
      <c r="Z375" s="432"/>
      <c r="AA375" s="432"/>
      <c r="AB375" s="432"/>
      <c r="AC375" s="432"/>
      <c r="AD375" s="432"/>
      <c r="AE375" s="432"/>
    </row>
    <row r="376">
      <c r="A376" s="432"/>
      <c r="B376" s="432"/>
      <c r="C376" s="432"/>
      <c r="D376" s="432"/>
      <c r="E376" s="432"/>
      <c r="F376" s="432"/>
      <c r="G376" s="432"/>
      <c r="H376" s="432"/>
      <c r="I376" s="432"/>
      <c r="J376" s="432"/>
      <c r="K376" s="432"/>
      <c r="L376" s="432"/>
      <c r="M376" s="432"/>
      <c r="N376" s="432"/>
      <c r="O376" s="432"/>
      <c r="P376" s="432"/>
      <c r="Q376" s="432"/>
      <c r="R376" s="432"/>
      <c r="S376" s="432"/>
      <c r="T376" s="432"/>
      <c r="U376" s="432"/>
      <c r="V376" s="432"/>
      <c r="W376" s="432"/>
      <c r="X376" s="432"/>
      <c r="Y376" s="432"/>
      <c r="Z376" s="432"/>
      <c r="AA376" s="432"/>
      <c r="AB376" s="432"/>
      <c r="AC376" s="432"/>
      <c r="AD376" s="432"/>
      <c r="AE376" s="432"/>
    </row>
    <row r="377">
      <c r="A377" s="432"/>
      <c r="B377" s="432"/>
      <c r="C377" s="432"/>
      <c r="D377" s="432"/>
      <c r="E377" s="432"/>
      <c r="F377" s="432"/>
      <c r="G377" s="432"/>
      <c r="H377" s="432"/>
      <c r="I377" s="432"/>
      <c r="J377" s="432"/>
      <c r="K377" s="432"/>
      <c r="L377" s="432"/>
      <c r="M377" s="432"/>
      <c r="N377" s="432"/>
      <c r="O377" s="432"/>
      <c r="P377" s="432"/>
      <c r="Q377" s="432"/>
      <c r="R377" s="432"/>
      <c r="S377" s="432"/>
      <c r="T377" s="432"/>
      <c r="U377" s="432"/>
      <c r="V377" s="432"/>
      <c r="W377" s="432"/>
      <c r="X377" s="432"/>
      <c r="Y377" s="432"/>
      <c r="Z377" s="432"/>
      <c r="AA377" s="432"/>
      <c r="AB377" s="432"/>
      <c r="AC377" s="432"/>
      <c r="AD377" s="432"/>
      <c r="AE377" s="432"/>
    </row>
    <row r="378">
      <c r="A378" s="432"/>
      <c r="B378" s="432"/>
      <c r="C378" s="432"/>
      <c r="D378" s="432"/>
      <c r="E378" s="432"/>
      <c r="F378" s="432"/>
      <c r="G378" s="432"/>
      <c r="H378" s="432"/>
      <c r="I378" s="432"/>
      <c r="J378" s="432"/>
      <c r="K378" s="432"/>
      <c r="L378" s="432"/>
      <c r="M378" s="432"/>
      <c r="N378" s="432"/>
      <c r="O378" s="432"/>
      <c r="P378" s="432"/>
      <c r="Q378" s="432"/>
      <c r="R378" s="432"/>
      <c r="S378" s="432"/>
      <c r="T378" s="432"/>
      <c r="U378" s="432"/>
      <c r="V378" s="432"/>
      <c r="W378" s="432"/>
      <c r="X378" s="432"/>
      <c r="Y378" s="432"/>
      <c r="Z378" s="432"/>
      <c r="AA378" s="432"/>
      <c r="AB378" s="432"/>
      <c r="AC378" s="432"/>
      <c r="AD378" s="432"/>
      <c r="AE378" s="432"/>
    </row>
    <row r="379">
      <c r="A379" s="432"/>
      <c r="B379" s="432"/>
      <c r="C379" s="432"/>
      <c r="D379" s="432"/>
      <c r="E379" s="432"/>
      <c r="F379" s="432"/>
      <c r="G379" s="432"/>
      <c r="H379" s="432"/>
      <c r="I379" s="432"/>
      <c r="J379" s="432"/>
      <c r="K379" s="432"/>
      <c r="L379" s="432"/>
      <c r="M379" s="432"/>
      <c r="N379" s="432"/>
      <c r="O379" s="432"/>
      <c r="P379" s="432"/>
      <c r="Q379" s="432"/>
      <c r="R379" s="432"/>
      <c r="S379" s="432"/>
      <c r="T379" s="432"/>
      <c r="U379" s="432"/>
      <c r="V379" s="432"/>
      <c r="W379" s="432"/>
      <c r="X379" s="432"/>
      <c r="Y379" s="432"/>
      <c r="Z379" s="432"/>
      <c r="AA379" s="432"/>
      <c r="AB379" s="432"/>
      <c r="AC379" s="432"/>
      <c r="AD379" s="432"/>
      <c r="AE379" s="432"/>
    </row>
    <row r="380">
      <c r="A380" s="432"/>
      <c r="B380" s="432"/>
      <c r="C380" s="432"/>
      <c r="D380" s="432"/>
      <c r="E380" s="432"/>
      <c r="F380" s="432"/>
      <c r="G380" s="432"/>
      <c r="H380" s="432"/>
      <c r="I380" s="432"/>
      <c r="J380" s="432"/>
      <c r="K380" s="432"/>
      <c r="L380" s="432"/>
      <c r="M380" s="432"/>
      <c r="N380" s="432"/>
      <c r="O380" s="432"/>
      <c r="P380" s="432"/>
      <c r="Q380" s="432"/>
      <c r="R380" s="432"/>
      <c r="S380" s="432"/>
      <c r="T380" s="432"/>
      <c r="U380" s="432"/>
      <c r="V380" s="432"/>
      <c r="W380" s="432"/>
      <c r="X380" s="432"/>
      <c r="Y380" s="432"/>
      <c r="Z380" s="432"/>
      <c r="AA380" s="432"/>
      <c r="AB380" s="432"/>
      <c r="AC380" s="432"/>
      <c r="AD380" s="432"/>
      <c r="AE380" s="432"/>
    </row>
    <row r="381">
      <c r="A381" s="432"/>
      <c r="B381" s="432"/>
      <c r="C381" s="432"/>
      <c r="D381" s="432"/>
      <c r="E381" s="432"/>
      <c r="F381" s="432"/>
      <c r="G381" s="432"/>
      <c r="H381" s="432"/>
      <c r="I381" s="432"/>
      <c r="J381" s="432"/>
      <c r="K381" s="432"/>
      <c r="L381" s="432"/>
      <c r="M381" s="432"/>
      <c r="N381" s="432"/>
      <c r="O381" s="432"/>
      <c r="P381" s="432"/>
      <c r="Q381" s="432"/>
      <c r="R381" s="432"/>
      <c r="S381" s="432"/>
      <c r="T381" s="432"/>
      <c r="U381" s="432"/>
      <c r="V381" s="432"/>
      <c r="W381" s="432"/>
      <c r="X381" s="432"/>
      <c r="Y381" s="432"/>
      <c r="Z381" s="432"/>
      <c r="AA381" s="432"/>
      <c r="AB381" s="432"/>
      <c r="AC381" s="432"/>
      <c r="AD381" s="432"/>
      <c r="AE381" s="432"/>
    </row>
    <row r="382">
      <c r="A382" s="432"/>
      <c r="B382" s="432"/>
      <c r="C382" s="432"/>
      <c r="D382" s="432"/>
      <c r="E382" s="432"/>
      <c r="F382" s="432"/>
      <c r="G382" s="432"/>
      <c r="H382" s="432"/>
      <c r="I382" s="432"/>
      <c r="J382" s="432"/>
      <c r="K382" s="432"/>
      <c r="L382" s="432"/>
      <c r="M382" s="432"/>
      <c r="N382" s="432"/>
      <c r="O382" s="432"/>
      <c r="P382" s="432"/>
      <c r="Q382" s="432"/>
      <c r="R382" s="432"/>
      <c r="S382" s="432"/>
      <c r="T382" s="432"/>
      <c r="U382" s="432"/>
      <c r="V382" s="432"/>
      <c r="W382" s="432"/>
      <c r="X382" s="432"/>
      <c r="Y382" s="432"/>
      <c r="Z382" s="432"/>
      <c r="AA382" s="432"/>
      <c r="AB382" s="432"/>
      <c r="AC382" s="432"/>
      <c r="AD382" s="432"/>
      <c r="AE382" s="432"/>
    </row>
    <row r="383">
      <c r="A383" s="432"/>
      <c r="B383" s="432"/>
      <c r="C383" s="432"/>
      <c r="D383" s="432"/>
      <c r="E383" s="432"/>
      <c r="F383" s="432"/>
      <c r="G383" s="432"/>
      <c r="H383" s="432"/>
      <c r="I383" s="432"/>
      <c r="J383" s="432"/>
      <c r="K383" s="432"/>
      <c r="L383" s="432"/>
      <c r="M383" s="432"/>
      <c r="N383" s="432"/>
      <c r="O383" s="432"/>
      <c r="P383" s="432"/>
      <c r="Q383" s="432"/>
      <c r="R383" s="432"/>
      <c r="S383" s="432"/>
      <c r="T383" s="432"/>
      <c r="U383" s="432"/>
      <c r="V383" s="432"/>
      <c r="W383" s="432"/>
      <c r="X383" s="432"/>
      <c r="Y383" s="432"/>
      <c r="Z383" s="432"/>
      <c r="AA383" s="432"/>
      <c r="AB383" s="432"/>
      <c r="AC383" s="432"/>
      <c r="AD383" s="432"/>
      <c r="AE383" s="432"/>
    </row>
    <row r="384">
      <c r="A384" s="432"/>
      <c r="B384" s="432"/>
      <c r="C384" s="432"/>
      <c r="D384" s="432"/>
      <c r="E384" s="432"/>
      <c r="F384" s="432"/>
      <c r="G384" s="432"/>
      <c r="H384" s="432"/>
      <c r="I384" s="432"/>
      <c r="J384" s="432"/>
      <c r="K384" s="432"/>
      <c r="L384" s="432"/>
      <c r="M384" s="432"/>
      <c r="N384" s="432"/>
      <c r="O384" s="432"/>
      <c r="P384" s="432"/>
      <c r="Q384" s="432"/>
      <c r="R384" s="432"/>
      <c r="S384" s="432"/>
      <c r="T384" s="432"/>
      <c r="U384" s="432"/>
      <c r="V384" s="432"/>
      <c r="W384" s="432"/>
      <c r="X384" s="432"/>
      <c r="Y384" s="432"/>
      <c r="Z384" s="432"/>
      <c r="AA384" s="432"/>
      <c r="AB384" s="432"/>
      <c r="AC384" s="432"/>
      <c r="AD384" s="432"/>
      <c r="AE384" s="432"/>
    </row>
    <row r="385">
      <c r="A385" s="432"/>
      <c r="B385" s="432"/>
      <c r="C385" s="432"/>
      <c r="D385" s="432"/>
      <c r="E385" s="432"/>
      <c r="F385" s="432"/>
      <c r="G385" s="432"/>
      <c r="H385" s="432"/>
      <c r="I385" s="432"/>
      <c r="J385" s="432"/>
      <c r="K385" s="432"/>
      <c r="L385" s="432"/>
      <c r="M385" s="432"/>
      <c r="N385" s="432"/>
      <c r="O385" s="432"/>
      <c r="P385" s="432"/>
      <c r="Q385" s="432"/>
      <c r="R385" s="432"/>
      <c r="S385" s="432"/>
      <c r="T385" s="432"/>
      <c r="U385" s="432"/>
      <c r="V385" s="432"/>
      <c r="W385" s="432"/>
      <c r="X385" s="432"/>
      <c r="Y385" s="432"/>
      <c r="Z385" s="432"/>
      <c r="AA385" s="432"/>
      <c r="AB385" s="432"/>
      <c r="AC385" s="432"/>
      <c r="AD385" s="432"/>
      <c r="AE385" s="432"/>
    </row>
    <row r="386">
      <c r="A386" s="432"/>
      <c r="B386" s="432"/>
      <c r="C386" s="432"/>
      <c r="D386" s="432"/>
      <c r="E386" s="432"/>
      <c r="F386" s="432"/>
      <c r="G386" s="432"/>
      <c r="H386" s="432"/>
      <c r="I386" s="432"/>
      <c r="J386" s="432"/>
      <c r="K386" s="432"/>
      <c r="L386" s="432"/>
      <c r="M386" s="432"/>
      <c r="N386" s="432"/>
      <c r="O386" s="432"/>
      <c r="P386" s="432"/>
      <c r="Q386" s="432"/>
      <c r="R386" s="432"/>
      <c r="S386" s="432"/>
      <c r="T386" s="432"/>
      <c r="U386" s="432"/>
      <c r="V386" s="432"/>
      <c r="W386" s="432"/>
      <c r="X386" s="432"/>
      <c r="Y386" s="432"/>
      <c r="Z386" s="432"/>
      <c r="AA386" s="432"/>
      <c r="AB386" s="432"/>
      <c r="AC386" s="432"/>
      <c r="AD386" s="432"/>
      <c r="AE386" s="432"/>
    </row>
    <row r="387">
      <c r="A387" s="432"/>
      <c r="B387" s="432"/>
      <c r="C387" s="432"/>
      <c r="D387" s="432"/>
      <c r="E387" s="432"/>
      <c r="F387" s="432"/>
      <c r="G387" s="432"/>
      <c r="H387" s="432"/>
      <c r="I387" s="432"/>
      <c r="J387" s="432"/>
      <c r="K387" s="432"/>
      <c r="L387" s="432"/>
      <c r="M387" s="432"/>
      <c r="N387" s="432"/>
      <c r="O387" s="432"/>
      <c r="P387" s="432"/>
      <c r="Q387" s="432"/>
      <c r="R387" s="432"/>
      <c r="S387" s="432"/>
      <c r="T387" s="432"/>
      <c r="U387" s="432"/>
      <c r="V387" s="432"/>
      <c r="W387" s="432"/>
      <c r="X387" s="432"/>
      <c r="Y387" s="432"/>
      <c r="Z387" s="432"/>
      <c r="AA387" s="432"/>
      <c r="AB387" s="432"/>
      <c r="AC387" s="432"/>
      <c r="AD387" s="432"/>
      <c r="AE387" s="432"/>
    </row>
    <row r="388">
      <c r="A388" s="432"/>
      <c r="B388" s="432"/>
      <c r="C388" s="432"/>
      <c r="D388" s="432"/>
      <c r="E388" s="432"/>
      <c r="F388" s="432"/>
      <c r="G388" s="432"/>
      <c r="H388" s="432"/>
      <c r="I388" s="432"/>
      <c r="J388" s="432"/>
      <c r="K388" s="432"/>
      <c r="L388" s="432"/>
      <c r="M388" s="432"/>
      <c r="N388" s="432"/>
      <c r="O388" s="432"/>
      <c r="P388" s="432"/>
      <c r="Q388" s="432"/>
      <c r="R388" s="432"/>
      <c r="S388" s="432"/>
      <c r="T388" s="432"/>
      <c r="U388" s="432"/>
      <c r="V388" s="432"/>
      <c r="W388" s="432"/>
      <c r="X388" s="432"/>
      <c r="Y388" s="432"/>
      <c r="Z388" s="432"/>
      <c r="AA388" s="432"/>
      <c r="AB388" s="432"/>
      <c r="AC388" s="432"/>
      <c r="AD388" s="432"/>
      <c r="AE388" s="432"/>
    </row>
    <row r="389">
      <c r="A389" s="432"/>
      <c r="B389" s="432"/>
      <c r="C389" s="432"/>
      <c r="D389" s="432"/>
      <c r="E389" s="432"/>
      <c r="F389" s="432"/>
      <c r="G389" s="432"/>
      <c r="H389" s="432"/>
      <c r="I389" s="432"/>
      <c r="J389" s="432"/>
      <c r="K389" s="432"/>
      <c r="L389" s="432"/>
      <c r="M389" s="432"/>
      <c r="N389" s="432"/>
      <c r="O389" s="432"/>
      <c r="P389" s="432"/>
      <c r="Q389" s="432"/>
      <c r="R389" s="432"/>
      <c r="S389" s="432"/>
      <c r="T389" s="432"/>
      <c r="U389" s="432"/>
      <c r="V389" s="432"/>
      <c r="W389" s="432"/>
      <c r="X389" s="432"/>
      <c r="Y389" s="432"/>
      <c r="Z389" s="432"/>
      <c r="AA389" s="432"/>
      <c r="AB389" s="432"/>
      <c r="AC389" s="432"/>
      <c r="AD389" s="432"/>
      <c r="AE389" s="432"/>
    </row>
    <row r="390">
      <c r="A390" s="432"/>
      <c r="B390" s="432"/>
      <c r="C390" s="432"/>
      <c r="D390" s="432"/>
      <c r="E390" s="432"/>
      <c r="F390" s="432"/>
      <c r="G390" s="432"/>
      <c r="H390" s="432"/>
      <c r="I390" s="432"/>
      <c r="J390" s="432"/>
      <c r="K390" s="432"/>
      <c r="L390" s="432"/>
      <c r="M390" s="432"/>
      <c r="N390" s="432"/>
      <c r="O390" s="432"/>
      <c r="P390" s="432"/>
      <c r="Q390" s="432"/>
      <c r="R390" s="432"/>
      <c r="S390" s="432"/>
      <c r="T390" s="432"/>
      <c r="U390" s="432"/>
      <c r="V390" s="432"/>
      <c r="W390" s="432"/>
      <c r="X390" s="432"/>
      <c r="Y390" s="432"/>
      <c r="Z390" s="432"/>
      <c r="AA390" s="432"/>
      <c r="AB390" s="432"/>
      <c r="AC390" s="432"/>
      <c r="AD390" s="432"/>
      <c r="AE390" s="432"/>
    </row>
    <row r="391">
      <c r="A391" s="432"/>
      <c r="B391" s="432"/>
      <c r="C391" s="432"/>
      <c r="D391" s="432"/>
      <c r="E391" s="432"/>
      <c r="F391" s="432"/>
      <c r="G391" s="432"/>
      <c r="H391" s="432"/>
      <c r="I391" s="432"/>
      <c r="J391" s="432"/>
      <c r="K391" s="432"/>
      <c r="L391" s="432"/>
      <c r="M391" s="432"/>
      <c r="N391" s="432"/>
      <c r="O391" s="432"/>
      <c r="P391" s="432"/>
      <c r="Q391" s="432"/>
      <c r="R391" s="432"/>
      <c r="S391" s="432"/>
      <c r="T391" s="432"/>
      <c r="U391" s="432"/>
      <c r="V391" s="432"/>
      <c r="W391" s="432"/>
      <c r="X391" s="432"/>
      <c r="Y391" s="432"/>
      <c r="Z391" s="432"/>
      <c r="AA391" s="432"/>
      <c r="AB391" s="432"/>
      <c r="AC391" s="432"/>
      <c r="AD391" s="432"/>
      <c r="AE391" s="432"/>
    </row>
    <row r="392">
      <c r="A392" s="432"/>
      <c r="B392" s="432"/>
      <c r="C392" s="432"/>
      <c r="D392" s="432"/>
      <c r="E392" s="432"/>
      <c r="F392" s="432"/>
      <c r="G392" s="432"/>
      <c r="H392" s="432"/>
      <c r="I392" s="432"/>
      <c r="J392" s="432"/>
      <c r="K392" s="432"/>
      <c r="L392" s="432"/>
      <c r="M392" s="432"/>
      <c r="N392" s="432"/>
      <c r="O392" s="432"/>
      <c r="P392" s="432"/>
      <c r="Q392" s="432"/>
      <c r="R392" s="432"/>
      <c r="S392" s="432"/>
      <c r="T392" s="432"/>
      <c r="U392" s="432"/>
      <c r="V392" s="432"/>
      <c r="W392" s="432"/>
      <c r="X392" s="432"/>
      <c r="Y392" s="432"/>
      <c r="Z392" s="432"/>
      <c r="AA392" s="432"/>
      <c r="AB392" s="432"/>
      <c r="AC392" s="432"/>
      <c r="AD392" s="432"/>
      <c r="AE392" s="432"/>
    </row>
    <row r="393">
      <c r="A393" s="432"/>
      <c r="B393" s="432"/>
      <c r="C393" s="432"/>
      <c r="D393" s="432"/>
      <c r="E393" s="432"/>
      <c r="F393" s="432"/>
      <c r="G393" s="432"/>
      <c r="H393" s="432"/>
      <c r="I393" s="432"/>
      <c r="J393" s="432"/>
      <c r="K393" s="432"/>
      <c r="L393" s="432"/>
      <c r="M393" s="432"/>
      <c r="N393" s="432"/>
      <c r="O393" s="432"/>
      <c r="P393" s="432"/>
      <c r="Q393" s="432"/>
      <c r="R393" s="432"/>
      <c r="S393" s="432"/>
      <c r="T393" s="432"/>
      <c r="U393" s="432"/>
      <c r="V393" s="432"/>
      <c r="W393" s="432"/>
      <c r="X393" s="432"/>
      <c r="Y393" s="432"/>
      <c r="Z393" s="432"/>
      <c r="AA393" s="432"/>
      <c r="AB393" s="432"/>
      <c r="AC393" s="432"/>
      <c r="AD393" s="432"/>
      <c r="AE393" s="432"/>
    </row>
    <row r="394">
      <c r="A394" s="432"/>
      <c r="B394" s="432"/>
      <c r="C394" s="432"/>
      <c r="D394" s="432"/>
      <c r="E394" s="432"/>
      <c r="F394" s="432"/>
      <c r="G394" s="432"/>
      <c r="H394" s="432"/>
      <c r="I394" s="432"/>
      <c r="J394" s="432"/>
      <c r="K394" s="432"/>
      <c r="L394" s="432"/>
      <c r="M394" s="432"/>
      <c r="N394" s="432"/>
      <c r="O394" s="432"/>
      <c r="P394" s="432"/>
      <c r="Q394" s="432"/>
      <c r="R394" s="432"/>
      <c r="S394" s="432"/>
      <c r="T394" s="432"/>
      <c r="U394" s="432"/>
      <c r="V394" s="432"/>
      <c r="W394" s="432"/>
      <c r="X394" s="432"/>
      <c r="Y394" s="432"/>
      <c r="Z394" s="432"/>
      <c r="AA394" s="432"/>
      <c r="AB394" s="432"/>
      <c r="AC394" s="432"/>
      <c r="AD394" s="432"/>
      <c r="AE394" s="432"/>
    </row>
    <row r="395">
      <c r="A395" s="432"/>
      <c r="B395" s="432"/>
      <c r="C395" s="432"/>
      <c r="D395" s="432"/>
      <c r="E395" s="432"/>
      <c r="F395" s="432"/>
      <c r="G395" s="432"/>
      <c r="H395" s="432"/>
      <c r="I395" s="432"/>
      <c r="J395" s="432"/>
      <c r="K395" s="432"/>
      <c r="L395" s="432"/>
      <c r="M395" s="432"/>
      <c r="N395" s="432"/>
      <c r="O395" s="432"/>
      <c r="P395" s="432"/>
      <c r="Q395" s="432"/>
      <c r="R395" s="432"/>
      <c r="S395" s="432"/>
      <c r="T395" s="432"/>
      <c r="U395" s="432"/>
      <c r="V395" s="432"/>
      <c r="W395" s="432"/>
      <c r="X395" s="432"/>
      <c r="Y395" s="432"/>
      <c r="Z395" s="432"/>
      <c r="AA395" s="432"/>
      <c r="AB395" s="432"/>
      <c r="AC395" s="432"/>
      <c r="AD395" s="432"/>
      <c r="AE395" s="432"/>
    </row>
    <row r="396">
      <c r="A396" s="432"/>
      <c r="B396" s="432"/>
      <c r="C396" s="432"/>
      <c r="D396" s="432"/>
      <c r="E396" s="432"/>
      <c r="F396" s="432"/>
      <c r="G396" s="432"/>
      <c r="H396" s="432"/>
      <c r="I396" s="432"/>
      <c r="J396" s="432"/>
      <c r="K396" s="432"/>
      <c r="L396" s="432"/>
      <c r="M396" s="432"/>
      <c r="N396" s="432"/>
      <c r="O396" s="432"/>
      <c r="P396" s="432"/>
      <c r="Q396" s="432"/>
      <c r="R396" s="432"/>
      <c r="S396" s="432"/>
      <c r="T396" s="432"/>
      <c r="U396" s="432"/>
      <c r="V396" s="432"/>
      <c r="W396" s="432"/>
      <c r="X396" s="432"/>
      <c r="Y396" s="432"/>
      <c r="Z396" s="432"/>
      <c r="AA396" s="432"/>
      <c r="AB396" s="432"/>
      <c r="AC396" s="432"/>
      <c r="AD396" s="432"/>
      <c r="AE396" s="432"/>
    </row>
    <row r="397">
      <c r="A397" s="432"/>
      <c r="B397" s="432"/>
      <c r="C397" s="432"/>
      <c r="D397" s="432"/>
      <c r="E397" s="432"/>
      <c r="F397" s="432"/>
      <c r="G397" s="432"/>
      <c r="H397" s="432"/>
      <c r="I397" s="432"/>
      <c r="J397" s="432"/>
      <c r="K397" s="432"/>
      <c r="L397" s="432"/>
      <c r="M397" s="432"/>
      <c r="N397" s="432"/>
      <c r="O397" s="432"/>
      <c r="P397" s="432"/>
      <c r="Q397" s="432"/>
      <c r="R397" s="432"/>
      <c r="S397" s="432"/>
      <c r="T397" s="432"/>
      <c r="U397" s="432"/>
      <c r="V397" s="432"/>
      <c r="W397" s="432"/>
      <c r="X397" s="432"/>
      <c r="Y397" s="432"/>
      <c r="Z397" s="432"/>
      <c r="AA397" s="432"/>
      <c r="AB397" s="432"/>
      <c r="AC397" s="432"/>
      <c r="AD397" s="432"/>
      <c r="AE397" s="432"/>
    </row>
    <row r="398">
      <c r="A398" s="432"/>
      <c r="B398" s="432"/>
      <c r="C398" s="432"/>
      <c r="D398" s="432"/>
      <c r="E398" s="432"/>
      <c r="F398" s="432"/>
      <c r="G398" s="432"/>
      <c r="H398" s="432"/>
      <c r="I398" s="432"/>
      <c r="J398" s="432"/>
      <c r="K398" s="432"/>
      <c r="L398" s="432"/>
      <c r="M398" s="432"/>
      <c r="N398" s="432"/>
      <c r="O398" s="432"/>
      <c r="P398" s="432"/>
      <c r="Q398" s="432"/>
      <c r="R398" s="432"/>
      <c r="S398" s="432"/>
      <c r="T398" s="432"/>
      <c r="U398" s="432"/>
      <c r="V398" s="432"/>
      <c r="W398" s="432"/>
      <c r="X398" s="432"/>
      <c r="Y398" s="432"/>
      <c r="Z398" s="432"/>
      <c r="AA398" s="432"/>
      <c r="AB398" s="432"/>
      <c r="AC398" s="432"/>
      <c r="AD398" s="432"/>
      <c r="AE398" s="432"/>
    </row>
    <row r="399">
      <c r="A399" s="432"/>
      <c r="B399" s="432"/>
      <c r="C399" s="432"/>
      <c r="D399" s="432"/>
      <c r="E399" s="432"/>
      <c r="F399" s="432"/>
      <c r="G399" s="432"/>
      <c r="H399" s="432"/>
      <c r="I399" s="432"/>
      <c r="J399" s="432"/>
      <c r="K399" s="432"/>
      <c r="L399" s="432"/>
      <c r="M399" s="432"/>
      <c r="N399" s="432"/>
      <c r="O399" s="432"/>
      <c r="P399" s="432"/>
      <c r="Q399" s="432"/>
      <c r="R399" s="432"/>
      <c r="S399" s="432"/>
      <c r="T399" s="432"/>
      <c r="U399" s="432"/>
      <c r="V399" s="432"/>
      <c r="W399" s="432"/>
      <c r="X399" s="432"/>
      <c r="Y399" s="432"/>
      <c r="Z399" s="432"/>
      <c r="AA399" s="432"/>
      <c r="AB399" s="432"/>
      <c r="AC399" s="432"/>
      <c r="AD399" s="432"/>
      <c r="AE399" s="432"/>
    </row>
    <row r="400">
      <c r="A400" s="432"/>
      <c r="B400" s="432"/>
      <c r="C400" s="432"/>
      <c r="D400" s="432"/>
      <c r="E400" s="432"/>
      <c r="F400" s="432"/>
      <c r="G400" s="432"/>
      <c r="H400" s="432"/>
      <c r="I400" s="432"/>
      <c r="J400" s="432"/>
      <c r="K400" s="432"/>
      <c r="L400" s="432"/>
      <c r="M400" s="432"/>
      <c r="N400" s="432"/>
      <c r="O400" s="432"/>
      <c r="P400" s="432"/>
      <c r="Q400" s="432"/>
      <c r="R400" s="432"/>
      <c r="S400" s="432"/>
      <c r="T400" s="432"/>
      <c r="U400" s="432"/>
      <c r="V400" s="432"/>
      <c r="W400" s="432"/>
      <c r="X400" s="432"/>
      <c r="Y400" s="432"/>
      <c r="Z400" s="432"/>
      <c r="AA400" s="432"/>
      <c r="AB400" s="432"/>
      <c r="AC400" s="432"/>
      <c r="AD400" s="432"/>
      <c r="AE400" s="432"/>
    </row>
    <row r="401">
      <c r="A401" s="432"/>
      <c r="B401" s="432"/>
      <c r="C401" s="432"/>
      <c r="D401" s="432"/>
      <c r="E401" s="432"/>
      <c r="F401" s="432"/>
      <c r="G401" s="432"/>
      <c r="H401" s="432"/>
      <c r="I401" s="432"/>
      <c r="J401" s="432"/>
      <c r="K401" s="432"/>
      <c r="L401" s="432"/>
      <c r="M401" s="432"/>
      <c r="N401" s="432"/>
      <c r="O401" s="432"/>
      <c r="P401" s="432"/>
      <c r="Q401" s="432"/>
      <c r="R401" s="432"/>
      <c r="S401" s="432"/>
      <c r="T401" s="432"/>
      <c r="U401" s="432"/>
      <c r="V401" s="432"/>
      <c r="W401" s="432"/>
      <c r="X401" s="432"/>
      <c r="Y401" s="432"/>
      <c r="Z401" s="432"/>
      <c r="AA401" s="432"/>
      <c r="AB401" s="432"/>
      <c r="AC401" s="432"/>
      <c r="AD401" s="432"/>
      <c r="AE401" s="432"/>
    </row>
    <row r="402">
      <c r="A402" s="432"/>
      <c r="B402" s="432"/>
      <c r="C402" s="432"/>
      <c r="D402" s="432"/>
      <c r="E402" s="432"/>
      <c r="F402" s="432"/>
      <c r="G402" s="432"/>
      <c r="H402" s="432"/>
      <c r="I402" s="432"/>
      <c r="J402" s="432"/>
      <c r="K402" s="432"/>
      <c r="L402" s="432"/>
      <c r="M402" s="432"/>
      <c r="N402" s="432"/>
      <c r="O402" s="432"/>
      <c r="P402" s="432"/>
      <c r="Q402" s="432"/>
      <c r="R402" s="432"/>
      <c r="S402" s="432"/>
      <c r="T402" s="432"/>
      <c r="U402" s="432"/>
      <c r="V402" s="432"/>
      <c r="W402" s="432"/>
      <c r="X402" s="432"/>
      <c r="Y402" s="432"/>
      <c r="Z402" s="432"/>
      <c r="AA402" s="432"/>
      <c r="AB402" s="432"/>
      <c r="AC402" s="432"/>
      <c r="AD402" s="432"/>
      <c r="AE402" s="432"/>
    </row>
    <row r="403">
      <c r="A403" s="432"/>
      <c r="B403" s="432"/>
      <c r="C403" s="432"/>
      <c r="D403" s="432"/>
      <c r="E403" s="432"/>
      <c r="F403" s="432"/>
      <c r="G403" s="432"/>
      <c r="H403" s="432"/>
      <c r="I403" s="432"/>
      <c r="J403" s="432"/>
      <c r="K403" s="432"/>
      <c r="L403" s="432"/>
      <c r="M403" s="432"/>
      <c r="N403" s="432"/>
      <c r="O403" s="432"/>
      <c r="P403" s="432"/>
      <c r="Q403" s="432"/>
      <c r="R403" s="432"/>
      <c r="S403" s="432"/>
      <c r="T403" s="432"/>
      <c r="U403" s="432"/>
      <c r="V403" s="432"/>
      <c r="W403" s="432"/>
      <c r="X403" s="432"/>
      <c r="Y403" s="432"/>
      <c r="Z403" s="432"/>
      <c r="AA403" s="432"/>
      <c r="AB403" s="432"/>
      <c r="AC403" s="432"/>
      <c r="AD403" s="432"/>
      <c r="AE403" s="432"/>
    </row>
    <row r="404">
      <c r="A404" s="432"/>
      <c r="B404" s="432"/>
      <c r="C404" s="432"/>
      <c r="D404" s="432"/>
      <c r="E404" s="432"/>
      <c r="F404" s="432"/>
      <c r="G404" s="432"/>
      <c r="H404" s="432"/>
      <c r="I404" s="432"/>
      <c r="J404" s="432"/>
      <c r="K404" s="432"/>
      <c r="L404" s="432"/>
      <c r="M404" s="432"/>
      <c r="N404" s="432"/>
      <c r="O404" s="432"/>
      <c r="P404" s="432"/>
      <c r="Q404" s="432"/>
      <c r="R404" s="432"/>
      <c r="S404" s="432"/>
      <c r="T404" s="432"/>
      <c r="U404" s="432"/>
      <c r="V404" s="432"/>
      <c r="W404" s="432"/>
      <c r="X404" s="432"/>
      <c r="Y404" s="432"/>
      <c r="Z404" s="432"/>
      <c r="AA404" s="432"/>
      <c r="AB404" s="432"/>
      <c r="AC404" s="432"/>
      <c r="AD404" s="432"/>
      <c r="AE404" s="432"/>
    </row>
    <row r="405">
      <c r="A405" s="432"/>
      <c r="B405" s="432"/>
      <c r="C405" s="432"/>
      <c r="D405" s="432"/>
      <c r="E405" s="432"/>
      <c r="F405" s="432"/>
      <c r="G405" s="432"/>
      <c r="H405" s="432"/>
      <c r="I405" s="432"/>
      <c r="J405" s="432"/>
      <c r="K405" s="432"/>
      <c r="L405" s="432"/>
      <c r="M405" s="432"/>
      <c r="N405" s="432"/>
      <c r="O405" s="432"/>
      <c r="P405" s="432"/>
      <c r="Q405" s="432"/>
      <c r="R405" s="432"/>
      <c r="S405" s="432"/>
      <c r="T405" s="432"/>
      <c r="U405" s="432"/>
      <c r="V405" s="432"/>
      <c r="W405" s="432"/>
      <c r="X405" s="432"/>
      <c r="Y405" s="432"/>
      <c r="Z405" s="432"/>
      <c r="AA405" s="432"/>
      <c r="AB405" s="432"/>
      <c r="AC405" s="432"/>
      <c r="AD405" s="432"/>
      <c r="AE405" s="432"/>
    </row>
    <row r="406">
      <c r="A406" s="432"/>
      <c r="B406" s="432"/>
      <c r="C406" s="432"/>
      <c r="D406" s="432"/>
      <c r="E406" s="432"/>
      <c r="F406" s="432"/>
      <c r="G406" s="432"/>
      <c r="H406" s="432"/>
      <c r="I406" s="432"/>
      <c r="J406" s="432"/>
      <c r="K406" s="432"/>
      <c r="L406" s="432"/>
      <c r="M406" s="432"/>
      <c r="N406" s="432"/>
      <c r="O406" s="432"/>
      <c r="P406" s="432"/>
      <c r="Q406" s="432"/>
      <c r="R406" s="432"/>
      <c r="S406" s="432"/>
      <c r="T406" s="432"/>
      <c r="U406" s="432"/>
      <c r="V406" s="432"/>
      <c r="W406" s="432"/>
      <c r="X406" s="432"/>
      <c r="Y406" s="432"/>
      <c r="Z406" s="432"/>
      <c r="AA406" s="432"/>
      <c r="AB406" s="432"/>
      <c r="AC406" s="432"/>
      <c r="AD406" s="432"/>
      <c r="AE406" s="432"/>
    </row>
    <row r="407">
      <c r="A407" s="432"/>
      <c r="B407" s="432"/>
      <c r="C407" s="432"/>
      <c r="D407" s="432"/>
      <c r="E407" s="432"/>
      <c r="F407" s="432"/>
      <c r="G407" s="432"/>
      <c r="H407" s="432"/>
      <c r="I407" s="432"/>
      <c r="J407" s="432"/>
      <c r="K407" s="432"/>
      <c r="L407" s="432"/>
      <c r="M407" s="432"/>
      <c r="N407" s="432"/>
      <c r="O407" s="432"/>
      <c r="P407" s="432"/>
      <c r="Q407" s="432"/>
      <c r="R407" s="432"/>
      <c r="S407" s="432"/>
      <c r="T407" s="432"/>
      <c r="U407" s="432"/>
      <c r="V407" s="432"/>
      <c r="W407" s="432"/>
      <c r="X407" s="432"/>
      <c r="Y407" s="432"/>
      <c r="Z407" s="432"/>
      <c r="AA407" s="432"/>
      <c r="AB407" s="432"/>
      <c r="AC407" s="432"/>
      <c r="AD407" s="432"/>
      <c r="AE407" s="432"/>
    </row>
    <row r="408">
      <c r="A408" s="432"/>
      <c r="B408" s="432"/>
      <c r="C408" s="432"/>
      <c r="D408" s="432"/>
      <c r="E408" s="432"/>
      <c r="F408" s="432"/>
      <c r="G408" s="432"/>
      <c r="H408" s="432"/>
      <c r="I408" s="432"/>
      <c r="J408" s="432"/>
      <c r="K408" s="432"/>
      <c r="L408" s="432"/>
      <c r="M408" s="432"/>
      <c r="N408" s="432"/>
      <c r="O408" s="432"/>
      <c r="P408" s="432"/>
      <c r="Q408" s="432"/>
      <c r="R408" s="432"/>
      <c r="S408" s="432"/>
      <c r="T408" s="432"/>
      <c r="U408" s="432"/>
      <c r="V408" s="432"/>
      <c r="W408" s="432"/>
      <c r="X408" s="432"/>
      <c r="Y408" s="432"/>
      <c r="Z408" s="432"/>
      <c r="AA408" s="432"/>
      <c r="AB408" s="432"/>
      <c r="AC408" s="432"/>
      <c r="AD408" s="432"/>
      <c r="AE408" s="432"/>
    </row>
    <row r="409">
      <c r="A409" s="432"/>
      <c r="B409" s="432"/>
      <c r="C409" s="432"/>
      <c r="D409" s="432"/>
      <c r="E409" s="432"/>
      <c r="F409" s="432"/>
      <c r="G409" s="432"/>
      <c r="H409" s="432"/>
      <c r="I409" s="432"/>
      <c r="J409" s="432"/>
      <c r="K409" s="432"/>
      <c r="L409" s="432"/>
      <c r="M409" s="432"/>
      <c r="N409" s="432"/>
      <c r="O409" s="432"/>
      <c r="P409" s="432"/>
      <c r="Q409" s="432"/>
      <c r="R409" s="432"/>
      <c r="S409" s="432"/>
      <c r="T409" s="432"/>
      <c r="U409" s="432"/>
      <c r="V409" s="432"/>
      <c r="W409" s="432"/>
      <c r="X409" s="432"/>
      <c r="Y409" s="432"/>
      <c r="Z409" s="432"/>
      <c r="AA409" s="432"/>
      <c r="AB409" s="432"/>
      <c r="AC409" s="432"/>
      <c r="AD409" s="432"/>
      <c r="AE409" s="432"/>
    </row>
    <row r="410">
      <c r="A410" s="432"/>
      <c r="B410" s="432"/>
      <c r="C410" s="432"/>
      <c r="D410" s="432"/>
      <c r="E410" s="432"/>
      <c r="F410" s="432"/>
      <c r="G410" s="432"/>
      <c r="H410" s="432"/>
      <c r="I410" s="432"/>
      <c r="J410" s="432"/>
      <c r="K410" s="432"/>
      <c r="L410" s="432"/>
      <c r="M410" s="432"/>
      <c r="N410" s="432"/>
      <c r="O410" s="432"/>
      <c r="P410" s="432"/>
      <c r="Q410" s="432"/>
      <c r="R410" s="432"/>
      <c r="S410" s="432"/>
      <c r="T410" s="432"/>
      <c r="U410" s="432"/>
      <c r="V410" s="432"/>
      <c r="W410" s="432"/>
      <c r="X410" s="432"/>
      <c r="Y410" s="432"/>
      <c r="Z410" s="432"/>
      <c r="AA410" s="432"/>
      <c r="AB410" s="432"/>
      <c r="AC410" s="432"/>
      <c r="AD410" s="432"/>
      <c r="AE410" s="432"/>
    </row>
    <row r="411">
      <c r="A411" s="432"/>
      <c r="B411" s="432"/>
      <c r="C411" s="432"/>
      <c r="D411" s="432"/>
      <c r="E411" s="432"/>
      <c r="F411" s="432"/>
      <c r="G411" s="432"/>
      <c r="H411" s="432"/>
      <c r="I411" s="432"/>
      <c r="J411" s="432"/>
      <c r="K411" s="432"/>
      <c r="L411" s="432"/>
      <c r="M411" s="432"/>
      <c r="N411" s="432"/>
      <c r="O411" s="432"/>
      <c r="P411" s="432"/>
      <c r="Q411" s="432"/>
      <c r="R411" s="432"/>
      <c r="S411" s="432"/>
      <c r="T411" s="432"/>
      <c r="U411" s="432"/>
      <c r="V411" s="432"/>
      <c r="W411" s="432"/>
      <c r="X411" s="432"/>
      <c r="Y411" s="432"/>
      <c r="Z411" s="432"/>
      <c r="AA411" s="432"/>
      <c r="AB411" s="432"/>
      <c r="AC411" s="432"/>
      <c r="AD411" s="432"/>
      <c r="AE411" s="432"/>
    </row>
    <row r="412">
      <c r="A412" s="432"/>
      <c r="B412" s="432"/>
      <c r="C412" s="432"/>
      <c r="D412" s="432"/>
      <c r="E412" s="432"/>
      <c r="F412" s="432"/>
      <c r="G412" s="432"/>
      <c r="H412" s="432"/>
      <c r="I412" s="432"/>
      <c r="J412" s="432"/>
      <c r="K412" s="432"/>
      <c r="L412" s="432"/>
      <c r="M412" s="432"/>
      <c r="N412" s="432"/>
      <c r="O412" s="432"/>
      <c r="P412" s="432"/>
      <c r="Q412" s="432"/>
      <c r="R412" s="432"/>
      <c r="S412" s="432"/>
      <c r="T412" s="432"/>
      <c r="U412" s="432"/>
      <c r="V412" s="432"/>
      <c r="W412" s="432"/>
      <c r="X412" s="432"/>
      <c r="Y412" s="432"/>
      <c r="Z412" s="432"/>
      <c r="AA412" s="432"/>
      <c r="AB412" s="432"/>
      <c r="AC412" s="432"/>
      <c r="AD412" s="432"/>
      <c r="AE412" s="432"/>
    </row>
    <row r="413">
      <c r="A413" s="432"/>
      <c r="B413" s="432"/>
      <c r="C413" s="432"/>
      <c r="D413" s="432"/>
      <c r="E413" s="432"/>
      <c r="F413" s="432"/>
      <c r="G413" s="432"/>
      <c r="H413" s="432"/>
      <c r="I413" s="432"/>
      <c r="J413" s="432"/>
      <c r="K413" s="432"/>
      <c r="L413" s="432"/>
      <c r="M413" s="432"/>
      <c r="N413" s="432"/>
      <c r="O413" s="432"/>
      <c r="P413" s="432"/>
      <c r="Q413" s="432"/>
      <c r="R413" s="432"/>
      <c r="S413" s="432"/>
      <c r="T413" s="432"/>
      <c r="U413" s="432"/>
      <c r="V413" s="432"/>
      <c r="W413" s="432"/>
      <c r="X413" s="432"/>
      <c r="Y413" s="432"/>
      <c r="Z413" s="432"/>
      <c r="AA413" s="432"/>
      <c r="AB413" s="432"/>
      <c r="AC413" s="432"/>
      <c r="AD413" s="432"/>
      <c r="AE413" s="432"/>
    </row>
    <row r="414">
      <c r="A414" s="432"/>
      <c r="B414" s="432"/>
      <c r="C414" s="432"/>
      <c r="D414" s="432"/>
      <c r="E414" s="432"/>
      <c r="F414" s="432"/>
      <c r="G414" s="432"/>
      <c r="H414" s="432"/>
      <c r="I414" s="432"/>
      <c r="J414" s="432"/>
      <c r="K414" s="432"/>
      <c r="L414" s="432"/>
      <c r="M414" s="432"/>
      <c r="N414" s="432"/>
      <c r="O414" s="432"/>
      <c r="P414" s="432"/>
      <c r="Q414" s="432"/>
      <c r="R414" s="432"/>
      <c r="S414" s="432"/>
      <c r="T414" s="432"/>
      <c r="U414" s="432"/>
      <c r="V414" s="432"/>
      <c r="W414" s="432"/>
      <c r="X414" s="432"/>
      <c r="Y414" s="432"/>
      <c r="Z414" s="432"/>
      <c r="AA414" s="432"/>
      <c r="AB414" s="432"/>
      <c r="AC414" s="432"/>
      <c r="AD414" s="432"/>
      <c r="AE414" s="432"/>
    </row>
    <row r="415">
      <c r="A415" s="432"/>
      <c r="B415" s="432"/>
      <c r="C415" s="432"/>
      <c r="D415" s="432"/>
      <c r="E415" s="432"/>
      <c r="F415" s="432"/>
      <c r="G415" s="432"/>
      <c r="H415" s="432"/>
      <c r="I415" s="432"/>
      <c r="J415" s="432"/>
      <c r="K415" s="432"/>
      <c r="L415" s="432"/>
      <c r="M415" s="432"/>
      <c r="N415" s="432"/>
      <c r="O415" s="432"/>
      <c r="P415" s="432"/>
      <c r="Q415" s="432"/>
      <c r="R415" s="432"/>
      <c r="S415" s="432"/>
      <c r="T415" s="432"/>
      <c r="U415" s="432"/>
      <c r="V415" s="432"/>
      <c r="W415" s="432"/>
      <c r="X415" s="432"/>
      <c r="Y415" s="432"/>
      <c r="Z415" s="432"/>
      <c r="AA415" s="432"/>
      <c r="AB415" s="432"/>
      <c r="AC415" s="432"/>
      <c r="AD415" s="432"/>
      <c r="AE415" s="432"/>
    </row>
    <row r="416">
      <c r="A416" s="432"/>
      <c r="B416" s="432"/>
      <c r="C416" s="432"/>
      <c r="D416" s="432"/>
      <c r="E416" s="432"/>
      <c r="F416" s="432"/>
      <c r="G416" s="432"/>
      <c r="H416" s="432"/>
      <c r="I416" s="432"/>
      <c r="J416" s="432"/>
      <c r="K416" s="432"/>
      <c r="L416" s="432"/>
      <c r="M416" s="432"/>
      <c r="N416" s="432"/>
      <c r="O416" s="432"/>
      <c r="P416" s="432"/>
      <c r="Q416" s="432"/>
      <c r="R416" s="432"/>
      <c r="S416" s="432"/>
      <c r="T416" s="432"/>
      <c r="U416" s="432"/>
      <c r="V416" s="432"/>
      <c r="W416" s="432"/>
      <c r="X416" s="432"/>
      <c r="Y416" s="432"/>
      <c r="Z416" s="432"/>
      <c r="AA416" s="432"/>
      <c r="AB416" s="432"/>
      <c r="AC416" s="432"/>
      <c r="AD416" s="432"/>
      <c r="AE416" s="432"/>
    </row>
    <row r="417">
      <c r="A417" s="432"/>
      <c r="B417" s="432"/>
      <c r="C417" s="432"/>
      <c r="D417" s="432"/>
      <c r="E417" s="432"/>
      <c r="F417" s="432"/>
      <c r="G417" s="432"/>
      <c r="H417" s="432"/>
      <c r="I417" s="432"/>
      <c r="J417" s="432"/>
      <c r="K417" s="432"/>
      <c r="L417" s="432"/>
      <c r="M417" s="432"/>
      <c r="N417" s="432"/>
      <c r="O417" s="432"/>
      <c r="P417" s="432"/>
      <c r="Q417" s="432"/>
      <c r="R417" s="432"/>
      <c r="S417" s="432"/>
      <c r="T417" s="432"/>
      <c r="U417" s="432"/>
      <c r="V417" s="432"/>
      <c r="W417" s="432"/>
      <c r="X417" s="432"/>
      <c r="Y417" s="432"/>
      <c r="Z417" s="432"/>
      <c r="AA417" s="432"/>
      <c r="AB417" s="432"/>
      <c r="AC417" s="432"/>
      <c r="AD417" s="432"/>
      <c r="AE417" s="432"/>
    </row>
    <row r="418">
      <c r="A418" s="432"/>
      <c r="B418" s="432"/>
      <c r="C418" s="432"/>
      <c r="D418" s="432"/>
      <c r="E418" s="432"/>
      <c r="F418" s="432"/>
      <c r="G418" s="432"/>
      <c r="H418" s="432"/>
      <c r="I418" s="432"/>
      <c r="J418" s="432"/>
      <c r="K418" s="432"/>
      <c r="L418" s="432"/>
      <c r="M418" s="432"/>
      <c r="N418" s="432"/>
      <c r="O418" s="432"/>
      <c r="P418" s="432"/>
      <c r="Q418" s="432"/>
      <c r="R418" s="432"/>
      <c r="S418" s="432"/>
      <c r="T418" s="432"/>
      <c r="U418" s="432"/>
      <c r="V418" s="432"/>
      <c r="W418" s="432"/>
      <c r="X418" s="432"/>
      <c r="Y418" s="432"/>
      <c r="Z418" s="432"/>
      <c r="AA418" s="432"/>
      <c r="AB418" s="432"/>
      <c r="AC418" s="432"/>
      <c r="AD418" s="432"/>
      <c r="AE418" s="432"/>
    </row>
    <row r="419">
      <c r="A419" s="432"/>
      <c r="B419" s="432"/>
      <c r="C419" s="432"/>
      <c r="D419" s="432"/>
      <c r="E419" s="432"/>
      <c r="F419" s="432"/>
      <c r="G419" s="432"/>
      <c r="H419" s="432"/>
      <c r="I419" s="432"/>
      <c r="J419" s="432"/>
      <c r="K419" s="432"/>
      <c r="L419" s="432"/>
      <c r="M419" s="432"/>
      <c r="N419" s="432"/>
      <c r="O419" s="432"/>
      <c r="P419" s="432"/>
      <c r="Q419" s="432"/>
      <c r="R419" s="432"/>
      <c r="S419" s="432"/>
      <c r="T419" s="432"/>
      <c r="U419" s="432"/>
      <c r="V419" s="432"/>
      <c r="W419" s="432"/>
      <c r="X419" s="432"/>
      <c r="Y419" s="432"/>
      <c r="Z419" s="432"/>
      <c r="AA419" s="432"/>
      <c r="AB419" s="432"/>
      <c r="AC419" s="432"/>
      <c r="AD419" s="432"/>
      <c r="AE419" s="432"/>
    </row>
    <row r="420">
      <c r="A420" s="432"/>
      <c r="B420" s="432"/>
      <c r="C420" s="432"/>
      <c r="D420" s="432"/>
      <c r="E420" s="432"/>
      <c r="F420" s="432"/>
      <c r="G420" s="432"/>
      <c r="H420" s="432"/>
      <c r="I420" s="432"/>
      <c r="J420" s="432"/>
      <c r="K420" s="432"/>
      <c r="L420" s="432"/>
      <c r="M420" s="432"/>
      <c r="N420" s="432"/>
      <c r="O420" s="432"/>
      <c r="P420" s="432"/>
      <c r="Q420" s="432"/>
      <c r="R420" s="432"/>
      <c r="S420" s="432"/>
      <c r="T420" s="432"/>
      <c r="U420" s="432"/>
      <c r="V420" s="432"/>
      <c r="W420" s="432"/>
      <c r="X420" s="432"/>
      <c r="Y420" s="432"/>
      <c r="Z420" s="432"/>
      <c r="AA420" s="432"/>
      <c r="AB420" s="432"/>
      <c r="AC420" s="432"/>
      <c r="AD420" s="432"/>
      <c r="AE420" s="432"/>
    </row>
    <row r="421">
      <c r="A421" s="432"/>
      <c r="B421" s="432"/>
      <c r="C421" s="432"/>
      <c r="D421" s="432"/>
      <c r="E421" s="432"/>
      <c r="F421" s="432"/>
      <c r="G421" s="432"/>
      <c r="H421" s="432"/>
      <c r="I421" s="432"/>
      <c r="J421" s="432"/>
      <c r="K421" s="432"/>
      <c r="L421" s="432"/>
      <c r="M421" s="432"/>
      <c r="N421" s="432"/>
      <c r="O421" s="432"/>
      <c r="P421" s="432"/>
      <c r="Q421" s="432"/>
      <c r="R421" s="432"/>
      <c r="S421" s="432"/>
      <c r="T421" s="432"/>
      <c r="U421" s="432"/>
      <c r="V421" s="432"/>
      <c r="W421" s="432"/>
      <c r="X421" s="432"/>
      <c r="Y421" s="432"/>
      <c r="Z421" s="432"/>
      <c r="AA421" s="432"/>
      <c r="AB421" s="432"/>
      <c r="AC421" s="432"/>
      <c r="AD421" s="432"/>
      <c r="AE421" s="432"/>
    </row>
    <row r="422">
      <c r="A422" s="432"/>
      <c r="B422" s="432"/>
      <c r="C422" s="432"/>
      <c r="D422" s="432"/>
      <c r="E422" s="432"/>
      <c r="F422" s="432"/>
      <c r="G422" s="432"/>
      <c r="H422" s="432"/>
      <c r="I422" s="432"/>
      <c r="J422" s="432"/>
      <c r="K422" s="432"/>
      <c r="L422" s="432"/>
      <c r="M422" s="432"/>
      <c r="N422" s="432"/>
      <c r="O422" s="432"/>
      <c r="P422" s="432"/>
      <c r="Q422" s="432"/>
      <c r="R422" s="432"/>
      <c r="S422" s="432"/>
      <c r="T422" s="432"/>
      <c r="U422" s="432"/>
      <c r="V422" s="432"/>
      <c r="W422" s="432"/>
      <c r="X422" s="432"/>
      <c r="Y422" s="432"/>
      <c r="Z422" s="432"/>
      <c r="AA422" s="432"/>
      <c r="AB422" s="432"/>
      <c r="AC422" s="432"/>
      <c r="AD422" s="432"/>
      <c r="AE422" s="432"/>
    </row>
    <row r="423">
      <c r="A423" s="432"/>
      <c r="B423" s="432"/>
      <c r="C423" s="432"/>
      <c r="D423" s="432"/>
      <c r="E423" s="432"/>
      <c r="F423" s="432"/>
      <c r="G423" s="432"/>
      <c r="H423" s="432"/>
      <c r="I423" s="432"/>
      <c r="J423" s="432"/>
      <c r="K423" s="432"/>
      <c r="L423" s="432"/>
      <c r="M423" s="432"/>
      <c r="N423" s="432"/>
      <c r="O423" s="432"/>
      <c r="P423" s="432"/>
      <c r="Q423" s="432"/>
      <c r="R423" s="432"/>
      <c r="S423" s="432"/>
      <c r="T423" s="432"/>
      <c r="U423" s="432"/>
      <c r="V423" s="432"/>
      <c r="W423" s="432"/>
      <c r="X423" s="432"/>
      <c r="Y423" s="432"/>
      <c r="Z423" s="432"/>
      <c r="AA423" s="432"/>
      <c r="AB423" s="432"/>
      <c r="AC423" s="432"/>
      <c r="AD423" s="432"/>
      <c r="AE423" s="432"/>
    </row>
    <row r="424">
      <c r="A424" s="432"/>
      <c r="B424" s="432"/>
      <c r="C424" s="432"/>
      <c r="D424" s="432"/>
      <c r="E424" s="432"/>
      <c r="F424" s="432"/>
      <c r="G424" s="432"/>
      <c r="H424" s="432"/>
      <c r="I424" s="432"/>
      <c r="J424" s="432"/>
      <c r="K424" s="432"/>
      <c r="L424" s="432"/>
      <c r="M424" s="432"/>
      <c r="N424" s="432"/>
      <c r="O424" s="432"/>
      <c r="P424" s="432"/>
      <c r="Q424" s="432"/>
      <c r="R424" s="432"/>
      <c r="S424" s="432"/>
      <c r="T424" s="432"/>
      <c r="U424" s="432"/>
      <c r="V424" s="432"/>
      <c r="W424" s="432"/>
      <c r="X424" s="432"/>
      <c r="Y424" s="432"/>
      <c r="Z424" s="432"/>
      <c r="AA424" s="432"/>
      <c r="AB424" s="432"/>
      <c r="AC424" s="432"/>
      <c r="AD424" s="432"/>
      <c r="AE424" s="432"/>
    </row>
    <row r="425">
      <c r="A425" s="432"/>
      <c r="B425" s="432"/>
      <c r="C425" s="432"/>
      <c r="D425" s="432"/>
      <c r="E425" s="432"/>
      <c r="F425" s="432"/>
      <c r="G425" s="432"/>
      <c r="H425" s="432"/>
      <c r="I425" s="432"/>
      <c r="J425" s="432"/>
      <c r="K425" s="432"/>
      <c r="L425" s="432"/>
      <c r="M425" s="432"/>
      <c r="N425" s="432"/>
      <c r="O425" s="432"/>
      <c r="P425" s="432"/>
      <c r="Q425" s="432"/>
      <c r="R425" s="432"/>
      <c r="S425" s="432"/>
      <c r="T425" s="432"/>
      <c r="U425" s="432"/>
      <c r="V425" s="432"/>
      <c r="W425" s="432"/>
      <c r="X425" s="432"/>
      <c r="Y425" s="432"/>
      <c r="Z425" s="432"/>
      <c r="AA425" s="432"/>
      <c r="AB425" s="432"/>
      <c r="AC425" s="432"/>
      <c r="AD425" s="432"/>
      <c r="AE425" s="432"/>
    </row>
    <row r="426">
      <c r="A426" s="432"/>
      <c r="B426" s="432"/>
      <c r="C426" s="432"/>
      <c r="D426" s="432"/>
      <c r="E426" s="432"/>
      <c r="F426" s="432"/>
      <c r="G426" s="432"/>
      <c r="H426" s="432"/>
      <c r="I426" s="432"/>
      <c r="J426" s="432"/>
      <c r="K426" s="432"/>
      <c r="L426" s="432"/>
      <c r="M426" s="432"/>
      <c r="N426" s="432"/>
      <c r="O426" s="432"/>
      <c r="P426" s="432"/>
      <c r="Q426" s="432"/>
      <c r="R426" s="432"/>
      <c r="S426" s="432"/>
      <c r="T426" s="432"/>
      <c r="U426" s="432"/>
      <c r="V426" s="432"/>
      <c r="W426" s="432"/>
      <c r="X426" s="432"/>
      <c r="Y426" s="432"/>
      <c r="Z426" s="432"/>
      <c r="AA426" s="432"/>
      <c r="AB426" s="432"/>
      <c r="AC426" s="432"/>
      <c r="AD426" s="432"/>
      <c r="AE426" s="432"/>
    </row>
    <row r="427">
      <c r="A427" s="432"/>
      <c r="B427" s="432"/>
      <c r="C427" s="432"/>
      <c r="D427" s="432"/>
      <c r="E427" s="432"/>
      <c r="F427" s="432"/>
      <c r="G427" s="432"/>
      <c r="H427" s="432"/>
      <c r="I427" s="432"/>
      <c r="J427" s="432"/>
      <c r="K427" s="432"/>
      <c r="L427" s="432"/>
      <c r="M427" s="432"/>
      <c r="N427" s="432"/>
      <c r="O427" s="432"/>
      <c r="P427" s="432"/>
      <c r="Q427" s="432"/>
      <c r="R427" s="432"/>
      <c r="S427" s="432"/>
      <c r="T427" s="432"/>
      <c r="U427" s="432"/>
      <c r="V427" s="432"/>
      <c r="W427" s="432"/>
      <c r="X427" s="432"/>
      <c r="Y427" s="432"/>
      <c r="Z427" s="432"/>
      <c r="AA427" s="432"/>
      <c r="AB427" s="432"/>
      <c r="AC427" s="432"/>
      <c r="AD427" s="432"/>
      <c r="AE427" s="432"/>
    </row>
    <row r="428">
      <c r="A428" s="432"/>
      <c r="B428" s="432"/>
      <c r="C428" s="432"/>
      <c r="D428" s="432"/>
      <c r="E428" s="432"/>
      <c r="F428" s="432"/>
      <c r="G428" s="432"/>
      <c r="H428" s="432"/>
      <c r="I428" s="432"/>
      <c r="J428" s="432"/>
      <c r="K428" s="432"/>
      <c r="L428" s="432"/>
      <c r="M428" s="432"/>
      <c r="N428" s="432"/>
      <c r="O428" s="432"/>
      <c r="P428" s="432"/>
      <c r="Q428" s="432"/>
      <c r="R428" s="432"/>
      <c r="S428" s="432"/>
      <c r="T428" s="432"/>
      <c r="U428" s="432"/>
      <c r="V428" s="432"/>
      <c r="W428" s="432"/>
      <c r="X428" s="432"/>
      <c r="Y428" s="432"/>
      <c r="Z428" s="432"/>
      <c r="AA428" s="432"/>
      <c r="AB428" s="432"/>
      <c r="AC428" s="432"/>
      <c r="AD428" s="432"/>
      <c r="AE428" s="432"/>
    </row>
    <row r="429">
      <c r="A429" s="432"/>
      <c r="B429" s="432"/>
      <c r="C429" s="432"/>
      <c r="D429" s="432"/>
      <c r="E429" s="432"/>
      <c r="F429" s="432"/>
      <c r="G429" s="432"/>
      <c r="H429" s="432"/>
      <c r="I429" s="432"/>
      <c r="J429" s="432"/>
      <c r="K429" s="432"/>
      <c r="L429" s="432"/>
      <c r="M429" s="432"/>
      <c r="N429" s="432"/>
      <c r="O429" s="432"/>
      <c r="P429" s="432"/>
      <c r="Q429" s="432"/>
      <c r="R429" s="432"/>
      <c r="S429" s="432"/>
      <c r="T429" s="432"/>
      <c r="U429" s="432"/>
      <c r="V429" s="432"/>
      <c r="W429" s="432"/>
      <c r="X429" s="432"/>
      <c r="Y429" s="432"/>
      <c r="Z429" s="432"/>
      <c r="AA429" s="432"/>
      <c r="AB429" s="432"/>
      <c r="AC429" s="432"/>
      <c r="AD429" s="432"/>
      <c r="AE429" s="432"/>
    </row>
    <row r="430">
      <c r="A430" s="432"/>
      <c r="B430" s="432"/>
      <c r="C430" s="432"/>
      <c r="D430" s="432"/>
      <c r="E430" s="432"/>
      <c r="F430" s="432"/>
      <c r="G430" s="432"/>
      <c r="H430" s="432"/>
      <c r="I430" s="432"/>
      <c r="J430" s="432"/>
      <c r="K430" s="432"/>
      <c r="L430" s="432"/>
      <c r="M430" s="432"/>
      <c r="N430" s="432"/>
      <c r="O430" s="432"/>
      <c r="P430" s="432"/>
      <c r="Q430" s="432"/>
      <c r="R430" s="432"/>
      <c r="S430" s="432"/>
      <c r="T430" s="432"/>
      <c r="U430" s="432"/>
      <c r="V430" s="432"/>
      <c r="W430" s="432"/>
      <c r="X430" s="432"/>
      <c r="Y430" s="432"/>
      <c r="Z430" s="432"/>
      <c r="AA430" s="432"/>
      <c r="AB430" s="432"/>
      <c r="AC430" s="432"/>
      <c r="AD430" s="432"/>
      <c r="AE430" s="432"/>
    </row>
    <row r="431">
      <c r="A431" s="432"/>
      <c r="B431" s="432"/>
      <c r="C431" s="432"/>
      <c r="D431" s="432"/>
      <c r="E431" s="432"/>
      <c r="F431" s="432"/>
      <c r="G431" s="432"/>
      <c r="H431" s="432"/>
      <c r="I431" s="432"/>
      <c r="J431" s="432"/>
      <c r="K431" s="432"/>
      <c r="L431" s="432"/>
      <c r="M431" s="432"/>
      <c r="N431" s="432"/>
      <c r="O431" s="432"/>
      <c r="P431" s="432"/>
      <c r="Q431" s="432"/>
      <c r="R431" s="432"/>
      <c r="S431" s="432"/>
      <c r="T431" s="432"/>
      <c r="U431" s="432"/>
      <c r="V431" s="432"/>
      <c r="W431" s="432"/>
      <c r="X431" s="432"/>
      <c r="Y431" s="432"/>
      <c r="Z431" s="432"/>
      <c r="AA431" s="432"/>
      <c r="AB431" s="432"/>
      <c r="AC431" s="432"/>
      <c r="AD431" s="432"/>
      <c r="AE431" s="432"/>
    </row>
    <row r="432">
      <c r="A432" s="432"/>
      <c r="B432" s="432"/>
      <c r="C432" s="432"/>
      <c r="D432" s="432"/>
      <c r="E432" s="432"/>
      <c r="F432" s="432"/>
      <c r="G432" s="432"/>
      <c r="H432" s="432"/>
      <c r="I432" s="432"/>
      <c r="J432" s="432"/>
      <c r="K432" s="432"/>
      <c r="L432" s="432"/>
      <c r="M432" s="432"/>
      <c r="N432" s="432"/>
      <c r="O432" s="432"/>
      <c r="P432" s="432"/>
      <c r="Q432" s="432"/>
      <c r="R432" s="432"/>
      <c r="S432" s="432"/>
      <c r="T432" s="432"/>
      <c r="U432" s="432"/>
      <c r="V432" s="432"/>
      <c r="W432" s="432"/>
      <c r="X432" s="432"/>
      <c r="Y432" s="432"/>
      <c r="Z432" s="432"/>
      <c r="AA432" s="432"/>
      <c r="AB432" s="432"/>
      <c r="AC432" s="432"/>
      <c r="AD432" s="432"/>
      <c r="AE432" s="432"/>
    </row>
    <row r="433">
      <c r="A433" s="432"/>
      <c r="B433" s="432"/>
      <c r="C433" s="432"/>
      <c r="D433" s="432"/>
      <c r="E433" s="432"/>
      <c r="F433" s="432"/>
      <c r="G433" s="432"/>
      <c r="H433" s="432"/>
      <c r="I433" s="432"/>
      <c r="J433" s="432"/>
      <c r="K433" s="432"/>
      <c r="L433" s="432"/>
      <c r="M433" s="432"/>
      <c r="N433" s="432"/>
      <c r="O433" s="432"/>
      <c r="P433" s="432"/>
      <c r="Q433" s="432"/>
      <c r="R433" s="432"/>
      <c r="S433" s="432"/>
      <c r="T433" s="432"/>
      <c r="U433" s="432"/>
      <c r="V433" s="432"/>
      <c r="W433" s="432"/>
      <c r="X433" s="432"/>
      <c r="Y433" s="432"/>
      <c r="Z433" s="432"/>
      <c r="AA433" s="432"/>
      <c r="AB433" s="432"/>
      <c r="AC433" s="432"/>
      <c r="AD433" s="432"/>
      <c r="AE433" s="432"/>
    </row>
    <row r="434">
      <c r="A434" s="432"/>
      <c r="B434" s="432"/>
      <c r="C434" s="432"/>
      <c r="D434" s="432"/>
      <c r="E434" s="432"/>
      <c r="F434" s="432"/>
      <c r="G434" s="432"/>
      <c r="H434" s="432"/>
      <c r="I434" s="432"/>
      <c r="J434" s="432"/>
      <c r="K434" s="432"/>
      <c r="L434" s="432"/>
      <c r="M434" s="432"/>
      <c r="N434" s="432"/>
      <c r="O434" s="432"/>
      <c r="P434" s="432"/>
      <c r="Q434" s="432"/>
      <c r="R434" s="432"/>
      <c r="S434" s="432"/>
      <c r="T434" s="432"/>
      <c r="U434" s="432"/>
      <c r="V434" s="432"/>
      <c r="W434" s="432"/>
      <c r="X434" s="432"/>
      <c r="Y434" s="432"/>
      <c r="Z434" s="432"/>
      <c r="AA434" s="432"/>
      <c r="AB434" s="432"/>
      <c r="AC434" s="432"/>
      <c r="AD434" s="432"/>
      <c r="AE434" s="432"/>
    </row>
    <row r="435">
      <c r="A435" s="432"/>
      <c r="B435" s="432"/>
      <c r="C435" s="432"/>
      <c r="D435" s="432"/>
      <c r="E435" s="432"/>
      <c r="F435" s="432"/>
      <c r="G435" s="432"/>
      <c r="H435" s="432"/>
      <c r="I435" s="432"/>
      <c r="J435" s="432"/>
      <c r="K435" s="432"/>
      <c r="L435" s="432"/>
      <c r="M435" s="432"/>
      <c r="N435" s="432"/>
      <c r="O435" s="432"/>
      <c r="P435" s="432"/>
      <c r="Q435" s="432"/>
      <c r="R435" s="432"/>
      <c r="S435" s="432"/>
      <c r="T435" s="432"/>
      <c r="U435" s="432"/>
      <c r="V435" s="432"/>
      <c r="W435" s="432"/>
      <c r="X435" s="432"/>
      <c r="Y435" s="432"/>
      <c r="Z435" s="432"/>
      <c r="AA435" s="432"/>
      <c r="AB435" s="432"/>
      <c r="AC435" s="432"/>
      <c r="AD435" s="432"/>
      <c r="AE435" s="432"/>
    </row>
    <row r="436">
      <c r="A436" s="432"/>
      <c r="B436" s="432"/>
      <c r="C436" s="432"/>
      <c r="D436" s="432"/>
      <c r="E436" s="432"/>
      <c r="F436" s="432"/>
      <c r="G436" s="432"/>
      <c r="H436" s="432"/>
      <c r="I436" s="432"/>
      <c r="J436" s="432"/>
      <c r="K436" s="432"/>
      <c r="L436" s="432"/>
      <c r="M436" s="432"/>
      <c r="N436" s="432"/>
      <c r="O436" s="432"/>
      <c r="P436" s="432"/>
      <c r="Q436" s="432"/>
      <c r="R436" s="432"/>
      <c r="S436" s="432"/>
      <c r="T436" s="432"/>
      <c r="U436" s="432"/>
      <c r="V436" s="432"/>
      <c r="W436" s="432"/>
      <c r="X436" s="432"/>
      <c r="Y436" s="432"/>
      <c r="Z436" s="432"/>
      <c r="AA436" s="432"/>
      <c r="AB436" s="432"/>
      <c r="AC436" s="432"/>
      <c r="AD436" s="432"/>
      <c r="AE436" s="432"/>
    </row>
    <row r="437">
      <c r="A437" s="432"/>
      <c r="B437" s="432"/>
      <c r="C437" s="432"/>
      <c r="D437" s="432"/>
      <c r="E437" s="432"/>
      <c r="F437" s="432"/>
      <c r="G437" s="432"/>
      <c r="H437" s="432"/>
      <c r="I437" s="432"/>
      <c r="J437" s="432"/>
      <c r="K437" s="432"/>
      <c r="L437" s="432"/>
      <c r="M437" s="432"/>
      <c r="N437" s="432"/>
      <c r="O437" s="432"/>
      <c r="P437" s="432"/>
      <c r="Q437" s="432"/>
      <c r="R437" s="432"/>
      <c r="S437" s="432"/>
      <c r="T437" s="432"/>
      <c r="U437" s="432"/>
      <c r="V437" s="432"/>
      <c r="W437" s="432"/>
      <c r="X437" s="432"/>
      <c r="Y437" s="432"/>
      <c r="Z437" s="432"/>
      <c r="AA437" s="432"/>
      <c r="AB437" s="432"/>
      <c r="AC437" s="432"/>
      <c r="AD437" s="432"/>
      <c r="AE437" s="432"/>
    </row>
    <row r="438">
      <c r="A438" s="432"/>
      <c r="B438" s="432"/>
      <c r="C438" s="432"/>
      <c r="D438" s="432"/>
      <c r="E438" s="432"/>
      <c r="F438" s="432"/>
      <c r="G438" s="432"/>
      <c r="H438" s="432"/>
      <c r="I438" s="432"/>
      <c r="J438" s="432"/>
      <c r="K438" s="432"/>
      <c r="L438" s="432"/>
      <c r="M438" s="432"/>
      <c r="N438" s="432"/>
      <c r="O438" s="432"/>
      <c r="P438" s="432"/>
      <c r="Q438" s="432"/>
      <c r="R438" s="432"/>
      <c r="S438" s="432"/>
      <c r="T438" s="432"/>
      <c r="U438" s="432"/>
      <c r="V438" s="432"/>
      <c r="W438" s="432"/>
      <c r="X438" s="432"/>
      <c r="Y438" s="432"/>
      <c r="Z438" s="432"/>
      <c r="AA438" s="432"/>
      <c r="AB438" s="432"/>
      <c r="AC438" s="432"/>
      <c r="AD438" s="432"/>
      <c r="AE438" s="432"/>
    </row>
    <row r="439">
      <c r="A439" s="432"/>
      <c r="B439" s="432"/>
      <c r="C439" s="432"/>
      <c r="D439" s="432"/>
      <c r="E439" s="432"/>
      <c r="F439" s="432"/>
      <c r="G439" s="432"/>
      <c r="H439" s="432"/>
      <c r="I439" s="432"/>
      <c r="J439" s="432"/>
      <c r="K439" s="432"/>
      <c r="L439" s="432"/>
      <c r="M439" s="432"/>
      <c r="N439" s="432"/>
      <c r="O439" s="432"/>
      <c r="P439" s="432"/>
      <c r="Q439" s="432"/>
      <c r="R439" s="432"/>
      <c r="S439" s="432"/>
      <c r="T439" s="432"/>
      <c r="U439" s="432"/>
      <c r="V439" s="432"/>
      <c r="W439" s="432"/>
      <c r="X439" s="432"/>
      <c r="Y439" s="432"/>
      <c r="Z439" s="432"/>
      <c r="AA439" s="432"/>
      <c r="AB439" s="432"/>
      <c r="AC439" s="432"/>
      <c r="AD439" s="432"/>
      <c r="AE439" s="432"/>
    </row>
    <row r="440">
      <c r="A440" s="432"/>
      <c r="B440" s="432"/>
      <c r="C440" s="432"/>
      <c r="D440" s="432"/>
      <c r="E440" s="432"/>
      <c r="F440" s="432"/>
      <c r="G440" s="432"/>
      <c r="H440" s="432"/>
      <c r="I440" s="432"/>
      <c r="J440" s="432"/>
      <c r="K440" s="432"/>
      <c r="L440" s="432"/>
      <c r="M440" s="432"/>
      <c r="N440" s="432"/>
      <c r="O440" s="432"/>
      <c r="P440" s="432"/>
      <c r="Q440" s="432"/>
      <c r="R440" s="432"/>
      <c r="S440" s="432"/>
      <c r="T440" s="432"/>
      <c r="U440" s="432"/>
      <c r="V440" s="432"/>
      <c r="W440" s="432"/>
      <c r="X440" s="432"/>
      <c r="Y440" s="432"/>
      <c r="Z440" s="432"/>
      <c r="AA440" s="432"/>
      <c r="AB440" s="432"/>
      <c r="AC440" s="432"/>
      <c r="AD440" s="432"/>
      <c r="AE440" s="432"/>
    </row>
    <row r="441">
      <c r="A441" s="432"/>
      <c r="B441" s="432"/>
      <c r="C441" s="432"/>
      <c r="D441" s="432"/>
      <c r="E441" s="432"/>
      <c r="F441" s="432"/>
      <c r="G441" s="432"/>
      <c r="H441" s="432"/>
      <c r="I441" s="432"/>
      <c r="J441" s="432"/>
      <c r="K441" s="432"/>
      <c r="L441" s="432"/>
      <c r="M441" s="432"/>
      <c r="N441" s="432"/>
      <c r="O441" s="432"/>
      <c r="P441" s="432"/>
      <c r="Q441" s="432"/>
      <c r="R441" s="432"/>
      <c r="S441" s="432"/>
      <c r="T441" s="432"/>
      <c r="U441" s="432"/>
      <c r="V441" s="432"/>
      <c r="W441" s="432"/>
      <c r="X441" s="432"/>
      <c r="Y441" s="432"/>
      <c r="Z441" s="432"/>
      <c r="AA441" s="432"/>
      <c r="AB441" s="432"/>
      <c r="AC441" s="432"/>
      <c r="AD441" s="432"/>
      <c r="AE441" s="432"/>
    </row>
    <row r="442">
      <c r="A442" s="432"/>
      <c r="B442" s="432"/>
      <c r="C442" s="432"/>
      <c r="D442" s="432"/>
      <c r="E442" s="432"/>
      <c r="F442" s="432"/>
      <c r="G442" s="432"/>
      <c r="H442" s="432"/>
      <c r="I442" s="432"/>
      <c r="J442" s="432"/>
      <c r="K442" s="432"/>
      <c r="L442" s="432"/>
      <c r="M442" s="432"/>
      <c r="N442" s="432"/>
      <c r="O442" s="432"/>
      <c r="P442" s="432"/>
      <c r="Q442" s="432"/>
      <c r="R442" s="432"/>
      <c r="S442" s="432"/>
      <c r="T442" s="432"/>
      <c r="U442" s="432"/>
      <c r="V442" s="432"/>
      <c r="W442" s="432"/>
      <c r="X442" s="432"/>
      <c r="Y442" s="432"/>
      <c r="Z442" s="432"/>
      <c r="AA442" s="432"/>
      <c r="AB442" s="432"/>
      <c r="AC442" s="432"/>
      <c r="AD442" s="432"/>
      <c r="AE442" s="432"/>
    </row>
    <row r="443">
      <c r="A443" s="432"/>
      <c r="B443" s="432"/>
      <c r="C443" s="432"/>
      <c r="D443" s="432"/>
      <c r="E443" s="432"/>
      <c r="F443" s="432"/>
      <c r="G443" s="432"/>
      <c r="H443" s="432"/>
      <c r="I443" s="432"/>
      <c r="J443" s="432"/>
      <c r="K443" s="432"/>
      <c r="L443" s="432"/>
      <c r="M443" s="432"/>
      <c r="N443" s="432"/>
      <c r="O443" s="432"/>
      <c r="P443" s="432"/>
      <c r="Q443" s="432"/>
      <c r="R443" s="432"/>
      <c r="S443" s="432"/>
      <c r="T443" s="432"/>
      <c r="U443" s="432"/>
      <c r="V443" s="432"/>
      <c r="W443" s="432"/>
      <c r="X443" s="432"/>
      <c r="Y443" s="432"/>
      <c r="Z443" s="432"/>
      <c r="AA443" s="432"/>
      <c r="AB443" s="432"/>
      <c r="AC443" s="432"/>
      <c r="AD443" s="432"/>
      <c r="AE443" s="432"/>
    </row>
    <row r="444">
      <c r="A444" s="432"/>
      <c r="B444" s="432"/>
      <c r="C444" s="432"/>
      <c r="D444" s="432"/>
      <c r="E444" s="432"/>
      <c r="F444" s="432"/>
      <c r="G444" s="432"/>
      <c r="H444" s="432"/>
      <c r="I444" s="432"/>
      <c r="J444" s="432"/>
      <c r="K444" s="432"/>
      <c r="L444" s="432"/>
      <c r="M444" s="432"/>
      <c r="N444" s="432"/>
      <c r="O444" s="432"/>
      <c r="P444" s="432"/>
      <c r="Q444" s="432"/>
      <c r="R444" s="432"/>
      <c r="S444" s="432"/>
      <c r="T444" s="432"/>
      <c r="U444" s="432"/>
      <c r="V444" s="432"/>
      <c r="W444" s="432"/>
      <c r="X444" s="432"/>
      <c r="Y444" s="432"/>
      <c r="Z444" s="432"/>
      <c r="AA444" s="432"/>
      <c r="AB444" s="432"/>
      <c r="AC444" s="432"/>
      <c r="AD444" s="432"/>
      <c r="AE444" s="432"/>
    </row>
    <row r="445">
      <c r="A445" s="432"/>
      <c r="B445" s="432"/>
      <c r="C445" s="432"/>
      <c r="D445" s="432"/>
      <c r="E445" s="432"/>
      <c r="F445" s="432"/>
      <c r="G445" s="432"/>
      <c r="H445" s="432"/>
      <c r="I445" s="432"/>
      <c r="J445" s="432"/>
      <c r="K445" s="432"/>
      <c r="L445" s="432"/>
      <c r="M445" s="432"/>
      <c r="N445" s="432"/>
      <c r="O445" s="432"/>
      <c r="P445" s="432"/>
      <c r="Q445" s="432"/>
      <c r="R445" s="432"/>
      <c r="S445" s="432"/>
      <c r="T445" s="432"/>
      <c r="U445" s="432"/>
      <c r="V445" s="432"/>
      <c r="W445" s="432"/>
      <c r="X445" s="432"/>
      <c r="Y445" s="432"/>
      <c r="Z445" s="432"/>
      <c r="AA445" s="432"/>
      <c r="AB445" s="432"/>
      <c r="AC445" s="432"/>
      <c r="AD445" s="432"/>
      <c r="AE445" s="432"/>
    </row>
    <row r="446">
      <c r="A446" s="432"/>
      <c r="B446" s="432"/>
      <c r="C446" s="432"/>
      <c r="D446" s="432"/>
      <c r="E446" s="432"/>
      <c r="F446" s="432"/>
      <c r="G446" s="432"/>
      <c r="H446" s="432"/>
      <c r="I446" s="432"/>
      <c r="J446" s="432"/>
      <c r="K446" s="432"/>
      <c r="L446" s="432"/>
      <c r="M446" s="432"/>
      <c r="N446" s="432"/>
      <c r="O446" s="432"/>
      <c r="P446" s="432"/>
      <c r="Q446" s="432"/>
      <c r="R446" s="432"/>
      <c r="S446" s="432"/>
      <c r="T446" s="432"/>
      <c r="U446" s="432"/>
      <c r="V446" s="432"/>
      <c r="W446" s="432"/>
      <c r="X446" s="432"/>
      <c r="Y446" s="432"/>
      <c r="Z446" s="432"/>
      <c r="AA446" s="432"/>
      <c r="AB446" s="432"/>
      <c r="AC446" s="432"/>
      <c r="AD446" s="432"/>
      <c r="AE446" s="432"/>
    </row>
    <row r="447">
      <c r="A447" s="432"/>
      <c r="B447" s="432"/>
      <c r="C447" s="432"/>
      <c r="D447" s="432"/>
      <c r="E447" s="432"/>
      <c r="F447" s="432"/>
      <c r="G447" s="432"/>
      <c r="H447" s="432"/>
      <c r="I447" s="432"/>
      <c r="J447" s="432"/>
      <c r="K447" s="432"/>
      <c r="L447" s="432"/>
      <c r="M447" s="432"/>
      <c r="N447" s="432"/>
      <c r="O447" s="432"/>
      <c r="P447" s="432"/>
      <c r="Q447" s="432"/>
      <c r="R447" s="432"/>
      <c r="S447" s="432"/>
      <c r="T447" s="432"/>
      <c r="U447" s="432"/>
      <c r="V447" s="432"/>
      <c r="W447" s="432"/>
      <c r="X447" s="432"/>
      <c r="Y447" s="432"/>
      <c r="Z447" s="432"/>
      <c r="AA447" s="432"/>
      <c r="AB447" s="432"/>
      <c r="AC447" s="432"/>
      <c r="AD447" s="432"/>
      <c r="AE447" s="432"/>
    </row>
    <row r="448">
      <c r="A448" s="432"/>
      <c r="B448" s="432"/>
      <c r="C448" s="432"/>
      <c r="D448" s="432"/>
      <c r="E448" s="432"/>
      <c r="F448" s="432"/>
      <c r="G448" s="432"/>
      <c r="H448" s="432"/>
      <c r="I448" s="432"/>
      <c r="J448" s="432"/>
      <c r="K448" s="432"/>
      <c r="L448" s="432"/>
      <c r="M448" s="432"/>
      <c r="N448" s="432"/>
      <c r="O448" s="432"/>
      <c r="P448" s="432"/>
      <c r="Q448" s="432"/>
      <c r="R448" s="432"/>
      <c r="S448" s="432"/>
      <c r="T448" s="432"/>
      <c r="U448" s="432"/>
      <c r="V448" s="432"/>
      <c r="W448" s="432"/>
      <c r="X448" s="432"/>
      <c r="Y448" s="432"/>
      <c r="Z448" s="432"/>
      <c r="AA448" s="432"/>
      <c r="AB448" s="432"/>
      <c r="AC448" s="432"/>
      <c r="AD448" s="432"/>
      <c r="AE448" s="432"/>
    </row>
    <row r="449">
      <c r="A449" s="432"/>
      <c r="B449" s="432"/>
      <c r="C449" s="432"/>
      <c r="D449" s="432"/>
      <c r="E449" s="432"/>
      <c r="F449" s="432"/>
      <c r="G449" s="432"/>
      <c r="H449" s="432"/>
      <c r="I449" s="432"/>
      <c r="J449" s="432"/>
      <c r="K449" s="432"/>
      <c r="L449" s="432"/>
      <c r="M449" s="432"/>
      <c r="N449" s="432"/>
      <c r="O449" s="432"/>
      <c r="P449" s="432"/>
      <c r="Q449" s="432"/>
      <c r="R449" s="432"/>
      <c r="S449" s="432"/>
      <c r="T449" s="432"/>
      <c r="U449" s="432"/>
      <c r="V449" s="432"/>
      <c r="W449" s="432"/>
      <c r="X449" s="432"/>
      <c r="Y449" s="432"/>
      <c r="Z449" s="432"/>
      <c r="AA449" s="432"/>
      <c r="AB449" s="432"/>
      <c r="AC449" s="432"/>
      <c r="AD449" s="432"/>
      <c r="AE449" s="432"/>
    </row>
    <row r="450">
      <c r="A450" s="432"/>
      <c r="B450" s="432"/>
      <c r="C450" s="432"/>
      <c r="D450" s="432"/>
      <c r="E450" s="432"/>
      <c r="F450" s="432"/>
      <c r="G450" s="432"/>
      <c r="H450" s="432"/>
      <c r="I450" s="432"/>
      <c r="J450" s="432"/>
      <c r="K450" s="432"/>
      <c r="L450" s="432"/>
      <c r="M450" s="432"/>
      <c r="N450" s="432"/>
      <c r="O450" s="432"/>
      <c r="P450" s="432"/>
      <c r="Q450" s="432"/>
      <c r="R450" s="432"/>
      <c r="S450" s="432"/>
      <c r="T450" s="432"/>
      <c r="U450" s="432"/>
      <c r="V450" s="432"/>
      <c r="W450" s="432"/>
      <c r="X450" s="432"/>
      <c r="Y450" s="432"/>
      <c r="Z450" s="432"/>
      <c r="AA450" s="432"/>
      <c r="AB450" s="432"/>
      <c r="AC450" s="432"/>
      <c r="AD450" s="432"/>
      <c r="AE450" s="432"/>
    </row>
    <row r="451">
      <c r="A451" s="432"/>
      <c r="B451" s="432"/>
      <c r="C451" s="432"/>
      <c r="D451" s="432"/>
      <c r="E451" s="432"/>
      <c r="F451" s="432"/>
      <c r="G451" s="432"/>
      <c r="H451" s="432"/>
      <c r="I451" s="432"/>
      <c r="J451" s="432"/>
      <c r="K451" s="432"/>
      <c r="L451" s="432"/>
      <c r="M451" s="432"/>
      <c r="N451" s="432"/>
      <c r="O451" s="432"/>
      <c r="P451" s="432"/>
      <c r="Q451" s="432"/>
      <c r="R451" s="432"/>
      <c r="S451" s="432"/>
      <c r="T451" s="432"/>
      <c r="U451" s="432"/>
      <c r="V451" s="432"/>
      <c r="W451" s="432"/>
      <c r="X451" s="432"/>
      <c r="Y451" s="432"/>
      <c r="Z451" s="432"/>
      <c r="AA451" s="432"/>
      <c r="AB451" s="432"/>
      <c r="AC451" s="432"/>
      <c r="AD451" s="432"/>
      <c r="AE451" s="432"/>
    </row>
    <row r="452">
      <c r="A452" s="432"/>
      <c r="B452" s="432"/>
      <c r="C452" s="432"/>
      <c r="D452" s="432"/>
      <c r="E452" s="432"/>
      <c r="F452" s="432"/>
      <c r="G452" s="432"/>
      <c r="H452" s="432"/>
      <c r="I452" s="432"/>
      <c r="J452" s="432"/>
      <c r="K452" s="432"/>
      <c r="L452" s="432"/>
      <c r="M452" s="432"/>
      <c r="N452" s="432"/>
      <c r="O452" s="432"/>
      <c r="P452" s="432"/>
      <c r="Q452" s="432"/>
      <c r="R452" s="432"/>
      <c r="S452" s="432"/>
      <c r="T452" s="432"/>
      <c r="U452" s="432"/>
      <c r="V452" s="432"/>
      <c r="W452" s="432"/>
      <c r="X452" s="432"/>
      <c r="Y452" s="432"/>
      <c r="Z452" s="432"/>
      <c r="AA452" s="432"/>
      <c r="AB452" s="432"/>
      <c r="AC452" s="432"/>
      <c r="AD452" s="432"/>
      <c r="AE452" s="432"/>
    </row>
    <row r="453">
      <c r="A453" s="432"/>
      <c r="B453" s="432"/>
      <c r="C453" s="432"/>
      <c r="D453" s="432"/>
      <c r="E453" s="432"/>
      <c r="F453" s="432"/>
      <c r="G453" s="432"/>
      <c r="H453" s="432"/>
      <c r="I453" s="432"/>
      <c r="J453" s="432"/>
      <c r="K453" s="432"/>
      <c r="L453" s="432"/>
      <c r="M453" s="432"/>
      <c r="N453" s="432"/>
      <c r="O453" s="432"/>
      <c r="P453" s="432"/>
      <c r="Q453" s="432"/>
      <c r="R453" s="432"/>
      <c r="S453" s="432"/>
      <c r="T453" s="432"/>
      <c r="U453" s="432"/>
      <c r="V453" s="432"/>
      <c r="W453" s="432"/>
      <c r="X453" s="432"/>
      <c r="Y453" s="432"/>
      <c r="Z453" s="432"/>
      <c r="AA453" s="432"/>
      <c r="AB453" s="432"/>
      <c r="AC453" s="432"/>
      <c r="AD453" s="432"/>
      <c r="AE453" s="432"/>
    </row>
    <row r="454">
      <c r="A454" s="432"/>
      <c r="B454" s="432"/>
      <c r="C454" s="432"/>
      <c r="D454" s="432"/>
      <c r="E454" s="432"/>
      <c r="F454" s="432"/>
      <c r="G454" s="432"/>
      <c r="H454" s="432"/>
      <c r="I454" s="432"/>
      <c r="J454" s="432"/>
      <c r="K454" s="432"/>
      <c r="L454" s="432"/>
      <c r="M454" s="432"/>
      <c r="N454" s="432"/>
      <c r="O454" s="432"/>
      <c r="P454" s="432"/>
      <c r="Q454" s="432"/>
      <c r="R454" s="432"/>
      <c r="S454" s="432"/>
      <c r="T454" s="432"/>
      <c r="U454" s="432"/>
      <c r="V454" s="432"/>
      <c r="W454" s="432"/>
      <c r="X454" s="432"/>
      <c r="Y454" s="432"/>
      <c r="Z454" s="432"/>
      <c r="AA454" s="432"/>
      <c r="AB454" s="432"/>
      <c r="AC454" s="432"/>
      <c r="AD454" s="432"/>
      <c r="AE454" s="432"/>
    </row>
    <row r="455">
      <c r="A455" s="432"/>
      <c r="B455" s="432"/>
      <c r="C455" s="432"/>
      <c r="D455" s="432"/>
      <c r="E455" s="432"/>
      <c r="F455" s="432"/>
      <c r="G455" s="432"/>
      <c r="H455" s="432"/>
      <c r="I455" s="432"/>
      <c r="J455" s="432"/>
      <c r="K455" s="432"/>
      <c r="L455" s="432"/>
      <c r="M455" s="432"/>
      <c r="N455" s="432"/>
      <c r="O455" s="432"/>
      <c r="P455" s="432"/>
      <c r="Q455" s="432"/>
      <c r="R455" s="432"/>
      <c r="S455" s="432"/>
      <c r="T455" s="432"/>
      <c r="U455" s="432"/>
      <c r="V455" s="432"/>
      <c r="W455" s="432"/>
      <c r="X455" s="432"/>
      <c r="Y455" s="432"/>
      <c r="Z455" s="432"/>
      <c r="AA455" s="432"/>
      <c r="AB455" s="432"/>
      <c r="AC455" s="432"/>
      <c r="AD455" s="432"/>
      <c r="AE455" s="432"/>
    </row>
    <row r="456">
      <c r="A456" s="432"/>
      <c r="B456" s="432"/>
      <c r="C456" s="432"/>
      <c r="D456" s="432"/>
      <c r="E456" s="432"/>
      <c r="F456" s="432"/>
      <c r="G456" s="432"/>
      <c r="H456" s="432"/>
      <c r="I456" s="432"/>
      <c r="J456" s="432"/>
      <c r="K456" s="432"/>
      <c r="L456" s="432"/>
      <c r="M456" s="432"/>
      <c r="N456" s="432"/>
      <c r="O456" s="432"/>
      <c r="P456" s="432"/>
      <c r="Q456" s="432"/>
      <c r="R456" s="432"/>
      <c r="S456" s="432"/>
      <c r="T456" s="432"/>
      <c r="U456" s="432"/>
      <c r="V456" s="432"/>
      <c r="W456" s="432"/>
      <c r="X456" s="432"/>
      <c r="Y456" s="432"/>
      <c r="Z456" s="432"/>
      <c r="AA456" s="432"/>
      <c r="AB456" s="432"/>
      <c r="AC456" s="432"/>
      <c r="AD456" s="432"/>
      <c r="AE456" s="432"/>
    </row>
    <row r="457">
      <c r="A457" s="432"/>
      <c r="B457" s="432"/>
      <c r="C457" s="432"/>
      <c r="D457" s="432"/>
      <c r="E457" s="432"/>
      <c r="F457" s="432"/>
      <c r="G457" s="432"/>
      <c r="H457" s="432"/>
      <c r="I457" s="432"/>
      <c r="J457" s="432"/>
      <c r="K457" s="432"/>
      <c r="L457" s="432"/>
      <c r="M457" s="432"/>
      <c r="N457" s="432"/>
      <c r="O457" s="432"/>
      <c r="P457" s="432"/>
      <c r="Q457" s="432"/>
      <c r="R457" s="432"/>
      <c r="S457" s="432"/>
      <c r="T457" s="432"/>
      <c r="U457" s="432"/>
      <c r="V457" s="432"/>
      <c r="W457" s="432"/>
      <c r="X457" s="432"/>
      <c r="Y457" s="432"/>
      <c r="Z457" s="432"/>
      <c r="AA457" s="432"/>
      <c r="AB457" s="432"/>
      <c r="AC457" s="432"/>
      <c r="AD457" s="432"/>
      <c r="AE457" s="432"/>
    </row>
    <row r="458">
      <c r="A458" s="432"/>
      <c r="B458" s="432"/>
      <c r="C458" s="432"/>
      <c r="D458" s="432"/>
      <c r="E458" s="432"/>
      <c r="F458" s="432"/>
      <c r="G458" s="432"/>
      <c r="H458" s="432"/>
      <c r="I458" s="432"/>
      <c r="J458" s="432"/>
      <c r="K458" s="432"/>
      <c r="L458" s="432"/>
      <c r="M458" s="432"/>
      <c r="N458" s="432"/>
      <c r="O458" s="432"/>
      <c r="P458" s="432"/>
      <c r="Q458" s="432"/>
      <c r="R458" s="432"/>
      <c r="S458" s="432"/>
      <c r="T458" s="432"/>
      <c r="U458" s="432"/>
      <c r="V458" s="432"/>
      <c r="W458" s="432"/>
      <c r="X458" s="432"/>
      <c r="Y458" s="432"/>
      <c r="Z458" s="432"/>
      <c r="AA458" s="432"/>
      <c r="AB458" s="432"/>
      <c r="AC458" s="432"/>
      <c r="AD458" s="432"/>
      <c r="AE458" s="432"/>
    </row>
    <row r="459">
      <c r="A459" s="432"/>
      <c r="B459" s="432"/>
      <c r="C459" s="432"/>
      <c r="D459" s="432"/>
      <c r="E459" s="432"/>
      <c r="F459" s="432"/>
      <c r="G459" s="432"/>
      <c r="H459" s="432"/>
      <c r="I459" s="432"/>
      <c r="J459" s="432"/>
      <c r="K459" s="432"/>
      <c r="L459" s="432"/>
      <c r="M459" s="432"/>
      <c r="N459" s="432"/>
      <c r="O459" s="432"/>
      <c r="P459" s="432"/>
      <c r="Q459" s="432"/>
      <c r="R459" s="432"/>
      <c r="S459" s="432"/>
      <c r="T459" s="432"/>
      <c r="U459" s="432"/>
      <c r="V459" s="432"/>
      <c r="W459" s="432"/>
      <c r="X459" s="432"/>
      <c r="Y459" s="432"/>
      <c r="Z459" s="432"/>
      <c r="AA459" s="432"/>
      <c r="AB459" s="432"/>
      <c r="AC459" s="432"/>
      <c r="AD459" s="432"/>
      <c r="AE459" s="432"/>
    </row>
    <row r="460">
      <c r="A460" s="432"/>
      <c r="B460" s="432"/>
      <c r="C460" s="432"/>
      <c r="D460" s="432"/>
      <c r="E460" s="432"/>
      <c r="F460" s="432"/>
      <c r="G460" s="432"/>
      <c r="H460" s="432"/>
      <c r="I460" s="432"/>
      <c r="J460" s="432"/>
      <c r="K460" s="432"/>
      <c r="L460" s="432"/>
      <c r="M460" s="432"/>
      <c r="N460" s="432"/>
      <c r="O460" s="432"/>
      <c r="P460" s="432"/>
      <c r="Q460" s="432"/>
      <c r="R460" s="432"/>
      <c r="S460" s="432"/>
      <c r="T460" s="432"/>
      <c r="U460" s="432"/>
      <c r="V460" s="432"/>
      <c r="W460" s="432"/>
      <c r="X460" s="432"/>
      <c r="Y460" s="432"/>
      <c r="Z460" s="432"/>
      <c r="AA460" s="432"/>
      <c r="AB460" s="432"/>
      <c r="AC460" s="432"/>
      <c r="AD460" s="432"/>
      <c r="AE460" s="432"/>
    </row>
    <row r="461">
      <c r="A461" s="432"/>
      <c r="B461" s="432"/>
      <c r="C461" s="432"/>
      <c r="D461" s="432"/>
      <c r="E461" s="432"/>
      <c r="F461" s="432"/>
      <c r="G461" s="432"/>
      <c r="H461" s="432"/>
      <c r="I461" s="432"/>
      <c r="J461" s="432"/>
      <c r="K461" s="432"/>
      <c r="L461" s="432"/>
      <c r="M461" s="432"/>
      <c r="N461" s="432"/>
      <c r="O461" s="432"/>
      <c r="P461" s="432"/>
      <c r="Q461" s="432"/>
      <c r="R461" s="432"/>
      <c r="S461" s="432"/>
      <c r="T461" s="432"/>
      <c r="U461" s="432"/>
      <c r="V461" s="432"/>
      <c r="W461" s="432"/>
      <c r="X461" s="432"/>
      <c r="Y461" s="432"/>
      <c r="Z461" s="432"/>
      <c r="AA461" s="432"/>
      <c r="AB461" s="432"/>
      <c r="AC461" s="432"/>
      <c r="AD461" s="432"/>
      <c r="AE461" s="432"/>
    </row>
    <row r="462">
      <c r="A462" s="432"/>
      <c r="B462" s="432"/>
      <c r="C462" s="432"/>
      <c r="D462" s="432"/>
      <c r="E462" s="432"/>
      <c r="F462" s="432"/>
      <c r="G462" s="432"/>
      <c r="H462" s="432"/>
      <c r="I462" s="432"/>
      <c r="J462" s="432"/>
      <c r="K462" s="432"/>
      <c r="L462" s="432"/>
      <c r="M462" s="432"/>
      <c r="N462" s="432"/>
      <c r="O462" s="432"/>
      <c r="P462" s="432"/>
      <c r="Q462" s="432"/>
      <c r="R462" s="432"/>
      <c r="S462" s="432"/>
      <c r="T462" s="432"/>
      <c r="U462" s="432"/>
      <c r="V462" s="432"/>
      <c r="W462" s="432"/>
      <c r="X462" s="432"/>
      <c r="Y462" s="432"/>
      <c r="Z462" s="432"/>
      <c r="AA462" s="432"/>
      <c r="AB462" s="432"/>
      <c r="AC462" s="432"/>
      <c r="AD462" s="432"/>
      <c r="AE462" s="432"/>
    </row>
    <row r="463">
      <c r="A463" s="432"/>
      <c r="B463" s="432"/>
      <c r="C463" s="432"/>
      <c r="D463" s="432"/>
      <c r="E463" s="432"/>
      <c r="F463" s="432"/>
      <c r="G463" s="432"/>
      <c r="H463" s="432"/>
      <c r="I463" s="432"/>
      <c r="J463" s="432"/>
      <c r="K463" s="432"/>
      <c r="L463" s="432"/>
      <c r="M463" s="432"/>
      <c r="N463" s="432"/>
      <c r="O463" s="432"/>
      <c r="P463" s="432"/>
      <c r="Q463" s="432"/>
      <c r="R463" s="432"/>
      <c r="S463" s="432"/>
      <c r="T463" s="432"/>
      <c r="U463" s="432"/>
      <c r="V463" s="432"/>
      <c r="W463" s="432"/>
      <c r="X463" s="432"/>
      <c r="Y463" s="432"/>
      <c r="Z463" s="432"/>
      <c r="AA463" s="432"/>
      <c r="AB463" s="432"/>
      <c r="AC463" s="432"/>
      <c r="AD463" s="432"/>
      <c r="AE463" s="432"/>
    </row>
    <row r="464">
      <c r="A464" s="432"/>
      <c r="B464" s="432"/>
      <c r="C464" s="432"/>
      <c r="D464" s="432"/>
      <c r="E464" s="432"/>
      <c r="F464" s="432"/>
      <c r="G464" s="432"/>
      <c r="H464" s="432"/>
      <c r="I464" s="432"/>
      <c r="J464" s="432"/>
      <c r="K464" s="432"/>
      <c r="L464" s="432"/>
      <c r="M464" s="432"/>
      <c r="N464" s="432"/>
      <c r="O464" s="432"/>
      <c r="P464" s="432"/>
      <c r="Q464" s="432"/>
      <c r="R464" s="432"/>
      <c r="S464" s="432"/>
      <c r="T464" s="432"/>
      <c r="U464" s="432"/>
      <c r="V464" s="432"/>
      <c r="W464" s="432"/>
      <c r="X464" s="432"/>
      <c r="Y464" s="432"/>
      <c r="Z464" s="432"/>
      <c r="AA464" s="432"/>
      <c r="AB464" s="432"/>
      <c r="AC464" s="432"/>
      <c r="AD464" s="432"/>
      <c r="AE464" s="432"/>
    </row>
    <row r="465">
      <c r="A465" s="432"/>
      <c r="B465" s="432"/>
      <c r="C465" s="432"/>
      <c r="D465" s="432"/>
      <c r="E465" s="432"/>
      <c r="F465" s="432"/>
      <c r="G465" s="432"/>
      <c r="H465" s="432"/>
      <c r="I465" s="432"/>
      <c r="J465" s="432"/>
      <c r="K465" s="432"/>
      <c r="L465" s="432"/>
      <c r="M465" s="432"/>
      <c r="N465" s="432"/>
      <c r="O465" s="432"/>
      <c r="P465" s="432"/>
      <c r="Q465" s="432"/>
      <c r="R465" s="432"/>
      <c r="S465" s="432"/>
      <c r="T465" s="432"/>
      <c r="U465" s="432"/>
      <c r="V465" s="432"/>
      <c r="W465" s="432"/>
      <c r="X465" s="432"/>
      <c r="Y465" s="432"/>
      <c r="Z465" s="432"/>
      <c r="AA465" s="432"/>
      <c r="AB465" s="432"/>
      <c r="AC465" s="432"/>
      <c r="AD465" s="432"/>
      <c r="AE465" s="432"/>
    </row>
    <row r="466">
      <c r="A466" s="432"/>
      <c r="B466" s="432"/>
      <c r="C466" s="432"/>
      <c r="D466" s="432"/>
      <c r="E466" s="432"/>
      <c r="F466" s="432"/>
      <c r="G466" s="432"/>
      <c r="H466" s="432"/>
      <c r="I466" s="432"/>
      <c r="J466" s="432"/>
      <c r="K466" s="432"/>
      <c r="L466" s="432"/>
      <c r="M466" s="432"/>
      <c r="N466" s="432"/>
      <c r="O466" s="432"/>
      <c r="P466" s="432"/>
      <c r="Q466" s="432"/>
      <c r="R466" s="432"/>
      <c r="S466" s="432"/>
      <c r="T466" s="432"/>
      <c r="U466" s="432"/>
      <c r="V466" s="432"/>
      <c r="W466" s="432"/>
      <c r="X466" s="432"/>
      <c r="Y466" s="432"/>
      <c r="Z466" s="432"/>
      <c r="AA466" s="432"/>
      <c r="AB466" s="432"/>
      <c r="AC466" s="432"/>
      <c r="AD466" s="432"/>
      <c r="AE466" s="432"/>
    </row>
    <row r="467">
      <c r="A467" s="432"/>
      <c r="B467" s="432"/>
      <c r="C467" s="432"/>
      <c r="D467" s="432"/>
      <c r="E467" s="432"/>
      <c r="F467" s="432"/>
      <c r="G467" s="432"/>
      <c r="H467" s="432"/>
      <c r="I467" s="432"/>
      <c r="J467" s="432"/>
      <c r="K467" s="432"/>
      <c r="L467" s="432"/>
      <c r="M467" s="432"/>
      <c r="N467" s="432"/>
      <c r="O467" s="432"/>
      <c r="P467" s="432"/>
      <c r="Q467" s="432"/>
      <c r="R467" s="432"/>
      <c r="S467" s="432"/>
      <c r="T467" s="432"/>
      <c r="U467" s="432"/>
      <c r="V467" s="432"/>
      <c r="W467" s="432"/>
      <c r="X467" s="432"/>
      <c r="Y467" s="432"/>
      <c r="Z467" s="432"/>
      <c r="AA467" s="432"/>
      <c r="AB467" s="432"/>
      <c r="AC467" s="432"/>
      <c r="AD467" s="432"/>
      <c r="AE467" s="432"/>
    </row>
    <row r="468">
      <c r="A468" s="432"/>
      <c r="B468" s="432"/>
      <c r="C468" s="432"/>
      <c r="D468" s="432"/>
      <c r="E468" s="432"/>
      <c r="F468" s="432"/>
      <c r="G468" s="432"/>
      <c r="H468" s="432"/>
      <c r="I468" s="432"/>
      <c r="J468" s="432"/>
      <c r="K468" s="432"/>
      <c r="L468" s="432"/>
      <c r="M468" s="432"/>
      <c r="N468" s="432"/>
      <c r="O468" s="432"/>
      <c r="P468" s="432"/>
      <c r="Q468" s="432"/>
      <c r="R468" s="432"/>
      <c r="S468" s="432"/>
      <c r="T468" s="432"/>
      <c r="U468" s="432"/>
      <c r="V468" s="432"/>
      <c r="W468" s="432"/>
      <c r="X468" s="432"/>
      <c r="Y468" s="432"/>
      <c r="Z468" s="432"/>
      <c r="AA468" s="432"/>
      <c r="AB468" s="432"/>
      <c r="AC468" s="432"/>
      <c r="AD468" s="432"/>
      <c r="AE468" s="432"/>
    </row>
    <row r="469">
      <c r="A469" s="432"/>
      <c r="B469" s="432"/>
      <c r="C469" s="432"/>
      <c r="D469" s="432"/>
      <c r="E469" s="432"/>
      <c r="F469" s="432"/>
      <c r="G469" s="432"/>
      <c r="H469" s="432"/>
      <c r="I469" s="432"/>
      <c r="J469" s="432"/>
      <c r="K469" s="432"/>
      <c r="L469" s="432"/>
      <c r="M469" s="432"/>
      <c r="N469" s="432"/>
      <c r="O469" s="432"/>
      <c r="P469" s="432"/>
      <c r="Q469" s="432"/>
      <c r="R469" s="432"/>
      <c r="S469" s="432"/>
      <c r="T469" s="432"/>
      <c r="U469" s="432"/>
      <c r="V469" s="432"/>
      <c r="W469" s="432"/>
      <c r="X469" s="432"/>
      <c r="Y469" s="432"/>
      <c r="Z469" s="432"/>
      <c r="AA469" s="432"/>
      <c r="AB469" s="432"/>
      <c r="AC469" s="432"/>
      <c r="AD469" s="432"/>
      <c r="AE469" s="432"/>
    </row>
    <row r="470">
      <c r="A470" s="432"/>
      <c r="B470" s="432"/>
      <c r="C470" s="432"/>
      <c r="D470" s="432"/>
      <c r="E470" s="432"/>
      <c r="F470" s="432"/>
      <c r="G470" s="432"/>
      <c r="H470" s="432"/>
      <c r="I470" s="432"/>
      <c r="J470" s="432"/>
      <c r="K470" s="432"/>
      <c r="L470" s="432"/>
      <c r="M470" s="432"/>
      <c r="N470" s="432"/>
      <c r="O470" s="432"/>
      <c r="P470" s="432"/>
      <c r="Q470" s="432"/>
      <c r="R470" s="432"/>
      <c r="S470" s="432"/>
      <c r="T470" s="432"/>
      <c r="U470" s="432"/>
      <c r="V470" s="432"/>
      <c r="W470" s="432"/>
      <c r="X470" s="432"/>
      <c r="Y470" s="432"/>
      <c r="Z470" s="432"/>
      <c r="AA470" s="432"/>
      <c r="AB470" s="432"/>
      <c r="AC470" s="432"/>
      <c r="AD470" s="432"/>
      <c r="AE470" s="432"/>
    </row>
    <row r="471">
      <c r="A471" s="432"/>
      <c r="B471" s="432"/>
      <c r="C471" s="432"/>
      <c r="D471" s="432"/>
      <c r="E471" s="432"/>
      <c r="F471" s="432"/>
      <c r="G471" s="432"/>
      <c r="H471" s="432"/>
      <c r="I471" s="432"/>
      <c r="J471" s="432"/>
      <c r="K471" s="432"/>
      <c r="L471" s="432"/>
      <c r="M471" s="432"/>
      <c r="N471" s="432"/>
      <c r="O471" s="432"/>
      <c r="P471" s="432"/>
      <c r="Q471" s="432"/>
      <c r="R471" s="432"/>
      <c r="S471" s="432"/>
      <c r="T471" s="432"/>
      <c r="U471" s="432"/>
      <c r="V471" s="432"/>
      <c r="W471" s="432"/>
      <c r="X471" s="432"/>
      <c r="Y471" s="432"/>
      <c r="Z471" s="432"/>
      <c r="AA471" s="432"/>
      <c r="AB471" s="432"/>
      <c r="AC471" s="432"/>
      <c r="AD471" s="432"/>
      <c r="AE471" s="432"/>
    </row>
    <row r="472">
      <c r="A472" s="432"/>
      <c r="B472" s="432"/>
      <c r="C472" s="432"/>
      <c r="D472" s="432"/>
      <c r="E472" s="432"/>
      <c r="F472" s="432"/>
      <c r="G472" s="432"/>
      <c r="H472" s="432"/>
      <c r="I472" s="432"/>
      <c r="J472" s="432"/>
      <c r="K472" s="432"/>
      <c r="L472" s="432"/>
      <c r="M472" s="432"/>
      <c r="N472" s="432"/>
      <c r="O472" s="432"/>
      <c r="P472" s="432"/>
      <c r="Q472" s="432"/>
      <c r="R472" s="432"/>
      <c r="S472" s="432"/>
      <c r="T472" s="432"/>
      <c r="U472" s="432"/>
      <c r="V472" s="432"/>
      <c r="W472" s="432"/>
      <c r="X472" s="432"/>
      <c r="Y472" s="432"/>
      <c r="Z472" s="432"/>
      <c r="AA472" s="432"/>
      <c r="AB472" s="432"/>
      <c r="AC472" s="432"/>
      <c r="AD472" s="432"/>
      <c r="AE472" s="432"/>
    </row>
    <row r="473">
      <c r="A473" s="432"/>
      <c r="B473" s="432"/>
      <c r="C473" s="432"/>
      <c r="D473" s="432"/>
      <c r="E473" s="432"/>
      <c r="F473" s="432"/>
      <c r="G473" s="432"/>
      <c r="H473" s="432"/>
      <c r="I473" s="432"/>
      <c r="J473" s="432"/>
      <c r="K473" s="432"/>
      <c r="L473" s="432"/>
      <c r="M473" s="432"/>
      <c r="N473" s="432"/>
      <c r="O473" s="432"/>
      <c r="P473" s="432"/>
      <c r="Q473" s="432"/>
      <c r="R473" s="432"/>
      <c r="S473" s="432"/>
      <c r="T473" s="432"/>
      <c r="U473" s="432"/>
      <c r="V473" s="432"/>
      <c r="W473" s="432"/>
      <c r="X473" s="432"/>
      <c r="Y473" s="432"/>
      <c r="Z473" s="432"/>
      <c r="AA473" s="432"/>
      <c r="AB473" s="432"/>
      <c r="AC473" s="432"/>
      <c r="AD473" s="432"/>
      <c r="AE473" s="432"/>
    </row>
    <row r="474">
      <c r="A474" s="432"/>
      <c r="B474" s="432"/>
      <c r="C474" s="432"/>
      <c r="D474" s="432"/>
      <c r="E474" s="432"/>
      <c r="F474" s="432"/>
      <c r="G474" s="432"/>
      <c r="H474" s="432"/>
      <c r="I474" s="432"/>
      <c r="J474" s="432"/>
      <c r="K474" s="432"/>
      <c r="L474" s="432"/>
      <c r="M474" s="432"/>
      <c r="N474" s="432"/>
      <c r="O474" s="432"/>
      <c r="P474" s="432"/>
      <c r="Q474" s="432"/>
      <c r="R474" s="432"/>
      <c r="S474" s="432"/>
      <c r="T474" s="432"/>
      <c r="U474" s="432"/>
      <c r="V474" s="432"/>
      <c r="W474" s="432"/>
      <c r="X474" s="432"/>
      <c r="Y474" s="432"/>
      <c r="Z474" s="432"/>
      <c r="AA474" s="432"/>
      <c r="AB474" s="432"/>
      <c r="AC474" s="432"/>
      <c r="AD474" s="432"/>
      <c r="AE474" s="432"/>
    </row>
    <row r="475">
      <c r="A475" s="432"/>
      <c r="B475" s="432"/>
      <c r="C475" s="432"/>
      <c r="D475" s="432"/>
      <c r="E475" s="432"/>
      <c r="F475" s="432"/>
      <c r="G475" s="432"/>
      <c r="H475" s="432"/>
      <c r="I475" s="432"/>
      <c r="J475" s="432"/>
      <c r="K475" s="432"/>
      <c r="L475" s="432"/>
      <c r="M475" s="432"/>
      <c r="N475" s="432"/>
      <c r="O475" s="432"/>
      <c r="P475" s="432"/>
      <c r="Q475" s="432"/>
      <c r="R475" s="432"/>
      <c r="S475" s="432"/>
      <c r="T475" s="432"/>
      <c r="U475" s="432"/>
      <c r="V475" s="432"/>
      <c r="W475" s="432"/>
      <c r="X475" s="432"/>
      <c r="Y475" s="432"/>
      <c r="Z475" s="432"/>
      <c r="AA475" s="432"/>
      <c r="AB475" s="432"/>
      <c r="AC475" s="432"/>
      <c r="AD475" s="432"/>
      <c r="AE475" s="432"/>
    </row>
    <row r="476">
      <c r="A476" s="432"/>
      <c r="B476" s="432"/>
      <c r="C476" s="432"/>
      <c r="D476" s="432"/>
      <c r="E476" s="432"/>
      <c r="F476" s="432"/>
      <c r="G476" s="432"/>
      <c r="H476" s="432"/>
      <c r="I476" s="432"/>
      <c r="J476" s="432"/>
      <c r="K476" s="432"/>
      <c r="L476" s="432"/>
      <c r="M476" s="432"/>
      <c r="N476" s="432"/>
      <c r="O476" s="432"/>
      <c r="P476" s="432"/>
      <c r="Q476" s="432"/>
      <c r="R476" s="432"/>
      <c r="S476" s="432"/>
      <c r="T476" s="432"/>
      <c r="U476" s="432"/>
      <c r="V476" s="432"/>
      <c r="W476" s="432"/>
      <c r="X476" s="432"/>
      <c r="Y476" s="432"/>
      <c r="Z476" s="432"/>
      <c r="AA476" s="432"/>
      <c r="AB476" s="432"/>
      <c r="AC476" s="432"/>
      <c r="AD476" s="432"/>
      <c r="AE476" s="432"/>
    </row>
    <row r="477">
      <c r="A477" s="432"/>
      <c r="B477" s="432"/>
      <c r="C477" s="432"/>
      <c r="D477" s="432"/>
      <c r="E477" s="432"/>
      <c r="F477" s="432"/>
      <c r="G477" s="432"/>
      <c r="H477" s="432"/>
      <c r="I477" s="432"/>
      <c r="J477" s="432"/>
      <c r="K477" s="432"/>
      <c r="L477" s="432"/>
      <c r="M477" s="432"/>
      <c r="N477" s="432"/>
      <c r="O477" s="432"/>
      <c r="P477" s="432"/>
      <c r="Q477" s="432"/>
      <c r="R477" s="432"/>
      <c r="S477" s="432"/>
      <c r="T477" s="432"/>
      <c r="U477" s="432"/>
      <c r="V477" s="432"/>
      <c r="W477" s="432"/>
      <c r="X477" s="432"/>
      <c r="Y477" s="432"/>
      <c r="Z477" s="432"/>
      <c r="AA477" s="432"/>
      <c r="AB477" s="432"/>
      <c r="AC477" s="432"/>
      <c r="AD477" s="432"/>
      <c r="AE477" s="432"/>
    </row>
    <row r="478">
      <c r="A478" s="432"/>
      <c r="B478" s="432"/>
      <c r="C478" s="432"/>
      <c r="D478" s="432"/>
      <c r="E478" s="432"/>
      <c r="F478" s="432"/>
      <c r="G478" s="432"/>
      <c r="H478" s="432"/>
      <c r="I478" s="432"/>
      <c r="J478" s="432"/>
      <c r="K478" s="432"/>
      <c r="L478" s="432"/>
      <c r="M478" s="432"/>
      <c r="N478" s="432"/>
      <c r="O478" s="432"/>
      <c r="P478" s="432"/>
      <c r="Q478" s="432"/>
      <c r="R478" s="432"/>
      <c r="S478" s="432"/>
      <c r="T478" s="432"/>
      <c r="U478" s="432"/>
      <c r="V478" s="432"/>
      <c r="W478" s="432"/>
      <c r="X478" s="432"/>
      <c r="Y478" s="432"/>
      <c r="Z478" s="432"/>
      <c r="AA478" s="432"/>
      <c r="AB478" s="432"/>
      <c r="AC478" s="432"/>
      <c r="AD478" s="432"/>
      <c r="AE478" s="432"/>
    </row>
    <row r="479">
      <c r="A479" s="432"/>
      <c r="B479" s="432"/>
      <c r="C479" s="432"/>
      <c r="D479" s="432"/>
      <c r="E479" s="432"/>
      <c r="F479" s="432"/>
      <c r="G479" s="432"/>
      <c r="H479" s="432"/>
      <c r="I479" s="432"/>
      <c r="J479" s="432"/>
      <c r="K479" s="432"/>
      <c r="L479" s="432"/>
      <c r="M479" s="432"/>
      <c r="N479" s="432"/>
      <c r="O479" s="432"/>
      <c r="P479" s="432"/>
      <c r="Q479" s="432"/>
      <c r="R479" s="432"/>
      <c r="S479" s="432"/>
      <c r="T479" s="432"/>
      <c r="U479" s="432"/>
      <c r="V479" s="432"/>
      <c r="W479" s="432"/>
      <c r="X479" s="432"/>
      <c r="Y479" s="432"/>
      <c r="Z479" s="432"/>
      <c r="AA479" s="432"/>
      <c r="AB479" s="432"/>
      <c r="AC479" s="432"/>
      <c r="AD479" s="432"/>
      <c r="AE479" s="432"/>
    </row>
    <row r="480">
      <c r="A480" s="432"/>
      <c r="B480" s="432"/>
      <c r="C480" s="432"/>
      <c r="D480" s="432"/>
      <c r="E480" s="432"/>
      <c r="F480" s="432"/>
      <c r="G480" s="432"/>
      <c r="H480" s="432"/>
      <c r="I480" s="432"/>
      <c r="J480" s="432"/>
      <c r="K480" s="432"/>
      <c r="L480" s="432"/>
      <c r="M480" s="432"/>
      <c r="N480" s="432"/>
      <c r="O480" s="432"/>
      <c r="P480" s="432"/>
      <c r="Q480" s="432"/>
      <c r="R480" s="432"/>
      <c r="S480" s="432"/>
      <c r="T480" s="432"/>
      <c r="U480" s="432"/>
      <c r="V480" s="432"/>
      <c r="W480" s="432"/>
      <c r="X480" s="432"/>
      <c r="Y480" s="432"/>
      <c r="Z480" s="432"/>
      <c r="AA480" s="432"/>
      <c r="AB480" s="432"/>
      <c r="AC480" s="432"/>
      <c r="AD480" s="432"/>
      <c r="AE480" s="432"/>
    </row>
    <row r="481">
      <c r="A481" s="432"/>
      <c r="B481" s="432"/>
      <c r="C481" s="432"/>
      <c r="D481" s="432"/>
      <c r="E481" s="432"/>
      <c r="F481" s="432"/>
      <c r="G481" s="432"/>
      <c r="H481" s="432"/>
      <c r="I481" s="432"/>
      <c r="J481" s="432"/>
      <c r="K481" s="432"/>
      <c r="L481" s="432"/>
      <c r="M481" s="432"/>
      <c r="N481" s="432"/>
      <c r="O481" s="432"/>
      <c r="P481" s="432"/>
      <c r="Q481" s="432"/>
      <c r="R481" s="432"/>
      <c r="S481" s="432"/>
      <c r="T481" s="432"/>
      <c r="U481" s="432"/>
      <c r="V481" s="432"/>
      <c r="W481" s="432"/>
      <c r="X481" s="432"/>
      <c r="Y481" s="432"/>
      <c r="Z481" s="432"/>
      <c r="AA481" s="432"/>
      <c r="AB481" s="432"/>
      <c r="AC481" s="432"/>
      <c r="AD481" s="432"/>
      <c r="AE481" s="432"/>
    </row>
    <row r="482">
      <c r="A482" s="432"/>
      <c r="B482" s="432"/>
      <c r="C482" s="432"/>
      <c r="D482" s="432"/>
      <c r="E482" s="432"/>
      <c r="F482" s="432"/>
      <c r="G482" s="432"/>
      <c r="H482" s="432"/>
      <c r="I482" s="432"/>
      <c r="J482" s="432"/>
      <c r="K482" s="432"/>
      <c r="L482" s="432"/>
      <c r="M482" s="432"/>
      <c r="N482" s="432"/>
      <c r="O482" s="432"/>
      <c r="P482" s="432"/>
      <c r="Q482" s="432"/>
      <c r="R482" s="432"/>
      <c r="S482" s="432"/>
      <c r="T482" s="432"/>
      <c r="U482" s="432"/>
      <c r="V482" s="432"/>
      <c r="W482" s="432"/>
      <c r="X482" s="432"/>
      <c r="Y482" s="432"/>
      <c r="Z482" s="432"/>
      <c r="AA482" s="432"/>
      <c r="AB482" s="432"/>
      <c r="AC482" s="432"/>
      <c r="AD482" s="432"/>
      <c r="AE482" s="432"/>
    </row>
    <row r="483">
      <c r="A483" s="432"/>
      <c r="B483" s="432"/>
      <c r="C483" s="432"/>
      <c r="D483" s="432"/>
      <c r="E483" s="432"/>
      <c r="F483" s="432"/>
      <c r="G483" s="432"/>
      <c r="H483" s="432"/>
      <c r="I483" s="432"/>
      <c r="J483" s="432"/>
      <c r="K483" s="432"/>
      <c r="L483" s="432"/>
      <c r="M483" s="432"/>
      <c r="N483" s="432"/>
      <c r="O483" s="432"/>
      <c r="P483" s="432"/>
      <c r="Q483" s="432"/>
      <c r="R483" s="432"/>
      <c r="S483" s="432"/>
      <c r="T483" s="432"/>
      <c r="U483" s="432"/>
      <c r="V483" s="432"/>
      <c r="W483" s="432"/>
      <c r="X483" s="432"/>
      <c r="Y483" s="432"/>
      <c r="Z483" s="432"/>
      <c r="AA483" s="432"/>
      <c r="AB483" s="432"/>
      <c r="AC483" s="432"/>
      <c r="AD483" s="432"/>
      <c r="AE483" s="432"/>
    </row>
    <row r="484">
      <c r="A484" s="432"/>
      <c r="B484" s="432"/>
      <c r="C484" s="432"/>
      <c r="D484" s="432"/>
      <c r="E484" s="432"/>
      <c r="F484" s="432"/>
      <c r="G484" s="432"/>
      <c r="H484" s="432"/>
      <c r="I484" s="432"/>
      <c r="J484" s="432"/>
      <c r="K484" s="432"/>
      <c r="L484" s="432"/>
      <c r="M484" s="432"/>
      <c r="N484" s="432"/>
      <c r="O484" s="432"/>
      <c r="P484" s="432"/>
      <c r="Q484" s="432"/>
      <c r="R484" s="432"/>
      <c r="S484" s="432"/>
      <c r="T484" s="432"/>
      <c r="U484" s="432"/>
      <c r="V484" s="432"/>
      <c r="W484" s="432"/>
      <c r="X484" s="432"/>
      <c r="Y484" s="432"/>
      <c r="Z484" s="432"/>
      <c r="AA484" s="432"/>
      <c r="AB484" s="432"/>
      <c r="AC484" s="432"/>
      <c r="AD484" s="432"/>
      <c r="AE484" s="432"/>
    </row>
    <row r="485">
      <c r="A485" s="432"/>
      <c r="B485" s="432"/>
      <c r="C485" s="432"/>
      <c r="D485" s="432"/>
      <c r="E485" s="432"/>
      <c r="F485" s="432"/>
      <c r="G485" s="432"/>
      <c r="H485" s="432"/>
      <c r="I485" s="432"/>
      <c r="J485" s="432"/>
      <c r="K485" s="432"/>
      <c r="L485" s="432"/>
      <c r="M485" s="432"/>
      <c r="N485" s="432"/>
      <c r="O485" s="432"/>
      <c r="P485" s="432"/>
      <c r="Q485" s="432"/>
      <c r="R485" s="432"/>
      <c r="S485" s="432"/>
      <c r="T485" s="432"/>
      <c r="U485" s="432"/>
      <c r="V485" s="432"/>
      <c r="W485" s="432"/>
      <c r="X485" s="432"/>
      <c r="Y485" s="432"/>
      <c r="Z485" s="432"/>
      <c r="AA485" s="432"/>
      <c r="AB485" s="432"/>
      <c r="AC485" s="432"/>
      <c r="AD485" s="432"/>
      <c r="AE485" s="432"/>
    </row>
    <row r="486">
      <c r="A486" s="432"/>
      <c r="B486" s="432"/>
      <c r="C486" s="432"/>
      <c r="D486" s="432"/>
      <c r="E486" s="432"/>
      <c r="F486" s="432"/>
      <c r="G486" s="432"/>
      <c r="H486" s="432"/>
      <c r="I486" s="432"/>
      <c r="J486" s="432"/>
      <c r="K486" s="432"/>
      <c r="L486" s="432"/>
      <c r="M486" s="432"/>
      <c r="N486" s="432"/>
      <c r="O486" s="432"/>
      <c r="P486" s="432"/>
      <c r="Q486" s="432"/>
      <c r="R486" s="432"/>
      <c r="S486" s="432"/>
      <c r="T486" s="432"/>
      <c r="U486" s="432"/>
      <c r="V486" s="432"/>
      <c r="W486" s="432"/>
      <c r="X486" s="432"/>
      <c r="Y486" s="432"/>
      <c r="Z486" s="432"/>
      <c r="AA486" s="432"/>
      <c r="AB486" s="432"/>
      <c r="AC486" s="432"/>
      <c r="AD486" s="432"/>
      <c r="AE486" s="432"/>
    </row>
    <row r="487">
      <c r="A487" s="432"/>
      <c r="B487" s="432"/>
      <c r="C487" s="432"/>
      <c r="D487" s="432"/>
      <c r="E487" s="432"/>
      <c r="F487" s="432"/>
      <c r="G487" s="432"/>
      <c r="H487" s="432"/>
      <c r="I487" s="432"/>
      <c r="J487" s="432"/>
      <c r="K487" s="432"/>
      <c r="L487" s="432"/>
      <c r="M487" s="432"/>
      <c r="N487" s="432"/>
      <c r="O487" s="432"/>
      <c r="P487" s="432"/>
      <c r="Q487" s="432"/>
      <c r="R487" s="432"/>
      <c r="S487" s="432"/>
      <c r="T487" s="432"/>
      <c r="U487" s="432"/>
      <c r="V487" s="432"/>
      <c r="W487" s="432"/>
      <c r="X487" s="432"/>
      <c r="Y487" s="432"/>
      <c r="Z487" s="432"/>
      <c r="AA487" s="432"/>
      <c r="AB487" s="432"/>
      <c r="AC487" s="432"/>
      <c r="AD487" s="432"/>
      <c r="AE487" s="432"/>
    </row>
    <row r="488">
      <c r="A488" s="432"/>
      <c r="B488" s="432"/>
      <c r="C488" s="432"/>
      <c r="D488" s="432"/>
      <c r="E488" s="432"/>
      <c r="F488" s="432"/>
      <c r="G488" s="432"/>
      <c r="H488" s="432"/>
      <c r="I488" s="432"/>
      <c r="J488" s="432"/>
      <c r="K488" s="432"/>
      <c r="L488" s="432"/>
      <c r="M488" s="432"/>
      <c r="N488" s="432"/>
      <c r="O488" s="432"/>
      <c r="P488" s="432"/>
      <c r="Q488" s="432"/>
      <c r="R488" s="432"/>
      <c r="S488" s="432"/>
      <c r="T488" s="432"/>
      <c r="U488" s="432"/>
      <c r="V488" s="432"/>
      <c r="W488" s="432"/>
      <c r="X488" s="432"/>
      <c r="Y488" s="432"/>
      <c r="Z488" s="432"/>
      <c r="AA488" s="432"/>
      <c r="AB488" s="432"/>
      <c r="AC488" s="432"/>
      <c r="AD488" s="432"/>
      <c r="AE488" s="432"/>
    </row>
    <row r="489">
      <c r="A489" s="432"/>
      <c r="B489" s="432"/>
      <c r="C489" s="432"/>
      <c r="D489" s="432"/>
      <c r="E489" s="432"/>
      <c r="F489" s="432"/>
      <c r="G489" s="432"/>
      <c r="H489" s="432"/>
      <c r="I489" s="432"/>
      <c r="J489" s="432"/>
      <c r="K489" s="432"/>
      <c r="L489" s="432"/>
      <c r="M489" s="432"/>
      <c r="N489" s="432"/>
      <c r="O489" s="432"/>
      <c r="P489" s="432"/>
      <c r="Q489" s="432"/>
      <c r="R489" s="432"/>
      <c r="S489" s="432"/>
      <c r="T489" s="432"/>
      <c r="U489" s="432"/>
      <c r="V489" s="432"/>
      <c r="W489" s="432"/>
      <c r="X489" s="432"/>
      <c r="Y489" s="432"/>
      <c r="Z489" s="432"/>
      <c r="AA489" s="432"/>
      <c r="AB489" s="432"/>
      <c r="AC489" s="432"/>
      <c r="AD489" s="432"/>
      <c r="AE489" s="432"/>
    </row>
    <row r="490">
      <c r="A490" s="432"/>
      <c r="B490" s="432"/>
      <c r="C490" s="432"/>
      <c r="D490" s="432"/>
      <c r="E490" s="432"/>
      <c r="F490" s="432"/>
      <c r="G490" s="432"/>
      <c r="H490" s="432"/>
      <c r="I490" s="432"/>
      <c r="J490" s="432"/>
      <c r="K490" s="432"/>
      <c r="L490" s="432"/>
      <c r="M490" s="432"/>
      <c r="N490" s="432"/>
      <c r="O490" s="432"/>
      <c r="P490" s="432"/>
      <c r="Q490" s="432"/>
      <c r="R490" s="432"/>
      <c r="S490" s="432"/>
      <c r="T490" s="432"/>
      <c r="U490" s="432"/>
      <c r="V490" s="432"/>
      <c r="W490" s="432"/>
      <c r="X490" s="432"/>
      <c r="Y490" s="432"/>
      <c r="Z490" s="432"/>
      <c r="AA490" s="432"/>
      <c r="AB490" s="432"/>
      <c r="AC490" s="432"/>
      <c r="AD490" s="432"/>
      <c r="AE490" s="432"/>
    </row>
    <row r="491">
      <c r="A491" s="432"/>
      <c r="B491" s="432"/>
      <c r="C491" s="432"/>
      <c r="D491" s="432"/>
      <c r="E491" s="432"/>
      <c r="F491" s="432"/>
      <c r="G491" s="432"/>
      <c r="H491" s="432"/>
      <c r="I491" s="432"/>
      <c r="J491" s="432"/>
      <c r="K491" s="432"/>
      <c r="L491" s="432"/>
      <c r="M491" s="432"/>
      <c r="N491" s="432"/>
      <c r="O491" s="432"/>
      <c r="P491" s="432"/>
      <c r="Q491" s="432"/>
      <c r="R491" s="432"/>
      <c r="S491" s="432"/>
      <c r="T491" s="432"/>
      <c r="U491" s="432"/>
      <c r="V491" s="432"/>
      <c r="W491" s="432"/>
      <c r="X491" s="432"/>
      <c r="Y491" s="432"/>
      <c r="Z491" s="432"/>
      <c r="AA491" s="432"/>
      <c r="AB491" s="432"/>
      <c r="AC491" s="432"/>
      <c r="AD491" s="432"/>
      <c r="AE491" s="432"/>
    </row>
    <row r="492">
      <c r="A492" s="432"/>
      <c r="B492" s="432"/>
      <c r="C492" s="432"/>
      <c r="D492" s="432"/>
      <c r="E492" s="432"/>
      <c r="F492" s="432"/>
      <c r="G492" s="432"/>
      <c r="H492" s="432"/>
      <c r="I492" s="432"/>
      <c r="J492" s="432"/>
      <c r="K492" s="432"/>
      <c r="L492" s="432"/>
      <c r="M492" s="432"/>
      <c r="N492" s="432"/>
      <c r="O492" s="432"/>
      <c r="P492" s="432"/>
      <c r="Q492" s="432"/>
      <c r="R492" s="432"/>
      <c r="S492" s="432"/>
      <c r="T492" s="432"/>
      <c r="U492" s="432"/>
      <c r="V492" s="432"/>
      <c r="W492" s="432"/>
      <c r="X492" s="432"/>
      <c r="Y492" s="432"/>
      <c r="Z492" s="432"/>
      <c r="AA492" s="432"/>
      <c r="AB492" s="432"/>
      <c r="AC492" s="432"/>
      <c r="AD492" s="432"/>
      <c r="AE492" s="432"/>
    </row>
    <row r="493">
      <c r="A493" s="432"/>
      <c r="B493" s="432"/>
      <c r="C493" s="432"/>
      <c r="D493" s="432"/>
      <c r="E493" s="432"/>
      <c r="F493" s="432"/>
      <c r="G493" s="432"/>
      <c r="H493" s="432"/>
      <c r="I493" s="432"/>
      <c r="J493" s="432"/>
      <c r="K493" s="432"/>
      <c r="L493" s="432"/>
      <c r="M493" s="432"/>
      <c r="N493" s="432"/>
      <c r="O493" s="432"/>
      <c r="P493" s="432"/>
      <c r="Q493" s="432"/>
      <c r="R493" s="432"/>
      <c r="S493" s="432"/>
      <c r="T493" s="432"/>
      <c r="U493" s="432"/>
      <c r="V493" s="432"/>
      <c r="W493" s="432"/>
      <c r="X493" s="432"/>
      <c r="Y493" s="432"/>
      <c r="Z493" s="432"/>
      <c r="AA493" s="432"/>
      <c r="AB493" s="432"/>
      <c r="AC493" s="432"/>
      <c r="AD493" s="432"/>
      <c r="AE493" s="432"/>
    </row>
    <row r="494">
      <c r="A494" s="432"/>
      <c r="B494" s="432"/>
      <c r="C494" s="432"/>
      <c r="D494" s="432"/>
      <c r="E494" s="432"/>
      <c r="F494" s="432"/>
      <c r="G494" s="432"/>
      <c r="H494" s="432"/>
      <c r="I494" s="432"/>
      <c r="J494" s="432"/>
      <c r="K494" s="432"/>
      <c r="L494" s="432"/>
      <c r="M494" s="432"/>
      <c r="N494" s="432"/>
      <c r="O494" s="432"/>
      <c r="P494" s="432"/>
      <c r="Q494" s="432"/>
      <c r="R494" s="432"/>
      <c r="S494" s="432"/>
      <c r="T494" s="432"/>
      <c r="U494" s="432"/>
      <c r="V494" s="432"/>
      <c r="W494" s="432"/>
      <c r="X494" s="432"/>
      <c r="Y494" s="432"/>
      <c r="Z494" s="432"/>
      <c r="AA494" s="432"/>
      <c r="AB494" s="432"/>
      <c r="AC494" s="432"/>
      <c r="AD494" s="432"/>
      <c r="AE494" s="432"/>
    </row>
    <row r="495">
      <c r="A495" s="432"/>
      <c r="B495" s="432"/>
      <c r="C495" s="432"/>
      <c r="D495" s="432"/>
      <c r="E495" s="432"/>
      <c r="F495" s="432"/>
      <c r="G495" s="432"/>
      <c r="H495" s="432"/>
      <c r="I495" s="432"/>
      <c r="J495" s="432"/>
      <c r="K495" s="432"/>
      <c r="L495" s="432"/>
      <c r="M495" s="432"/>
      <c r="N495" s="432"/>
      <c r="O495" s="432"/>
      <c r="P495" s="432"/>
      <c r="Q495" s="432"/>
      <c r="R495" s="432"/>
      <c r="S495" s="432"/>
      <c r="T495" s="432"/>
      <c r="U495" s="432"/>
      <c r="V495" s="432"/>
      <c r="W495" s="432"/>
      <c r="X495" s="432"/>
      <c r="Y495" s="432"/>
      <c r="Z495" s="432"/>
      <c r="AA495" s="432"/>
      <c r="AB495" s="432"/>
      <c r="AC495" s="432"/>
      <c r="AD495" s="432"/>
      <c r="AE495" s="432"/>
    </row>
    <row r="496">
      <c r="A496" s="432"/>
      <c r="B496" s="432"/>
      <c r="C496" s="432"/>
      <c r="D496" s="432"/>
      <c r="E496" s="432"/>
      <c r="F496" s="432"/>
      <c r="G496" s="432"/>
      <c r="H496" s="432"/>
      <c r="I496" s="432"/>
      <c r="J496" s="432"/>
      <c r="K496" s="432"/>
      <c r="L496" s="432"/>
      <c r="M496" s="432"/>
      <c r="N496" s="432"/>
      <c r="O496" s="432"/>
      <c r="P496" s="432"/>
      <c r="Q496" s="432"/>
      <c r="R496" s="432"/>
      <c r="S496" s="432"/>
      <c r="T496" s="432"/>
      <c r="U496" s="432"/>
      <c r="V496" s="432"/>
      <c r="W496" s="432"/>
      <c r="X496" s="432"/>
      <c r="Y496" s="432"/>
      <c r="Z496" s="432"/>
      <c r="AA496" s="432"/>
      <c r="AB496" s="432"/>
      <c r="AC496" s="432"/>
      <c r="AD496" s="432"/>
      <c r="AE496" s="432"/>
    </row>
    <row r="497">
      <c r="A497" s="432"/>
      <c r="B497" s="432"/>
      <c r="C497" s="432"/>
      <c r="D497" s="432"/>
      <c r="E497" s="432"/>
      <c r="F497" s="432"/>
      <c r="G497" s="432"/>
      <c r="H497" s="432"/>
      <c r="I497" s="432"/>
      <c r="J497" s="432"/>
      <c r="K497" s="432"/>
      <c r="L497" s="432"/>
      <c r="M497" s="432"/>
      <c r="N497" s="432"/>
      <c r="O497" s="432"/>
      <c r="P497" s="432"/>
      <c r="Q497" s="432"/>
      <c r="R497" s="432"/>
      <c r="S497" s="432"/>
      <c r="T497" s="432"/>
      <c r="U497" s="432"/>
      <c r="V497" s="432"/>
      <c r="W497" s="432"/>
      <c r="X497" s="432"/>
      <c r="Y497" s="432"/>
      <c r="Z497" s="432"/>
      <c r="AA497" s="432"/>
      <c r="AB497" s="432"/>
      <c r="AC497" s="432"/>
      <c r="AD497" s="432"/>
      <c r="AE497" s="432"/>
    </row>
    <row r="498">
      <c r="A498" s="432"/>
      <c r="B498" s="432"/>
      <c r="C498" s="432"/>
      <c r="D498" s="432"/>
      <c r="E498" s="432"/>
      <c r="F498" s="432"/>
      <c r="G498" s="432"/>
      <c r="H498" s="432"/>
      <c r="I498" s="432"/>
      <c r="J498" s="432"/>
      <c r="K498" s="432"/>
      <c r="L498" s="432"/>
      <c r="M498" s="432"/>
      <c r="N498" s="432"/>
      <c r="O498" s="432"/>
      <c r="P498" s="432"/>
      <c r="Q498" s="432"/>
      <c r="R498" s="432"/>
      <c r="S498" s="432"/>
      <c r="T498" s="432"/>
      <c r="U498" s="432"/>
      <c r="V498" s="432"/>
      <c r="W498" s="432"/>
      <c r="X498" s="432"/>
      <c r="Y498" s="432"/>
      <c r="Z498" s="432"/>
      <c r="AA498" s="432"/>
      <c r="AB498" s="432"/>
      <c r="AC498" s="432"/>
      <c r="AD498" s="432"/>
      <c r="AE498" s="432"/>
    </row>
    <row r="499">
      <c r="A499" s="432"/>
      <c r="B499" s="432"/>
      <c r="C499" s="432"/>
      <c r="D499" s="432"/>
      <c r="E499" s="432"/>
      <c r="F499" s="432"/>
      <c r="G499" s="432"/>
      <c r="H499" s="432"/>
      <c r="I499" s="432"/>
      <c r="J499" s="432"/>
      <c r="K499" s="432"/>
      <c r="L499" s="432"/>
      <c r="M499" s="432"/>
      <c r="N499" s="432"/>
      <c r="O499" s="432"/>
      <c r="P499" s="432"/>
      <c r="Q499" s="432"/>
      <c r="R499" s="432"/>
      <c r="S499" s="432"/>
      <c r="T499" s="432"/>
      <c r="U499" s="432"/>
      <c r="V499" s="432"/>
      <c r="W499" s="432"/>
      <c r="X499" s="432"/>
      <c r="Y499" s="432"/>
      <c r="Z499" s="432"/>
      <c r="AA499" s="432"/>
      <c r="AB499" s="432"/>
      <c r="AC499" s="432"/>
      <c r="AD499" s="432"/>
      <c r="AE499" s="432"/>
    </row>
    <row r="500">
      <c r="A500" s="432"/>
      <c r="B500" s="432"/>
      <c r="C500" s="432"/>
      <c r="D500" s="432"/>
      <c r="E500" s="432"/>
      <c r="F500" s="432"/>
      <c r="G500" s="432"/>
      <c r="H500" s="432"/>
      <c r="I500" s="432"/>
      <c r="J500" s="432"/>
      <c r="K500" s="432"/>
      <c r="L500" s="432"/>
      <c r="M500" s="432"/>
      <c r="N500" s="432"/>
      <c r="O500" s="432"/>
      <c r="P500" s="432"/>
      <c r="Q500" s="432"/>
      <c r="R500" s="432"/>
      <c r="S500" s="432"/>
      <c r="T500" s="432"/>
      <c r="U500" s="432"/>
      <c r="V500" s="432"/>
      <c r="W500" s="432"/>
      <c r="X500" s="432"/>
      <c r="Y500" s="432"/>
      <c r="Z500" s="432"/>
      <c r="AA500" s="432"/>
      <c r="AB500" s="432"/>
      <c r="AC500" s="432"/>
      <c r="AD500" s="432"/>
      <c r="AE500" s="432"/>
    </row>
    <row r="501">
      <c r="A501" s="432"/>
      <c r="B501" s="432"/>
      <c r="C501" s="432"/>
      <c r="D501" s="432"/>
      <c r="E501" s="432"/>
      <c r="F501" s="432"/>
      <c r="G501" s="432"/>
      <c r="H501" s="432"/>
      <c r="I501" s="432"/>
      <c r="J501" s="432"/>
      <c r="K501" s="432"/>
      <c r="L501" s="432"/>
      <c r="M501" s="432"/>
      <c r="N501" s="432"/>
      <c r="O501" s="432"/>
      <c r="P501" s="432"/>
      <c r="Q501" s="432"/>
      <c r="R501" s="432"/>
      <c r="S501" s="432"/>
      <c r="T501" s="432"/>
      <c r="U501" s="432"/>
      <c r="V501" s="432"/>
      <c r="W501" s="432"/>
      <c r="X501" s="432"/>
      <c r="Y501" s="432"/>
      <c r="Z501" s="432"/>
      <c r="AA501" s="432"/>
      <c r="AB501" s="432"/>
      <c r="AC501" s="432"/>
      <c r="AD501" s="432"/>
      <c r="AE501" s="432"/>
    </row>
    <row r="502">
      <c r="A502" s="432"/>
      <c r="B502" s="432"/>
      <c r="C502" s="432"/>
      <c r="D502" s="432"/>
      <c r="E502" s="432"/>
      <c r="F502" s="432"/>
      <c r="G502" s="432"/>
      <c r="H502" s="432"/>
      <c r="I502" s="432"/>
      <c r="J502" s="432"/>
      <c r="K502" s="432"/>
      <c r="L502" s="432"/>
      <c r="M502" s="432"/>
      <c r="N502" s="432"/>
      <c r="O502" s="432"/>
      <c r="P502" s="432"/>
      <c r="Q502" s="432"/>
      <c r="R502" s="432"/>
      <c r="S502" s="432"/>
      <c r="T502" s="432"/>
      <c r="U502" s="432"/>
      <c r="V502" s="432"/>
      <c r="W502" s="432"/>
      <c r="X502" s="432"/>
      <c r="Y502" s="432"/>
      <c r="Z502" s="432"/>
      <c r="AA502" s="432"/>
      <c r="AB502" s="432"/>
      <c r="AC502" s="432"/>
      <c r="AD502" s="432"/>
      <c r="AE502" s="432"/>
    </row>
    <row r="503">
      <c r="A503" s="432"/>
      <c r="B503" s="432"/>
      <c r="C503" s="432"/>
      <c r="D503" s="432"/>
      <c r="E503" s="432"/>
      <c r="F503" s="432"/>
      <c r="G503" s="432"/>
      <c r="H503" s="432"/>
      <c r="I503" s="432"/>
      <c r="J503" s="432"/>
      <c r="K503" s="432"/>
      <c r="L503" s="432"/>
      <c r="M503" s="432"/>
      <c r="N503" s="432"/>
      <c r="O503" s="432"/>
      <c r="P503" s="432"/>
      <c r="Q503" s="432"/>
      <c r="R503" s="432"/>
      <c r="S503" s="432"/>
      <c r="T503" s="432"/>
      <c r="U503" s="432"/>
      <c r="V503" s="432"/>
      <c r="W503" s="432"/>
      <c r="X503" s="432"/>
      <c r="Y503" s="432"/>
      <c r="Z503" s="432"/>
      <c r="AA503" s="432"/>
      <c r="AB503" s="432"/>
      <c r="AC503" s="432"/>
      <c r="AD503" s="432"/>
      <c r="AE503" s="432"/>
    </row>
    <row r="504">
      <c r="A504" s="432"/>
      <c r="B504" s="432"/>
      <c r="C504" s="432"/>
      <c r="D504" s="432"/>
      <c r="E504" s="432"/>
      <c r="F504" s="432"/>
      <c r="G504" s="432"/>
      <c r="H504" s="432"/>
      <c r="I504" s="432"/>
      <c r="J504" s="432"/>
      <c r="K504" s="432"/>
      <c r="L504" s="432"/>
      <c r="M504" s="432"/>
      <c r="N504" s="432"/>
      <c r="O504" s="432"/>
      <c r="P504" s="432"/>
      <c r="Q504" s="432"/>
      <c r="R504" s="432"/>
      <c r="S504" s="432"/>
      <c r="T504" s="432"/>
      <c r="U504" s="432"/>
      <c r="V504" s="432"/>
      <c r="W504" s="432"/>
      <c r="X504" s="432"/>
      <c r="Y504" s="432"/>
      <c r="Z504" s="432"/>
      <c r="AA504" s="432"/>
      <c r="AB504" s="432"/>
      <c r="AC504" s="432"/>
      <c r="AD504" s="432"/>
      <c r="AE504" s="432"/>
    </row>
    <row r="505">
      <c r="A505" s="432"/>
      <c r="B505" s="432"/>
      <c r="C505" s="432"/>
      <c r="D505" s="432"/>
      <c r="E505" s="432"/>
      <c r="F505" s="432"/>
      <c r="G505" s="432"/>
      <c r="H505" s="432"/>
      <c r="I505" s="432"/>
      <c r="J505" s="432"/>
      <c r="K505" s="432"/>
      <c r="L505" s="432"/>
      <c r="M505" s="432"/>
      <c r="N505" s="432"/>
      <c r="O505" s="432"/>
      <c r="P505" s="432"/>
      <c r="Q505" s="432"/>
      <c r="R505" s="432"/>
      <c r="S505" s="432"/>
      <c r="T505" s="432"/>
      <c r="U505" s="432"/>
      <c r="V505" s="432"/>
      <c r="W505" s="432"/>
      <c r="X505" s="432"/>
      <c r="Y505" s="432"/>
      <c r="Z505" s="432"/>
      <c r="AA505" s="432"/>
      <c r="AB505" s="432"/>
      <c r="AC505" s="432"/>
      <c r="AD505" s="432"/>
      <c r="AE505" s="432"/>
    </row>
    <row r="506">
      <c r="A506" s="432"/>
      <c r="B506" s="432"/>
      <c r="C506" s="432"/>
      <c r="D506" s="432"/>
      <c r="E506" s="432"/>
      <c r="F506" s="432"/>
      <c r="G506" s="432"/>
      <c r="H506" s="432"/>
      <c r="I506" s="432"/>
      <c r="J506" s="432"/>
      <c r="K506" s="432"/>
      <c r="L506" s="432"/>
      <c r="M506" s="432"/>
      <c r="N506" s="432"/>
      <c r="O506" s="432"/>
      <c r="P506" s="432"/>
      <c r="Q506" s="432"/>
      <c r="R506" s="432"/>
      <c r="S506" s="432"/>
      <c r="T506" s="432"/>
      <c r="U506" s="432"/>
      <c r="V506" s="432"/>
      <c r="W506" s="432"/>
      <c r="X506" s="432"/>
      <c r="Y506" s="432"/>
      <c r="Z506" s="432"/>
      <c r="AA506" s="432"/>
      <c r="AB506" s="432"/>
      <c r="AC506" s="432"/>
      <c r="AD506" s="432"/>
      <c r="AE506" s="432"/>
    </row>
    <row r="507">
      <c r="A507" s="432"/>
      <c r="B507" s="432"/>
      <c r="C507" s="432"/>
      <c r="D507" s="432"/>
      <c r="E507" s="432"/>
      <c r="F507" s="432"/>
      <c r="G507" s="432"/>
      <c r="H507" s="432"/>
      <c r="I507" s="432"/>
      <c r="J507" s="432"/>
      <c r="K507" s="432"/>
      <c r="L507" s="432"/>
      <c r="M507" s="432"/>
      <c r="N507" s="432"/>
      <c r="O507" s="432"/>
      <c r="P507" s="432"/>
      <c r="Q507" s="432"/>
      <c r="R507" s="432"/>
      <c r="S507" s="432"/>
      <c r="T507" s="432"/>
      <c r="U507" s="432"/>
      <c r="V507" s="432"/>
      <c r="W507" s="432"/>
      <c r="X507" s="432"/>
      <c r="Y507" s="432"/>
      <c r="Z507" s="432"/>
      <c r="AA507" s="432"/>
      <c r="AB507" s="432"/>
      <c r="AC507" s="432"/>
      <c r="AD507" s="432"/>
      <c r="AE507" s="432"/>
    </row>
    <row r="508">
      <c r="A508" s="432"/>
      <c r="B508" s="432"/>
      <c r="C508" s="432"/>
      <c r="D508" s="432"/>
      <c r="E508" s="432"/>
      <c r="F508" s="432"/>
      <c r="G508" s="432"/>
      <c r="H508" s="432"/>
      <c r="I508" s="432"/>
      <c r="J508" s="432"/>
      <c r="K508" s="432"/>
      <c r="L508" s="432"/>
      <c r="M508" s="432"/>
      <c r="N508" s="432"/>
      <c r="O508" s="432"/>
      <c r="P508" s="432"/>
      <c r="Q508" s="432"/>
      <c r="R508" s="432"/>
      <c r="S508" s="432"/>
      <c r="T508" s="432"/>
      <c r="U508" s="432"/>
      <c r="V508" s="432"/>
      <c r="W508" s="432"/>
      <c r="X508" s="432"/>
      <c r="Y508" s="432"/>
      <c r="Z508" s="432"/>
      <c r="AA508" s="432"/>
      <c r="AB508" s="432"/>
      <c r="AC508" s="432"/>
      <c r="AD508" s="432"/>
      <c r="AE508" s="432"/>
    </row>
    <row r="509">
      <c r="A509" s="432"/>
      <c r="B509" s="432"/>
      <c r="C509" s="432"/>
      <c r="D509" s="432"/>
      <c r="E509" s="432"/>
      <c r="F509" s="432"/>
      <c r="G509" s="432"/>
      <c r="H509" s="432"/>
      <c r="I509" s="432"/>
      <c r="J509" s="432"/>
      <c r="K509" s="432"/>
      <c r="L509" s="432"/>
      <c r="M509" s="432"/>
      <c r="N509" s="432"/>
      <c r="O509" s="432"/>
      <c r="P509" s="432"/>
      <c r="Q509" s="432"/>
      <c r="R509" s="432"/>
      <c r="S509" s="432"/>
      <c r="T509" s="432"/>
      <c r="U509" s="432"/>
      <c r="V509" s="432"/>
      <c r="W509" s="432"/>
      <c r="X509" s="432"/>
      <c r="Y509" s="432"/>
      <c r="Z509" s="432"/>
      <c r="AA509" s="432"/>
      <c r="AB509" s="432"/>
      <c r="AC509" s="432"/>
      <c r="AD509" s="432"/>
      <c r="AE509" s="432"/>
    </row>
    <row r="510">
      <c r="A510" s="432"/>
      <c r="B510" s="432"/>
      <c r="C510" s="432"/>
      <c r="D510" s="432"/>
      <c r="E510" s="432"/>
      <c r="F510" s="432"/>
      <c r="G510" s="432"/>
      <c r="H510" s="432"/>
      <c r="I510" s="432"/>
      <c r="J510" s="432"/>
      <c r="K510" s="432"/>
      <c r="L510" s="432"/>
      <c r="M510" s="432"/>
      <c r="N510" s="432"/>
      <c r="O510" s="432"/>
      <c r="P510" s="432"/>
      <c r="Q510" s="432"/>
      <c r="R510" s="432"/>
      <c r="S510" s="432"/>
      <c r="T510" s="432"/>
      <c r="U510" s="432"/>
      <c r="V510" s="432"/>
      <c r="W510" s="432"/>
      <c r="X510" s="432"/>
      <c r="Y510" s="432"/>
      <c r="Z510" s="432"/>
      <c r="AA510" s="432"/>
      <c r="AB510" s="432"/>
      <c r="AC510" s="432"/>
      <c r="AD510" s="432"/>
      <c r="AE510" s="432"/>
    </row>
    <row r="511">
      <c r="A511" s="432"/>
      <c r="B511" s="432"/>
      <c r="C511" s="432"/>
      <c r="D511" s="432"/>
      <c r="E511" s="432"/>
      <c r="F511" s="432"/>
      <c r="G511" s="432"/>
      <c r="H511" s="432"/>
      <c r="I511" s="432"/>
      <c r="J511" s="432"/>
      <c r="K511" s="432"/>
      <c r="L511" s="432"/>
      <c r="M511" s="432"/>
      <c r="N511" s="432"/>
      <c r="O511" s="432"/>
      <c r="P511" s="432"/>
      <c r="Q511" s="432"/>
      <c r="R511" s="432"/>
      <c r="S511" s="432"/>
      <c r="T511" s="432"/>
      <c r="U511" s="432"/>
      <c r="V511" s="432"/>
      <c r="W511" s="432"/>
      <c r="X511" s="432"/>
      <c r="Y511" s="432"/>
      <c r="Z511" s="432"/>
      <c r="AA511" s="432"/>
      <c r="AB511" s="432"/>
      <c r="AC511" s="432"/>
      <c r="AD511" s="432"/>
      <c r="AE511" s="432"/>
    </row>
    <row r="512">
      <c r="A512" s="432"/>
      <c r="B512" s="432"/>
      <c r="C512" s="432"/>
      <c r="D512" s="432"/>
      <c r="E512" s="432"/>
      <c r="F512" s="432"/>
      <c r="G512" s="432"/>
      <c r="H512" s="432"/>
      <c r="I512" s="432"/>
      <c r="J512" s="432"/>
      <c r="K512" s="432"/>
      <c r="L512" s="432"/>
      <c r="M512" s="432"/>
      <c r="N512" s="432"/>
      <c r="O512" s="432"/>
      <c r="P512" s="432"/>
      <c r="Q512" s="432"/>
      <c r="R512" s="432"/>
      <c r="S512" s="432"/>
      <c r="T512" s="432"/>
      <c r="U512" s="432"/>
      <c r="V512" s="432"/>
      <c r="W512" s="432"/>
      <c r="X512" s="432"/>
      <c r="Y512" s="432"/>
      <c r="Z512" s="432"/>
      <c r="AA512" s="432"/>
      <c r="AB512" s="432"/>
      <c r="AC512" s="432"/>
      <c r="AD512" s="432"/>
      <c r="AE512" s="432"/>
    </row>
    <row r="513">
      <c r="A513" s="432"/>
      <c r="B513" s="432"/>
      <c r="C513" s="432"/>
      <c r="D513" s="432"/>
      <c r="E513" s="432"/>
      <c r="F513" s="432"/>
      <c r="G513" s="432"/>
      <c r="H513" s="432"/>
      <c r="I513" s="432"/>
      <c r="J513" s="432"/>
      <c r="K513" s="432"/>
      <c r="L513" s="432"/>
      <c r="M513" s="432"/>
      <c r="N513" s="432"/>
      <c r="O513" s="432"/>
      <c r="P513" s="432"/>
      <c r="Q513" s="432"/>
      <c r="R513" s="432"/>
      <c r="S513" s="432"/>
      <c r="T513" s="432"/>
      <c r="U513" s="432"/>
      <c r="V513" s="432"/>
      <c r="W513" s="432"/>
      <c r="X513" s="432"/>
      <c r="Y513" s="432"/>
      <c r="Z513" s="432"/>
      <c r="AA513" s="432"/>
      <c r="AB513" s="432"/>
      <c r="AC513" s="432"/>
      <c r="AD513" s="432"/>
      <c r="AE513" s="432"/>
    </row>
    <row r="514">
      <c r="A514" s="432"/>
      <c r="B514" s="432"/>
      <c r="C514" s="432"/>
      <c r="D514" s="432"/>
      <c r="E514" s="432"/>
      <c r="F514" s="432"/>
      <c r="G514" s="432"/>
      <c r="H514" s="432"/>
      <c r="I514" s="432"/>
      <c r="J514" s="432"/>
      <c r="K514" s="432"/>
      <c r="L514" s="432"/>
      <c r="M514" s="432"/>
      <c r="N514" s="432"/>
      <c r="O514" s="432"/>
      <c r="P514" s="432"/>
      <c r="Q514" s="432"/>
      <c r="R514" s="432"/>
      <c r="S514" s="432"/>
      <c r="T514" s="432"/>
      <c r="U514" s="432"/>
      <c r="V514" s="432"/>
      <c r="W514" s="432"/>
      <c r="X514" s="432"/>
      <c r="Y514" s="432"/>
      <c r="Z514" s="432"/>
      <c r="AA514" s="432"/>
      <c r="AB514" s="432"/>
      <c r="AC514" s="432"/>
      <c r="AD514" s="432"/>
      <c r="AE514" s="432"/>
    </row>
    <row r="515">
      <c r="A515" s="432"/>
      <c r="B515" s="432"/>
      <c r="C515" s="432"/>
      <c r="D515" s="432"/>
      <c r="E515" s="432"/>
      <c r="F515" s="432"/>
      <c r="G515" s="432"/>
      <c r="H515" s="432"/>
      <c r="I515" s="432"/>
      <c r="J515" s="432"/>
      <c r="K515" s="432"/>
      <c r="L515" s="432"/>
      <c r="M515" s="432"/>
      <c r="N515" s="432"/>
      <c r="O515" s="432"/>
      <c r="P515" s="432"/>
      <c r="Q515" s="432"/>
      <c r="R515" s="432"/>
      <c r="S515" s="432"/>
      <c r="T515" s="432"/>
      <c r="U515" s="432"/>
      <c r="V515" s="432"/>
      <c r="W515" s="432"/>
      <c r="X515" s="432"/>
      <c r="Y515" s="432"/>
      <c r="Z515" s="432"/>
      <c r="AA515" s="432"/>
      <c r="AB515" s="432"/>
      <c r="AC515" s="432"/>
      <c r="AD515" s="432"/>
      <c r="AE515" s="432"/>
    </row>
    <row r="516">
      <c r="A516" s="432"/>
      <c r="B516" s="432"/>
      <c r="C516" s="432"/>
      <c r="D516" s="432"/>
      <c r="E516" s="432"/>
      <c r="F516" s="432"/>
      <c r="G516" s="432"/>
      <c r="H516" s="432"/>
      <c r="I516" s="432"/>
      <c r="J516" s="432"/>
      <c r="K516" s="432"/>
      <c r="L516" s="432"/>
      <c r="M516" s="432"/>
      <c r="N516" s="432"/>
      <c r="O516" s="432"/>
      <c r="P516" s="432"/>
      <c r="Q516" s="432"/>
      <c r="R516" s="432"/>
      <c r="S516" s="432"/>
      <c r="T516" s="432"/>
      <c r="U516" s="432"/>
      <c r="V516" s="432"/>
      <c r="W516" s="432"/>
      <c r="X516" s="432"/>
      <c r="Y516" s="432"/>
      <c r="Z516" s="432"/>
      <c r="AA516" s="432"/>
      <c r="AB516" s="432"/>
      <c r="AC516" s="432"/>
      <c r="AD516" s="432"/>
      <c r="AE516" s="432"/>
    </row>
    <row r="517">
      <c r="A517" s="432"/>
      <c r="B517" s="432"/>
      <c r="C517" s="432"/>
      <c r="D517" s="432"/>
      <c r="E517" s="432"/>
      <c r="F517" s="432"/>
      <c r="G517" s="432"/>
      <c r="H517" s="432"/>
      <c r="I517" s="432"/>
      <c r="J517" s="432"/>
      <c r="K517" s="432"/>
      <c r="L517" s="432"/>
      <c r="M517" s="432"/>
      <c r="N517" s="432"/>
      <c r="O517" s="432"/>
      <c r="P517" s="432"/>
      <c r="Q517" s="432"/>
      <c r="R517" s="432"/>
      <c r="S517" s="432"/>
      <c r="T517" s="432"/>
      <c r="U517" s="432"/>
      <c r="V517" s="432"/>
      <c r="W517" s="432"/>
      <c r="X517" s="432"/>
      <c r="Y517" s="432"/>
      <c r="Z517" s="432"/>
      <c r="AA517" s="432"/>
      <c r="AB517" s="432"/>
      <c r="AC517" s="432"/>
      <c r="AD517" s="432"/>
      <c r="AE517" s="432"/>
    </row>
    <row r="518">
      <c r="A518" s="432"/>
      <c r="B518" s="432"/>
      <c r="C518" s="432"/>
      <c r="D518" s="432"/>
      <c r="E518" s="432"/>
      <c r="F518" s="432"/>
      <c r="G518" s="432"/>
      <c r="H518" s="432"/>
      <c r="I518" s="432"/>
      <c r="J518" s="432"/>
      <c r="K518" s="432"/>
      <c r="L518" s="432"/>
      <c r="M518" s="432"/>
      <c r="N518" s="432"/>
      <c r="O518" s="432"/>
      <c r="P518" s="432"/>
      <c r="Q518" s="432"/>
      <c r="R518" s="432"/>
      <c r="S518" s="432"/>
      <c r="T518" s="432"/>
      <c r="U518" s="432"/>
      <c r="V518" s="432"/>
      <c r="W518" s="432"/>
      <c r="X518" s="432"/>
      <c r="Y518" s="432"/>
      <c r="Z518" s="432"/>
      <c r="AA518" s="432"/>
      <c r="AB518" s="432"/>
      <c r="AC518" s="432"/>
      <c r="AD518" s="432"/>
      <c r="AE518" s="432"/>
    </row>
    <row r="519">
      <c r="A519" s="432"/>
      <c r="B519" s="432"/>
      <c r="C519" s="432"/>
      <c r="D519" s="432"/>
      <c r="E519" s="432"/>
      <c r="F519" s="432"/>
      <c r="G519" s="432"/>
      <c r="H519" s="432"/>
      <c r="I519" s="432"/>
      <c r="J519" s="432"/>
      <c r="K519" s="432"/>
      <c r="L519" s="432"/>
      <c r="M519" s="432"/>
      <c r="N519" s="432"/>
      <c r="O519" s="432"/>
      <c r="P519" s="432"/>
      <c r="Q519" s="432"/>
      <c r="R519" s="432"/>
      <c r="S519" s="432"/>
      <c r="T519" s="432"/>
      <c r="U519" s="432"/>
      <c r="V519" s="432"/>
      <c r="W519" s="432"/>
      <c r="X519" s="432"/>
      <c r="Y519" s="432"/>
      <c r="Z519" s="432"/>
      <c r="AA519" s="432"/>
      <c r="AB519" s="432"/>
      <c r="AC519" s="432"/>
      <c r="AD519" s="432"/>
      <c r="AE519" s="432"/>
    </row>
    <row r="520">
      <c r="A520" s="432"/>
      <c r="B520" s="432"/>
      <c r="C520" s="432"/>
      <c r="D520" s="432"/>
      <c r="E520" s="432"/>
      <c r="F520" s="432"/>
      <c r="G520" s="432"/>
      <c r="H520" s="432"/>
      <c r="I520" s="432"/>
      <c r="J520" s="432"/>
      <c r="K520" s="432"/>
      <c r="L520" s="432"/>
      <c r="M520" s="432"/>
      <c r="N520" s="432"/>
      <c r="O520" s="432"/>
      <c r="P520" s="432"/>
      <c r="Q520" s="432"/>
      <c r="R520" s="432"/>
      <c r="S520" s="432"/>
      <c r="T520" s="432"/>
      <c r="U520" s="432"/>
      <c r="V520" s="432"/>
      <c r="W520" s="432"/>
      <c r="X520" s="432"/>
      <c r="Y520" s="432"/>
      <c r="Z520" s="432"/>
      <c r="AA520" s="432"/>
      <c r="AB520" s="432"/>
      <c r="AC520" s="432"/>
      <c r="AD520" s="432"/>
      <c r="AE520" s="432"/>
    </row>
    <row r="521">
      <c r="A521" s="432"/>
      <c r="B521" s="432"/>
      <c r="C521" s="432"/>
      <c r="D521" s="432"/>
      <c r="E521" s="432"/>
      <c r="F521" s="432"/>
      <c r="G521" s="432"/>
      <c r="H521" s="432"/>
      <c r="I521" s="432"/>
      <c r="J521" s="432"/>
      <c r="K521" s="432"/>
      <c r="L521" s="432"/>
      <c r="M521" s="432"/>
      <c r="N521" s="432"/>
      <c r="O521" s="432"/>
      <c r="P521" s="432"/>
      <c r="Q521" s="432"/>
      <c r="R521" s="432"/>
      <c r="S521" s="432"/>
      <c r="T521" s="432"/>
      <c r="U521" s="432"/>
      <c r="V521" s="432"/>
      <c r="W521" s="432"/>
      <c r="X521" s="432"/>
      <c r="Y521" s="432"/>
      <c r="Z521" s="432"/>
      <c r="AA521" s="432"/>
      <c r="AB521" s="432"/>
      <c r="AC521" s="432"/>
      <c r="AD521" s="432"/>
      <c r="AE521" s="432"/>
    </row>
    <row r="522">
      <c r="A522" s="432"/>
      <c r="B522" s="432"/>
      <c r="C522" s="432"/>
      <c r="D522" s="432"/>
      <c r="E522" s="432"/>
      <c r="F522" s="432"/>
      <c r="G522" s="432"/>
      <c r="H522" s="432"/>
      <c r="I522" s="432"/>
      <c r="J522" s="432"/>
      <c r="K522" s="432"/>
      <c r="L522" s="432"/>
      <c r="M522" s="432"/>
      <c r="N522" s="432"/>
      <c r="O522" s="432"/>
      <c r="P522" s="432"/>
      <c r="Q522" s="432"/>
      <c r="R522" s="432"/>
      <c r="S522" s="432"/>
      <c r="T522" s="432"/>
      <c r="U522" s="432"/>
      <c r="V522" s="432"/>
      <c r="W522" s="432"/>
      <c r="X522" s="432"/>
      <c r="Y522" s="432"/>
      <c r="Z522" s="432"/>
      <c r="AA522" s="432"/>
      <c r="AB522" s="432"/>
      <c r="AC522" s="432"/>
      <c r="AD522" s="432"/>
      <c r="AE522" s="432"/>
    </row>
    <row r="523">
      <c r="A523" s="432"/>
      <c r="B523" s="432"/>
      <c r="C523" s="432"/>
      <c r="D523" s="432"/>
      <c r="E523" s="432"/>
      <c r="F523" s="432"/>
      <c r="G523" s="432"/>
      <c r="H523" s="432"/>
      <c r="I523" s="432"/>
      <c r="J523" s="432"/>
      <c r="K523" s="432"/>
      <c r="L523" s="432"/>
      <c r="M523" s="432"/>
      <c r="N523" s="432"/>
      <c r="O523" s="432"/>
      <c r="P523" s="432"/>
      <c r="Q523" s="432"/>
      <c r="R523" s="432"/>
      <c r="S523" s="432"/>
      <c r="T523" s="432"/>
      <c r="U523" s="432"/>
      <c r="V523" s="432"/>
      <c r="W523" s="432"/>
      <c r="X523" s="432"/>
      <c r="Y523" s="432"/>
      <c r="Z523" s="432"/>
      <c r="AA523" s="432"/>
      <c r="AB523" s="432"/>
      <c r="AC523" s="432"/>
      <c r="AD523" s="432"/>
      <c r="AE523" s="432"/>
    </row>
    <row r="524">
      <c r="A524" s="432"/>
      <c r="B524" s="432"/>
      <c r="C524" s="432"/>
      <c r="D524" s="432"/>
      <c r="E524" s="432"/>
      <c r="F524" s="432"/>
      <c r="G524" s="432"/>
      <c r="H524" s="432"/>
      <c r="I524" s="432"/>
      <c r="J524" s="432"/>
      <c r="K524" s="432"/>
      <c r="L524" s="432"/>
      <c r="M524" s="432"/>
      <c r="N524" s="432"/>
      <c r="O524" s="432"/>
      <c r="P524" s="432"/>
      <c r="Q524" s="432"/>
      <c r="R524" s="432"/>
      <c r="S524" s="432"/>
      <c r="T524" s="432"/>
      <c r="U524" s="432"/>
      <c r="V524" s="432"/>
      <c r="W524" s="432"/>
      <c r="X524" s="432"/>
      <c r="Y524" s="432"/>
      <c r="Z524" s="432"/>
      <c r="AA524" s="432"/>
      <c r="AB524" s="432"/>
      <c r="AC524" s="432"/>
      <c r="AD524" s="432"/>
      <c r="AE524" s="432"/>
    </row>
    <row r="525">
      <c r="A525" s="432"/>
      <c r="B525" s="432"/>
      <c r="C525" s="432"/>
      <c r="D525" s="432"/>
      <c r="E525" s="432"/>
      <c r="F525" s="432"/>
      <c r="G525" s="432"/>
      <c r="H525" s="432"/>
      <c r="I525" s="432"/>
      <c r="J525" s="432"/>
      <c r="K525" s="432"/>
      <c r="L525" s="432"/>
      <c r="M525" s="432"/>
      <c r="N525" s="432"/>
      <c r="O525" s="432"/>
      <c r="P525" s="432"/>
      <c r="Q525" s="432"/>
      <c r="R525" s="432"/>
      <c r="S525" s="432"/>
      <c r="T525" s="432"/>
      <c r="U525" s="432"/>
      <c r="V525" s="432"/>
      <c r="W525" s="432"/>
      <c r="X525" s="432"/>
      <c r="Y525" s="432"/>
      <c r="Z525" s="432"/>
      <c r="AA525" s="432"/>
      <c r="AB525" s="432"/>
      <c r="AC525" s="432"/>
      <c r="AD525" s="432"/>
      <c r="AE525" s="432"/>
    </row>
    <row r="526">
      <c r="A526" s="432"/>
      <c r="B526" s="432"/>
      <c r="C526" s="432"/>
      <c r="D526" s="432"/>
      <c r="E526" s="432"/>
      <c r="F526" s="432"/>
      <c r="G526" s="432"/>
      <c r="H526" s="432"/>
      <c r="I526" s="432"/>
      <c r="J526" s="432"/>
      <c r="K526" s="432"/>
      <c r="L526" s="432"/>
      <c r="M526" s="432"/>
      <c r="N526" s="432"/>
      <c r="O526" s="432"/>
      <c r="P526" s="432"/>
      <c r="Q526" s="432"/>
      <c r="R526" s="432"/>
      <c r="S526" s="432"/>
      <c r="T526" s="432"/>
      <c r="U526" s="432"/>
      <c r="V526" s="432"/>
      <c r="W526" s="432"/>
      <c r="X526" s="432"/>
      <c r="Y526" s="432"/>
      <c r="Z526" s="432"/>
      <c r="AA526" s="432"/>
      <c r="AB526" s="432"/>
      <c r="AC526" s="432"/>
      <c r="AD526" s="432"/>
      <c r="AE526" s="432"/>
    </row>
    <row r="527">
      <c r="A527" s="432"/>
      <c r="B527" s="432"/>
      <c r="C527" s="432"/>
      <c r="D527" s="432"/>
      <c r="E527" s="432"/>
      <c r="F527" s="432"/>
      <c r="G527" s="432"/>
      <c r="H527" s="432"/>
      <c r="I527" s="432"/>
      <c r="J527" s="432"/>
      <c r="K527" s="432"/>
      <c r="L527" s="432"/>
      <c r="M527" s="432"/>
      <c r="N527" s="432"/>
      <c r="O527" s="432"/>
      <c r="P527" s="432"/>
      <c r="Q527" s="432"/>
      <c r="R527" s="432"/>
      <c r="S527" s="432"/>
      <c r="T527" s="432"/>
      <c r="U527" s="432"/>
      <c r="V527" s="432"/>
      <c r="W527" s="432"/>
      <c r="X527" s="432"/>
      <c r="Y527" s="432"/>
      <c r="Z527" s="432"/>
      <c r="AA527" s="432"/>
      <c r="AB527" s="432"/>
      <c r="AC527" s="432"/>
      <c r="AD527" s="432"/>
      <c r="AE527" s="432"/>
    </row>
    <row r="528">
      <c r="A528" s="432"/>
      <c r="B528" s="432"/>
      <c r="C528" s="432"/>
      <c r="D528" s="432"/>
      <c r="E528" s="432"/>
      <c r="F528" s="432"/>
      <c r="G528" s="432"/>
      <c r="H528" s="432"/>
      <c r="I528" s="432"/>
      <c r="J528" s="432"/>
      <c r="K528" s="432"/>
      <c r="L528" s="432"/>
      <c r="M528" s="432"/>
      <c r="N528" s="432"/>
      <c r="O528" s="432"/>
      <c r="P528" s="432"/>
      <c r="Q528" s="432"/>
      <c r="R528" s="432"/>
      <c r="S528" s="432"/>
      <c r="T528" s="432"/>
      <c r="U528" s="432"/>
      <c r="V528" s="432"/>
      <c r="W528" s="432"/>
      <c r="X528" s="432"/>
      <c r="Y528" s="432"/>
      <c r="Z528" s="432"/>
      <c r="AA528" s="432"/>
      <c r="AB528" s="432"/>
      <c r="AC528" s="432"/>
      <c r="AD528" s="432"/>
      <c r="AE528" s="432"/>
    </row>
    <row r="529">
      <c r="A529" s="432"/>
      <c r="B529" s="432"/>
      <c r="C529" s="432"/>
      <c r="D529" s="432"/>
      <c r="E529" s="432"/>
      <c r="F529" s="432"/>
      <c r="G529" s="432"/>
      <c r="H529" s="432"/>
      <c r="I529" s="432"/>
      <c r="J529" s="432"/>
      <c r="K529" s="432"/>
      <c r="L529" s="432"/>
      <c r="M529" s="432"/>
      <c r="N529" s="432"/>
      <c r="O529" s="432"/>
      <c r="P529" s="432"/>
      <c r="Q529" s="432"/>
      <c r="R529" s="432"/>
      <c r="S529" s="432"/>
      <c r="T529" s="432"/>
      <c r="U529" s="432"/>
      <c r="V529" s="432"/>
      <c r="W529" s="432"/>
      <c r="X529" s="432"/>
      <c r="Y529" s="432"/>
      <c r="Z529" s="432"/>
      <c r="AA529" s="432"/>
      <c r="AB529" s="432"/>
      <c r="AC529" s="432"/>
      <c r="AD529" s="432"/>
      <c r="AE529" s="432"/>
    </row>
    <row r="530">
      <c r="A530" s="432"/>
      <c r="B530" s="432"/>
      <c r="C530" s="432"/>
      <c r="D530" s="432"/>
      <c r="E530" s="432"/>
      <c r="F530" s="432"/>
      <c r="G530" s="432"/>
      <c r="H530" s="432"/>
      <c r="I530" s="432"/>
      <c r="J530" s="432"/>
      <c r="K530" s="432"/>
      <c r="L530" s="432"/>
      <c r="M530" s="432"/>
      <c r="N530" s="432"/>
      <c r="O530" s="432"/>
      <c r="P530" s="432"/>
      <c r="Q530" s="432"/>
      <c r="R530" s="432"/>
      <c r="S530" s="432"/>
      <c r="T530" s="432"/>
      <c r="U530" s="432"/>
      <c r="V530" s="432"/>
      <c r="W530" s="432"/>
      <c r="X530" s="432"/>
      <c r="Y530" s="432"/>
      <c r="Z530" s="432"/>
      <c r="AA530" s="432"/>
      <c r="AB530" s="432"/>
      <c r="AC530" s="432"/>
      <c r="AD530" s="432"/>
      <c r="AE530" s="432"/>
    </row>
    <row r="531">
      <c r="A531" s="432"/>
      <c r="B531" s="432"/>
      <c r="C531" s="432"/>
      <c r="D531" s="432"/>
      <c r="E531" s="432"/>
      <c r="F531" s="432"/>
      <c r="G531" s="432"/>
      <c r="H531" s="432"/>
      <c r="I531" s="432"/>
      <c r="J531" s="432"/>
      <c r="K531" s="432"/>
      <c r="L531" s="432"/>
      <c r="M531" s="432"/>
      <c r="N531" s="432"/>
      <c r="O531" s="432"/>
      <c r="P531" s="432"/>
      <c r="Q531" s="432"/>
      <c r="R531" s="432"/>
      <c r="S531" s="432"/>
      <c r="T531" s="432"/>
      <c r="U531" s="432"/>
      <c r="V531" s="432"/>
      <c r="W531" s="432"/>
      <c r="X531" s="432"/>
      <c r="Y531" s="432"/>
      <c r="Z531" s="432"/>
      <c r="AA531" s="432"/>
      <c r="AB531" s="432"/>
      <c r="AC531" s="432"/>
      <c r="AD531" s="432"/>
      <c r="AE531" s="432"/>
    </row>
    <row r="532">
      <c r="A532" s="432"/>
      <c r="B532" s="432"/>
      <c r="C532" s="432"/>
      <c r="D532" s="432"/>
      <c r="E532" s="432"/>
      <c r="F532" s="432"/>
      <c r="G532" s="432"/>
      <c r="H532" s="432"/>
      <c r="I532" s="432"/>
      <c r="J532" s="432"/>
      <c r="K532" s="432"/>
      <c r="L532" s="432"/>
      <c r="M532" s="432"/>
      <c r="N532" s="432"/>
      <c r="O532" s="432"/>
      <c r="P532" s="432"/>
      <c r="Q532" s="432"/>
      <c r="R532" s="432"/>
      <c r="S532" s="432"/>
      <c r="T532" s="432"/>
      <c r="U532" s="432"/>
      <c r="V532" s="432"/>
      <c r="W532" s="432"/>
      <c r="X532" s="432"/>
      <c r="Y532" s="432"/>
      <c r="Z532" s="432"/>
      <c r="AA532" s="432"/>
      <c r="AB532" s="432"/>
      <c r="AC532" s="432"/>
      <c r="AD532" s="432"/>
      <c r="AE532" s="432"/>
    </row>
    <row r="533">
      <c r="A533" s="432"/>
      <c r="B533" s="432"/>
      <c r="C533" s="432"/>
      <c r="D533" s="432"/>
      <c r="E533" s="432"/>
      <c r="F533" s="432"/>
      <c r="G533" s="432"/>
      <c r="H533" s="432"/>
      <c r="I533" s="432"/>
      <c r="J533" s="432"/>
      <c r="K533" s="432"/>
      <c r="L533" s="432"/>
      <c r="M533" s="432"/>
      <c r="N533" s="432"/>
      <c r="O533" s="432"/>
      <c r="P533" s="432"/>
      <c r="Q533" s="432"/>
      <c r="R533" s="432"/>
      <c r="S533" s="432"/>
      <c r="T533" s="432"/>
      <c r="U533" s="432"/>
      <c r="V533" s="432"/>
      <c r="W533" s="432"/>
      <c r="X533" s="432"/>
      <c r="Y533" s="432"/>
      <c r="Z533" s="432"/>
      <c r="AA533" s="432"/>
      <c r="AB533" s="432"/>
      <c r="AC533" s="432"/>
      <c r="AD533" s="432"/>
      <c r="AE533" s="432"/>
    </row>
    <row r="534">
      <c r="A534" s="432"/>
      <c r="B534" s="432"/>
      <c r="C534" s="432"/>
      <c r="D534" s="432"/>
      <c r="E534" s="432"/>
      <c r="F534" s="432"/>
      <c r="G534" s="432"/>
      <c r="H534" s="432"/>
      <c r="I534" s="432"/>
      <c r="J534" s="432"/>
      <c r="K534" s="432"/>
      <c r="L534" s="432"/>
      <c r="M534" s="432"/>
      <c r="N534" s="432"/>
      <c r="O534" s="432"/>
      <c r="P534" s="432"/>
      <c r="Q534" s="432"/>
      <c r="R534" s="432"/>
      <c r="S534" s="432"/>
      <c r="T534" s="432"/>
      <c r="U534" s="432"/>
      <c r="V534" s="432"/>
      <c r="W534" s="432"/>
      <c r="X534" s="432"/>
      <c r="Y534" s="432"/>
      <c r="Z534" s="432"/>
      <c r="AA534" s="432"/>
      <c r="AB534" s="432"/>
      <c r="AC534" s="432"/>
      <c r="AD534" s="432"/>
      <c r="AE534" s="432"/>
    </row>
    <row r="535">
      <c r="A535" s="432"/>
      <c r="B535" s="432"/>
      <c r="C535" s="432"/>
      <c r="D535" s="432"/>
      <c r="E535" s="432"/>
      <c r="F535" s="432"/>
      <c r="G535" s="432"/>
      <c r="H535" s="432"/>
      <c r="I535" s="432"/>
      <c r="J535" s="432"/>
      <c r="K535" s="432"/>
      <c r="L535" s="432"/>
      <c r="M535" s="432"/>
      <c r="N535" s="432"/>
      <c r="O535" s="432"/>
      <c r="P535" s="432"/>
      <c r="Q535" s="432"/>
      <c r="R535" s="432"/>
      <c r="S535" s="432"/>
      <c r="T535" s="432"/>
      <c r="U535" s="432"/>
      <c r="V535" s="432"/>
      <c r="W535" s="432"/>
      <c r="X535" s="432"/>
      <c r="Y535" s="432"/>
      <c r="Z535" s="432"/>
      <c r="AA535" s="432"/>
      <c r="AB535" s="432"/>
      <c r="AC535" s="432"/>
      <c r="AD535" s="432"/>
      <c r="AE535" s="432"/>
    </row>
    <row r="536">
      <c r="A536" s="432"/>
      <c r="B536" s="432"/>
      <c r="C536" s="432"/>
      <c r="D536" s="432"/>
      <c r="E536" s="432"/>
      <c r="F536" s="432"/>
      <c r="G536" s="432"/>
      <c r="H536" s="432"/>
      <c r="I536" s="432"/>
      <c r="J536" s="432"/>
      <c r="K536" s="432"/>
      <c r="L536" s="432"/>
      <c r="M536" s="432"/>
      <c r="N536" s="432"/>
      <c r="O536" s="432"/>
      <c r="P536" s="432"/>
      <c r="Q536" s="432"/>
      <c r="R536" s="432"/>
      <c r="S536" s="432"/>
      <c r="T536" s="432"/>
      <c r="U536" s="432"/>
      <c r="V536" s="432"/>
      <c r="W536" s="432"/>
      <c r="X536" s="432"/>
      <c r="Y536" s="432"/>
      <c r="Z536" s="432"/>
      <c r="AA536" s="432"/>
      <c r="AB536" s="432"/>
      <c r="AC536" s="432"/>
      <c r="AD536" s="432"/>
      <c r="AE536" s="432"/>
    </row>
    <row r="537">
      <c r="A537" s="432"/>
      <c r="B537" s="432"/>
      <c r="C537" s="432"/>
      <c r="D537" s="432"/>
      <c r="E537" s="432"/>
      <c r="F537" s="432"/>
      <c r="G537" s="432"/>
      <c r="H537" s="432"/>
      <c r="I537" s="432"/>
      <c r="J537" s="432"/>
      <c r="K537" s="432"/>
      <c r="L537" s="432"/>
      <c r="M537" s="432"/>
      <c r="N537" s="432"/>
      <c r="O537" s="432"/>
      <c r="P537" s="432"/>
      <c r="Q537" s="432"/>
      <c r="R537" s="432"/>
      <c r="S537" s="432"/>
      <c r="T537" s="432"/>
      <c r="U537" s="432"/>
      <c r="V537" s="432"/>
      <c r="W537" s="432"/>
      <c r="X537" s="432"/>
      <c r="Y537" s="432"/>
      <c r="Z537" s="432"/>
      <c r="AA537" s="432"/>
      <c r="AB537" s="432"/>
      <c r="AC537" s="432"/>
      <c r="AD537" s="432"/>
      <c r="AE537" s="432"/>
    </row>
    <row r="538">
      <c r="A538" s="432"/>
      <c r="B538" s="432"/>
      <c r="C538" s="432"/>
      <c r="D538" s="432"/>
      <c r="E538" s="432"/>
      <c r="F538" s="432"/>
      <c r="G538" s="432"/>
      <c r="H538" s="432"/>
      <c r="I538" s="432"/>
      <c r="J538" s="432"/>
      <c r="K538" s="432"/>
      <c r="L538" s="432"/>
      <c r="M538" s="432"/>
      <c r="N538" s="432"/>
      <c r="O538" s="432"/>
      <c r="P538" s="432"/>
      <c r="Q538" s="432"/>
      <c r="R538" s="432"/>
      <c r="S538" s="432"/>
      <c r="T538" s="432"/>
      <c r="U538" s="432"/>
      <c r="V538" s="432"/>
      <c r="W538" s="432"/>
      <c r="X538" s="432"/>
      <c r="Y538" s="432"/>
      <c r="Z538" s="432"/>
      <c r="AA538" s="432"/>
      <c r="AB538" s="432"/>
      <c r="AC538" s="432"/>
      <c r="AD538" s="432"/>
      <c r="AE538" s="432"/>
    </row>
    <row r="539">
      <c r="A539" s="432"/>
      <c r="B539" s="432"/>
      <c r="C539" s="432"/>
      <c r="D539" s="432"/>
      <c r="E539" s="432"/>
      <c r="F539" s="432"/>
      <c r="G539" s="432"/>
      <c r="H539" s="432"/>
      <c r="I539" s="432"/>
      <c r="J539" s="432"/>
      <c r="K539" s="432"/>
      <c r="L539" s="432"/>
      <c r="M539" s="432"/>
      <c r="N539" s="432"/>
      <c r="O539" s="432"/>
      <c r="P539" s="432"/>
      <c r="Q539" s="432"/>
      <c r="R539" s="432"/>
      <c r="S539" s="432"/>
      <c r="T539" s="432"/>
      <c r="U539" s="432"/>
      <c r="V539" s="432"/>
      <c r="W539" s="432"/>
      <c r="X539" s="432"/>
      <c r="Y539" s="432"/>
      <c r="Z539" s="432"/>
      <c r="AA539" s="432"/>
      <c r="AB539" s="432"/>
      <c r="AC539" s="432"/>
      <c r="AD539" s="432"/>
      <c r="AE539" s="432"/>
    </row>
    <row r="540">
      <c r="A540" s="432"/>
      <c r="B540" s="432"/>
      <c r="C540" s="432"/>
      <c r="D540" s="432"/>
      <c r="E540" s="432"/>
      <c r="F540" s="432"/>
      <c r="G540" s="432"/>
      <c r="H540" s="432"/>
      <c r="I540" s="432"/>
      <c r="J540" s="432"/>
      <c r="K540" s="432"/>
      <c r="L540" s="432"/>
      <c r="M540" s="432"/>
      <c r="N540" s="432"/>
      <c r="O540" s="432"/>
      <c r="P540" s="432"/>
      <c r="Q540" s="432"/>
      <c r="R540" s="432"/>
      <c r="S540" s="432"/>
      <c r="T540" s="432"/>
      <c r="U540" s="432"/>
      <c r="V540" s="432"/>
      <c r="W540" s="432"/>
      <c r="X540" s="432"/>
      <c r="Y540" s="432"/>
      <c r="Z540" s="432"/>
      <c r="AA540" s="432"/>
      <c r="AB540" s="432"/>
      <c r="AC540" s="432"/>
      <c r="AD540" s="432"/>
      <c r="AE540" s="432"/>
    </row>
    <row r="541">
      <c r="A541" s="432"/>
      <c r="B541" s="432"/>
      <c r="C541" s="432"/>
      <c r="D541" s="432"/>
      <c r="E541" s="432"/>
      <c r="F541" s="432"/>
      <c r="G541" s="432"/>
      <c r="H541" s="432"/>
      <c r="I541" s="432"/>
      <c r="J541" s="432"/>
      <c r="K541" s="432"/>
      <c r="L541" s="432"/>
      <c r="M541" s="432"/>
      <c r="N541" s="432"/>
      <c r="O541" s="432"/>
      <c r="P541" s="432"/>
      <c r="Q541" s="432"/>
      <c r="R541" s="432"/>
      <c r="S541" s="432"/>
      <c r="T541" s="432"/>
      <c r="U541" s="432"/>
      <c r="V541" s="432"/>
      <c r="W541" s="432"/>
      <c r="X541" s="432"/>
      <c r="Y541" s="432"/>
      <c r="Z541" s="432"/>
      <c r="AA541" s="432"/>
      <c r="AB541" s="432"/>
      <c r="AC541" s="432"/>
      <c r="AD541" s="432"/>
      <c r="AE541" s="432"/>
    </row>
    <row r="542">
      <c r="A542" s="432"/>
      <c r="B542" s="432"/>
      <c r="C542" s="432"/>
      <c r="D542" s="432"/>
      <c r="E542" s="432"/>
      <c r="F542" s="432"/>
      <c r="G542" s="432"/>
      <c r="H542" s="432"/>
      <c r="I542" s="432"/>
      <c r="J542" s="432"/>
      <c r="K542" s="432"/>
      <c r="L542" s="432"/>
      <c r="M542" s="432"/>
      <c r="N542" s="432"/>
      <c r="O542" s="432"/>
      <c r="P542" s="432"/>
      <c r="Q542" s="432"/>
      <c r="R542" s="432"/>
      <c r="S542" s="432"/>
      <c r="T542" s="432"/>
      <c r="U542" s="432"/>
      <c r="V542" s="432"/>
      <c r="W542" s="432"/>
      <c r="X542" s="432"/>
      <c r="Y542" s="432"/>
      <c r="Z542" s="432"/>
      <c r="AA542" s="432"/>
      <c r="AB542" s="432"/>
      <c r="AC542" s="432"/>
      <c r="AD542" s="432"/>
      <c r="AE542" s="432"/>
    </row>
    <row r="543">
      <c r="A543" s="432"/>
      <c r="B543" s="432"/>
      <c r="C543" s="432"/>
      <c r="D543" s="432"/>
      <c r="E543" s="432"/>
      <c r="F543" s="432"/>
      <c r="G543" s="432"/>
      <c r="H543" s="432"/>
      <c r="I543" s="432"/>
      <c r="J543" s="432"/>
      <c r="K543" s="432"/>
      <c r="L543" s="432"/>
      <c r="M543" s="432"/>
      <c r="N543" s="432"/>
      <c r="O543" s="432"/>
      <c r="P543" s="432"/>
      <c r="Q543" s="432"/>
      <c r="R543" s="432"/>
      <c r="S543" s="432"/>
      <c r="T543" s="432"/>
      <c r="U543" s="432"/>
      <c r="V543" s="432"/>
      <c r="W543" s="432"/>
      <c r="X543" s="432"/>
      <c r="Y543" s="432"/>
      <c r="Z543" s="432"/>
      <c r="AA543" s="432"/>
      <c r="AB543" s="432"/>
      <c r="AC543" s="432"/>
      <c r="AD543" s="432"/>
      <c r="AE543" s="432"/>
    </row>
    <row r="544">
      <c r="A544" s="432"/>
      <c r="B544" s="432"/>
      <c r="C544" s="432"/>
      <c r="D544" s="432"/>
      <c r="E544" s="432"/>
      <c r="F544" s="432"/>
      <c r="G544" s="432"/>
      <c r="H544" s="432"/>
      <c r="I544" s="432"/>
      <c r="J544" s="432"/>
      <c r="K544" s="432"/>
      <c r="L544" s="432"/>
      <c r="M544" s="432"/>
      <c r="N544" s="432"/>
      <c r="O544" s="432"/>
      <c r="P544" s="432"/>
      <c r="Q544" s="432"/>
      <c r="R544" s="432"/>
      <c r="S544" s="432"/>
      <c r="T544" s="432"/>
      <c r="U544" s="432"/>
      <c r="V544" s="432"/>
      <c r="W544" s="432"/>
      <c r="X544" s="432"/>
      <c r="Y544" s="432"/>
      <c r="Z544" s="432"/>
      <c r="AA544" s="432"/>
      <c r="AB544" s="432"/>
      <c r="AC544" s="432"/>
      <c r="AD544" s="432"/>
      <c r="AE544" s="432"/>
    </row>
    <row r="545">
      <c r="A545" s="432"/>
      <c r="B545" s="432"/>
      <c r="C545" s="432"/>
      <c r="D545" s="432"/>
      <c r="E545" s="432"/>
      <c r="F545" s="432"/>
      <c r="G545" s="432"/>
      <c r="H545" s="432"/>
      <c r="I545" s="432"/>
      <c r="J545" s="432"/>
      <c r="K545" s="432"/>
      <c r="L545" s="432"/>
      <c r="M545" s="432"/>
      <c r="N545" s="432"/>
      <c r="O545" s="432"/>
      <c r="P545" s="432"/>
      <c r="Q545" s="432"/>
      <c r="R545" s="432"/>
      <c r="S545" s="432"/>
      <c r="T545" s="432"/>
      <c r="U545" s="432"/>
      <c r="V545" s="432"/>
      <c r="W545" s="432"/>
      <c r="X545" s="432"/>
      <c r="Y545" s="432"/>
      <c r="Z545" s="432"/>
      <c r="AA545" s="432"/>
      <c r="AB545" s="432"/>
      <c r="AC545" s="432"/>
      <c r="AD545" s="432"/>
      <c r="AE545" s="432"/>
    </row>
    <row r="546">
      <c r="A546" s="432"/>
      <c r="B546" s="432"/>
      <c r="C546" s="432"/>
      <c r="D546" s="432"/>
      <c r="E546" s="432"/>
      <c r="F546" s="432"/>
      <c r="G546" s="432"/>
      <c r="H546" s="432"/>
      <c r="I546" s="432"/>
      <c r="J546" s="432"/>
      <c r="K546" s="432"/>
      <c r="L546" s="432"/>
      <c r="M546" s="432"/>
      <c r="N546" s="432"/>
      <c r="O546" s="432"/>
      <c r="P546" s="432"/>
      <c r="Q546" s="432"/>
      <c r="R546" s="432"/>
      <c r="S546" s="432"/>
      <c r="T546" s="432"/>
      <c r="U546" s="432"/>
      <c r="V546" s="432"/>
      <c r="W546" s="432"/>
      <c r="X546" s="432"/>
      <c r="Y546" s="432"/>
      <c r="Z546" s="432"/>
      <c r="AA546" s="432"/>
      <c r="AB546" s="432"/>
      <c r="AC546" s="432"/>
      <c r="AD546" s="432"/>
      <c r="AE546" s="432"/>
    </row>
    <row r="547">
      <c r="A547" s="432"/>
      <c r="B547" s="432"/>
      <c r="C547" s="432"/>
      <c r="D547" s="432"/>
      <c r="E547" s="432"/>
      <c r="F547" s="432"/>
      <c r="G547" s="432"/>
      <c r="H547" s="432"/>
      <c r="I547" s="432"/>
      <c r="J547" s="432"/>
      <c r="K547" s="432"/>
      <c r="L547" s="432"/>
      <c r="M547" s="432"/>
      <c r="N547" s="432"/>
      <c r="O547" s="432"/>
      <c r="P547" s="432"/>
      <c r="Q547" s="432"/>
      <c r="R547" s="432"/>
      <c r="S547" s="432"/>
      <c r="T547" s="432"/>
      <c r="U547" s="432"/>
      <c r="V547" s="432"/>
      <c r="W547" s="432"/>
      <c r="X547" s="432"/>
      <c r="Y547" s="432"/>
      <c r="Z547" s="432"/>
      <c r="AA547" s="432"/>
      <c r="AB547" s="432"/>
      <c r="AC547" s="432"/>
      <c r="AD547" s="432"/>
      <c r="AE547" s="432"/>
    </row>
    <row r="548">
      <c r="A548" s="432"/>
      <c r="B548" s="432"/>
      <c r="C548" s="432"/>
      <c r="D548" s="432"/>
      <c r="E548" s="432"/>
      <c r="F548" s="432"/>
      <c r="G548" s="432"/>
      <c r="H548" s="432"/>
      <c r="I548" s="432"/>
      <c r="J548" s="432"/>
      <c r="K548" s="432"/>
      <c r="L548" s="432"/>
      <c r="M548" s="432"/>
      <c r="N548" s="432"/>
      <c r="O548" s="432"/>
      <c r="P548" s="432"/>
      <c r="Q548" s="432"/>
      <c r="R548" s="432"/>
      <c r="S548" s="432"/>
      <c r="T548" s="432"/>
      <c r="U548" s="432"/>
      <c r="V548" s="432"/>
      <c r="W548" s="432"/>
      <c r="X548" s="432"/>
      <c r="Y548" s="432"/>
      <c r="Z548" s="432"/>
      <c r="AA548" s="432"/>
      <c r="AB548" s="432"/>
      <c r="AC548" s="432"/>
      <c r="AD548" s="432"/>
      <c r="AE548" s="432"/>
    </row>
    <row r="549">
      <c r="A549" s="432"/>
      <c r="B549" s="432"/>
      <c r="C549" s="432"/>
      <c r="D549" s="432"/>
      <c r="E549" s="432"/>
      <c r="F549" s="432"/>
      <c r="G549" s="432"/>
      <c r="H549" s="432"/>
      <c r="I549" s="432"/>
      <c r="J549" s="432"/>
      <c r="K549" s="432"/>
      <c r="L549" s="432"/>
      <c r="M549" s="432"/>
      <c r="N549" s="432"/>
      <c r="O549" s="432"/>
      <c r="P549" s="432"/>
      <c r="Q549" s="432"/>
      <c r="R549" s="432"/>
      <c r="S549" s="432"/>
      <c r="T549" s="432"/>
      <c r="U549" s="432"/>
      <c r="V549" s="432"/>
      <c r="W549" s="432"/>
      <c r="X549" s="432"/>
      <c r="Y549" s="432"/>
      <c r="Z549" s="432"/>
      <c r="AA549" s="432"/>
      <c r="AB549" s="432"/>
      <c r="AC549" s="432"/>
      <c r="AD549" s="432"/>
      <c r="AE549" s="432"/>
    </row>
    <row r="550">
      <c r="A550" s="432"/>
      <c r="B550" s="432"/>
      <c r="C550" s="432"/>
      <c r="D550" s="432"/>
      <c r="E550" s="432"/>
      <c r="F550" s="432"/>
      <c r="G550" s="432"/>
      <c r="H550" s="432"/>
      <c r="I550" s="432"/>
      <c r="J550" s="432"/>
      <c r="K550" s="432"/>
      <c r="L550" s="432"/>
      <c r="M550" s="432"/>
      <c r="N550" s="432"/>
      <c r="O550" s="432"/>
      <c r="P550" s="432"/>
      <c r="Q550" s="432"/>
      <c r="R550" s="432"/>
      <c r="S550" s="432"/>
      <c r="T550" s="432"/>
      <c r="U550" s="432"/>
      <c r="V550" s="432"/>
      <c r="W550" s="432"/>
      <c r="X550" s="432"/>
      <c r="Y550" s="432"/>
      <c r="Z550" s="432"/>
      <c r="AA550" s="432"/>
      <c r="AB550" s="432"/>
      <c r="AC550" s="432"/>
      <c r="AD550" s="432"/>
      <c r="AE550" s="432"/>
    </row>
    <row r="551">
      <c r="A551" s="432"/>
      <c r="B551" s="432"/>
      <c r="C551" s="432"/>
      <c r="D551" s="432"/>
      <c r="E551" s="432"/>
      <c r="F551" s="432"/>
      <c r="G551" s="432"/>
      <c r="H551" s="432"/>
      <c r="I551" s="432"/>
      <c r="J551" s="432"/>
      <c r="K551" s="432"/>
      <c r="L551" s="432"/>
      <c r="M551" s="432"/>
      <c r="N551" s="432"/>
      <c r="O551" s="432"/>
      <c r="P551" s="432"/>
      <c r="Q551" s="432"/>
      <c r="R551" s="432"/>
      <c r="S551" s="432"/>
      <c r="T551" s="432"/>
      <c r="U551" s="432"/>
      <c r="V551" s="432"/>
      <c r="W551" s="432"/>
      <c r="X551" s="432"/>
      <c r="Y551" s="432"/>
      <c r="Z551" s="432"/>
      <c r="AA551" s="432"/>
      <c r="AB551" s="432"/>
      <c r="AC551" s="432"/>
      <c r="AD551" s="432"/>
      <c r="AE551" s="432"/>
    </row>
    <row r="552">
      <c r="A552" s="432"/>
      <c r="B552" s="432"/>
      <c r="C552" s="432"/>
      <c r="D552" s="432"/>
      <c r="E552" s="432"/>
      <c r="F552" s="432"/>
      <c r="G552" s="432"/>
      <c r="H552" s="432"/>
      <c r="I552" s="432"/>
      <c r="J552" s="432"/>
      <c r="K552" s="432"/>
      <c r="L552" s="432"/>
      <c r="M552" s="432"/>
      <c r="N552" s="432"/>
      <c r="O552" s="432"/>
      <c r="P552" s="432"/>
      <c r="Q552" s="432"/>
      <c r="R552" s="432"/>
      <c r="S552" s="432"/>
      <c r="T552" s="432"/>
      <c r="U552" s="432"/>
      <c r="V552" s="432"/>
      <c r="W552" s="432"/>
      <c r="X552" s="432"/>
      <c r="Y552" s="432"/>
      <c r="Z552" s="432"/>
      <c r="AA552" s="432"/>
      <c r="AB552" s="432"/>
      <c r="AC552" s="432"/>
      <c r="AD552" s="432"/>
      <c r="AE552" s="432"/>
    </row>
    <row r="553">
      <c r="A553" s="432"/>
      <c r="B553" s="432"/>
      <c r="C553" s="432"/>
      <c r="D553" s="432"/>
      <c r="E553" s="432"/>
      <c r="F553" s="432"/>
      <c r="G553" s="432"/>
      <c r="H553" s="432"/>
      <c r="I553" s="432"/>
      <c r="J553" s="432"/>
      <c r="K553" s="432"/>
      <c r="L553" s="432"/>
      <c r="M553" s="432"/>
      <c r="N553" s="432"/>
      <c r="O553" s="432"/>
      <c r="P553" s="432"/>
      <c r="Q553" s="432"/>
      <c r="R553" s="432"/>
      <c r="S553" s="432"/>
      <c r="T553" s="432"/>
      <c r="U553" s="432"/>
      <c r="V553" s="432"/>
      <c r="W553" s="432"/>
      <c r="X553" s="432"/>
      <c r="Y553" s="432"/>
      <c r="Z553" s="432"/>
      <c r="AA553" s="432"/>
      <c r="AB553" s="432"/>
      <c r="AC553" s="432"/>
      <c r="AD553" s="432"/>
      <c r="AE553" s="432"/>
    </row>
    <row r="554">
      <c r="A554" s="432"/>
      <c r="B554" s="432"/>
      <c r="C554" s="432"/>
      <c r="D554" s="432"/>
      <c r="E554" s="432"/>
      <c r="F554" s="432"/>
      <c r="G554" s="432"/>
      <c r="H554" s="432"/>
      <c r="I554" s="432"/>
      <c r="J554" s="432"/>
      <c r="K554" s="432"/>
      <c r="L554" s="432"/>
      <c r="M554" s="432"/>
      <c r="N554" s="432"/>
      <c r="O554" s="432"/>
      <c r="P554" s="432"/>
      <c r="Q554" s="432"/>
      <c r="R554" s="432"/>
      <c r="S554" s="432"/>
      <c r="T554" s="432"/>
      <c r="U554" s="432"/>
      <c r="V554" s="432"/>
      <c r="W554" s="432"/>
      <c r="X554" s="432"/>
      <c r="Y554" s="432"/>
      <c r="Z554" s="432"/>
      <c r="AA554" s="432"/>
      <c r="AB554" s="432"/>
      <c r="AC554" s="432"/>
      <c r="AD554" s="432"/>
      <c r="AE554" s="432"/>
    </row>
    <row r="555">
      <c r="A555" s="432"/>
      <c r="B555" s="432"/>
      <c r="C555" s="432"/>
      <c r="D555" s="432"/>
      <c r="E555" s="432"/>
      <c r="F555" s="432"/>
      <c r="G555" s="432"/>
      <c r="H555" s="432"/>
      <c r="I555" s="432"/>
      <c r="J555" s="432"/>
      <c r="K555" s="432"/>
      <c r="L555" s="432"/>
      <c r="M555" s="432"/>
      <c r="N555" s="432"/>
      <c r="O555" s="432"/>
      <c r="P555" s="432"/>
      <c r="Q555" s="432"/>
      <c r="R555" s="432"/>
      <c r="S555" s="432"/>
      <c r="T555" s="432"/>
      <c r="U555" s="432"/>
      <c r="V555" s="432"/>
      <c r="W555" s="432"/>
      <c r="X555" s="432"/>
      <c r="Y555" s="432"/>
      <c r="Z555" s="432"/>
      <c r="AA555" s="432"/>
      <c r="AB555" s="432"/>
      <c r="AC555" s="432"/>
      <c r="AD555" s="432"/>
      <c r="AE555" s="432"/>
    </row>
    <row r="556">
      <c r="A556" s="432"/>
      <c r="B556" s="432"/>
      <c r="C556" s="432"/>
      <c r="D556" s="432"/>
      <c r="E556" s="432"/>
      <c r="F556" s="432"/>
      <c r="G556" s="432"/>
      <c r="H556" s="432"/>
      <c r="I556" s="432"/>
      <c r="J556" s="432"/>
      <c r="K556" s="432"/>
      <c r="L556" s="432"/>
      <c r="M556" s="432"/>
      <c r="N556" s="432"/>
      <c r="O556" s="432"/>
      <c r="P556" s="432"/>
      <c r="Q556" s="432"/>
      <c r="R556" s="432"/>
      <c r="S556" s="432"/>
      <c r="T556" s="432"/>
      <c r="U556" s="432"/>
      <c r="V556" s="432"/>
      <c r="W556" s="432"/>
      <c r="X556" s="432"/>
      <c r="Y556" s="432"/>
      <c r="Z556" s="432"/>
      <c r="AA556" s="432"/>
      <c r="AB556" s="432"/>
      <c r="AC556" s="432"/>
      <c r="AD556" s="432"/>
      <c r="AE556" s="432"/>
    </row>
    <row r="557">
      <c r="A557" s="432"/>
      <c r="B557" s="432"/>
      <c r="C557" s="432"/>
      <c r="D557" s="432"/>
      <c r="E557" s="432"/>
      <c r="F557" s="432"/>
      <c r="G557" s="432"/>
      <c r="H557" s="432"/>
      <c r="I557" s="432"/>
      <c r="J557" s="432"/>
      <c r="K557" s="432"/>
      <c r="L557" s="432"/>
      <c r="M557" s="432"/>
      <c r="N557" s="432"/>
      <c r="O557" s="432"/>
      <c r="P557" s="432"/>
      <c r="Q557" s="432"/>
      <c r="R557" s="432"/>
      <c r="S557" s="432"/>
      <c r="T557" s="432"/>
      <c r="U557" s="432"/>
      <c r="V557" s="432"/>
      <c r="W557" s="432"/>
      <c r="X557" s="432"/>
      <c r="Y557" s="432"/>
      <c r="Z557" s="432"/>
      <c r="AA557" s="432"/>
      <c r="AB557" s="432"/>
      <c r="AC557" s="432"/>
      <c r="AD557" s="432"/>
      <c r="AE557" s="432"/>
    </row>
    <row r="558">
      <c r="A558" s="432"/>
      <c r="B558" s="432"/>
      <c r="C558" s="432"/>
      <c r="D558" s="432"/>
      <c r="E558" s="432"/>
      <c r="F558" s="432"/>
      <c r="G558" s="432"/>
      <c r="H558" s="432"/>
      <c r="I558" s="432"/>
      <c r="J558" s="432"/>
      <c r="K558" s="432"/>
      <c r="L558" s="432"/>
      <c r="M558" s="432"/>
      <c r="N558" s="432"/>
      <c r="O558" s="432"/>
      <c r="P558" s="432"/>
      <c r="Q558" s="432"/>
      <c r="R558" s="432"/>
      <c r="S558" s="432"/>
      <c r="T558" s="432"/>
      <c r="U558" s="432"/>
      <c r="V558" s="432"/>
      <c r="W558" s="432"/>
      <c r="X558" s="432"/>
      <c r="Y558" s="432"/>
      <c r="Z558" s="432"/>
      <c r="AA558" s="432"/>
      <c r="AB558" s="432"/>
      <c r="AC558" s="432"/>
      <c r="AD558" s="432"/>
      <c r="AE558" s="432"/>
    </row>
    <row r="559">
      <c r="A559" s="432"/>
      <c r="B559" s="432"/>
      <c r="C559" s="432"/>
      <c r="D559" s="432"/>
      <c r="E559" s="432"/>
      <c r="F559" s="432"/>
      <c r="G559" s="432"/>
      <c r="H559" s="432"/>
      <c r="I559" s="432"/>
      <c r="J559" s="432"/>
      <c r="K559" s="432"/>
      <c r="L559" s="432"/>
      <c r="M559" s="432"/>
      <c r="N559" s="432"/>
      <c r="O559" s="432"/>
      <c r="P559" s="432"/>
      <c r="Q559" s="432"/>
      <c r="R559" s="432"/>
      <c r="S559" s="432"/>
      <c r="T559" s="432"/>
      <c r="U559" s="432"/>
      <c r="V559" s="432"/>
      <c r="W559" s="432"/>
      <c r="X559" s="432"/>
      <c r="Y559" s="432"/>
      <c r="Z559" s="432"/>
      <c r="AA559" s="432"/>
      <c r="AB559" s="432"/>
      <c r="AC559" s="432"/>
      <c r="AD559" s="432"/>
      <c r="AE559" s="432"/>
    </row>
    <row r="560">
      <c r="A560" s="432"/>
      <c r="B560" s="432"/>
      <c r="C560" s="432"/>
      <c r="D560" s="432"/>
      <c r="E560" s="432"/>
      <c r="F560" s="432"/>
      <c r="G560" s="432"/>
      <c r="H560" s="432"/>
      <c r="I560" s="432"/>
      <c r="J560" s="432"/>
      <c r="K560" s="432"/>
      <c r="L560" s="432"/>
      <c r="M560" s="432"/>
      <c r="N560" s="432"/>
      <c r="O560" s="432"/>
      <c r="P560" s="432"/>
      <c r="Q560" s="432"/>
      <c r="R560" s="432"/>
      <c r="S560" s="432"/>
      <c r="T560" s="432"/>
      <c r="U560" s="432"/>
      <c r="V560" s="432"/>
      <c r="W560" s="432"/>
      <c r="X560" s="432"/>
      <c r="Y560" s="432"/>
      <c r="Z560" s="432"/>
      <c r="AA560" s="432"/>
      <c r="AB560" s="432"/>
      <c r="AC560" s="432"/>
      <c r="AD560" s="432"/>
      <c r="AE560" s="432"/>
    </row>
    <row r="561">
      <c r="A561" s="432"/>
      <c r="B561" s="432"/>
      <c r="C561" s="432"/>
      <c r="D561" s="432"/>
      <c r="E561" s="432"/>
      <c r="F561" s="432"/>
      <c r="G561" s="432"/>
      <c r="H561" s="432"/>
      <c r="I561" s="432"/>
      <c r="J561" s="432"/>
      <c r="K561" s="432"/>
      <c r="L561" s="432"/>
      <c r="M561" s="432"/>
      <c r="N561" s="432"/>
      <c r="O561" s="432"/>
      <c r="P561" s="432"/>
      <c r="Q561" s="432"/>
      <c r="R561" s="432"/>
      <c r="S561" s="432"/>
      <c r="T561" s="432"/>
      <c r="U561" s="432"/>
      <c r="V561" s="432"/>
      <c r="W561" s="432"/>
      <c r="X561" s="432"/>
      <c r="Y561" s="432"/>
      <c r="Z561" s="432"/>
      <c r="AA561" s="432"/>
      <c r="AB561" s="432"/>
      <c r="AC561" s="432"/>
      <c r="AD561" s="432"/>
      <c r="AE561" s="432"/>
    </row>
    <row r="562">
      <c r="A562" s="432"/>
      <c r="B562" s="432"/>
      <c r="C562" s="432"/>
      <c r="D562" s="432"/>
      <c r="E562" s="432"/>
      <c r="F562" s="432"/>
      <c r="G562" s="432"/>
      <c r="H562" s="432"/>
      <c r="I562" s="432"/>
      <c r="J562" s="432"/>
      <c r="K562" s="432"/>
      <c r="L562" s="432"/>
      <c r="M562" s="432"/>
      <c r="N562" s="432"/>
      <c r="O562" s="432"/>
      <c r="P562" s="432"/>
      <c r="Q562" s="432"/>
      <c r="R562" s="432"/>
      <c r="S562" s="432"/>
      <c r="T562" s="432"/>
      <c r="U562" s="432"/>
      <c r="V562" s="432"/>
      <c r="W562" s="432"/>
      <c r="X562" s="432"/>
      <c r="Y562" s="432"/>
      <c r="Z562" s="432"/>
      <c r="AA562" s="432"/>
      <c r="AB562" s="432"/>
      <c r="AC562" s="432"/>
      <c r="AD562" s="432"/>
      <c r="AE562" s="432"/>
    </row>
    <row r="563">
      <c r="A563" s="432"/>
      <c r="B563" s="432"/>
      <c r="C563" s="432"/>
      <c r="D563" s="432"/>
      <c r="E563" s="432"/>
      <c r="F563" s="432"/>
      <c r="G563" s="432"/>
      <c r="H563" s="432"/>
      <c r="I563" s="432"/>
      <c r="J563" s="432"/>
      <c r="K563" s="432"/>
      <c r="L563" s="432"/>
      <c r="M563" s="432"/>
      <c r="N563" s="432"/>
      <c r="O563" s="432"/>
      <c r="P563" s="432"/>
      <c r="Q563" s="432"/>
      <c r="R563" s="432"/>
      <c r="S563" s="432"/>
      <c r="T563" s="432"/>
      <c r="U563" s="432"/>
      <c r="V563" s="432"/>
      <c r="W563" s="432"/>
      <c r="X563" s="432"/>
      <c r="Y563" s="432"/>
      <c r="Z563" s="432"/>
      <c r="AA563" s="432"/>
      <c r="AB563" s="432"/>
      <c r="AC563" s="432"/>
      <c r="AD563" s="432"/>
      <c r="AE563" s="432"/>
    </row>
    <row r="564">
      <c r="A564" s="432"/>
      <c r="B564" s="432"/>
      <c r="C564" s="432"/>
      <c r="D564" s="432"/>
      <c r="E564" s="432"/>
      <c r="F564" s="432"/>
      <c r="G564" s="432"/>
      <c r="H564" s="432"/>
      <c r="I564" s="432"/>
      <c r="J564" s="432"/>
      <c r="K564" s="432"/>
      <c r="L564" s="432"/>
      <c r="M564" s="432"/>
      <c r="N564" s="432"/>
      <c r="O564" s="432"/>
      <c r="P564" s="432"/>
      <c r="Q564" s="432"/>
      <c r="R564" s="432"/>
      <c r="S564" s="432"/>
      <c r="T564" s="432"/>
      <c r="U564" s="432"/>
      <c r="V564" s="432"/>
      <c r="W564" s="432"/>
      <c r="X564" s="432"/>
      <c r="Y564" s="432"/>
      <c r="Z564" s="432"/>
      <c r="AA564" s="432"/>
      <c r="AB564" s="432"/>
      <c r="AC564" s="432"/>
      <c r="AD564" s="432"/>
      <c r="AE564" s="432"/>
    </row>
    <row r="565">
      <c r="A565" s="432"/>
      <c r="B565" s="432"/>
      <c r="C565" s="432"/>
      <c r="D565" s="432"/>
      <c r="E565" s="432"/>
      <c r="F565" s="432"/>
      <c r="G565" s="432"/>
      <c r="H565" s="432"/>
      <c r="I565" s="432"/>
      <c r="J565" s="432"/>
      <c r="K565" s="432"/>
      <c r="L565" s="432"/>
      <c r="M565" s="432"/>
      <c r="N565" s="432"/>
      <c r="O565" s="432"/>
      <c r="P565" s="432"/>
      <c r="Q565" s="432"/>
      <c r="R565" s="432"/>
      <c r="S565" s="432"/>
      <c r="T565" s="432"/>
      <c r="U565" s="432"/>
      <c r="V565" s="432"/>
      <c r="W565" s="432"/>
      <c r="X565" s="432"/>
      <c r="Y565" s="432"/>
      <c r="Z565" s="432"/>
      <c r="AA565" s="432"/>
      <c r="AB565" s="432"/>
      <c r="AC565" s="432"/>
      <c r="AD565" s="432"/>
      <c r="AE565" s="432"/>
    </row>
    <row r="566">
      <c r="A566" s="432"/>
      <c r="B566" s="432"/>
      <c r="C566" s="432"/>
      <c r="D566" s="432"/>
      <c r="E566" s="432"/>
      <c r="F566" s="432"/>
      <c r="G566" s="432"/>
      <c r="H566" s="432"/>
      <c r="I566" s="432"/>
      <c r="J566" s="432"/>
      <c r="K566" s="432"/>
      <c r="L566" s="432"/>
      <c r="M566" s="432"/>
      <c r="N566" s="432"/>
      <c r="O566" s="432"/>
      <c r="P566" s="432"/>
      <c r="Q566" s="432"/>
      <c r="R566" s="432"/>
      <c r="S566" s="432"/>
      <c r="T566" s="432"/>
      <c r="U566" s="432"/>
      <c r="V566" s="432"/>
      <c r="W566" s="432"/>
      <c r="X566" s="432"/>
      <c r="Y566" s="432"/>
      <c r="Z566" s="432"/>
      <c r="AA566" s="432"/>
      <c r="AB566" s="432"/>
      <c r="AC566" s="432"/>
      <c r="AD566" s="432"/>
      <c r="AE566" s="432"/>
    </row>
    <row r="567">
      <c r="A567" s="432"/>
      <c r="B567" s="432"/>
      <c r="C567" s="432"/>
      <c r="D567" s="432"/>
      <c r="E567" s="432"/>
      <c r="F567" s="432"/>
      <c r="G567" s="432"/>
      <c r="H567" s="432"/>
      <c r="I567" s="432"/>
      <c r="J567" s="432"/>
      <c r="K567" s="432"/>
      <c r="L567" s="432"/>
      <c r="M567" s="432"/>
      <c r="N567" s="432"/>
      <c r="O567" s="432"/>
      <c r="P567" s="432"/>
      <c r="Q567" s="432"/>
      <c r="R567" s="432"/>
      <c r="S567" s="432"/>
      <c r="T567" s="432"/>
      <c r="U567" s="432"/>
      <c r="V567" s="432"/>
      <c r="W567" s="432"/>
      <c r="X567" s="432"/>
      <c r="Y567" s="432"/>
      <c r="Z567" s="432"/>
      <c r="AA567" s="432"/>
      <c r="AB567" s="432"/>
      <c r="AC567" s="432"/>
      <c r="AD567" s="432"/>
      <c r="AE567" s="432"/>
    </row>
    <row r="568">
      <c r="A568" s="432"/>
      <c r="B568" s="432"/>
      <c r="C568" s="432"/>
      <c r="D568" s="432"/>
      <c r="E568" s="432"/>
      <c r="F568" s="432"/>
      <c r="G568" s="432"/>
      <c r="H568" s="432"/>
      <c r="I568" s="432"/>
      <c r="J568" s="432"/>
      <c r="K568" s="432"/>
      <c r="L568" s="432"/>
      <c r="M568" s="432"/>
      <c r="N568" s="432"/>
      <c r="O568" s="432"/>
      <c r="P568" s="432"/>
      <c r="Q568" s="432"/>
      <c r="R568" s="432"/>
      <c r="S568" s="432"/>
      <c r="T568" s="432"/>
      <c r="U568" s="432"/>
      <c r="V568" s="432"/>
      <c r="W568" s="432"/>
      <c r="X568" s="432"/>
      <c r="Y568" s="432"/>
      <c r="Z568" s="432"/>
      <c r="AA568" s="432"/>
      <c r="AB568" s="432"/>
      <c r="AC568" s="432"/>
      <c r="AD568" s="432"/>
      <c r="AE568" s="432"/>
    </row>
    <row r="569">
      <c r="A569" s="432"/>
      <c r="B569" s="432"/>
      <c r="C569" s="432"/>
      <c r="D569" s="432"/>
      <c r="E569" s="432"/>
      <c r="F569" s="432"/>
      <c r="G569" s="432"/>
      <c r="H569" s="432"/>
      <c r="I569" s="432"/>
      <c r="J569" s="432"/>
      <c r="K569" s="432"/>
      <c r="L569" s="432"/>
      <c r="M569" s="432"/>
      <c r="N569" s="432"/>
      <c r="O569" s="432"/>
      <c r="P569" s="432"/>
      <c r="Q569" s="432"/>
      <c r="R569" s="432"/>
      <c r="S569" s="432"/>
      <c r="T569" s="432"/>
      <c r="U569" s="432"/>
      <c r="V569" s="432"/>
      <c r="W569" s="432"/>
      <c r="X569" s="432"/>
      <c r="Y569" s="432"/>
      <c r="Z569" s="432"/>
      <c r="AA569" s="432"/>
      <c r="AB569" s="432"/>
      <c r="AC569" s="432"/>
      <c r="AD569" s="432"/>
      <c r="AE569" s="432"/>
    </row>
    <row r="570">
      <c r="A570" s="432"/>
      <c r="B570" s="432"/>
      <c r="C570" s="432"/>
      <c r="D570" s="432"/>
      <c r="E570" s="432"/>
      <c r="F570" s="432"/>
      <c r="G570" s="432"/>
      <c r="H570" s="432"/>
      <c r="I570" s="432"/>
      <c r="J570" s="432"/>
      <c r="K570" s="432"/>
      <c r="L570" s="432"/>
      <c r="M570" s="432"/>
      <c r="N570" s="432"/>
      <c r="O570" s="432"/>
      <c r="P570" s="432"/>
      <c r="Q570" s="432"/>
      <c r="R570" s="432"/>
      <c r="S570" s="432"/>
      <c r="T570" s="432"/>
      <c r="U570" s="432"/>
      <c r="V570" s="432"/>
      <c r="W570" s="432"/>
      <c r="X570" s="432"/>
      <c r="Y570" s="432"/>
      <c r="Z570" s="432"/>
      <c r="AA570" s="432"/>
      <c r="AB570" s="432"/>
      <c r="AC570" s="432"/>
      <c r="AD570" s="432"/>
      <c r="AE570" s="432"/>
    </row>
    <row r="571">
      <c r="A571" s="432"/>
      <c r="B571" s="432"/>
      <c r="C571" s="432"/>
      <c r="D571" s="432"/>
      <c r="E571" s="432"/>
      <c r="F571" s="432"/>
      <c r="G571" s="432"/>
      <c r="H571" s="432"/>
      <c r="I571" s="432"/>
      <c r="J571" s="432"/>
      <c r="K571" s="432"/>
      <c r="L571" s="432"/>
      <c r="M571" s="432"/>
      <c r="N571" s="432"/>
      <c r="O571" s="432"/>
      <c r="P571" s="432"/>
      <c r="Q571" s="432"/>
      <c r="R571" s="432"/>
      <c r="S571" s="432"/>
      <c r="T571" s="432"/>
      <c r="U571" s="432"/>
      <c r="V571" s="432"/>
      <c r="W571" s="432"/>
      <c r="X571" s="432"/>
      <c r="Y571" s="432"/>
      <c r="Z571" s="432"/>
      <c r="AA571" s="432"/>
      <c r="AB571" s="432"/>
      <c r="AC571" s="432"/>
      <c r="AD571" s="432"/>
      <c r="AE571" s="432"/>
    </row>
    <row r="572">
      <c r="A572" s="432"/>
      <c r="B572" s="432"/>
      <c r="C572" s="432"/>
      <c r="D572" s="432"/>
      <c r="E572" s="432"/>
      <c r="F572" s="432"/>
      <c r="G572" s="432"/>
      <c r="H572" s="432"/>
      <c r="I572" s="432"/>
      <c r="J572" s="432"/>
      <c r="K572" s="432"/>
      <c r="L572" s="432"/>
      <c r="M572" s="432"/>
      <c r="N572" s="432"/>
      <c r="O572" s="432"/>
      <c r="P572" s="432"/>
      <c r="Q572" s="432"/>
      <c r="R572" s="432"/>
      <c r="S572" s="432"/>
      <c r="T572" s="432"/>
      <c r="U572" s="432"/>
      <c r="V572" s="432"/>
      <c r="W572" s="432"/>
      <c r="X572" s="432"/>
      <c r="Y572" s="432"/>
      <c r="Z572" s="432"/>
      <c r="AA572" s="432"/>
      <c r="AB572" s="432"/>
      <c r="AC572" s="432"/>
      <c r="AD572" s="432"/>
      <c r="AE572" s="432"/>
    </row>
    <row r="573">
      <c r="A573" s="432"/>
      <c r="B573" s="432"/>
      <c r="C573" s="432"/>
      <c r="D573" s="432"/>
      <c r="E573" s="432"/>
      <c r="F573" s="432"/>
      <c r="G573" s="432"/>
      <c r="H573" s="432"/>
      <c r="I573" s="432"/>
      <c r="J573" s="432"/>
      <c r="K573" s="432"/>
      <c r="L573" s="432"/>
      <c r="M573" s="432"/>
      <c r="N573" s="432"/>
      <c r="O573" s="432"/>
      <c r="P573" s="432"/>
      <c r="Q573" s="432"/>
      <c r="R573" s="432"/>
      <c r="S573" s="432"/>
      <c r="T573" s="432"/>
      <c r="U573" s="432"/>
      <c r="V573" s="432"/>
      <c r="W573" s="432"/>
      <c r="X573" s="432"/>
      <c r="Y573" s="432"/>
      <c r="Z573" s="432"/>
      <c r="AA573" s="432"/>
      <c r="AB573" s="432"/>
      <c r="AC573" s="432"/>
      <c r="AD573" s="432"/>
      <c r="AE573" s="432"/>
    </row>
    <row r="574">
      <c r="A574" s="432"/>
      <c r="B574" s="432"/>
      <c r="C574" s="432"/>
      <c r="D574" s="432"/>
      <c r="E574" s="432"/>
      <c r="F574" s="432"/>
      <c r="G574" s="432"/>
      <c r="H574" s="432"/>
      <c r="I574" s="432"/>
      <c r="J574" s="432"/>
      <c r="K574" s="432"/>
      <c r="L574" s="432"/>
      <c r="M574" s="432"/>
      <c r="N574" s="432"/>
      <c r="O574" s="432"/>
      <c r="P574" s="432"/>
      <c r="Q574" s="432"/>
      <c r="R574" s="432"/>
      <c r="S574" s="432"/>
      <c r="T574" s="432"/>
      <c r="U574" s="432"/>
      <c r="V574" s="432"/>
      <c r="W574" s="432"/>
      <c r="X574" s="432"/>
      <c r="Y574" s="432"/>
      <c r="Z574" s="432"/>
      <c r="AA574" s="432"/>
      <c r="AB574" s="432"/>
      <c r="AC574" s="432"/>
      <c r="AD574" s="432"/>
      <c r="AE574" s="432"/>
    </row>
    <row r="575">
      <c r="A575" s="432"/>
      <c r="B575" s="432"/>
      <c r="C575" s="432"/>
      <c r="D575" s="432"/>
      <c r="E575" s="432"/>
      <c r="F575" s="432"/>
      <c r="G575" s="432"/>
      <c r="H575" s="432"/>
      <c r="I575" s="432"/>
      <c r="J575" s="432"/>
      <c r="K575" s="432"/>
      <c r="L575" s="432"/>
      <c r="M575" s="432"/>
      <c r="N575" s="432"/>
      <c r="O575" s="432"/>
      <c r="P575" s="432"/>
      <c r="Q575" s="432"/>
      <c r="R575" s="432"/>
      <c r="S575" s="432"/>
      <c r="T575" s="432"/>
      <c r="U575" s="432"/>
      <c r="V575" s="432"/>
      <c r="W575" s="432"/>
      <c r="X575" s="432"/>
      <c r="Y575" s="432"/>
      <c r="Z575" s="432"/>
      <c r="AA575" s="432"/>
      <c r="AB575" s="432"/>
      <c r="AC575" s="432"/>
      <c r="AD575" s="432"/>
      <c r="AE575" s="432"/>
    </row>
    <row r="576">
      <c r="A576" s="432"/>
      <c r="B576" s="432"/>
      <c r="C576" s="432"/>
      <c r="D576" s="432"/>
      <c r="E576" s="432"/>
      <c r="F576" s="432"/>
      <c r="G576" s="432"/>
      <c r="H576" s="432"/>
      <c r="I576" s="432"/>
      <c r="J576" s="432"/>
      <c r="K576" s="432"/>
      <c r="L576" s="432"/>
      <c r="M576" s="432"/>
      <c r="N576" s="432"/>
      <c r="O576" s="432"/>
      <c r="P576" s="432"/>
      <c r="Q576" s="432"/>
      <c r="R576" s="432"/>
      <c r="S576" s="432"/>
      <c r="T576" s="432"/>
      <c r="U576" s="432"/>
      <c r="V576" s="432"/>
      <c r="W576" s="432"/>
      <c r="X576" s="432"/>
      <c r="Y576" s="432"/>
      <c r="Z576" s="432"/>
      <c r="AA576" s="432"/>
      <c r="AB576" s="432"/>
      <c r="AC576" s="432"/>
      <c r="AD576" s="432"/>
      <c r="AE576" s="432"/>
    </row>
    <row r="577">
      <c r="A577" s="432"/>
      <c r="B577" s="432"/>
      <c r="C577" s="432"/>
      <c r="D577" s="432"/>
      <c r="E577" s="432"/>
      <c r="F577" s="432"/>
      <c r="G577" s="432"/>
      <c r="H577" s="432"/>
      <c r="I577" s="432"/>
      <c r="J577" s="432"/>
      <c r="K577" s="432"/>
      <c r="L577" s="432"/>
      <c r="M577" s="432"/>
      <c r="N577" s="432"/>
      <c r="O577" s="432"/>
      <c r="P577" s="432"/>
      <c r="Q577" s="432"/>
      <c r="R577" s="432"/>
      <c r="S577" s="432"/>
      <c r="T577" s="432"/>
      <c r="U577" s="432"/>
      <c r="V577" s="432"/>
      <c r="W577" s="432"/>
      <c r="X577" s="432"/>
      <c r="Y577" s="432"/>
      <c r="Z577" s="432"/>
      <c r="AA577" s="432"/>
      <c r="AB577" s="432"/>
      <c r="AC577" s="432"/>
      <c r="AD577" s="432"/>
      <c r="AE577" s="432"/>
    </row>
    <row r="578">
      <c r="A578" s="432"/>
      <c r="B578" s="432"/>
      <c r="C578" s="432"/>
      <c r="D578" s="432"/>
      <c r="E578" s="432"/>
      <c r="F578" s="432"/>
      <c r="G578" s="432"/>
      <c r="H578" s="432"/>
      <c r="I578" s="432"/>
      <c r="J578" s="432"/>
      <c r="K578" s="432"/>
      <c r="L578" s="432"/>
      <c r="M578" s="432"/>
      <c r="N578" s="432"/>
      <c r="O578" s="432"/>
      <c r="P578" s="432"/>
      <c r="Q578" s="432"/>
      <c r="R578" s="432"/>
      <c r="S578" s="432"/>
      <c r="T578" s="432"/>
      <c r="U578" s="432"/>
      <c r="V578" s="432"/>
      <c r="W578" s="432"/>
      <c r="X578" s="432"/>
      <c r="Y578" s="432"/>
      <c r="Z578" s="432"/>
      <c r="AA578" s="432"/>
      <c r="AB578" s="432"/>
      <c r="AC578" s="432"/>
      <c r="AD578" s="432"/>
      <c r="AE578" s="432"/>
    </row>
    <row r="579">
      <c r="A579" s="432"/>
      <c r="B579" s="432"/>
      <c r="C579" s="432"/>
      <c r="D579" s="432"/>
      <c r="E579" s="432"/>
      <c r="F579" s="432"/>
      <c r="G579" s="432"/>
      <c r="H579" s="432"/>
      <c r="I579" s="432"/>
      <c r="J579" s="432"/>
      <c r="K579" s="432"/>
      <c r="L579" s="432"/>
      <c r="M579" s="432"/>
      <c r="N579" s="432"/>
      <c r="O579" s="432"/>
      <c r="P579" s="432"/>
      <c r="Q579" s="432"/>
      <c r="R579" s="432"/>
      <c r="S579" s="432"/>
      <c r="T579" s="432"/>
      <c r="U579" s="432"/>
      <c r="V579" s="432"/>
      <c r="W579" s="432"/>
      <c r="X579" s="432"/>
      <c r="Y579" s="432"/>
      <c r="Z579" s="432"/>
      <c r="AA579" s="432"/>
      <c r="AB579" s="432"/>
      <c r="AC579" s="432"/>
      <c r="AD579" s="432"/>
      <c r="AE579" s="432"/>
    </row>
    <row r="580">
      <c r="A580" s="432"/>
      <c r="B580" s="432"/>
      <c r="C580" s="432"/>
      <c r="D580" s="432"/>
      <c r="E580" s="432"/>
      <c r="F580" s="432"/>
      <c r="G580" s="432"/>
      <c r="H580" s="432"/>
      <c r="I580" s="432"/>
      <c r="J580" s="432"/>
      <c r="K580" s="432"/>
      <c r="L580" s="432"/>
      <c r="M580" s="432"/>
      <c r="N580" s="432"/>
      <c r="O580" s="432"/>
      <c r="P580" s="432"/>
      <c r="Q580" s="432"/>
      <c r="R580" s="432"/>
      <c r="S580" s="432"/>
      <c r="T580" s="432"/>
      <c r="U580" s="432"/>
      <c r="V580" s="432"/>
      <c r="W580" s="432"/>
      <c r="X580" s="432"/>
      <c r="Y580" s="432"/>
      <c r="Z580" s="432"/>
      <c r="AA580" s="432"/>
      <c r="AB580" s="432"/>
      <c r="AC580" s="432"/>
      <c r="AD580" s="432"/>
      <c r="AE580" s="432"/>
    </row>
    <row r="581">
      <c r="A581" s="432"/>
      <c r="B581" s="432"/>
      <c r="C581" s="432"/>
      <c r="D581" s="432"/>
      <c r="E581" s="432"/>
      <c r="F581" s="432"/>
      <c r="G581" s="432"/>
      <c r="H581" s="432"/>
      <c r="I581" s="432"/>
      <c r="J581" s="432"/>
      <c r="K581" s="432"/>
      <c r="L581" s="432"/>
      <c r="M581" s="432"/>
      <c r="N581" s="432"/>
      <c r="O581" s="432"/>
      <c r="P581" s="432"/>
      <c r="Q581" s="432"/>
      <c r="R581" s="432"/>
      <c r="S581" s="432"/>
      <c r="T581" s="432"/>
      <c r="U581" s="432"/>
      <c r="V581" s="432"/>
      <c r="W581" s="432"/>
      <c r="X581" s="432"/>
      <c r="Y581" s="432"/>
      <c r="Z581" s="432"/>
      <c r="AA581" s="432"/>
      <c r="AB581" s="432"/>
      <c r="AC581" s="432"/>
      <c r="AD581" s="432"/>
      <c r="AE581" s="432"/>
    </row>
    <row r="582">
      <c r="A582" s="432"/>
      <c r="B582" s="432"/>
      <c r="C582" s="432"/>
      <c r="D582" s="432"/>
      <c r="E582" s="432"/>
      <c r="F582" s="432"/>
      <c r="G582" s="432"/>
      <c r="H582" s="432"/>
      <c r="I582" s="432"/>
      <c r="J582" s="432"/>
      <c r="K582" s="432"/>
      <c r="L582" s="432"/>
      <c r="M582" s="432"/>
      <c r="N582" s="432"/>
      <c r="O582" s="432"/>
      <c r="P582" s="432"/>
      <c r="Q582" s="432"/>
      <c r="R582" s="432"/>
      <c r="S582" s="432"/>
      <c r="T582" s="432"/>
      <c r="U582" s="432"/>
      <c r="V582" s="432"/>
      <c r="W582" s="432"/>
      <c r="X582" s="432"/>
      <c r="Y582" s="432"/>
      <c r="Z582" s="432"/>
      <c r="AA582" s="432"/>
      <c r="AB582" s="432"/>
      <c r="AC582" s="432"/>
      <c r="AD582" s="432"/>
      <c r="AE582" s="432"/>
    </row>
    <row r="583">
      <c r="A583" s="432"/>
      <c r="B583" s="432"/>
      <c r="C583" s="432"/>
      <c r="D583" s="432"/>
      <c r="E583" s="432"/>
      <c r="F583" s="432"/>
      <c r="G583" s="432"/>
      <c r="H583" s="432"/>
      <c r="I583" s="432"/>
      <c r="J583" s="432"/>
      <c r="K583" s="432"/>
      <c r="L583" s="432"/>
      <c r="M583" s="432"/>
      <c r="N583" s="432"/>
      <c r="O583" s="432"/>
      <c r="P583" s="432"/>
      <c r="Q583" s="432"/>
      <c r="R583" s="432"/>
      <c r="S583" s="432"/>
      <c r="T583" s="432"/>
      <c r="U583" s="432"/>
      <c r="V583" s="432"/>
      <c r="W583" s="432"/>
      <c r="X583" s="432"/>
      <c r="Y583" s="432"/>
      <c r="Z583" s="432"/>
      <c r="AA583" s="432"/>
      <c r="AB583" s="432"/>
      <c r="AC583" s="432"/>
      <c r="AD583" s="432"/>
      <c r="AE583" s="432"/>
    </row>
    <row r="584">
      <c r="A584" s="432"/>
      <c r="B584" s="432"/>
      <c r="C584" s="432"/>
      <c r="D584" s="432"/>
      <c r="E584" s="432"/>
      <c r="F584" s="432"/>
      <c r="G584" s="432"/>
      <c r="H584" s="432"/>
      <c r="I584" s="432"/>
      <c r="J584" s="432"/>
      <c r="K584" s="432"/>
      <c r="L584" s="432"/>
      <c r="M584" s="432"/>
      <c r="N584" s="432"/>
      <c r="O584" s="432"/>
      <c r="P584" s="432"/>
      <c r="Q584" s="432"/>
      <c r="R584" s="432"/>
      <c r="S584" s="432"/>
      <c r="T584" s="432"/>
      <c r="U584" s="432"/>
      <c r="V584" s="432"/>
      <c r="W584" s="432"/>
      <c r="X584" s="432"/>
      <c r="Y584" s="432"/>
      <c r="Z584" s="432"/>
      <c r="AA584" s="432"/>
      <c r="AB584" s="432"/>
      <c r="AC584" s="432"/>
      <c r="AD584" s="432"/>
      <c r="AE584" s="432"/>
    </row>
    <row r="585">
      <c r="A585" s="432"/>
      <c r="B585" s="432"/>
      <c r="C585" s="432"/>
      <c r="D585" s="432"/>
      <c r="E585" s="432"/>
      <c r="F585" s="432"/>
      <c r="G585" s="432"/>
      <c r="H585" s="432"/>
      <c r="I585" s="432"/>
      <c r="J585" s="432"/>
      <c r="K585" s="432"/>
      <c r="L585" s="432"/>
      <c r="M585" s="432"/>
      <c r="N585" s="432"/>
      <c r="O585" s="432"/>
      <c r="P585" s="432"/>
      <c r="Q585" s="432"/>
      <c r="R585" s="432"/>
      <c r="S585" s="432"/>
      <c r="T585" s="432"/>
      <c r="U585" s="432"/>
      <c r="V585" s="432"/>
      <c r="W585" s="432"/>
      <c r="X585" s="432"/>
      <c r="Y585" s="432"/>
      <c r="Z585" s="432"/>
      <c r="AA585" s="432"/>
      <c r="AB585" s="432"/>
      <c r="AC585" s="432"/>
      <c r="AD585" s="432"/>
      <c r="AE585" s="432"/>
    </row>
    <row r="586">
      <c r="A586" s="432"/>
      <c r="B586" s="432"/>
      <c r="C586" s="432"/>
      <c r="D586" s="432"/>
      <c r="E586" s="432"/>
      <c r="F586" s="432"/>
      <c r="G586" s="432"/>
      <c r="H586" s="432"/>
      <c r="I586" s="432"/>
      <c r="J586" s="432"/>
      <c r="K586" s="432"/>
      <c r="L586" s="432"/>
      <c r="M586" s="432"/>
      <c r="N586" s="432"/>
      <c r="O586" s="432"/>
      <c r="P586" s="432"/>
      <c r="Q586" s="432"/>
      <c r="R586" s="432"/>
      <c r="S586" s="432"/>
      <c r="T586" s="432"/>
      <c r="U586" s="432"/>
      <c r="V586" s="432"/>
      <c r="W586" s="432"/>
      <c r="X586" s="432"/>
      <c r="Y586" s="432"/>
      <c r="Z586" s="432"/>
      <c r="AA586" s="432"/>
      <c r="AB586" s="432"/>
      <c r="AC586" s="432"/>
      <c r="AD586" s="432"/>
      <c r="AE586" s="432"/>
    </row>
    <row r="587">
      <c r="A587" s="432"/>
      <c r="B587" s="432"/>
      <c r="C587" s="432"/>
      <c r="D587" s="432"/>
      <c r="E587" s="432"/>
      <c r="F587" s="432"/>
      <c r="G587" s="432"/>
      <c r="H587" s="432"/>
      <c r="I587" s="432"/>
      <c r="J587" s="432"/>
      <c r="K587" s="432"/>
      <c r="L587" s="432"/>
      <c r="M587" s="432"/>
      <c r="N587" s="432"/>
      <c r="O587" s="432"/>
      <c r="P587" s="432"/>
      <c r="Q587" s="432"/>
      <c r="R587" s="432"/>
      <c r="S587" s="432"/>
      <c r="T587" s="432"/>
      <c r="U587" s="432"/>
      <c r="V587" s="432"/>
      <c r="W587" s="432"/>
      <c r="X587" s="432"/>
      <c r="Y587" s="432"/>
      <c r="Z587" s="432"/>
      <c r="AA587" s="432"/>
      <c r="AB587" s="432"/>
      <c r="AC587" s="432"/>
      <c r="AD587" s="432"/>
      <c r="AE587" s="432"/>
    </row>
    <row r="588">
      <c r="A588" s="432"/>
      <c r="B588" s="432"/>
      <c r="C588" s="432"/>
      <c r="D588" s="432"/>
      <c r="E588" s="432"/>
      <c r="F588" s="432"/>
      <c r="G588" s="432"/>
      <c r="H588" s="432"/>
      <c r="I588" s="432"/>
      <c r="J588" s="432"/>
      <c r="K588" s="432"/>
      <c r="L588" s="432"/>
      <c r="M588" s="432"/>
      <c r="N588" s="432"/>
      <c r="O588" s="432"/>
      <c r="P588" s="432"/>
      <c r="Q588" s="432"/>
      <c r="R588" s="432"/>
      <c r="S588" s="432"/>
      <c r="T588" s="432"/>
      <c r="U588" s="432"/>
      <c r="V588" s="432"/>
      <c r="W588" s="432"/>
      <c r="X588" s="432"/>
      <c r="Y588" s="432"/>
      <c r="Z588" s="432"/>
      <c r="AA588" s="432"/>
      <c r="AB588" s="432"/>
      <c r="AC588" s="432"/>
      <c r="AD588" s="432"/>
      <c r="AE588" s="432"/>
    </row>
    <row r="589">
      <c r="A589" s="432"/>
      <c r="B589" s="432"/>
      <c r="C589" s="432"/>
      <c r="D589" s="432"/>
      <c r="E589" s="432"/>
      <c r="F589" s="432"/>
      <c r="G589" s="432"/>
      <c r="H589" s="432"/>
      <c r="I589" s="432"/>
      <c r="J589" s="432"/>
      <c r="K589" s="432"/>
      <c r="L589" s="432"/>
      <c r="M589" s="432"/>
      <c r="N589" s="432"/>
      <c r="O589" s="432"/>
      <c r="P589" s="432"/>
      <c r="Q589" s="432"/>
      <c r="R589" s="432"/>
      <c r="S589" s="432"/>
      <c r="T589" s="432"/>
      <c r="U589" s="432"/>
      <c r="V589" s="432"/>
      <c r="W589" s="432"/>
      <c r="X589" s="432"/>
      <c r="Y589" s="432"/>
      <c r="Z589" s="432"/>
      <c r="AA589" s="432"/>
      <c r="AB589" s="432"/>
      <c r="AC589" s="432"/>
      <c r="AD589" s="432"/>
      <c r="AE589" s="432"/>
    </row>
    <row r="590">
      <c r="A590" s="432"/>
      <c r="B590" s="432"/>
      <c r="C590" s="432"/>
      <c r="D590" s="432"/>
      <c r="E590" s="432"/>
      <c r="F590" s="432"/>
      <c r="G590" s="432"/>
      <c r="H590" s="432"/>
      <c r="I590" s="432"/>
      <c r="J590" s="432"/>
      <c r="K590" s="432"/>
      <c r="L590" s="432"/>
      <c r="M590" s="432"/>
      <c r="N590" s="432"/>
      <c r="O590" s="432"/>
      <c r="P590" s="432"/>
      <c r="Q590" s="432"/>
      <c r="R590" s="432"/>
      <c r="S590" s="432"/>
      <c r="T590" s="432"/>
      <c r="U590" s="432"/>
      <c r="V590" s="432"/>
      <c r="W590" s="432"/>
      <c r="X590" s="432"/>
      <c r="Y590" s="432"/>
      <c r="Z590" s="432"/>
      <c r="AA590" s="432"/>
      <c r="AB590" s="432"/>
      <c r="AC590" s="432"/>
      <c r="AD590" s="432"/>
      <c r="AE590" s="432"/>
    </row>
    <row r="591">
      <c r="A591" s="432"/>
      <c r="B591" s="432"/>
      <c r="C591" s="432"/>
      <c r="D591" s="432"/>
      <c r="E591" s="432"/>
      <c r="F591" s="432"/>
      <c r="G591" s="432"/>
      <c r="H591" s="432"/>
      <c r="I591" s="432"/>
      <c r="J591" s="432"/>
      <c r="K591" s="432"/>
      <c r="L591" s="432"/>
      <c r="M591" s="432"/>
      <c r="N591" s="432"/>
      <c r="O591" s="432"/>
      <c r="P591" s="432"/>
      <c r="Q591" s="432"/>
      <c r="R591" s="432"/>
      <c r="S591" s="432"/>
      <c r="T591" s="432"/>
      <c r="U591" s="432"/>
      <c r="V591" s="432"/>
      <c r="W591" s="432"/>
      <c r="X591" s="432"/>
      <c r="Y591" s="432"/>
      <c r="Z591" s="432"/>
      <c r="AA591" s="432"/>
      <c r="AB591" s="432"/>
      <c r="AC591" s="432"/>
      <c r="AD591" s="432"/>
      <c r="AE591" s="432"/>
    </row>
    <row r="592">
      <c r="A592" s="432"/>
      <c r="B592" s="432"/>
      <c r="C592" s="432"/>
      <c r="D592" s="432"/>
      <c r="E592" s="432"/>
      <c r="F592" s="432"/>
      <c r="G592" s="432"/>
      <c r="H592" s="432"/>
      <c r="I592" s="432"/>
      <c r="J592" s="432"/>
      <c r="K592" s="432"/>
      <c r="L592" s="432"/>
      <c r="M592" s="432"/>
      <c r="N592" s="432"/>
      <c r="O592" s="432"/>
      <c r="P592" s="432"/>
      <c r="Q592" s="432"/>
      <c r="R592" s="432"/>
      <c r="S592" s="432"/>
      <c r="T592" s="432"/>
      <c r="U592" s="432"/>
      <c r="V592" s="432"/>
      <c r="W592" s="432"/>
      <c r="X592" s="432"/>
      <c r="Y592" s="432"/>
      <c r="Z592" s="432"/>
      <c r="AA592" s="432"/>
      <c r="AB592" s="432"/>
      <c r="AC592" s="432"/>
      <c r="AD592" s="432"/>
      <c r="AE592" s="432"/>
    </row>
    <row r="593">
      <c r="A593" s="432"/>
      <c r="B593" s="432"/>
      <c r="C593" s="432"/>
      <c r="D593" s="432"/>
      <c r="E593" s="432"/>
      <c r="F593" s="432"/>
      <c r="G593" s="432"/>
      <c r="H593" s="432"/>
      <c r="I593" s="432"/>
      <c r="J593" s="432"/>
      <c r="K593" s="432"/>
      <c r="L593" s="432"/>
      <c r="M593" s="432"/>
      <c r="N593" s="432"/>
      <c r="O593" s="432"/>
      <c r="P593" s="432"/>
      <c r="Q593" s="432"/>
      <c r="R593" s="432"/>
      <c r="S593" s="432"/>
      <c r="T593" s="432"/>
      <c r="U593" s="432"/>
      <c r="V593" s="432"/>
      <c r="W593" s="432"/>
      <c r="X593" s="432"/>
      <c r="Y593" s="432"/>
      <c r="Z593" s="432"/>
      <c r="AA593" s="432"/>
      <c r="AB593" s="432"/>
      <c r="AC593" s="432"/>
      <c r="AD593" s="432"/>
      <c r="AE593" s="432"/>
    </row>
    <row r="594">
      <c r="A594" s="432"/>
      <c r="B594" s="432"/>
      <c r="C594" s="432"/>
      <c r="D594" s="432"/>
      <c r="E594" s="432"/>
      <c r="F594" s="432"/>
      <c r="G594" s="432"/>
      <c r="H594" s="432"/>
      <c r="I594" s="432"/>
      <c r="J594" s="432"/>
      <c r="K594" s="432"/>
      <c r="L594" s="432"/>
      <c r="M594" s="432"/>
      <c r="N594" s="432"/>
      <c r="O594" s="432"/>
      <c r="P594" s="432"/>
      <c r="Q594" s="432"/>
      <c r="R594" s="432"/>
      <c r="S594" s="432"/>
      <c r="T594" s="432"/>
      <c r="U594" s="432"/>
      <c r="V594" s="432"/>
      <c r="W594" s="432"/>
      <c r="X594" s="432"/>
      <c r="Y594" s="432"/>
      <c r="Z594" s="432"/>
      <c r="AA594" s="432"/>
      <c r="AB594" s="432"/>
      <c r="AC594" s="432"/>
      <c r="AD594" s="432"/>
      <c r="AE594" s="432"/>
    </row>
    <row r="595">
      <c r="A595" s="432"/>
      <c r="B595" s="432"/>
      <c r="C595" s="432"/>
      <c r="D595" s="432"/>
      <c r="E595" s="432"/>
      <c r="F595" s="432"/>
      <c r="G595" s="432"/>
      <c r="H595" s="432"/>
      <c r="I595" s="432"/>
      <c r="J595" s="432"/>
      <c r="K595" s="432"/>
      <c r="L595" s="432"/>
      <c r="M595" s="432"/>
      <c r="N595" s="432"/>
      <c r="O595" s="432"/>
      <c r="P595" s="432"/>
      <c r="Q595" s="432"/>
      <c r="R595" s="432"/>
      <c r="S595" s="432"/>
      <c r="T595" s="432"/>
      <c r="U595" s="432"/>
      <c r="V595" s="432"/>
      <c r="W595" s="432"/>
      <c r="X595" s="432"/>
      <c r="Y595" s="432"/>
      <c r="Z595" s="432"/>
      <c r="AA595" s="432"/>
      <c r="AB595" s="432"/>
      <c r="AC595" s="432"/>
      <c r="AD595" s="432"/>
      <c r="AE595" s="432"/>
    </row>
    <row r="596">
      <c r="A596" s="432"/>
      <c r="B596" s="432"/>
      <c r="C596" s="432"/>
      <c r="D596" s="432"/>
      <c r="E596" s="432"/>
      <c r="F596" s="432"/>
      <c r="G596" s="432"/>
      <c r="H596" s="432"/>
      <c r="I596" s="432"/>
      <c r="J596" s="432"/>
      <c r="K596" s="432"/>
      <c r="L596" s="432"/>
      <c r="M596" s="432"/>
      <c r="N596" s="432"/>
      <c r="O596" s="432"/>
      <c r="P596" s="432"/>
      <c r="Q596" s="432"/>
      <c r="R596" s="432"/>
      <c r="S596" s="432"/>
      <c r="T596" s="432"/>
      <c r="U596" s="432"/>
      <c r="V596" s="432"/>
      <c r="W596" s="432"/>
      <c r="X596" s="432"/>
      <c r="Y596" s="432"/>
      <c r="Z596" s="432"/>
      <c r="AA596" s="432"/>
      <c r="AB596" s="432"/>
      <c r="AC596" s="432"/>
      <c r="AD596" s="432"/>
      <c r="AE596" s="432"/>
    </row>
    <row r="597">
      <c r="A597" s="432"/>
      <c r="B597" s="432"/>
      <c r="C597" s="432"/>
      <c r="D597" s="432"/>
      <c r="E597" s="432"/>
      <c r="F597" s="432"/>
      <c r="G597" s="432"/>
      <c r="H597" s="432"/>
      <c r="I597" s="432"/>
      <c r="J597" s="432"/>
      <c r="K597" s="432"/>
      <c r="L597" s="432"/>
      <c r="M597" s="432"/>
      <c r="N597" s="432"/>
      <c r="O597" s="432"/>
      <c r="P597" s="432"/>
      <c r="Q597" s="432"/>
      <c r="R597" s="432"/>
      <c r="S597" s="432"/>
      <c r="T597" s="432"/>
      <c r="U597" s="432"/>
      <c r="V597" s="432"/>
      <c r="W597" s="432"/>
      <c r="X597" s="432"/>
      <c r="Y597" s="432"/>
      <c r="Z597" s="432"/>
      <c r="AA597" s="432"/>
      <c r="AB597" s="432"/>
      <c r="AC597" s="432"/>
      <c r="AD597" s="432"/>
      <c r="AE597" s="432"/>
    </row>
    <row r="598">
      <c r="A598" s="432"/>
      <c r="B598" s="432"/>
      <c r="C598" s="432"/>
      <c r="D598" s="432"/>
      <c r="E598" s="432"/>
      <c r="F598" s="432"/>
      <c r="G598" s="432"/>
      <c r="H598" s="432"/>
      <c r="I598" s="432"/>
      <c r="J598" s="432"/>
      <c r="K598" s="432"/>
      <c r="L598" s="432"/>
      <c r="M598" s="432"/>
      <c r="N598" s="432"/>
      <c r="O598" s="432"/>
      <c r="P598" s="432"/>
      <c r="Q598" s="432"/>
      <c r="R598" s="432"/>
      <c r="S598" s="432"/>
      <c r="T598" s="432"/>
      <c r="U598" s="432"/>
      <c r="V598" s="432"/>
      <c r="W598" s="432"/>
      <c r="X598" s="432"/>
      <c r="Y598" s="432"/>
      <c r="Z598" s="432"/>
      <c r="AA598" s="432"/>
      <c r="AB598" s="432"/>
      <c r="AC598" s="432"/>
      <c r="AD598" s="432"/>
      <c r="AE598" s="432"/>
    </row>
    <row r="599">
      <c r="A599" s="432"/>
      <c r="B599" s="432"/>
      <c r="C599" s="432"/>
      <c r="D599" s="432"/>
      <c r="E599" s="432"/>
      <c r="F599" s="432"/>
      <c r="G599" s="432"/>
      <c r="H599" s="432"/>
      <c r="I599" s="432"/>
      <c r="J599" s="432"/>
      <c r="K599" s="432"/>
      <c r="L599" s="432"/>
      <c r="M599" s="432"/>
      <c r="N599" s="432"/>
      <c r="O599" s="432"/>
      <c r="P599" s="432"/>
      <c r="Q599" s="432"/>
      <c r="R599" s="432"/>
      <c r="S599" s="432"/>
      <c r="T599" s="432"/>
      <c r="U599" s="432"/>
      <c r="V599" s="432"/>
      <c r="W599" s="432"/>
      <c r="X599" s="432"/>
      <c r="Y599" s="432"/>
      <c r="Z599" s="432"/>
      <c r="AA599" s="432"/>
      <c r="AB599" s="432"/>
      <c r="AC599" s="432"/>
      <c r="AD599" s="432"/>
      <c r="AE599" s="432"/>
    </row>
    <row r="600">
      <c r="A600" s="432"/>
      <c r="B600" s="432"/>
      <c r="C600" s="432"/>
      <c r="D600" s="432"/>
      <c r="E600" s="432"/>
      <c r="F600" s="432"/>
      <c r="G600" s="432"/>
      <c r="H600" s="432"/>
      <c r="I600" s="432"/>
      <c r="J600" s="432"/>
      <c r="K600" s="432"/>
      <c r="L600" s="432"/>
      <c r="M600" s="432"/>
      <c r="N600" s="432"/>
      <c r="O600" s="432"/>
      <c r="P600" s="432"/>
      <c r="Q600" s="432"/>
      <c r="R600" s="432"/>
      <c r="S600" s="432"/>
      <c r="T600" s="432"/>
      <c r="U600" s="432"/>
      <c r="V600" s="432"/>
      <c r="W600" s="432"/>
      <c r="X600" s="432"/>
      <c r="Y600" s="432"/>
      <c r="Z600" s="432"/>
      <c r="AA600" s="432"/>
      <c r="AB600" s="432"/>
      <c r="AC600" s="432"/>
      <c r="AD600" s="432"/>
      <c r="AE600" s="432"/>
    </row>
    <row r="601">
      <c r="A601" s="432"/>
      <c r="B601" s="432"/>
      <c r="C601" s="432"/>
      <c r="D601" s="432"/>
      <c r="E601" s="432"/>
      <c r="F601" s="432"/>
      <c r="G601" s="432"/>
      <c r="H601" s="432"/>
      <c r="I601" s="432"/>
      <c r="J601" s="432"/>
      <c r="K601" s="432"/>
      <c r="L601" s="432"/>
      <c r="M601" s="432"/>
      <c r="N601" s="432"/>
      <c r="O601" s="432"/>
      <c r="P601" s="432"/>
      <c r="Q601" s="432"/>
      <c r="R601" s="432"/>
      <c r="S601" s="432"/>
      <c r="T601" s="432"/>
      <c r="U601" s="432"/>
      <c r="V601" s="432"/>
      <c r="W601" s="432"/>
      <c r="X601" s="432"/>
      <c r="Y601" s="432"/>
      <c r="Z601" s="432"/>
      <c r="AA601" s="432"/>
      <c r="AB601" s="432"/>
      <c r="AC601" s="432"/>
      <c r="AD601" s="432"/>
      <c r="AE601" s="432"/>
    </row>
    <row r="602">
      <c r="A602" s="432"/>
      <c r="B602" s="432"/>
      <c r="C602" s="432"/>
      <c r="D602" s="432"/>
      <c r="E602" s="432"/>
      <c r="F602" s="432"/>
      <c r="G602" s="432"/>
      <c r="H602" s="432"/>
      <c r="I602" s="432"/>
      <c r="J602" s="432"/>
      <c r="K602" s="432"/>
      <c r="L602" s="432"/>
      <c r="M602" s="432"/>
      <c r="N602" s="432"/>
      <c r="O602" s="432"/>
      <c r="P602" s="432"/>
      <c r="Q602" s="432"/>
      <c r="R602" s="432"/>
      <c r="S602" s="432"/>
      <c r="T602" s="432"/>
      <c r="U602" s="432"/>
      <c r="V602" s="432"/>
      <c r="W602" s="432"/>
      <c r="X602" s="432"/>
      <c r="Y602" s="432"/>
      <c r="Z602" s="432"/>
      <c r="AA602" s="432"/>
      <c r="AB602" s="432"/>
      <c r="AC602" s="432"/>
      <c r="AD602" s="432"/>
      <c r="AE602" s="432"/>
    </row>
    <row r="603">
      <c r="A603" s="432"/>
      <c r="B603" s="432"/>
      <c r="C603" s="432"/>
      <c r="D603" s="432"/>
      <c r="E603" s="432"/>
      <c r="F603" s="432"/>
      <c r="G603" s="432"/>
      <c r="H603" s="432"/>
      <c r="I603" s="432"/>
      <c r="J603" s="432"/>
      <c r="K603" s="432"/>
      <c r="L603" s="432"/>
      <c r="M603" s="432"/>
      <c r="N603" s="432"/>
      <c r="O603" s="432"/>
      <c r="P603" s="432"/>
      <c r="Q603" s="432"/>
      <c r="R603" s="432"/>
      <c r="S603" s="432"/>
      <c r="T603" s="432"/>
      <c r="U603" s="432"/>
      <c r="V603" s="432"/>
      <c r="W603" s="432"/>
      <c r="X603" s="432"/>
      <c r="Y603" s="432"/>
      <c r="Z603" s="432"/>
      <c r="AA603" s="432"/>
      <c r="AB603" s="432"/>
      <c r="AC603" s="432"/>
      <c r="AD603" s="432"/>
      <c r="AE603" s="432"/>
    </row>
    <row r="604">
      <c r="A604" s="432"/>
      <c r="B604" s="432"/>
      <c r="C604" s="432"/>
      <c r="D604" s="432"/>
      <c r="E604" s="432"/>
      <c r="F604" s="432"/>
      <c r="G604" s="432"/>
      <c r="H604" s="432"/>
      <c r="I604" s="432"/>
      <c r="J604" s="432"/>
      <c r="K604" s="432"/>
      <c r="L604" s="432"/>
      <c r="M604" s="432"/>
      <c r="N604" s="432"/>
      <c r="O604" s="432"/>
      <c r="P604" s="432"/>
      <c r="Q604" s="432"/>
      <c r="R604" s="432"/>
      <c r="S604" s="432"/>
      <c r="T604" s="432"/>
      <c r="U604" s="432"/>
      <c r="V604" s="432"/>
      <c r="W604" s="432"/>
      <c r="X604" s="432"/>
      <c r="Y604" s="432"/>
      <c r="Z604" s="432"/>
      <c r="AA604" s="432"/>
      <c r="AB604" s="432"/>
      <c r="AC604" s="432"/>
      <c r="AD604" s="432"/>
      <c r="AE604" s="432"/>
    </row>
    <row r="605">
      <c r="A605" s="432"/>
      <c r="B605" s="432"/>
      <c r="C605" s="432"/>
      <c r="D605" s="432"/>
      <c r="E605" s="432"/>
      <c r="F605" s="432"/>
      <c r="G605" s="432"/>
      <c r="H605" s="432"/>
      <c r="I605" s="432"/>
      <c r="J605" s="432"/>
      <c r="K605" s="432"/>
      <c r="L605" s="432"/>
      <c r="M605" s="432"/>
      <c r="N605" s="432"/>
      <c r="O605" s="432"/>
      <c r="P605" s="432"/>
      <c r="Q605" s="432"/>
      <c r="R605" s="432"/>
      <c r="S605" s="432"/>
      <c r="T605" s="432"/>
      <c r="U605" s="432"/>
      <c r="V605" s="432"/>
      <c r="W605" s="432"/>
      <c r="X605" s="432"/>
      <c r="Y605" s="432"/>
      <c r="Z605" s="432"/>
      <c r="AA605" s="432"/>
      <c r="AB605" s="432"/>
      <c r="AC605" s="432"/>
      <c r="AD605" s="432"/>
      <c r="AE605" s="432"/>
    </row>
    <row r="606">
      <c r="A606" s="432"/>
      <c r="B606" s="432"/>
      <c r="C606" s="432"/>
      <c r="D606" s="432"/>
      <c r="E606" s="432"/>
      <c r="F606" s="432"/>
      <c r="G606" s="432"/>
      <c r="H606" s="432"/>
      <c r="I606" s="432"/>
      <c r="J606" s="432"/>
      <c r="K606" s="432"/>
      <c r="L606" s="432"/>
      <c r="M606" s="432"/>
      <c r="N606" s="432"/>
      <c r="O606" s="432"/>
      <c r="P606" s="432"/>
      <c r="Q606" s="432"/>
      <c r="R606" s="432"/>
      <c r="S606" s="432"/>
      <c r="T606" s="432"/>
      <c r="U606" s="432"/>
      <c r="V606" s="432"/>
      <c r="W606" s="432"/>
      <c r="X606" s="432"/>
      <c r="Y606" s="432"/>
      <c r="Z606" s="432"/>
      <c r="AA606" s="432"/>
      <c r="AB606" s="432"/>
      <c r="AC606" s="432"/>
      <c r="AD606" s="432"/>
      <c r="AE606" s="432"/>
    </row>
    <row r="607">
      <c r="A607" s="432"/>
      <c r="B607" s="432"/>
      <c r="C607" s="432"/>
      <c r="D607" s="432"/>
      <c r="E607" s="432"/>
      <c r="F607" s="432"/>
      <c r="G607" s="432"/>
      <c r="H607" s="432"/>
      <c r="I607" s="432"/>
      <c r="J607" s="432"/>
      <c r="K607" s="432"/>
      <c r="L607" s="432"/>
      <c r="M607" s="432"/>
      <c r="N607" s="432"/>
      <c r="O607" s="432"/>
      <c r="P607" s="432"/>
      <c r="Q607" s="432"/>
      <c r="R607" s="432"/>
      <c r="S607" s="432"/>
      <c r="T607" s="432"/>
      <c r="U607" s="432"/>
      <c r="V607" s="432"/>
      <c r="W607" s="432"/>
      <c r="X607" s="432"/>
      <c r="Y607" s="432"/>
      <c r="Z607" s="432"/>
      <c r="AA607" s="432"/>
      <c r="AB607" s="432"/>
      <c r="AC607" s="432"/>
      <c r="AD607" s="432"/>
      <c r="AE607" s="432"/>
    </row>
    <row r="608">
      <c r="A608" s="432"/>
      <c r="B608" s="432"/>
      <c r="C608" s="432"/>
      <c r="D608" s="432"/>
      <c r="E608" s="432"/>
      <c r="F608" s="432"/>
      <c r="G608" s="432"/>
      <c r="H608" s="432"/>
      <c r="I608" s="432"/>
      <c r="J608" s="432"/>
      <c r="K608" s="432"/>
      <c r="L608" s="432"/>
      <c r="M608" s="432"/>
      <c r="N608" s="432"/>
      <c r="O608" s="432"/>
      <c r="P608" s="432"/>
      <c r="Q608" s="432"/>
      <c r="R608" s="432"/>
      <c r="S608" s="432"/>
      <c r="T608" s="432"/>
      <c r="U608" s="432"/>
      <c r="V608" s="432"/>
      <c r="W608" s="432"/>
      <c r="X608" s="432"/>
      <c r="Y608" s="432"/>
      <c r="Z608" s="432"/>
      <c r="AA608" s="432"/>
      <c r="AB608" s="432"/>
      <c r="AC608" s="432"/>
      <c r="AD608" s="432"/>
      <c r="AE608" s="432"/>
    </row>
    <row r="609">
      <c r="A609" s="432"/>
      <c r="B609" s="432"/>
      <c r="C609" s="432"/>
      <c r="D609" s="432"/>
      <c r="E609" s="432"/>
      <c r="F609" s="432"/>
      <c r="G609" s="432"/>
      <c r="H609" s="432"/>
      <c r="I609" s="432"/>
      <c r="J609" s="432"/>
      <c r="K609" s="432"/>
      <c r="L609" s="432"/>
      <c r="M609" s="432"/>
      <c r="N609" s="432"/>
      <c r="O609" s="432"/>
      <c r="P609" s="432"/>
      <c r="Q609" s="432"/>
      <c r="R609" s="432"/>
      <c r="S609" s="432"/>
      <c r="T609" s="432"/>
      <c r="U609" s="432"/>
      <c r="V609" s="432"/>
      <c r="W609" s="432"/>
      <c r="X609" s="432"/>
      <c r="Y609" s="432"/>
      <c r="Z609" s="432"/>
      <c r="AA609" s="432"/>
      <c r="AB609" s="432"/>
      <c r="AC609" s="432"/>
      <c r="AD609" s="432"/>
      <c r="AE609" s="432"/>
    </row>
    <row r="610">
      <c r="A610" s="432"/>
      <c r="B610" s="432"/>
      <c r="C610" s="432"/>
      <c r="D610" s="432"/>
      <c r="E610" s="432"/>
      <c r="F610" s="432"/>
      <c r="G610" s="432"/>
      <c r="H610" s="432"/>
      <c r="I610" s="432"/>
      <c r="J610" s="432"/>
      <c r="K610" s="432"/>
      <c r="L610" s="432"/>
      <c r="M610" s="432"/>
      <c r="N610" s="432"/>
      <c r="O610" s="432"/>
      <c r="P610" s="432"/>
      <c r="Q610" s="432"/>
      <c r="R610" s="432"/>
      <c r="S610" s="432"/>
      <c r="T610" s="432"/>
      <c r="U610" s="432"/>
      <c r="V610" s="432"/>
      <c r="W610" s="432"/>
      <c r="X610" s="432"/>
      <c r="Y610" s="432"/>
      <c r="Z610" s="432"/>
      <c r="AA610" s="432"/>
      <c r="AB610" s="432"/>
      <c r="AC610" s="432"/>
      <c r="AD610" s="432"/>
      <c r="AE610" s="432"/>
    </row>
    <row r="611">
      <c r="A611" s="432"/>
      <c r="B611" s="432"/>
      <c r="C611" s="432"/>
      <c r="D611" s="432"/>
      <c r="E611" s="432"/>
      <c r="F611" s="432"/>
      <c r="G611" s="432"/>
      <c r="H611" s="432"/>
      <c r="I611" s="432"/>
      <c r="J611" s="432"/>
      <c r="K611" s="432"/>
      <c r="L611" s="432"/>
      <c r="M611" s="432"/>
      <c r="N611" s="432"/>
      <c r="O611" s="432"/>
      <c r="P611" s="432"/>
      <c r="Q611" s="432"/>
      <c r="R611" s="432"/>
      <c r="S611" s="432"/>
      <c r="T611" s="432"/>
      <c r="U611" s="432"/>
      <c r="V611" s="432"/>
      <c r="W611" s="432"/>
      <c r="X611" s="432"/>
      <c r="Y611" s="432"/>
      <c r="Z611" s="432"/>
      <c r="AA611" s="432"/>
      <c r="AB611" s="432"/>
      <c r="AC611" s="432"/>
      <c r="AD611" s="432"/>
      <c r="AE611" s="432"/>
    </row>
    <row r="612">
      <c r="A612" s="432"/>
      <c r="B612" s="432"/>
      <c r="C612" s="432"/>
      <c r="D612" s="432"/>
      <c r="E612" s="432"/>
      <c r="F612" s="432"/>
      <c r="G612" s="432"/>
      <c r="H612" s="432"/>
      <c r="I612" s="432"/>
      <c r="J612" s="432"/>
      <c r="K612" s="432"/>
      <c r="L612" s="432"/>
      <c r="M612" s="432"/>
      <c r="N612" s="432"/>
      <c r="O612" s="432"/>
      <c r="P612" s="432"/>
      <c r="Q612" s="432"/>
      <c r="R612" s="432"/>
      <c r="S612" s="432"/>
      <c r="T612" s="432"/>
      <c r="U612" s="432"/>
      <c r="V612" s="432"/>
      <c r="W612" s="432"/>
      <c r="X612" s="432"/>
      <c r="Y612" s="432"/>
      <c r="Z612" s="432"/>
      <c r="AA612" s="432"/>
      <c r="AB612" s="432"/>
      <c r="AC612" s="432"/>
      <c r="AD612" s="432"/>
      <c r="AE612" s="432"/>
    </row>
    <row r="613">
      <c r="A613" s="432"/>
      <c r="B613" s="432"/>
      <c r="C613" s="432"/>
      <c r="D613" s="432"/>
      <c r="E613" s="432"/>
      <c r="F613" s="432"/>
      <c r="G613" s="432"/>
      <c r="H613" s="432"/>
      <c r="I613" s="432"/>
      <c r="J613" s="432"/>
      <c r="K613" s="432"/>
      <c r="L613" s="432"/>
      <c r="M613" s="432"/>
      <c r="N613" s="432"/>
      <c r="O613" s="432"/>
      <c r="P613" s="432"/>
      <c r="Q613" s="432"/>
      <c r="R613" s="432"/>
      <c r="S613" s="432"/>
      <c r="T613" s="432"/>
      <c r="U613" s="432"/>
      <c r="V613" s="432"/>
      <c r="W613" s="432"/>
      <c r="X613" s="432"/>
      <c r="Y613" s="432"/>
      <c r="Z613" s="432"/>
      <c r="AA613" s="432"/>
      <c r="AB613" s="432"/>
      <c r="AC613" s="432"/>
      <c r="AD613" s="432"/>
      <c r="AE613" s="432"/>
    </row>
    <row r="614">
      <c r="A614" s="432"/>
      <c r="B614" s="432"/>
      <c r="C614" s="432"/>
      <c r="D614" s="432"/>
      <c r="E614" s="432"/>
      <c r="F614" s="432"/>
      <c r="G614" s="432"/>
      <c r="H614" s="432"/>
      <c r="I614" s="432"/>
      <c r="J614" s="432"/>
      <c r="K614" s="432"/>
      <c r="L614" s="432"/>
      <c r="M614" s="432"/>
      <c r="N614" s="432"/>
      <c r="O614" s="432"/>
      <c r="P614" s="432"/>
      <c r="Q614" s="432"/>
      <c r="R614" s="432"/>
      <c r="S614" s="432"/>
      <c r="T614" s="432"/>
      <c r="U614" s="432"/>
      <c r="V614" s="432"/>
      <c r="W614" s="432"/>
      <c r="X614" s="432"/>
      <c r="Y614" s="432"/>
      <c r="Z614" s="432"/>
      <c r="AA614" s="432"/>
      <c r="AB614" s="432"/>
      <c r="AC614" s="432"/>
      <c r="AD614" s="432"/>
      <c r="AE614" s="432"/>
    </row>
    <row r="615">
      <c r="A615" s="432"/>
      <c r="B615" s="432"/>
      <c r="C615" s="432"/>
      <c r="D615" s="432"/>
      <c r="E615" s="432"/>
      <c r="F615" s="432"/>
      <c r="G615" s="432"/>
      <c r="H615" s="432"/>
      <c r="I615" s="432"/>
      <c r="J615" s="432"/>
      <c r="K615" s="432"/>
      <c r="L615" s="432"/>
      <c r="M615" s="432"/>
      <c r="N615" s="432"/>
      <c r="O615" s="432"/>
      <c r="P615" s="432"/>
      <c r="Q615" s="432"/>
      <c r="R615" s="432"/>
      <c r="S615" s="432"/>
      <c r="T615" s="432"/>
      <c r="U615" s="432"/>
      <c r="V615" s="432"/>
      <c r="W615" s="432"/>
      <c r="X615" s="432"/>
      <c r="Y615" s="432"/>
      <c r="Z615" s="432"/>
      <c r="AA615" s="432"/>
      <c r="AB615" s="432"/>
      <c r="AC615" s="432"/>
      <c r="AD615" s="432"/>
      <c r="AE615" s="432"/>
    </row>
    <row r="616">
      <c r="A616" s="432"/>
      <c r="B616" s="432"/>
      <c r="C616" s="432"/>
      <c r="D616" s="432"/>
      <c r="E616" s="432"/>
      <c r="F616" s="432"/>
      <c r="G616" s="432"/>
      <c r="H616" s="432"/>
      <c r="I616" s="432"/>
      <c r="J616" s="432"/>
      <c r="K616" s="432"/>
      <c r="L616" s="432"/>
      <c r="M616" s="432"/>
      <c r="N616" s="432"/>
      <c r="O616" s="432"/>
      <c r="P616" s="432"/>
      <c r="Q616" s="432"/>
      <c r="R616" s="432"/>
      <c r="S616" s="432"/>
      <c r="T616" s="432"/>
      <c r="U616" s="432"/>
      <c r="V616" s="432"/>
      <c r="W616" s="432"/>
      <c r="X616" s="432"/>
      <c r="Y616" s="432"/>
      <c r="Z616" s="432"/>
      <c r="AA616" s="432"/>
      <c r="AB616" s="432"/>
      <c r="AC616" s="432"/>
      <c r="AD616" s="432"/>
      <c r="AE616" s="432"/>
    </row>
    <row r="617">
      <c r="A617" s="432"/>
      <c r="B617" s="432"/>
      <c r="C617" s="432"/>
      <c r="D617" s="432"/>
      <c r="E617" s="432"/>
      <c r="F617" s="432"/>
      <c r="G617" s="432"/>
      <c r="H617" s="432"/>
      <c r="I617" s="432"/>
      <c r="J617" s="432"/>
      <c r="K617" s="432"/>
      <c r="L617" s="432"/>
      <c r="M617" s="432"/>
      <c r="N617" s="432"/>
      <c r="O617" s="432"/>
      <c r="P617" s="432"/>
      <c r="Q617" s="432"/>
      <c r="R617" s="432"/>
      <c r="S617" s="432"/>
      <c r="T617" s="432"/>
      <c r="U617" s="432"/>
      <c r="V617" s="432"/>
      <c r="W617" s="432"/>
      <c r="X617" s="432"/>
      <c r="Y617" s="432"/>
      <c r="Z617" s="432"/>
      <c r="AA617" s="432"/>
      <c r="AB617" s="432"/>
      <c r="AC617" s="432"/>
      <c r="AD617" s="432"/>
      <c r="AE617" s="432"/>
    </row>
    <row r="618">
      <c r="A618" s="432"/>
      <c r="B618" s="432"/>
      <c r="C618" s="432"/>
      <c r="D618" s="432"/>
      <c r="E618" s="432"/>
      <c r="F618" s="432"/>
      <c r="G618" s="432"/>
      <c r="H618" s="432"/>
      <c r="I618" s="432"/>
      <c r="J618" s="432"/>
      <c r="K618" s="432"/>
      <c r="L618" s="432"/>
      <c r="M618" s="432"/>
      <c r="N618" s="432"/>
      <c r="O618" s="432"/>
      <c r="P618" s="432"/>
      <c r="Q618" s="432"/>
      <c r="R618" s="432"/>
      <c r="S618" s="432"/>
      <c r="T618" s="432"/>
      <c r="U618" s="432"/>
      <c r="V618" s="432"/>
      <c r="W618" s="432"/>
      <c r="X618" s="432"/>
      <c r="Y618" s="432"/>
      <c r="Z618" s="432"/>
      <c r="AA618" s="432"/>
      <c r="AB618" s="432"/>
      <c r="AC618" s="432"/>
      <c r="AD618" s="432"/>
      <c r="AE618" s="432"/>
    </row>
    <row r="619">
      <c r="A619" s="432"/>
      <c r="B619" s="432"/>
      <c r="C619" s="432"/>
      <c r="D619" s="432"/>
      <c r="E619" s="432"/>
      <c r="F619" s="432"/>
      <c r="G619" s="432"/>
      <c r="H619" s="432"/>
      <c r="I619" s="432"/>
      <c r="J619" s="432"/>
      <c r="K619" s="432"/>
      <c r="L619" s="432"/>
      <c r="M619" s="432"/>
      <c r="N619" s="432"/>
      <c r="O619" s="432"/>
      <c r="P619" s="432"/>
      <c r="Q619" s="432"/>
      <c r="R619" s="432"/>
      <c r="S619" s="432"/>
      <c r="T619" s="432"/>
      <c r="U619" s="432"/>
      <c r="V619" s="432"/>
      <c r="W619" s="432"/>
      <c r="X619" s="432"/>
      <c r="Y619" s="432"/>
      <c r="Z619" s="432"/>
      <c r="AA619" s="432"/>
      <c r="AB619" s="432"/>
      <c r="AC619" s="432"/>
      <c r="AD619" s="432"/>
      <c r="AE619" s="432"/>
    </row>
    <row r="620">
      <c r="A620" s="432"/>
      <c r="B620" s="432"/>
      <c r="C620" s="432"/>
      <c r="D620" s="432"/>
      <c r="E620" s="432"/>
      <c r="F620" s="432"/>
      <c r="G620" s="432"/>
      <c r="H620" s="432"/>
      <c r="I620" s="432"/>
      <c r="J620" s="432"/>
      <c r="K620" s="432"/>
      <c r="L620" s="432"/>
      <c r="M620" s="432"/>
      <c r="N620" s="432"/>
      <c r="O620" s="432"/>
      <c r="P620" s="432"/>
      <c r="Q620" s="432"/>
      <c r="R620" s="432"/>
      <c r="S620" s="432"/>
      <c r="T620" s="432"/>
      <c r="U620" s="432"/>
      <c r="V620" s="432"/>
      <c r="W620" s="432"/>
      <c r="X620" s="432"/>
      <c r="Y620" s="432"/>
      <c r="Z620" s="432"/>
      <c r="AA620" s="432"/>
      <c r="AB620" s="432"/>
      <c r="AC620" s="432"/>
      <c r="AD620" s="432"/>
      <c r="AE620" s="432"/>
    </row>
    <row r="621">
      <c r="A621" s="432"/>
      <c r="B621" s="432"/>
      <c r="C621" s="432"/>
      <c r="D621" s="432"/>
      <c r="E621" s="432"/>
      <c r="F621" s="432"/>
      <c r="G621" s="432"/>
      <c r="H621" s="432"/>
      <c r="I621" s="432"/>
      <c r="J621" s="432"/>
      <c r="K621" s="432"/>
      <c r="L621" s="432"/>
      <c r="M621" s="432"/>
      <c r="N621" s="432"/>
      <c r="O621" s="432"/>
      <c r="P621" s="432"/>
      <c r="Q621" s="432"/>
      <c r="R621" s="432"/>
      <c r="S621" s="432"/>
      <c r="T621" s="432"/>
      <c r="U621" s="432"/>
      <c r="V621" s="432"/>
      <c r="W621" s="432"/>
      <c r="X621" s="432"/>
      <c r="Y621" s="432"/>
      <c r="Z621" s="432"/>
      <c r="AA621" s="432"/>
      <c r="AB621" s="432"/>
      <c r="AC621" s="432"/>
      <c r="AD621" s="432"/>
      <c r="AE621" s="432"/>
    </row>
    <row r="622">
      <c r="A622" s="432"/>
      <c r="B622" s="432"/>
      <c r="C622" s="432"/>
      <c r="D622" s="432"/>
      <c r="E622" s="432"/>
      <c r="F622" s="432"/>
      <c r="G622" s="432"/>
      <c r="H622" s="432"/>
      <c r="I622" s="432"/>
      <c r="J622" s="432"/>
      <c r="K622" s="432"/>
      <c r="L622" s="432"/>
      <c r="M622" s="432"/>
      <c r="N622" s="432"/>
      <c r="O622" s="432"/>
      <c r="P622" s="432"/>
      <c r="Q622" s="432"/>
      <c r="R622" s="432"/>
      <c r="S622" s="432"/>
      <c r="T622" s="432"/>
      <c r="U622" s="432"/>
      <c r="V622" s="432"/>
      <c r="W622" s="432"/>
      <c r="X622" s="432"/>
      <c r="Y622" s="432"/>
      <c r="Z622" s="432"/>
      <c r="AA622" s="432"/>
      <c r="AB622" s="432"/>
      <c r="AC622" s="432"/>
      <c r="AD622" s="432"/>
      <c r="AE622" s="432"/>
    </row>
    <row r="623">
      <c r="A623" s="432"/>
      <c r="B623" s="432"/>
      <c r="C623" s="432"/>
      <c r="D623" s="432"/>
      <c r="E623" s="432"/>
      <c r="F623" s="432"/>
      <c r="G623" s="432"/>
      <c r="H623" s="432"/>
      <c r="I623" s="432"/>
      <c r="J623" s="432"/>
      <c r="K623" s="432"/>
      <c r="L623" s="432"/>
      <c r="M623" s="432"/>
      <c r="N623" s="432"/>
      <c r="O623" s="432"/>
      <c r="P623" s="432"/>
      <c r="Q623" s="432"/>
      <c r="R623" s="432"/>
      <c r="S623" s="432"/>
      <c r="T623" s="432"/>
      <c r="U623" s="432"/>
      <c r="V623" s="432"/>
      <c r="W623" s="432"/>
      <c r="X623" s="432"/>
      <c r="Y623" s="432"/>
      <c r="Z623" s="432"/>
      <c r="AA623" s="432"/>
      <c r="AB623" s="432"/>
      <c r="AC623" s="432"/>
      <c r="AD623" s="432"/>
      <c r="AE623" s="432"/>
    </row>
    <row r="624">
      <c r="A624" s="432"/>
      <c r="B624" s="432"/>
      <c r="C624" s="432"/>
      <c r="D624" s="432"/>
      <c r="E624" s="432"/>
      <c r="F624" s="432"/>
      <c r="G624" s="432"/>
      <c r="H624" s="432"/>
      <c r="I624" s="432"/>
      <c r="J624" s="432"/>
      <c r="K624" s="432"/>
      <c r="L624" s="432"/>
      <c r="M624" s="432"/>
      <c r="N624" s="432"/>
      <c r="O624" s="432"/>
      <c r="P624" s="432"/>
      <c r="Q624" s="432"/>
      <c r="R624" s="432"/>
      <c r="S624" s="432"/>
      <c r="T624" s="432"/>
      <c r="U624" s="432"/>
      <c r="V624" s="432"/>
      <c r="W624" s="432"/>
      <c r="X624" s="432"/>
      <c r="Y624" s="432"/>
      <c r="Z624" s="432"/>
      <c r="AA624" s="432"/>
      <c r="AB624" s="432"/>
      <c r="AC624" s="432"/>
      <c r="AD624" s="432"/>
      <c r="AE624" s="432"/>
    </row>
    <row r="625">
      <c r="A625" s="432"/>
      <c r="B625" s="432"/>
      <c r="C625" s="432"/>
      <c r="D625" s="432"/>
      <c r="E625" s="432"/>
      <c r="F625" s="432"/>
      <c r="G625" s="432"/>
      <c r="H625" s="432"/>
      <c r="I625" s="432"/>
      <c r="J625" s="432"/>
      <c r="K625" s="432"/>
      <c r="L625" s="432"/>
      <c r="M625" s="432"/>
      <c r="N625" s="432"/>
      <c r="O625" s="432"/>
      <c r="P625" s="432"/>
      <c r="Q625" s="432"/>
      <c r="R625" s="432"/>
      <c r="S625" s="432"/>
      <c r="T625" s="432"/>
      <c r="U625" s="432"/>
      <c r="V625" s="432"/>
      <c r="W625" s="432"/>
      <c r="X625" s="432"/>
      <c r="Y625" s="432"/>
      <c r="Z625" s="432"/>
      <c r="AA625" s="432"/>
      <c r="AB625" s="432"/>
      <c r="AC625" s="432"/>
      <c r="AD625" s="432"/>
      <c r="AE625" s="432"/>
    </row>
    <row r="626">
      <c r="A626" s="432"/>
      <c r="B626" s="432"/>
      <c r="C626" s="432"/>
      <c r="D626" s="432"/>
      <c r="E626" s="432"/>
      <c r="F626" s="432"/>
      <c r="G626" s="432"/>
      <c r="H626" s="432"/>
      <c r="I626" s="432"/>
      <c r="J626" s="432"/>
      <c r="K626" s="432"/>
      <c r="L626" s="432"/>
      <c r="M626" s="432"/>
      <c r="N626" s="432"/>
      <c r="O626" s="432"/>
      <c r="P626" s="432"/>
      <c r="Q626" s="432"/>
      <c r="R626" s="432"/>
      <c r="S626" s="432"/>
      <c r="T626" s="432"/>
      <c r="U626" s="432"/>
      <c r="V626" s="432"/>
      <c r="W626" s="432"/>
      <c r="X626" s="432"/>
      <c r="Y626" s="432"/>
      <c r="Z626" s="432"/>
      <c r="AA626" s="432"/>
      <c r="AB626" s="432"/>
      <c r="AC626" s="432"/>
      <c r="AD626" s="432"/>
      <c r="AE626" s="432"/>
    </row>
    <row r="627">
      <c r="A627" s="432"/>
      <c r="B627" s="432"/>
      <c r="C627" s="432"/>
      <c r="D627" s="432"/>
      <c r="E627" s="432"/>
      <c r="F627" s="432"/>
      <c r="G627" s="432"/>
      <c r="H627" s="432"/>
      <c r="I627" s="432"/>
      <c r="J627" s="432"/>
      <c r="K627" s="432"/>
      <c r="L627" s="432"/>
      <c r="M627" s="432"/>
      <c r="N627" s="432"/>
      <c r="O627" s="432"/>
      <c r="P627" s="432"/>
      <c r="Q627" s="432"/>
      <c r="R627" s="432"/>
      <c r="S627" s="432"/>
      <c r="T627" s="432"/>
      <c r="U627" s="432"/>
      <c r="V627" s="432"/>
      <c r="W627" s="432"/>
      <c r="X627" s="432"/>
      <c r="Y627" s="432"/>
      <c r="Z627" s="432"/>
      <c r="AA627" s="432"/>
      <c r="AB627" s="432"/>
      <c r="AC627" s="432"/>
      <c r="AD627" s="432"/>
      <c r="AE627" s="432"/>
    </row>
    <row r="628">
      <c r="A628" s="432"/>
      <c r="B628" s="432"/>
      <c r="C628" s="432"/>
      <c r="D628" s="432"/>
      <c r="E628" s="432"/>
      <c r="F628" s="432"/>
      <c r="G628" s="432"/>
      <c r="H628" s="432"/>
      <c r="I628" s="432"/>
      <c r="J628" s="432"/>
      <c r="K628" s="432"/>
      <c r="L628" s="432"/>
      <c r="M628" s="432"/>
      <c r="N628" s="432"/>
      <c r="O628" s="432"/>
      <c r="P628" s="432"/>
      <c r="Q628" s="432"/>
      <c r="R628" s="432"/>
      <c r="S628" s="432"/>
      <c r="T628" s="432"/>
      <c r="U628" s="432"/>
      <c r="V628" s="432"/>
      <c r="W628" s="432"/>
      <c r="X628" s="432"/>
      <c r="Y628" s="432"/>
      <c r="Z628" s="432"/>
      <c r="AA628" s="432"/>
      <c r="AB628" s="432"/>
      <c r="AC628" s="432"/>
      <c r="AD628" s="432"/>
      <c r="AE628" s="432"/>
    </row>
    <row r="629">
      <c r="A629" s="432"/>
      <c r="B629" s="432"/>
      <c r="C629" s="432"/>
      <c r="D629" s="432"/>
      <c r="E629" s="432"/>
      <c r="F629" s="432"/>
      <c r="G629" s="432"/>
      <c r="H629" s="432"/>
      <c r="I629" s="432"/>
      <c r="J629" s="432"/>
      <c r="K629" s="432"/>
      <c r="L629" s="432"/>
      <c r="M629" s="432"/>
      <c r="N629" s="432"/>
      <c r="O629" s="432"/>
      <c r="P629" s="432"/>
      <c r="Q629" s="432"/>
      <c r="R629" s="432"/>
      <c r="S629" s="432"/>
      <c r="T629" s="432"/>
      <c r="U629" s="432"/>
      <c r="V629" s="432"/>
      <c r="W629" s="432"/>
      <c r="X629" s="432"/>
      <c r="Y629" s="432"/>
      <c r="Z629" s="432"/>
      <c r="AA629" s="432"/>
      <c r="AB629" s="432"/>
      <c r="AC629" s="432"/>
      <c r="AD629" s="432"/>
      <c r="AE629" s="432"/>
    </row>
    <row r="630">
      <c r="A630" s="432"/>
      <c r="B630" s="432"/>
      <c r="C630" s="432"/>
      <c r="D630" s="432"/>
      <c r="E630" s="432"/>
      <c r="F630" s="432"/>
      <c r="G630" s="432"/>
      <c r="H630" s="432"/>
      <c r="I630" s="432"/>
      <c r="J630" s="432"/>
      <c r="K630" s="432"/>
      <c r="L630" s="432"/>
      <c r="M630" s="432"/>
      <c r="N630" s="432"/>
      <c r="O630" s="432"/>
      <c r="P630" s="432"/>
      <c r="Q630" s="432"/>
      <c r="R630" s="432"/>
      <c r="S630" s="432"/>
      <c r="T630" s="432"/>
      <c r="U630" s="432"/>
      <c r="V630" s="432"/>
      <c r="W630" s="432"/>
      <c r="X630" s="432"/>
      <c r="Y630" s="432"/>
      <c r="Z630" s="432"/>
      <c r="AA630" s="432"/>
      <c r="AB630" s="432"/>
      <c r="AC630" s="432"/>
      <c r="AD630" s="432"/>
      <c r="AE630" s="432"/>
    </row>
    <row r="631">
      <c r="A631" s="432"/>
      <c r="B631" s="432"/>
      <c r="C631" s="432"/>
      <c r="D631" s="432"/>
      <c r="E631" s="432"/>
      <c r="F631" s="432"/>
      <c r="G631" s="432"/>
      <c r="H631" s="432"/>
      <c r="I631" s="432"/>
      <c r="J631" s="432"/>
      <c r="K631" s="432"/>
      <c r="L631" s="432"/>
      <c r="M631" s="432"/>
      <c r="N631" s="432"/>
      <c r="O631" s="432"/>
      <c r="P631" s="432"/>
      <c r="Q631" s="432"/>
      <c r="R631" s="432"/>
      <c r="S631" s="432"/>
      <c r="T631" s="432"/>
      <c r="U631" s="432"/>
      <c r="V631" s="432"/>
      <c r="W631" s="432"/>
      <c r="X631" s="432"/>
      <c r="Y631" s="432"/>
      <c r="Z631" s="432"/>
      <c r="AA631" s="432"/>
      <c r="AB631" s="432"/>
      <c r="AC631" s="432"/>
      <c r="AD631" s="432"/>
      <c r="AE631" s="432"/>
    </row>
    <row r="632">
      <c r="A632" s="432"/>
      <c r="B632" s="432"/>
      <c r="C632" s="432"/>
      <c r="D632" s="432"/>
      <c r="E632" s="432"/>
      <c r="F632" s="432"/>
      <c r="G632" s="432"/>
      <c r="H632" s="432"/>
      <c r="I632" s="432"/>
      <c r="J632" s="432"/>
      <c r="K632" s="432"/>
      <c r="L632" s="432"/>
      <c r="M632" s="432"/>
      <c r="N632" s="432"/>
      <c r="O632" s="432"/>
      <c r="P632" s="432"/>
      <c r="Q632" s="432"/>
      <c r="R632" s="432"/>
      <c r="S632" s="432"/>
      <c r="T632" s="432"/>
      <c r="U632" s="432"/>
      <c r="V632" s="432"/>
      <c r="W632" s="432"/>
      <c r="X632" s="432"/>
      <c r="Y632" s="432"/>
      <c r="Z632" s="432"/>
      <c r="AA632" s="432"/>
      <c r="AB632" s="432"/>
      <c r="AC632" s="432"/>
      <c r="AD632" s="432"/>
      <c r="AE632" s="432"/>
    </row>
    <row r="633">
      <c r="A633" s="432"/>
      <c r="B633" s="432"/>
      <c r="C633" s="432"/>
      <c r="D633" s="432"/>
      <c r="E633" s="432"/>
      <c r="F633" s="432"/>
      <c r="G633" s="432"/>
      <c r="H633" s="432"/>
      <c r="I633" s="432"/>
      <c r="J633" s="432"/>
      <c r="K633" s="432"/>
      <c r="L633" s="432"/>
      <c r="M633" s="432"/>
      <c r="N633" s="432"/>
      <c r="O633" s="432"/>
      <c r="P633" s="432"/>
      <c r="Q633" s="432"/>
      <c r="R633" s="432"/>
      <c r="S633" s="432"/>
      <c r="T633" s="432"/>
      <c r="U633" s="432"/>
      <c r="V633" s="432"/>
      <c r="W633" s="432"/>
      <c r="X633" s="432"/>
      <c r="Y633" s="432"/>
      <c r="Z633" s="432"/>
      <c r="AA633" s="432"/>
      <c r="AB633" s="432"/>
      <c r="AC633" s="432"/>
      <c r="AD633" s="432"/>
      <c r="AE633" s="432"/>
    </row>
    <row r="634">
      <c r="A634" s="432"/>
      <c r="B634" s="432"/>
      <c r="C634" s="432"/>
      <c r="D634" s="432"/>
      <c r="E634" s="432"/>
      <c r="F634" s="432"/>
      <c r="G634" s="432"/>
      <c r="H634" s="432"/>
      <c r="I634" s="432"/>
      <c r="J634" s="432"/>
      <c r="K634" s="432"/>
      <c r="L634" s="432"/>
      <c r="M634" s="432"/>
      <c r="N634" s="432"/>
      <c r="O634" s="432"/>
      <c r="P634" s="432"/>
      <c r="Q634" s="432"/>
      <c r="R634" s="432"/>
      <c r="S634" s="432"/>
      <c r="T634" s="432"/>
      <c r="U634" s="432"/>
      <c r="V634" s="432"/>
      <c r="W634" s="432"/>
      <c r="X634" s="432"/>
      <c r="Y634" s="432"/>
      <c r="Z634" s="432"/>
      <c r="AA634" s="432"/>
      <c r="AB634" s="432"/>
      <c r="AC634" s="432"/>
      <c r="AD634" s="432"/>
      <c r="AE634" s="432"/>
    </row>
    <row r="635">
      <c r="A635" s="432"/>
      <c r="B635" s="432"/>
      <c r="C635" s="432"/>
      <c r="D635" s="432"/>
      <c r="E635" s="432"/>
      <c r="F635" s="432"/>
      <c r="G635" s="432"/>
      <c r="H635" s="432"/>
      <c r="I635" s="432"/>
      <c r="J635" s="432"/>
      <c r="K635" s="432"/>
      <c r="L635" s="432"/>
      <c r="M635" s="432"/>
      <c r="N635" s="432"/>
      <c r="O635" s="432"/>
      <c r="P635" s="432"/>
      <c r="Q635" s="432"/>
      <c r="R635" s="432"/>
      <c r="S635" s="432"/>
      <c r="T635" s="432"/>
      <c r="U635" s="432"/>
      <c r="V635" s="432"/>
      <c r="W635" s="432"/>
      <c r="X635" s="432"/>
      <c r="Y635" s="432"/>
      <c r="Z635" s="432"/>
      <c r="AA635" s="432"/>
      <c r="AB635" s="432"/>
      <c r="AC635" s="432"/>
      <c r="AD635" s="432"/>
      <c r="AE635" s="432"/>
    </row>
    <row r="636">
      <c r="A636" s="432"/>
      <c r="B636" s="432"/>
      <c r="C636" s="432"/>
      <c r="D636" s="432"/>
      <c r="E636" s="432"/>
      <c r="F636" s="432"/>
      <c r="G636" s="432"/>
      <c r="H636" s="432"/>
      <c r="I636" s="432"/>
      <c r="J636" s="432"/>
      <c r="K636" s="432"/>
      <c r="L636" s="432"/>
      <c r="M636" s="432"/>
      <c r="N636" s="432"/>
      <c r="O636" s="432"/>
      <c r="P636" s="432"/>
      <c r="Q636" s="432"/>
      <c r="R636" s="432"/>
      <c r="S636" s="432"/>
      <c r="T636" s="432"/>
      <c r="U636" s="432"/>
      <c r="V636" s="432"/>
      <c r="W636" s="432"/>
      <c r="X636" s="432"/>
      <c r="Y636" s="432"/>
      <c r="Z636" s="432"/>
      <c r="AA636" s="432"/>
      <c r="AB636" s="432"/>
      <c r="AC636" s="432"/>
      <c r="AD636" s="432"/>
      <c r="AE636" s="432"/>
    </row>
    <row r="637">
      <c r="A637" s="432"/>
      <c r="B637" s="432"/>
      <c r="C637" s="432"/>
      <c r="D637" s="432"/>
      <c r="E637" s="432"/>
      <c r="F637" s="432"/>
      <c r="G637" s="432"/>
      <c r="H637" s="432"/>
      <c r="I637" s="432"/>
      <c r="J637" s="432"/>
      <c r="K637" s="432"/>
      <c r="L637" s="432"/>
      <c r="M637" s="432"/>
      <c r="N637" s="432"/>
      <c r="O637" s="432"/>
      <c r="P637" s="432"/>
      <c r="Q637" s="432"/>
      <c r="R637" s="432"/>
      <c r="S637" s="432"/>
      <c r="T637" s="432"/>
      <c r="U637" s="432"/>
      <c r="V637" s="432"/>
      <c r="W637" s="432"/>
      <c r="X637" s="432"/>
      <c r="Y637" s="432"/>
      <c r="Z637" s="432"/>
      <c r="AA637" s="432"/>
      <c r="AB637" s="432"/>
      <c r="AC637" s="432"/>
      <c r="AD637" s="432"/>
      <c r="AE637" s="432"/>
    </row>
    <row r="638">
      <c r="A638" s="432"/>
      <c r="B638" s="432"/>
      <c r="C638" s="432"/>
      <c r="D638" s="432"/>
      <c r="E638" s="432"/>
      <c r="F638" s="432"/>
      <c r="G638" s="432"/>
      <c r="H638" s="432"/>
      <c r="I638" s="432"/>
      <c r="J638" s="432"/>
      <c r="K638" s="432"/>
      <c r="L638" s="432"/>
      <c r="M638" s="432"/>
      <c r="N638" s="432"/>
      <c r="O638" s="432"/>
      <c r="P638" s="432"/>
      <c r="Q638" s="432"/>
      <c r="R638" s="432"/>
      <c r="S638" s="432"/>
      <c r="T638" s="432"/>
      <c r="U638" s="432"/>
      <c r="V638" s="432"/>
      <c r="W638" s="432"/>
      <c r="X638" s="432"/>
      <c r="Y638" s="432"/>
      <c r="Z638" s="432"/>
      <c r="AA638" s="432"/>
      <c r="AB638" s="432"/>
      <c r="AC638" s="432"/>
      <c r="AD638" s="432"/>
      <c r="AE638" s="432"/>
    </row>
    <row r="639">
      <c r="A639" s="432"/>
      <c r="B639" s="432"/>
      <c r="C639" s="432"/>
      <c r="D639" s="432"/>
      <c r="E639" s="432"/>
      <c r="F639" s="432"/>
      <c r="G639" s="432"/>
      <c r="H639" s="432"/>
      <c r="I639" s="432"/>
      <c r="J639" s="432"/>
      <c r="K639" s="432"/>
      <c r="L639" s="432"/>
      <c r="M639" s="432"/>
      <c r="N639" s="432"/>
      <c r="O639" s="432"/>
      <c r="P639" s="432"/>
      <c r="Q639" s="432"/>
      <c r="R639" s="432"/>
      <c r="S639" s="432"/>
      <c r="T639" s="432"/>
      <c r="U639" s="432"/>
      <c r="V639" s="432"/>
      <c r="W639" s="432"/>
      <c r="X639" s="432"/>
      <c r="Y639" s="432"/>
      <c r="Z639" s="432"/>
      <c r="AA639" s="432"/>
      <c r="AB639" s="432"/>
      <c r="AC639" s="432"/>
      <c r="AD639" s="432"/>
      <c r="AE639" s="432"/>
    </row>
    <row r="640">
      <c r="A640" s="432"/>
      <c r="B640" s="432"/>
      <c r="C640" s="432"/>
      <c r="D640" s="432"/>
      <c r="E640" s="432"/>
      <c r="F640" s="432"/>
      <c r="G640" s="432"/>
      <c r="H640" s="432"/>
      <c r="I640" s="432"/>
      <c r="J640" s="432"/>
      <c r="K640" s="432"/>
      <c r="L640" s="432"/>
      <c r="M640" s="432"/>
      <c r="N640" s="432"/>
      <c r="O640" s="432"/>
      <c r="P640" s="432"/>
      <c r="Q640" s="432"/>
      <c r="R640" s="432"/>
      <c r="S640" s="432"/>
      <c r="T640" s="432"/>
      <c r="U640" s="432"/>
      <c r="V640" s="432"/>
      <c r="W640" s="432"/>
      <c r="X640" s="432"/>
      <c r="Y640" s="432"/>
      <c r="Z640" s="432"/>
      <c r="AA640" s="432"/>
      <c r="AB640" s="432"/>
      <c r="AC640" s="432"/>
      <c r="AD640" s="432"/>
      <c r="AE640" s="432"/>
    </row>
    <row r="641">
      <c r="A641" s="432"/>
      <c r="B641" s="432"/>
      <c r="C641" s="432"/>
      <c r="D641" s="432"/>
      <c r="E641" s="432"/>
      <c r="F641" s="432"/>
      <c r="G641" s="432"/>
      <c r="H641" s="432"/>
      <c r="I641" s="432"/>
      <c r="J641" s="432"/>
      <c r="K641" s="432"/>
      <c r="L641" s="432"/>
      <c r="M641" s="432"/>
      <c r="N641" s="432"/>
      <c r="O641" s="432"/>
      <c r="P641" s="432"/>
      <c r="Q641" s="432"/>
      <c r="R641" s="432"/>
      <c r="S641" s="432"/>
      <c r="T641" s="432"/>
      <c r="U641" s="432"/>
      <c r="V641" s="432"/>
      <c r="W641" s="432"/>
      <c r="X641" s="432"/>
      <c r="Y641" s="432"/>
      <c r="Z641" s="432"/>
      <c r="AA641" s="432"/>
      <c r="AB641" s="432"/>
      <c r="AC641" s="432"/>
      <c r="AD641" s="432"/>
      <c r="AE641" s="432"/>
    </row>
    <row r="642">
      <c r="A642" s="432"/>
      <c r="B642" s="432"/>
      <c r="C642" s="432"/>
      <c r="D642" s="432"/>
      <c r="E642" s="432"/>
      <c r="F642" s="432"/>
      <c r="G642" s="432"/>
      <c r="H642" s="432"/>
      <c r="I642" s="432"/>
      <c r="J642" s="432"/>
      <c r="K642" s="432"/>
      <c r="L642" s="432"/>
      <c r="M642" s="432"/>
      <c r="N642" s="432"/>
      <c r="O642" s="432"/>
      <c r="P642" s="432"/>
      <c r="Q642" s="432"/>
      <c r="R642" s="432"/>
      <c r="S642" s="432"/>
      <c r="T642" s="432"/>
      <c r="U642" s="432"/>
      <c r="V642" s="432"/>
      <c r="W642" s="432"/>
      <c r="X642" s="432"/>
      <c r="Y642" s="432"/>
      <c r="Z642" s="432"/>
      <c r="AA642" s="432"/>
      <c r="AB642" s="432"/>
      <c r="AC642" s="432"/>
      <c r="AD642" s="432"/>
      <c r="AE642" s="432"/>
    </row>
    <row r="643">
      <c r="A643" s="432"/>
      <c r="B643" s="432"/>
      <c r="C643" s="432"/>
      <c r="D643" s="432"/>
      <c r="E643" s="432"/>
      <c r="F643" s="432"/>
      <c r="G643" s="432"/>
      <c r="H643" s="432"/>
      <c r="I643" s="432"/>
      <c r="J643" s="432"/>
      <c r="K643" s="432"/>
      <c r="L643" s="432"/>
      <c r="M643" s="432"/>
      <c r="N643" s="432"/>
      <c r="O643" s="432"/>
      <c r="P643" s="432"/>
      <c r="Q643" s="432"/>
      <c r="R643" s="432"/>
      <c r="S643" s="432"/>
      <c r="T643" s="432"/>
      <c r="U643" s="432"/>
      <c r="V643" s="432"/>
      <c r="W643" s="432"/>
      <c r="X643" s="432"/>
      <c r="Y643" s="432"/>
      <c r="Z643" s="432"/>
      <c r="AA643" s="432"/>
      <c r="AB643" s="432"/>
      <c r="AC643" s="432"/>
      <c r="AD643" s="432"/>
      <c r="AE643" s="432"/>
    </row>
    <row r="644">
      <c r="A644" s="432"/>
      <c r="B644" s="432"/>
      <c r="C644" s="432"/>
      <c r="D644" s="432"/>
      <c r="E644" s="432"/>
      <c r="F644" s="432"/>
      <c r="G644" s="432"/>
      <c r="H644" s="432"/>
      <c r="I644" s="432"/>
      <c r="J644" s="432"/>
      <c r="K644" s="432"/>
      <c r="L644" s="432"/>
      <c r="M644" s="432"/>
      <c r="N644" s="432"/>
      <c r="O644" s="432"/>
      <c r="P644" s="432"/>
      <c r="Q644" s="432"/>
      <c r="R644" s="432"/>
      <c r="S644" s="432"/>
      <c r="T644" s="432"/>
      <c r="U644" s="432"/>
      <c r="V644" s="432"/>
      <c r="W644" s="432"/>
      <c r="X644" s="432"/>
      <c r="Y644" s="432"/>
      <c r="Z644" s="432"/>
      <c r="AA644" s="432"/>
      <c r="AB644" s="432"/>
      <c r="AC644" s="432"/>
      <c r="AD644" s="432"/>
      <c r="AE644" s="432"/>
    </row>
    <row r="645">
      <c r="A645" s="432"/>
      <c r="B645" s="432"/>
      <c r="C645" s="432"/>
      <c r="D645" s="432"/>
      <c r="E645" s="432"/>
      <c r="F645" s="432"/>
      <c r="G645" s="432"/>
      <c r="H645" s="432"/>
      <c r="I645" s="432"/>
      <c r="J645" s="432"/>
      <c r="K645" s="432"/>
      <c r="L645" s="432"/>
      <c r="M645" s="432"/>
      <c r="N645" s="432"/>
      <c r="O645" s="432"/>
      <c r="P645" s="432"/>
      <c r="Q645" s="432"/>
      <c r="R645" s="432"/>
      <c r="S645" s="432"/>
      <c r="T645" s="432"/>
      <c r="U645" s="432"/>
      <c r="V645" s="432"/>
      <c r="W645" s="432"/>
      <c r="X645" s="432"/>
      <c r="Y645" s="432"/>
      <c r="Z645" s="432"/>
      <c r="AA645" s="432"/>
      <c r="AB645" s="432"/>
      <c r="AC645" s="432"/>
      <c r="AD645" s="432"/>
      <c r="AE645" s="432"/>
    </row>
    <row r="646">
      <c r="A646" s="432"/>
      <c r="B646" s="432"/>
      <c r="C646" s="432"/>
      <c r="D646" s="432"/>
      <c r="E646" s="432"/>
      <c r="F646" s="432"/>
      <c r="G646" s="432"/>
      <c r="H646" s="432"/>
      <c r="I646" s="432"/>
      <c r="J646" s="432"/>
      <c r="K646" s="432"/>
      <c r="L646" s="432"/>
      <c r="M646" s="432"/>
      <c r="N646" s="432"/>
      <c r="O646" s="432"/>
      <c r="P646" s="432"/>
      <c r="Q646" s="432"/>
      <c r="R646" s="432"/>
      <c r="S646" s="432"/>
      <c r="T646" s="432"/>
      <c r="U646" s="432"/>
      <c r="V646" s="432"/>
      <c r="W646" s="432"/>
      <c r="X646" s="432"/>
      <c r="Y646" s="432"/>
      <c r="Z646" s="432"/>
      <c r="AA646" s="432"/>
      <c r="AB646" s="432"/>
      <c r="AC646" s="432"/>
      <c r="AD646" s="432"/>
      <c r="AE646" s="432"/>
    </row>
    <row r="647">
      <c r="A647" s="432"/>
      <c r="B647" s="432"/>
      <c r="C647" s="432"/>
      <c r="D647" s="432"/>
      <c r="E647" s="432"/>
      <c r="F647" s="432"/>
      <c r="G647" s="432"/>
      <c r="H647" s="432"/>
      <c r="I647" s="432"/>
      <c r="J647" s="432"/>
      <c r="K647" s="432"/>
      <c r="L647" s="432"/>
      <c r="M647" s="432"/>
      <c r="N647" s="432"/>
      <c r="O647" s="432"/>
      <c r="P647" s="432"/>
      <c r="Q647" s="432"/>
      <c r="R647" s="432"/>
      <c r="S647" s="432"/>
      <c r="T647" s="432"/>
      <c r="U647" s="432"/>
      <c r="V647" s="432"/>
      <c r="W647" s="432"/>
      <c r="X647" s="432"/>
      <c r="Y647" s="432"/>
      <c r="Z647" s="432"/>
      <c r="AA647" s="432"/>
      <c r="AB647" s="432"/>
      <c r="AC647" s="432"/>
      <c r="AD647" s="432"/>
      <c r="AE647" s="432"/>
    </row>
    <row r="648">
      <c r="A648" s="432"/>
      <c r="B648" s="432"/>
      <c r="C648" s="432"/>
      <c r="D648" s="432"/>
      <c r="E648" s="432"/>
      <c r="F648" s="432"/>
      <c r="G648" s="432"/>
      <c r="H648" s="432"/>
      <c r="I648" s="432"/>
      <c r="J648" s="432"/>
      <c r="K648" s="432"/>
      <c r="L648" s="432"/>
      <c r="M648" s="432"/>
      <c r="N648" s="432"/>
      <c r="O648" s="432"/>
      <c r="P648" s="432"/>
      <c r="Q648" s="432"/>
      <c r="R648" s="432"/>
      <c r="S648" s="432"/>
      <c r="T648" s="432"/>
      <c r="U648" s="432"/>
      <c r="V648" s="432"/>
      <c r="W648" s="432"/>
      <c r="X648" s="432"/>
      <c r="Y648" s="432"/>
      <c r="Z648" s="432"/>
      <c r="AA648" s="432"/>
      <c r="AB648" s="432"/>
      <c r="AC648" s="432"/>
      <c r="AD648" s="432"/>
      <c r="AE648" s="432"/>
    </row>
    <row r="649">
      <c r="A649" s="432"/>
      <c r="B649" s="432"/>
      <c r="C649" s="432"/>
      <c r="D649" s="432"/>
      <c r="E649" s="432"/>
      <c r="F649" s="432"/>
      <c r="G649" s="432"/>
      <c r="H649" s="432"/>
      <c r="I649" s="432"/>
      <c r="J649" s="432"/>
      <c r="K649" s="432"/>
      <c r="L649" s="432"/>
      <c r="M649" s="432"/>
      <c r="N649" s="432"/>
      <c r="O649" s="432"/>
      <c r="P649" s="432"/>
      <c r="Q649" s="432"/>
      <c r="R649" s="432"/>
      <c r="S649" s="432"/>
      <c r="T649" s="432"/>
      <c r="U649" s="432"/>
      <c r="V649" s="432"/>
      <c r="W649" s="432"/>
      <c r="X649" s="432"/>
      <c r="Y649" s="432"/>
      <c r="Z649" s="432"/>
      <c r="AA649" s="432"/>
      <c r="AB649" s="432"/>
      <c r="AC649" s="432"/>
      <c r="AD649" s="432"/>
      <c r="AE649" s="432"/>
    </row>
    <row r="650">
      <c r="A650" s="432"/>
      <c r="B650" s="432"/>
      <c r="C650" s="432"/>
      <c r="D650" s="432"/>
      <c r="E650" s="432"/>
      <c r="F650" s="432"/>
      <c r="G650" s="432"/>
      <c r="H650" s="432"/>
      <c r="I650" s="432"/>
      <c r="J650" s="432"/>
      <c r="K650" s="432"/>
      <c r="L650" s="432"/>
      <c r="M650" s="432"/>
      <c r="N650" s="432"/>
      <c r="O650" s="432"/>
      <c r="P650" s="432"/>
      <c r="Q650" s="432"/>
      <c r="R650" s="432"/>
      <c r="S650" s="432"/>
      <c r="T650" s="432"/>
      <c r="U650" s="432"/>
      <c r="V650" s="432"/>
      <c r="W650" s="432"/>
      <c r="X650" s="432"/>
      <c r="Y650" s="432"/>
      <c r="Z650" s="432"/>
      <c r="AA650" s="432"/>
      <c r="AB650" s="432"/>
      <c r="AC650" s="432"/>
      <c r="AD650" s="432"/>
      <c r="AE650" s="432"/>
    </row>
    <row r="651">
      <c r="A651" s="432"/>
      <c r="B651" s="432"/>
      <c r="C651" s="432"/>
      <c r="D651" s="432"/>
      <c r="E651" s="432"/>
      <c r="F651" s="432"/>
      <c r="G651" s="432"/>
      <c r="H651" s="432"/>
      <c r="I651" s="432"/>
      <c r="J651" s="432"/>
      <c r="K651" s="432"/>
      <c r="L651" s="432"/>
      <c r="M651" s="432"/>
      <c r="N651" s="432"/>
      <c r="O651" s="432"/>
      <c r="P651" s="432"/>
      <c r="Q651" s="432"/>
      <c r="R651" s="432"/>
      <c r="S651" s="432"/>
      <c r="T651" s="432"/>
      <c r="U651" s="432"/>
      <c r="V651" s="432"/>
      <c r="W651" s="432"/>
      <c r="X651" s="432"/>
      <c r="Y651" s="432"/>
      <c r="Z651" s="432"/>
      <c r="AA651" s="432"/>
      <c r="AB651" s="432"/>
      <c r="AC651" s="432"/>
      <c r="AD651" s="432"/>
      <c r="AE651" s="432"/>
    </row>
    <row r="652">
      <c r="A652" s="432"/>
      <c r="B652" s="432"/>
      <c r="C652" s="432"/>
      <c r="D652" s="432"/>
      <c r="E652" s="432"/>
      <c r="F652" s="432"/>
      <c r="G652" s="432"/>
      <c r="H652" s="432"/>
      <c r="I652" s="432"/>
      <c r="J652" s="432"/>
      <c r="K652" s="432"/>
      <c r="L652" s="432"/>
      <c r="M652" s="432"/>
      <c r="N652" s="432"/>
      <c r="O652" s="432"/>
      <c r="P652" s="432"/>
      <c r="Q652" s="432"/>
      <c r="R652" s="432"/>
      <c r="S652" s="432"/>
      <c r="T652" s="432"/>
      <c r="U652" s="432"/>
      <c r="V652" s="432"/>
      <c r="W652" s="432"/>
      <c r="X652" s="432"/>
      <c r="Y652" s="432"/>
      <c r="Z652" s="432"/>
      <c r="AA652" s="432"/>
      <c r="AB652" s="432"/>
      <c r="AC652" s="432"/>
      <c r="AD652" s="432"/>
      <c r="AE652" s="432"/>
    </row>
    <row r="653">
      <c r="A653" s="432"/>
      <c r="B653" s="432"/>
      <c r="C653" s="432"/>
      <c r="D653" s="432"/>
      <c r="E653" s="432"/>
      <c r="F653" s="432"/>
      <c r="G653" s="432"/>
      <c r="H653" s="432"/>
      <c r="I653" s="432"/>
      <c r="J653" s="432"/>
      <c r="K653" s="432"/>
      <c r="L653" s="432"/>
      <c r="M653" s="432"/>
      <c r="N653" s="432"/>
      <c r="O653" s="432"/>
      <c r="P653" s="432"/>
      <c r="Q653" s="432"/>
      <c r="R653" s="432"/>
      <c r="S653" s="432"/>
      <c r="T653" s="432"/>
      <c r="U653" s="432"/>
      <c r="V653" s="432"/>
      <c r="W653" s="432"/>
      <c r="X653" s="432"/>
      <c r="Y653" s="432"/>
      <c r="Z653" s="432"/>
      <c r="AA653" s="432"/>
      <c r="AB653" s="432"/>
      <c r="AC653" s="432"/>
      <c r="AD653" s="432"/>
      <c r="AE653" s="432"/>
    </row>
    <row r="654">
      <c r="A654" s="432"/>
      <c r="B654" s="432"/>
      <c r="C654" s="432"/>
      <c r="D654" s="432"/>
      <c r="E654" s="432"/>
      <c r="F654" s="432"/>
      <c r="G654" s="432"/>
      <c r="H654" s="432"/>
      <c r="I654" s="432"/>
      <c r="J654" s="432"/>
      <c r="K654" s="432"/>
      <c r="L654" s="432"/>
      <c r="M654" s="432"/>
      <c r="N654" s="432"/>
      <c r="O654" s="432"/>
      <c r="P654" s="432"/>
      <c r="Q654" s="432"/>
      <c r="R654" s="432"/>
      <c r="S654" s="432"/>
      <c r="T654" s="432"/>
      <c r="U654" s="432"/>
      <c r="V654" s="432"/>
      <c r="W654" s="432"/>
      <c r="X654" s="432"/>
      <c r="Y654" s="432"/>
      <c r="Z654" s="432"/>
      <c r="AA654" s="432"/>
      <c r="AB654" s="432"/>
      <c r="AC654" s="432"/>
      <c r="AD654" s="432"/>
      <c r="AE654" s="432"/>
    </row>
    <row r="655">
      <c r="A655" s="432"/>
      <c r="B655" s="432"/>
      <c r="C655" s="432"/>
      <c r="D655" s="432"/>
      <c r="E655" s="432"/>
      <c r="F655" s="432"/>
      <c r="G655" s="432"/>
      <c r="H655" s="432"/>
      <c r="I655" s="432"/>
      <c r="J655" s="432"/>
      <c r="K655" s="432"/>
      <c r="L655" s="432"/>
      <c r="M655" s="432"/>
      <c r="N655" s="432"/>
      <c r="O655" s="432"/>
      <c r="P655" s="432"/>
      <c r="Q655" s="432"/>
      <c r="R655" s="432"/>
      <c r="S655" s="432"/>
      <c r="T655" s="432"/>
      <c r="U655" s="432"/>
      <c r="V655" s="432"/>
      <c r="W655" s="432"/>
      <c r="X655" s="432"/>
      <c r="Y655" s="432"/>
      <c r="Z655" s="432"/>
      <c r="AA655" s="432"/>
      <c r="AB655" s="432"/>
      <c r="AC655" s="432"/>
      <c r="AD655" s="432"/>
      <c r="AE655" s="432"/>
    </row>
    <row r="656">
      <c r="A656" s="432"/>
      <c r="B656" s="432"/>
      <c r="C656" s="432"/>
      <c r="D656" s="432"/>
      <c r="E656" s="432"/>
      <c r="F656" s="432"/>
      <c r="G656" s="432"/>
      <c r="H656" s="432"/>
      <c r="I656" s="432"/>
      <c r="J656" s="432"/>
      <c r="K656" s="432"/>
      <c r="L656" s="432"/>
      <c r="M656" s="432"/>
      <c r="N656" s="432"/>
      <c r="O656" s="432"/>
      <c r="P656" s="432"/>
      <c r="Q656" s="432"/>
      <c r="R656" s="432"/>
      <c r="S656" s="432"/>
      <c r="T656" s="432"/>
      <c r="U656" s="432"/>
      <c r="V656" s="432"/>
      <c r="W656" s="432"/>
      <c r="X656" s="432"/>
      <c r="Y656" s="432"/>
      <c r="Z656" s="432"/>
      <c r="AA656" s="432"/>
      <c r="AB656" s="432"/>
      <c r="AC656" s="432"/>
      <c r="AD656" s="432"/>
      <c r="AE656" s="432"/>
    </row>
    <row r="657">
      <c r="A657" s="432"/>
      <c r="B657" s="432"/>
      <c r="C657" s="432"/>
      <c r="D657" s="432"/>
      <c r="E657" s="432"/>
      <c r="F657" s="432"/>
      <c r="G657" s="432"/>
      <c r="H657" s="432"/>
      <c r="I657" s="432"/>
      <c r="J657" s="432"/>
      <c r="K657" s="432"/>
      <c r="L657" s="432"/>
      <c r="M657" s="432"/>
      <c r="N657" s="432"/>
      <c r="O657" s="432"/>
      <c r="P657" s="432"/>
      <c r="Q657" s="432"/>
      <c r="R657" s="432"/>
      <c r="S657" s="432"/>
      <c r="T657" s="432"/>
      <c r="U657" s="432"/>
      <c r="V657" s="432"/>
      <c r="W657" s="432"/>
      <c r="X657" s="432"/>
      <c r="Y657" s="432"/>
      <c r="Z657" s="432"/>
      <c r="AA657" s="432"/>
      <c r="AB657" s="432"/>
      <c r="AC657" s="432"/>
      <c r="AD657" s="432"/>
      <c r="AE657" s="432"/>
    </row>
    <row r="658">
      <c r="A658" s="432"/>
      <c r="B658" s="432"/>
      <c r="C658" s="432"/>
      <c r="D658" s="432"/>
      <c r="E658" s="432"/>
      <c r="F658" s="432"/>
      <c r="G658" s="432"/>
      <c r="H658" s="432"/>
      <c r="I658" s="432"/>
      <c r="J658" s="432"/>
      <c r="K658" s="432"/>
      <c r="L658" s="432"/>
      <c r="M658" s="432"/>
      <c r="N658" s="432"/>
      <c r="O658" s="432"/>
      <c r="P658" s="432"/>
      <c r="Q658" s="432"/>
      <c r="R658" s="432"/>
      <c r="S658" s="432"/>
      <c r="T658" s="432"/>
      <c r="U658" s="432"/>
      <c r="V658" s="432"/>
      <c r="W658" s="432"/>
      <c r="X658" s="432"/>
      <c r="Y658" s="432"/>
      <c r="Z658" s="432"/>
      <c r="AA658" s="432"/>
      <c r="AB658" s="432"/>
      <c r="AC658" s="432"/>
      <c r="AD658" s="432"/>
      <c r="AE658" s="432"/>
    </row>
    <row r="659">
      <c r="A659" s="432"/>
      <c r="B659" s="432"/>
      <c r="C659" s="432"/>
      <c r="D659" s="432"/>
      <c r="E659" s="432"/>
      <c r="F659" s="432"/>
      <c r="G659" s="432"/>
      <c r="H659" s="432"/>
      <c r="I659" s="432"/>
      <c r="J659" s="432"/>
      <c r="K659" s="432"/>
      <c r="L659" s="432"/>
      <c r="M659" s="432"/>
      <c r="N659" s="432"/>
      <c r="O659" s="432"/>
      <c r="P659" s="432"/>
      <c r="Q659" s="432"/>
      <c r="R659" s="432"/>
      <c r="S659" s="432"/>
      <c r="T659" s="432"/>
      <c r="U659" s="432"/>
      <c r="V659" s="432"/>
      <c r="W659" s="432"/>
      <c r="X659" s="432"/>
      <c r="Y659" s="432"/>
      <c r="Z659" s="432"/>
      <c r="AA659" s="432"/>
      <c r="AB659" s="432"/>
      <c r="AC659" s="432"/>
      <c r="AD659" s="432"/>
      <c r="AE659" s="432"/>
    </row>
    <row r="660">
      <c r="A660" s="432"/>
      <c r="B660" s="432"/>
      <c r="C660" s="432"/>
      <c r="D660" s="432"/>
      <c r="E660" s="432"/>
      <c r="F660" s="432"/>
      <c r="G660" s="432"/>
      <c r="H660" s="432"/>
      <c r="I660" s="432"/>
      <c r="J660" s="432"/>
      <c r="K660" s="432"/>
      <c r="L660" s="432"/>
      <c r="M660" s="432"/>
      <c r="N660" s="432"/>
      <c r="O660" s="432"/>
      <c r="P660" s="432"/>
      <c r="Q660" s="432"/>
      <c r="R660" s="432"/>
      <c r="S660" s="432"/>
      <c r="T660" s="432"/>
      <c r="U660" s="432"/>
      <c r="V660" s="432"/>
      <c r="W660" s="432"/>
      <c r="X660" s="432"/>
      <c r="Y660" s="432"/>
      <c r="Z660" s="432"/>
      <c r="AA660" s="432"/>
      <c r="AB660" s="432"/>
      <c r="AC660" s="432"/>
      <c r="AD660" s="432"/>
      <c r="AE660" s="432"/>
    </row>
    <row r="661">
      <c r="A661" s="432"/>
      <c r="B661" s="432"/>
      <c r="C661" s="432"/>
      <c r="D661" s="432"/>
      <c r="E661" s="432"/>
      <c r="F661" s="432"/>
      <c r="G661" s="432"/>
      <c r="H661" s="432"/>
      <c r="I661" s="432"/>
      <c r="J661" s="432"/>
      <c r="K661" s="432"/>
      <c r="L661" s="432"/>
      <c r="M661" s="432"/>
      <c r="N661" s="432"/>
      <c r="O661" s="432"/>
      <c r="P661" s="432"/>
      <c r="Q661" s="432"/>
      <c r="R661" s="432"/>
      <c r="S661" s="432"/>
      <c r="T661" s="432"/>
      <c r="U661" s="432"/>
      <c r="V661" s="432"/>
      <c r="W661" s="432"/>
      <c r="X661" s="432"/>
      <c r="Y661" s="432"/>
      <c r="Z661" s="432"/>
      <c r="AA661" s="432"/>
      <c r="AB661" s="432"/>
      <c r="AC661" s="432"/>
      <c r="AD661" s="432"/>
      <c r="AE661" s="432"/>
    </row>
    <row r="662">
      <c r="A662" s="432"/>
      <c r="B662" s="432"/>
      <c r="C662" s="432"/>
      <c r="D662" s="432"/>
      <c r="E662" s="432"/>
      <c r="F662" s="432"/>
      <c r="G662" s="432"/>
      <c r="H662" s="432"/>
      <c r="I662" s="432"/>
      <c r="J662" s="432"/>
      <c r="K662" s="432"/>
      <c r="L662" s="432"/>
      <c r="M662" s="432"/>
      <c r="N662" s="432"/>
      <c r="O662" s="432"/>
      <c r="P662" s="432"/>
      <c r="Q662" s="432"/>
      <c r="R662" s="432"/>
      <c r="S662" s="432"/>
      <c r="T662" s="432"/>
      <c r="U662" s="432"/>
      <c r="V662" s="432"/>
      <c r="W662" s="432"/>
      <c r="X662" s="432"/>
      <c r="Y662" s="432"/>
      <c r="Z662" s="432"/>
      <c r="AA662" s="432"/>
      <c r="AB662" s="432"/>
      <c r="AC662" s="432"/>
      <c r="AD662" s="432"/>
      <c r="AE662" s="432"/>
    </row>
    <row r="663">
      <c r="A663" s="432"/>
      <c r="B663" s="432"/>
      <c r="C663" s="432"/>
      <c r="D663" s="432"/>
      <c r="E663" s="432"/>
      <c r="F663" s="432"/>
      <c r="G663" s="432"/>
      <c r="H663" s="432"/>
      <c r="I663" s="432"/>
      <c r="J663" s="432"/>
      <c r="K663" s="432"/>
      <c r="L663" s="432"/>
      <c r="M663" s="432"/>
      <c r="N663" s="432"/>
      <c r="O663" s="432"/>
      <c r="P663" s="432"/>
      <c r="Q663" s="432"/>
      <c r="R663" s="432"/>
      <c r="S663" s="432"/>
      <c r="T663" s="432"/>
      <c r="U663" s="432"/>
      <c r="V663" s="432"/>
      <c r="W663" s="432"/>
      <c r="X663" s="432"/>
      <c r="Y663" s="432"/>
      <c r="Z663" s="432"/>
      <c r="AA663" s="432"/>
      <c r="AB663" s="432"/>
      <c r="AC663" s="432"/>
      <c r="AD663" s="432"/>
      <c r="AE663" s="432"/>
    </row>
    <row r="664">
      <c r="A664" s="432"/>
      <c r="B664" s="432"/>
      <c r="C664" s="432"/>
      <c r="D664" s="432"/>
      <c r="E664" s="432"/>
      <c r="F664" s="432"/>
      <c r="G664" s="432"/>
      <c r="H664" s="432"/>
      <c r="I664" s="432"/>
      <c r="J664" s="432"/>
      <c r="K664" s="432"/>
      <c r="L664" s="432"/>
      <c r="M664" s="432"/>
      <c r="N664" s="432"/>
      <c r="O664" s="432"/>
      <c r="P664" s="432"/>
      <c r="Q664" s="432"/>
      <c r="R664" s="432"/>
      <c r="S664" s="432"/>
      <c r="T664" s="432"/>
      <c r="U664" s="432"/>
      <c r="V664" s="432"/>
      <c r="W664" s="432"/>
      <c r="X664" s="432"/>
      <c r="Y664" s="432"/>
      <c r="Z664" s="432"/>
      <c r="AA664" s="432"/>
      <c r="AB664" s="432"/>
      <c r="AC664" s="432"/>
      <c r="AD664" s="432"/>
      <c r="AE664" s="432"/>
    </row>
    <row r="665">
      <c r="A665" s="432"/>
      <c r="B665" s="432"/>
      <c r="C665" s="432"/>
      <c r="D665" s="432"/>
      <c r="E665" s="432"/>
      <c r="F665" s="432"/>
      <c r="G665" s="432"/>
      <c r="H665" s="432"/>
      <c r="I665" s="432"/>
      <c r="J665" s="432"/>
      <c r="K665" s="432"/>
      <c r="L665" s="432"/>
      <c r="M665" s="432"/>
      <c r="N665" s="432"/>
      <c r="O665" s="432"/>
      <c r="P665" s="432"/>
      <c r="Q665" s="432"/>
      <c r="R665" s="432"/>
      <c r="S665" s="432"/>
      <c r="T665" s="432"/>
      <c r="U665" s="432"/>
      <c r="V665" s="432"/>
      <c r="W665" s="432"/>
      <c r="X665" s="432"/>
      <c r="Y665" s="432"/>
      <c r="Z665" s="432"/>
      <c r="AA665" s="432"/>
      <c r="AB665" s="432"/>
      <c r="AC665" s="432"/>
      <c r="AD665" s="432"/>
      <c r="AE665" s="432"/>
    </row>
    <row r="666">
      <c r="A666" s="432"/>
      <c r="B666" s="432"/>
      <c r="C666" s="432"/>
      <c r="D666" s="432"/>
      <c r="E666" s="432"/>
      <c r="F666" s="432"/>
      <c r="G666" s="432"/>
      <c r="H666" s="432"/>
      <c r="I666" s="432"/>
      <c r="J666" s="432"/>
      <c r="K666" s="432"/>
      <c r="L666" s="432"/>
      <c r="M666" s="432"/>
      <c r="N666" s="432"/>
      <c r="O666" s="432"/>
      <c r="P666" s="432"/>
      <c r="Q666" s="432"/>
      <c r="R666" s="432"/>
      <c r="S666" s="432"/>
      <c r="T666" s="432"/>
      <c r="U666" s="432"/>
      <c r="V666" s="432"/>
      <c r="W666" s="432"/>
      <c r="X666" s="432"/>
      <c r="Y666" s="432"/>
      <c r="Z666" s="432"/>
      <c r="AA666" s="432"/>
      <c r="AB666" s="432"/>
      <c r="AC666" s="432"/>
      <c r="AD666" s="432"/>
      <c r="AE666" s="432"/>
    </row>
    <row r="667">
      <c r="A667" s="432"/>
      <c r="B667" s="432"/>
      <c r="C667" s="432"/>
      <c r="D667" s="432"/>
      <c r="E667" s="432"/>
      <c r="F667" s="432"/>
      <c r="G667" s="432"/>
      <c r="H667" s="432"/>
      <c r="I667" s="432"/>
      <c r="J667" s="432"/>
      <c r="K667" s="432"/>
      <c r="L667" s="432"/>
      <c r="M667" s="432"/>
      <c r="N667" s="432"/>
      <c r="O667" s="432"/>
      <c r="P667" s="432"/>
      <c r="Q667" s="432"/>
      <c r="R667" s="432"/>
      <c r="S667" s="432"/>
      <c r="T667" s="432"/>
      <c r="U667" s="432"/>
      <c r="V667" s="432"/>
      <c r="W667" s="432"/>
      <c r="X667" s="432"/>
      <c r="Y667" s="432"/>
      <c r="Z667" s="432"/>
      <c r="AA667" s="432"/>
      <c r="AB667" s="432"/>
      <c r="AC667" s="432"/>
      <c r="AD667" s="432"/>
      <c r="AE667" s="432"/>
    </row>
    <row r="668">
      <c r="A668" s="432"/>
      <c r="B668" s="432"/>
      <c r="C668" s="432"/>
      <c r="D668" s="432"/>
      <c r="E668" s="432"/>
      <c r="F668" s="432"/>
      <c r="G668" s="432"/>
      <c r="H668" s="432"/>
      <c r="I668" s="432"/>
      <c r="J668" s="432"/>
      <c r="K668" s="432"/>
      <c r="L668" s="432"/>
      <c r="M668" s="432"/>
      <c r="N668" s="432"/>
      <c r="O668" s="432"/>
      <c r="P668" s="432"/>
      <c r="Q668" s="432"/>
      <c r="R668" s="432"/>
      <c r="S668" s="432"/>
      <c r="T668" s="432"/>
      <c r="U668" s="432"/>
      <c r="V668" s="432"/>
      <c r="W668" s="432"/>
      <c r="X668" s="432"/>
      <c r="Y668" s="432"/>
      <c r="Z668" s="432"/>
      <c r="AA668" s="432"/>
      <c r="AB668" s="432"/>
      <c r="AC668" s="432"/>
      <c r="AD668" s="432"/>
      <c r="AE668" s="432"/>
    </row>
    <row r="669">
      <c r="A669" s="432"/>
      <c r="B669" s="432"/>
      <c r="C669" s="432"/>
      <c r="D669" s="432"/>
      <c r="E669" s="432"/>
      <c r="F669" s="432"/>
      <c r="G669" s="432"/>
      <c r="H669" s="432"/>
      <c r="I669" s="432"/>
      <c r="J669" s="432"/>
      <c r="K669" s="432"/>
      <c r="L669" s="432"/>
      <c r="M669" s="432"/>
      <c r="N669" s="432"/>
      <c r="O669" s="432"/>
      <c r="P669" s="432"/>
      <c r="Q669" s="432"/>
      <c r="R669" s="432"/>
      <c r="S669" s="432"/>
      <c r="T669" s="432"/>
      <c r="U669" s="432"/>
      <c r="V669" s="432"/>
      <c r="W669" s="432"/>
      <c r="X669" s="432"/>
      <c r="Y669" s="432"/>
      <c r="Z669" s="432"/>
      <c r="AA669" s="432"/>
      <c r="AB669" s="432"/>
      <c r="AC669" s="432"/>
      <c r="AD669" s="432"/>
      <c r="AE669" s="432"/>
    </row>
    <row r="670">
      <c r="A670" s="432"/>
      <c r="B670" s="432"/>
      <c r="C670" s="432"/>
      <c r="D670" s="432"/>
      <c r="E670" s="432"/>
      <c r="F670" s="432"/>
      <c r="G670" s="432"/>
      <c r="H670" s="432"/>
      <c r="I670" s="432"/>
      <c r="J670" s="432"/>
      <c r="K670" s="432"/>
      <c r="L670" s="432"/>
      <c r="M670" s="432"/>
      <c r="N670" s="432"/>
      <c r="O670" s="432"/>
      <c r="P670" s="432"/>
      <c r="Q670" s="432"/>
      <c r="R670" s="432"/>
      <c r="S670" s="432"/>
      <c r="T670" s="432"/>
      <c r="U670" s="432"/>
      <c r="V670" s="432"/>
      <c r="W670" s="432"/>
      <c r="X670" s="432"/>
      <c r="Y670" s="432"/>
      <c r="Z670" s="432"/>
      <c r="AA670" s="432"/>
      <c r="AB670" s="432"/>
      <c r="AC670" s="432"/>
      <c r="AD670" s="432"/>
      <c r="AE670" s="432"/>
    </row>
    <row r="671">
      <c r="A671" s="432"/>
      <c r="B671" s="432"/>
      <c r="C671" s="432"/>
      <c r="D671" s="432"/>
      <c r="E671" s="432"/>
      <c r="F671" s="432"/>
      <c r="G671" s="432"/>
      <c r="H671" s="432"/>
      <c r="I671" s="432"/>
      <c r="J671" s="432"/>
      <c r="K671" s="432"/>
      <c r="L671" s="432"/>
      <c r="M671" s="432"/>
      <c r="N671" s="432"/>
      <c r="O671" s="432"/>
      <c r="P671" s="432"/>
      <c r="Q671" s="432"/>
      <c r="R671" s="432"/>
      <c r="S671" s="432"/>
      <c r="T671" s="432"/>
      <c r="U671" s="432"/>
      <c r="V671" s="432"/>
      <c r="W671" s="432"/>
      <c r="X671" s="432"/>
      <c r="Y671" s="432"/>
      <c r="Z671" s="432"/>
      <c r="AA671" s="432"/>
      <c r="AB671" s="432"/>
      <c r="AC671" s="432"/>
      <c r="AD671" s="432"/>
      <c r="AE671" s="432"/>
    </row>
    <row r="672">
      <c r="A672" s="432"/>
      <c r="B672" s="432"/>
      <c r="C672" s="432"/>
      <c r="D672" s="432"/>
      <c r="E672" s="432"/>
      <c r="F672" s="432"/>
      <c r="G672" s="432"/>
      <c r="H672" s="432"/>
      <c r="I672" s="432"/>
      <c r="J672" s="432"/>
      <c r="K672" s="432"/>
      <c r="L672" s="432"/>
      <c r="M672" s="432"/>
      <c r="N672" s="432"/>
      <c r="O672" s="432"/>
      <c r="P672" s="432"/>
      <c r="Q672" s="432"/>
      <c r="R672" s="432"/>
      <c r="S672" s="432"/>
      <c r="T672" s="432"/>
      <c r="U672" s="432"/>
      <c r="V672" s="432"/>
      <c r="W672" s="432"/>
      <c r="X672" s="432"/>
      <c r="Y672" s="432"/>
      <c r="Z672" s="432"/>
      <c r="AA672" s="432"/>
      <c r="AB672" s="432"/>
      <c r="AC672" s="432"/>
      <c r="AD672" s="432"/>
      <c r="AE672" s="432"/>
    </row>
    <row r="673">
      <c r="A673" s="432"/>
      <c r="B673" s="432"/>
      <c r="C673" s="432"/>
      <c r="D673" s="432"/>
      <c r="E673" s="432"/>
      <c r="F673" s="432"/>
      <c r="G673" s="432"/>
      <c r="H673" s="432"/>
      <c r="I673" s="432"/>
      <c r="J673" s="432"/>
      <c r="K673" s="432"/>
      <c r="L673" s="432"/>
      <c r="M673" s="432"/>
      <c r="N673" s="432"/>
      <c r="O673" s="432"/>
      <c r="P673" s="432"/>
      <c r="Q673" s="432"/>
      <c r="R673" s="432"/>
      <c r="S673" s="432"/>
      <c r="T673" s="432"/>
      <c r="U673" s="432"/>
      <c r="V673" s="432"/>
      <c r="W673" s="432"/>
      <c r="X673" s="432"/>
      <c r="Y673" s="432"/>
      <c r="Z673" s="432"/>
      <c r="AA673" s="432"/>
      <c r="AB673" s="432"/>
      <c r="AC673" s="432"/>
      <c r="AD673" s="432"/>
      <c r="AE673" s="432"/>
    </row>
    <row r="674">
      <c r="A674" s="432"/>
      <c r="B674" s="432"/>
      <c r="C674" s="432"/>
      <c r="D674" s="432"/>
      <c r="E674" s="432"/>
      <c r="F674" s="432"/>
      <c r="G674" s="432"/>
      <c r="H674" s="432"/>
      <c r="I674" s="432"/>
      <c r="J674" s="432"/>
      <c r="K674" s="432"/>
      <c r="L674" s="432"/>
      <c r="M674" s="432"/>
      <c r="N674" s="432"/>
      <c r="O674" s="432"/>
      <c r="P674" s="432"/>
      <c r="Q674" s="432"/>
      <c r="R674" s="432"/>
      <c r="S674" s="432"/>
      <c r="T674" s="432"/>
      <c r="U674" s="432"/>
      <c r="V674" s="432"/>
      <c r="W674" s="432"/>
      <c r="X674" s="432"/>
      <c r="Y674" s="432"/>
      <c r="Z674" s="432"/>
      <c r="AA674" s="432"/>
      <c r="AB674" s="432"/>
      <c r="AC674" s="432"/>
      <c r="AD674" s="432"/>
      <c r="AE674" s="432"/>
    </row>
    <row r="675">
      <c r="A675" s="432"/>
      <c r="B675" s="432"/>
      <c r="C675" s="432"/>
      <c r="D675" s="432"/>
      <c r="E675" s="432"/>
      <c r="F675" s="432"/>
      <c r="G675" s="432"/>
      <c r="H675" s="432"/>
      <c r="I675" s="432"/>
      <c r="J675" s="432"/>
      <c r="K675" s="432"/>
      <c r="L675" s="432"/>
      <c r="M675" s="432"/>
      <c r="N675" s="432"/>
      <c r="O675" s="432"/>
      <c r="P675" s="432"/>
      <c r="Q675" s="432"/>
      <c r="R675" s="432"/>
      <c r="S675" s="432"/>
      <c r="T675" s="432"/>
      <c r="U675" s="432"/>
      <c r="V675" s="432"/>
      <c r="W675" s="432"/>
      <c r="X675" s="432"/>
      <c r="Y675" s="432"/>
      <c r="Z675" s="432"/>
      <c r="AA675" s="432"/>
      <c r="AB675" s="432"/>
      <c r="AC675" s="432"/>
      <c r="AD675" s="432"/>
      <c r="AE675" s="432"/>
    </row>
    <row r="676">
      <c r="A676" s="432"/>
      <c r="B676" s="432"/>
      <c r="C676" s="432"/>
      <c r="D676" s="432"/>
      <c r="E676" s="432"/>
      <c r="F676" s="432"/>
      <c r="G676" s="432"/>
      <c r="H676" s="432"/>
      <c r="I676" s="432"/>
      <c r="J676" s="432"/>
      <c r="K676" s="432"/>
      <c r="L676" s="432"/>
      <c r="M676" s="432"/>
      <c r="N676" s="432"/>
      <c r="O676" s="432"/>
      <c r="P676" s="432"/>
      <c r="Q676" s="432"/>
      <c r="R676" s="432"/>
      <c r="S676" s="432"/>
      <c r="T676" s="432"/>
      <c r="U676" s="432"/>
      <c r="V676" s="432"/>
      <c r="W676" s="432"/>
      <c r="X676" s="432"/>
      <c r="Y676" s="432"/>
      <c r="Z676" s="432"/>
      <c r="AA676" s="432"/>
      <c r="AB676" s="432"/>
      <c r="AC676" s="432"/>
      <c r="AD676" s="432"/>
      <c r="AE676" s="432"/>
    </row>
    <row r="677">
      <c r="A677" s="432"/>
      <c r="B677" s="432"/>
      <c r="C677" s="432"/>
      <c r="D677" s="432"/>
      <c r="E677" s="432"/>
      <c r="F677" s="432"/>
      <c r="G677" s="432"/>
      <c r="H677" s="432"/>
      <c r="I677" s="432"/>
      <c r="J677" s="432"/>
      <c r="K677" s="432"/>
      <c r="L677" s="432"/>
      <c r="M677" s="432"/>
      <c r="N677" s="432"/>
      <c r="O677" s="432"/>
      <c r="P677" s="432"/>
      <c r="Q677" s="432"/>
      <c r="R677" s="432"/>
      <c r="S677" s="432"/>
      <c r="T677" s="432"/>
      <c r="U677" s="432"/>
      <c r="V677" s="432"/>
      <c r="W677" s="432"/>
      <c r="X677" s="432"/>
      <c r="Y677" s="432"/>
      <c r="Z677" s="432"/>
      <c r="AA677" s="432"/>
      <c r="AB677" s="432"/>
      <c r="AC677" s="432"/>
      <c r="AD677" s="432"/>
      <c r="AE677" s="432"/>
    </row>
    <row r="678">
      <c r="A678" s="432"/>
      <c r="B678" s="432"/>
      <c r="C678" s="432"/>
      <c r="D678" s="432"/>
      <c r="E678" s="432"/>
      <c r="F678" s="432"/>
      <c r="G678" s="432"/>
      <c r="H678" s="432"/>
      <c r="I678" s="432"/>
      <c r="J678" s="432"/>
      <c r="K678" s="432"/>
      <c r="L678" s="432"/>
      <c r="M678" s="432"/>
      <c r="N678" s="432"/>
      <c r="O678" s="432"/>
      <c r="P678" s="432"/>
      <c r="Q678" s="432"/>
      <c r="R678" s="432"/>
      <c r="S678" s="432"/>
      <c r="T678" s="432"/>
      <c r="U678" s="432"/>
      <c r="V678" s="432"/>
      <c r="W678" s="432"/>
      <c r="X678" s="432"/>
      <c r="Y678" s="432"/>
      <c r="Z678" s="432"/>
      <c r="AA678" s="432"/>
      <c r="AB678" s="432"/>
      <c r="AC678" s="432"/>
      <c r="AD678" s="432"/>
      <c r="AE678" s="432"/>
    </row>
    <row r="679">
      <c r="A679" s="432"/>
      <c r="B679" s="432"/>
      <c r="C679" s="432"/>
      <c r="D679" s="432"/>
      <c r="E679" s="432"/>
      <c r="F679" s="432"/>
      <c r="G679" s="432"/>
      <c r="H679" s="432"/>
      <c r="I679" s="432"/>
      <c r="J679" s="432"/>
      <c r="K679" s="432"/>
      <c r="L679" s="432"/>
      <c r="M679" s="432"/>
      <c r="N679" s="432"/>
      <c r="O679" s="432"/>
      <c r="P679" s="432"/>
      <c r="Q679" s="432"/>
      <c r="R679" s="432"/>
      <c r="S679" s="432"/>
      <c r="T679" s="432"/>
      <c r="U679" s="432"/>
      <c r="V679" s="432"/>
      <c r="W679" s="432"/>
      <c r="X679" s="432"/>
      <c r="Y679" s="432"/>
      <c r="Z679" s="432"/>
      <c r="AA679" s="432"/>
      <c r="AB679" s="432"/>
      <c r="AC679" s="432"/>
      <c r="AD679" s="432"/>
      <c r="AE679" s="432"/>
    </row>
    <row r="680">
      <c r="A680" s="432"/>
      <c r="B680" s="432"/>
      <c r="C680" s="432"/>
      <c r="D680" s="432"/>
      <c r="E680" s="432"/>
      <c r="F680" s="432"/>
      <c r="G680" s="432"/>
      <c r="H680" s="432"/>
      <c r="I680" s="432"/>
      <c r="J680" s="432"/>
      <c r="K680" s="432"/>
      <c r="L680" s="432"/>
      <c r="M680" s="432"/>
      <c r="N680" s="432"/>
      <c r="O680" s="432"/>
      <c r="P680" s="432"/>
      <c r="Q680" s="432"/>
      <c r="R680" s="432"/>
      <c r="S680" s="432"/>
      <c r="T680" s="432"/>
      <c r="U680" s="432"/>
      <c r="V680" s="432"/>
      <c r="W680" s="432"/>
      <c r="X680" s="432"/>
      <c r="Y680" s="432"/>
      <c r="Z680" s="432"/>
      <c r="AA680" s="432"/>
      <c r="AB680" s="432"/>
      <c r="AC680" s="432"/>
      <c r="AD680" s="432"/>
      <c r="AE680" s="432"/>
    </row>
    <row r="681">
      <c r="A681" s="432"/>
      <c r="B681" s="432"/>
      <c r="C681" s="432"/>
      <c r="D681" s="432"/>
      <c r="E681" s="432"/>
      <c r="F681" s="432"/>
      <c r="G681" s="432"/>
      <c r="H681" s="432"/>
      <c r="I681" s="432"/>
      <c r="J681" s="432"/>
      <c r="K681" s="432"/>
      <c r="L681" s="432"/>
      <c r="M681" s="432"/>
      <c r="N681" s="432"/>
      <c r="O681" s="432"/>
      <c r="P681" s="432"/>
      <c r="Q681" s="432"/>
      <c r="R681" s="432"/>
      <c r="S681" s="432"/>
      <c r="T681" s="432"/>
      <c r="U681" s="432"/>
      <c r="V681" s="432"/>
      <c r="W681" s="432"/>
      <c r="X681" s="432"/>
      <c r="Y681" s="432"/>
      <c r="Z681" s="432"/>
      <c r="AA681" s="432"/>
      <c r="AB681" s="432"/>
      <c r="AC681" s="432"/>
      <c r="AD681" s="432"/>
      <c r="AE681" s="432"/>
    </row>
    <row r="682">
      <c r="A682" s="432"/>
      <c r="B682" s="432"/>
      <c r="C682" s="432"/>
      <c r="D682" s="432"/>
      <c r="E682" s="432"/>
      <c r="F682" s="432"/>
      <c r="G682" s="432"/>
      <c r="H682" s="432"/>
      <c r="I682" s="432"/>
      <c r="J682" s="432"/>
      <c r="K682" s="432"/>
      <c r="L682" s="432"/>
      <c r="M682" s="432"/>
      <c r="N682" s="432"/>
      <c r="O682" s="432"/>
      <c r="P682" s="432"/>
      <c r="Q682" s="432"/>
      <c r="R682" s="432"/>
      <c r="S682" s="432"/>
      <c r="T682" s="432"/>
      <c r="U682" s="432"/>
      <c r="V682" s="432"/>
      <c r="W682" s="432"/>
      <c r="X682" s="432"/>
      <c r="Y682" s="432"/>
      <c r="Z682" s="432"/>
      <c r="AA682" s="432"/>
      <c r="AB682" s="432"/>
      <c r="AC682" s="432"/>
      <c r="AD682" s="432"/>
      <c r="AE682" s="432"/>
    </row>
    <row r="683">
      <c r="A683" s="432"/>
      <c r="B683" s="432"/>
      <c r="C683" s="432"/>
      <c r="D683" s="432"/>
      <c r="E683" s="432"/>
      <c r="F683" s="432"/>
      <c r="G683" s="432"/>
      <c r="H683" s="432"/>
      <c r="I683" s="432"/>
      <c r="J683" s="432"/>
      <c r="K683" s="432"/>
      <c r="L683" s="432"/>
      <c r="M683" s="432"/>
      <c r="N683" s="432"/>
      <c r="O683" s="432"/>
      <c r="P683" s="432"/>
      <c r="Q683" s="432"/>
      <c r="R683" s="432"/>
      <c r="S683" s="432"/>
      <c r="T683" s="432"/>
      <c r="U683" s="432"/>
      <c r="V683" s="432"/>
      <c r="W683" s="432"/>
      <c r="X683" s="432"/>
      <c r="Y683" s="432"/>
      <c r="Z683" s="432"/>
      <c r="AA683" s="432"/>
      <c r="AB683" s="432"/>
      <c r="AC683" s="432"/>
      <c r="AD683" s="432"/>
      <c r="AE683" s="432"/>
    </row>
    <row r="684">
      <c r="A684" s="432"/>
      <c r="B684" s="432"/>
      <c r="C684" s="432"/>
      <c r="D684" s="432"/>
      <c r="E684" s="432"/>
      <c r="F684" s="432"/>
      <c r="G684" s="432"/>
      <c r="H684" s="432"/>
      <c r="I684" s="432"/>
      <c r="J684" s="432"/>
      <c r="K684" s="432"/>
      <c r="L684" s="432"/>
      <c r="M684" s="432"/>
      <c r="N684" s="432"/>
      <c r="O684" s="432"/>
      <c r="P684" s="432"/>
      <c r="Q684" s="432"/>
      <c r="R684" s="432"/>
      <c r="S684" s="432"/>
      <c r="T684" s="432"/>
      <c r="U684" s="432"/>
      <c r="V684" s="432"/>
      <c r="W684" s="432"/>
      <c r="X684" s="432"/>
      <c r="Y684" s="432"/>
      <c r="Z684" s="432"/>
      <c r="AA684" s="432"/>
      <c r="AB684" s="432"/>
      <c r="AC684" s="432"/>
      <c r="AD684" s="432"/>
      <c r="AE684" s="432"/>
    </row>
    <row r="685">
      <c r="A685" s="432"/>
      <c r="B685" s="432"/>
      <c r="C685" s="432"/>
      <c r="D685" s="432"/>
      <c r="E685" s="432"/>
      <c r="F685" s="432"/>
      <c r="G685" s="432"/>
      <c r="H685" s="432"/>
      <c r="I685" s="432"/>
      <c r="J685" s="432"/>
      <c r="K685" s="432"/>
      <c r="L685" s="432"/>
      <c r="M685" s="432"/>
      <c r="N685" s="432"/>
      <c r="O685" s="432"/>
      <c r="P685" s="432"/>
      <c r="Q685" s="432"/>
      <c r="R685" s="432"/>
      <c r="S685" s="432"/>
      <c r="T685" s="432"/>
      <c r="U685" s="432"/>
      <c r="V685" s="432"/>
      <c r="W685" s="432"/>
      <c r="X685" s="432"/>
      <c r="Y685" s="432"/>
      <c r="Z685" s="432"/>
      <c r="AA685" s="432"/>
      <c r="AB685" s="432"/>
      <c r="AC685" s="432"/>
      <c r="AD685" s="432"/>
      <c r="AE685" s="432"/>
    </row>
    <row r="686">
      <c r="A686" s="432"/>
      <c r="B686" s="432"/>
      <c r="C686" s="432"/>
      <c r="D686" s="432"/>
      <c r="E686" s="432"/>
      <c r="F686" s="432"/>
      <c r="G686" s="432"/>
      <c r="H686" s="432"/>
      <c r="I686" s="432"/>
      <c r="J686" s="432"/>
      <c r="K686" s="432"/>
      <c r="L686" s="432"/>
      <c r="M686" s="432"/>
      <c r="N686" s="432"/>
      <c r="O686" s="432"/>
      <c r="P686" s="432"/>
      <c r="Q686" s="432"/>
      <c r="R686" s="432"/>
      <c r="S686" s="432"/>
      <c r="T686" s="432"/>
      <c r="U686" s="432"/>
      <c r="V686" s="432"/>
      <c r="W686" s="432"/>
      <c r="X686" s="432"/>
      <c r="Y686" s="432"/>
      <c r="Z686" s="432"/>
      <c r="AA686" s="432"/>
      <c r="AB686" s="432"/>
      <c r="AC686" s="432"/>
      <c r="AD686" s="432"/>
      <c r="AE686" s="432"/>
    </row>
    <row r="687">
      <c r="A687" s="432"/>
      <c r="B687" s="432"/>
      <c r="C687" s="432"/>
      <c r="D687" s="432"/>
      <c r="E687" s="432"/>
      <c r="F687" s="432"/>
      <c r="G687" s="432"/>
      <c r="H687" s="432"/>
      <c r="I687" s="432"/>
      <c r="J687" s="432"/>
      <c r="K687" s="432"/>
      <c r="L687" s="432"/>
      <c r="M687" s="432"/>
      <c r="N687" s="432"/>
      <c r="O687" s="432"/>
      <c r="P687" s="432"/>
      <c r="Q687" s="432"/>
      <c r="R687" s="432"/>
      <c r="S687" s="432"/>
      <c r="T687" s="432"/>
      <c r="U687" s="432"/>
      <c r="V687" s="432"/>
      <c r="W687" s="432"/>
      <c r="X687" s="432"/>
      <c r="Y687" s="432"/>
      <c r="Z687" s="432"/>
      <c r="AA687" s="432"/>
      <c r="AB687" s="432"/>
      <c r="AC687" s="432"/>
      <c r="AD687" s="432"/>
      <c r="AE687" s="432"/>
    </row>
    <row r="688">
      <c r="A688" s="432"/>
      <c r="B688" s="432"/>
      <c r="C688" s="432"/>
      <c r="D688" s="432"/>
      <c r="E688" s="432"/>
      <c r="F688" s="432"/>
      <c r="G688" s="432"/>
      <c r="H688" s="432"/>
      <c r="I688" s="432"/>
      <c r="J688" s="432"/>
      <c r="K688" s="432"/>
      <c r="L688" s="432"/>
      <c r="M688" s="432"/>
      <c r="N688" s="432"/>
      <c r="O688" s="432"/>
      <c r="P688" s="432"/>
      <c r="Q688" s="432"/>
      <c r="R688" s="432"/>
      <c r="S688" s="432"/>
      <c r="T688" s="432"/>
      <c r="U688" s="432"/>
      <c r="V688" s="432"/>
      <c r="W688" s="432"/>
      <c r="X688" s="432"/>
      <c r="Y688" s="432"/>
      <c r="Z688" s="432"/>
      <c r="AA688" s="432"/>
      <c r="AB688" s="432"/>
      <c r="AC688" s="432"/>
      <c r="AD688" s="432"/>
      <c r="AE688" s="432"/>
    </row>
    <row r="689">
      <c r="A689" s="432"/>
      <c r="B689" s="432"/>
      <c r="C689" s="432"/>
      <c r="D689" s="432"/>
      <c r="E689" s="432"/>
      <c r="F689" s="432"/>
      <c r="G689" s="432"/>
      <c r="H689" s="432"/>
      <c r="I689" s="432"/>
      <c r="J689" s="432"/>
      <c r="K689" s="432"/>
      <c r="L689" s="432"/>
      <c r="M689" s="432"/>
      <c r="N689" s="432"/>
      <c r="O689" s="432"/>
      <c r="P689" s="432"/>
      <c r="Q689" s="432"/>
      <c r="R689" s="432"/>
      <c r="S689" s="432"/>
      <c r="T689" s="432"/>
      <c r="U689" s="432"/>
      <c r="V689" s="432"/>
      <c r="W689" s="432"/>
      <c r="X689" s="432"/>
      <c r="Y689" s="432"/>
      <c r="Z689" s="432"/>
      <c r="AA689" s="432"/>
      <c r="AB689" s="432"/>
      <c r="AC689" s="432"/>
      <c r="AD689" s="432"/>
      <c r="AE689" s="432"/>
    </row>
    <row r="690">
      <c r="A690" s="432"/>
      <c r="B690" s="432"/>
      <c r="C690" s="432"/>
      <c r="D690" s="432"/>
      <c r="E690" s="432"/>
      <c r="F690" s="432"/>
      <c r="G690" s="432"/>
      <c r="H690" s="432"/>
      <c r="I690" s="432"/>
      <c r="J690" s="432"/>
      <c r="K690" s="432"/>
      <c r="L690" s="432"/>
      <c r="M690" s="432"/>
      <c r="N690" s="432"/>
      <c r="O690" s="432"/>
      <c r="P690" s="432"/>
      <c r="Q690" s="432"/>
      <c r="R690" s="432"/>
      <c r="S690" s="432"/>
      <c r="T690" s="432"/>
      <c r="U690" s="432"/>
      <c r="V690" s="432"/>
      <c r="W690" s="432"/>
      <c r="X690" s="432"/>
      <c r="Y690" s="432"/>
      <c r="Z690" s="432"/>
      <c r="AA690" s="432"/>
      <c r="AB690" s="432"/>
      <c r="AC690" s="432"/>
      <c r="AD690" s="432"/>
      <c r="AE690" s="432"/>
    </row>
    <row r="691">
      <c r="A691" s="432"/>
      <c r="B691" s="432"/>
      <c r="C691" s="432"/>
      <c r="D691" s="432"/>
      <c r="E691" s="432"/>
      <c r="F691" s="432"/>
      <c r="G691" s="432"/>
      <c r="H691" s="432"/>
      <c r="I691" s="432"/>
      <c r="J691" s="432"/>
      <c r="K691" s="432"/>
      <c r="L691" s="432"/>
      <c r="M691" s="432"/>
      <c r="N691" s="432"/>
      <c r="O691" s="432"/>
      <c r="P691" s="432"/>
      <c r="Q691" s="432"/>
      <c r="R691" s="432"/>
      <c r="S691" s="432"/>
      <c r="T691" s="432"/>
      <c r="U691" s="432"/>
      <c r="V691" s="432"/>
      <c r="W691" s="432"/>
      <c r="X691" s="432"/>
      <c r="Y691" s="432"/>
      <c r="Z691" s="432"/>
      <c r="AA691" s="432"/>
      <c r="AB691" s="432"/>
      <c r="AC691" s="432"/>
      <c r="AD691" s="432"/>
      <c r="AE691" s="432"/>
    </row>
    <row r="692">
      <c r="A692" s="432"/>
      <c r="B692" s="432"/>
      <c r="C692" s="432"/>
      <c r="D692" s="432"/>
      <c r="E692" s="432"/>
      <c r="F692" s="432"/>
      <c r="G692" s="432"/>
      <c r="H692" s="432"/>
      <c r="I692" s="432"/>
      <c r="J692" s="432"/>
      <c r="K692" s="432"/>
      <c r="L692" s="432"/>
      <c r="M692" s="432"/>
      <c r="N692" s="432"/>
      <c r="O692" s="432"/>
      <c r="P692" s="432"/>
      <c r="Q692" s="432"/>
      <c r="R692" s="432"/>
      <c r="S692" s="432"/>
      <c r="T692" s="432"/>
      <c r="U692" s="432"/>
      <c r="V692" s="432"/>
      <c r="W692" s="432"/>
      <c r="X692" s="432"/>
      <c r="Y692" s="432"/>
      <c r="Z692" s="432"/>
      <c r="AA692" s="432"/>
      <c r="AB692" s="432"/>
      <c r="AC692" s="432"/>
      <c r="AD692" s="432"/>
      <c r="AE692" s="432"/>
    </row>
    <row r="693">
      <c r="A693" s="432"/>
      <c r="B693" s="432"/>
      <c r="C693" s="432"/>
      <c r="D693" s="432"/>
      <c r="E693" s="432"/>
      <c r="F693" s="432"/>
      <c r="G693" s="432"/>
      <c r="H693" s="432"/>
      <c r="I693" s="432"/>
      <c r="J693" s="432"/>
      <c r="K693" s="432"/>
      <c r="L693" s="432"/>
      <c r="M693" s="432"/>
      <c r="N693" s="432"/>
      <c r="O693" s="432"/>
      <c r="P693" s="432"/>
      <c r="Q693" s="432"/>
      <c r="R693" s="432"/>
      <c r="S693" s="432"/>
      <c r="T693" s="432"/>
      <c r="U693" s="432"/>
      <c r="V693" s="432"/>
      <c r="W693" s="432"/>
      <c r="X693" s="432"/>
      <c r="Y693" s="432"/>
      <c r="Z693" s="432"/>
      <c r="AA693" s="432"/>
      <c r="AB693" s="432"/>
      <c r="AC693" s="432"/>
      <c r="AD693" s="432"/>
      <c r="AE693" s="432"/>
    </row>
    <row r="694">
      <c r="A694" s="432"/>
      <c r="B694" s="432"/>
      <c r="C694" s="432"/>
      <c r="D694" s="432"/>
      <c r="E694" s="432"/>
      <c r="F694" s="432"/>
      <c r="G694" s="432"/>
      <c r="H694" s="432"/>
      <c r="I694" s="432"/>
      <c r="J694" s="432"/>
      <c r="K694" s="432"/>
      <c r="L694" s="432"/>
      <c r="M694" s="432"/>
      <c r="N694" s="432"/>
      <c r="O694" s="432"/>
      <c r="P694" s="432"/>
      <c r="Q694" s="432"/>
      <c r="R694" s="432"/>
      <c r="S694" s="432"/>
      <c r="T694" s="432"/>
      <c r="U694" s="432"/>
      <c r="V694" s="432"/>
      <c r="W694" s="432"/>
      <c r="X694" s="432"/>
      <c r="Y694" s="432"/>
      <c r="Z694" s="432"/>
      <c r="AA694" s="432"/>
      <c r="AB694" s="432"/>
      <c r="AC694" s="432"/>
      <c r="AD694" s="432"/>
      <c r="AE694" s="432"/>
    </row>
    <row r="695">
      <c r="A695" s="432"/>
      <c r="B695" s="432"/>
      <c r="C695" s="432"/>
      <c r="D695" s="432"/>
      <c r="E695" s="432"/>
      <c r="F695" s="432"/>
      <c r="G695" s="432"/>
      <c r="H695" s="432"/>
      <c r="I695" s="432"/>
      <c r="J695" s="432"/>
      <c r="K695" s="432"/>
      <c r="L695" s="432"/>
      <c r="M695" s="432"/>
      <c r="N695" s="432"/>
      <c r="O695" s="432"/>
      <c r="P695" s="432"/>
      <c r="Q695" s="432"/>
      <c r="R695" s="432"/>
      <c r="S695" s="432"/>
      <c r="T695" s="432"/>
      <c r="U695" s="432"/>
      <c r="V695" s="432"/>
      <c r="W695" s="432"/>
      <c r="X695" s="432"/>
      <c r="Y695" s="432"/>
      <c r="Z695" s="432"/>
      <c r="AA695" s="432"/>
      <c r="AB695" s="432"/>
      <c r="AC695" s="432"/>
      <c r="AD695" s="432"/>
      <c r="AE695" s="432"/>
    </row>
    <row r="696">
      <c r="A696" s="432"/>
      <c r="B696" s="432"/>
      <c r="C696" s="432"/>
      <c r="D696" s="432"/>
      <c r="E696" s="432"/>
      <c r="F696" s="432"/>
      <c r="G696" s="432"/>
      <c r="H696" s="432"/>
      <c r="I696" s="432"/>
      <c r="J696" s="432"/>
      <c r="K696" s="432"/>
      <c r="L696" s="432"/>
      <c r="M696" s="432"/>
      <c r="N696" s="432"/>
      <c r="O696" s="432"/>
      <c r="P696" s="432"/>
      <c r="Q696" s="432"/>
      <c r="R696" s="432"/>
      <c r="S696" s="432"/>
      <c r="T696" s="432"/>
      <c r="U696" s="432"/>
      <c r="V696" s="432"/>
      <c r="W696" s="432"/>
      <c r="X696" s="432"/>
      <c r="Y696" s="432"/>
      <c r="Z696" s="432"/>
      <c r="AA696" s="432"/>
      <c r="AB696" s="432"/>
      <c r="AC696" s="432"/>
      <c r="AD696" s="432"/>
      <c r="AE696" s="432"/>
    </row>
    <row r="697">
      <c r="A697" s="432"/>
      <c r="B697" s="432"/>
      <c r="C697" s="432"/>
      <c r="D697" s="432"/>
      <c r="E697" s="432"/>
      <c r="F697" s="432"/>
      <c r="G697" s="432"/>
      <c r="H697" s="432"/>
      <c r="I697" s="432"/>
      <c r="J697" s="432"/>
      <c r="K697" s="432"/>
      <c r="L697" s="432"/>
      <c r="M697" s="432"/>
      <c r="N697" s="432"/>
      <c r="O697" s="432"/>
      <c r="P697" s="432"/>
      <c r="Q697" s="432"/>
      <c r="R697" s="432"/>
      <c r="S697" s="432"/>
      <c r="T697" s="432"/>
      <c r="U697" s="432"/>
      <c r="V697" s="432"/>
      <c r="W697" s="432"/>
      <c r="X697" s="432"/>
      <c r="Y697" s="432"/>
      <c r="Z697" s="432"/>
      <c r="AA697" s="432"/>
      <c r="AB697" s="432"/>
      <c r="AC697" s="432"/>
      <c r="AD697" s="432"/>
      <c r="AE697" s="432"/>
    </row>
    <row r="698">
      <c r="A698" s="432"/>
      <c r="B698" s="432"/>
      <c r="C698" s="432"/>
      <c r="D698" s="432"/>
      <c r="E698" s="432"/>
      <c r="F698" s="432"/>
      <c r="G698" s="432"/>
      <c r="H698" s="432"/>
      <c r="I698" s="432"/>
      <c r="J698" s="432"/>
      <c r="K698" s="432"/>
      <c r="L698" s="432"/>
      <c r="M698" s="432"/>
      <c r="N698" s="432"/>
      <c r="O698" s="432"/>
      <c r="P698" s="432"/>
      <c r="Q698" s="432"/>
      <c r="R698" s="432"/>
      <c r="S698" s="432"/>
      <c r="T698" s="432"/>
      <c r="U698" s="432"/>
      <c r="V698" s="432"/>
      <c r="W698" s="432"/>
      <c r="X698" s="432"/>
      <c r="Y698" s="432"/>
      <c r="Z698" s="432"/>
      <c r="AA698" s="432"/>
      <c r="AB698" s="432"/>
      <c r="AC698" s="432"/>
      <c r="AD698" s="432"/>
      <c r="AE698" s="432"/>
    </row>
    <row r="699">
      <c r="A699" s="432"/>
      <c r="B699" s="432"/>
      <c r="C699" s="432"/>
      <c r="D699" s="432"/>
      <c r="E699" s="432"/>
      <c r="F699" s="432"/>
      <c r="G699" s="432"/>
      <c r="H699" s="432"/>
      <c r="I699" s="432"/>
      <c r="J699" s="432"/>
      <c r="K699" s="432"/>
      <c r="L699" s="432"/>
      <c r="M699" s="432"/>
      <c r="N699" s="432"/>
      <c r="O699" s="432"/>
      <c r="P699" s="432"/>
      <c r="Q699" s="432"/>
      <c r="R699" s="432"/>
      <c r="S699" s="432"/>
      <c r="T699" s="432"/>
      <c r="U699" s="432"/>
      <c r="V699" s="432"/>
      <c r="W699" s="432"/>
      <c r="X699" s="432"/>
      <c r="Y699" s="432"/>
      <c r="Z699" s="432"/>
      <c r="AA699" s="432"/>
      <c r="AB699" s="432"/>
      <c r="AC699" s="432"/>
      <c r="AD699" s="432"/>
      <c r="AE699" s="432"/>
    </row>
    <row r="700">
      <c r="A700" s="432"/>
      <c r="B700" s="432"/>
      <c r="C700" s="432"/>
      <c r="D700" s="432"/>
      <c r="E700" s="432"/>
      <c r="F700" s="432"/>
      <c r="G700" s="432"/>
      <c r="H700" s="432"/>
      <c r="I700" s="432"/>
      <c r="J700" s="432"/>
      <c r="K700" s="432"/>
      <c r="L700" s="432"/>
      <c r="M700" s="432"/>
      <c r="N700" s="432"/>
      <c r="O700" s="432"/>
      <c r="P700" s="432"/>
      <c r="Q700" s="432"/>
      <c r="R700" s="432"/>
      <c r="S700" s="432"/>
      <c r="T700" s="432"/>
      <c r="U700" s="432"/>
      <c r="V700" s="432"/>
      <c r="W700" s="432"/>
      <c r="X700" s="432"/>
      <c r="Y700" s="432"/>
      <c r="Z700" s="432"/>
      <c r="AA700" s="432"/>
      <c r="AB700" s="432"/>
      <c r="AC700" s="432"/>
      <c r="AD700" s="432"/>
      <c r="AE700" s="432"/>
    </row>
    <row r="701">
      <c r="A701" s="432"/>
      <c r="B701" s="432"/>
      <c r="C701" s="432"/>
      <c r="D701" s="432"/>
      <c r="E701" s="432"/>
      <c r="F701" s="432"/>
      <c r="G701" s="432"/>
      <c r="H701" s="432"/>
      <c r="I701" s="432"/>
      <c r="J701" s="432"/>
      <c r="K701" s="432"/>
      <c r="L701" s="432"/>
      <c r="M701" s="432"/>
      <c r="N701" s="432"/>
      <c r="O701" s="432"/>
      <c r="P701" s="432"/>
      <c r="Q701" s="432"/>
      <c r="R701" s="432"/>
      <c r="S701" s="432"/>
      <c r="T701" s="432"/>
      <c r="U701" s="432"/>
      <c r="V701" s="432"/>
      <c r="W701" s="432"/>
      <c r="X701" s="432"/>
      <c r="Y701" s="432"/>
      <c r="Z701" s="432"/>
      <c r="AA701" s="432"/>
      <c r="AB701" s="432"/>
      <c r="AC701" s="432"/>
      <c r="AD701" s="432"/>
      <c r="AE701" s="432"/>
    </row>
    <row r="702">
      <c r="A702" s="432"/>
      <c r="B702" s="432"/>
      <c r="C702" s="432"/>
      <c r="D702" s="432"/>
      <c r="E702" s="432"/>
      <c r="F702" s="432"/>
      <c r="G702" s="432"/>
      <c r="H702" s="432"/>
      <c r="I702" s="432"/>
      <c r="J702" s="432"/>
      <c r="K702" s="432"/>
      <c r="L702" s="432"/>
      <c r="M702" s="432"/>
      <c r="N702" s="432"/>
      <c r="O702" s="432"/>
      <c r="P702" s="432"/>
      <c r="Q702" s="432"/>
      <c r="R702" s="432"/>
      <c r="S702" s="432"/>
      <c r="T702" s="432"/>
      <c r="U702" s="432"/>
      <c r="V702" s="432"/>
      <c r="W702" s="432"/>
      <c r="X702" s="432"/>
      <c r="Y702" s="432"/>
      <c r="Z702" s="432"/>
      <c r="AA702" s="432"/>
      <c r="AB702" s="432"/>
      <c r="AC702" s="432"/>
      <c r="AD702" s="432"/>
      <c r="AE702" s="432"/>
    </row>
    <row r="703">
      <c r="A703" s="432"/>
      <c r="B703" s="432"/>
      <c r="C703" s="432"/>
      <c r="D703" s="432"/>
      <c r="E703" s="432"/>
      <c r="F703" s="432"/>
      <c r="G703" s="432"/>
      <c r="H703" s="432"/>
      <c r="I703" s="432"/>
      <c r="J703" s="432"/>
      <c r="K703" s="432"/>
      <c r="L703" s="432"/>
      <c r="M703" s="432"/>
      <c r="N703" s="432"/>
      <c r="O703" s="432"/>
      <c r="P703" s="432"/>
      <c r="Q703" s="432"/>
      <c r="R703" s="432"/>
      <c r="S703" s="432"/>
      <c r="T703" s="432"/>
      <c r="U703" s="432"/>
      <c r="V703" s="432"/>
      <c r="W703" s="432"/>
      <c r="X703" s="432"/>
      <c r="Y703" s="432"/>
      <c r="Z703" s="432"/>
      <c r="AA703" s="432"/>
      <c r="AB703" s="432"/>
      <c r="AC703" s="432"/>
      <c r="AD703" s="432"/>
      <c r="AE703" s="432"/>
    </row>
    <row r="704">
      <c r="A704" s="432"/>
      <c r="B704" s="432"/>
      <c r="C704" s="432"/>
      <c r="D704" s="432"/>
      <c r="E704" s="432"/>
      <c r="F704" s="432"/>
      <c r="G704" s="432"/>
      <c r="H704" s="432"/>
      <c r="I704" s="432"/>
      <c r="J704" s="432"/>
      <c r="K704" s="432"/>
      <c r="L704" s="432"/>
      <c r="M704" s="432"/>
      <c r="N704" s="432"/>
      <c r="O704" s="432"/>
      <c r="P704" s="432"/>
      <c r="Q704" s="432"/>
      <c r="R704" s="432"/>
      <c r="S704" s="432"/>
      <c r="T704" s="432"/>
      <c r="U704" s="432"/>
      <c r="V704" s="432"/>
      <c r="W704" s="432"/>
      <c r="X704" s="432"/>
      <c r="Y704" s="432"/>
      <c r="Z704" s="432"/>
      <c r="AA704" s="432"/>
      <c r="AB704" s="432"/>
      <c r="AC704" s="432"/>
      <c r="AD704" s="432"/>
      <c r="AE704" s="432"/>
    </row>
    <row r="705">
      <c r="A705" s="432"/>
      <c r="B705" s="432"/>
      <c r="C705" s="432"/>
      <c r="D705" s="432"/>
      <c r="E705" s="432"/>
      <c r="F705" s="432"/>
      <c r="G705" s="432"/>
      <c r="H705" s="432"/>
      <c r="I705" s="432"/>
      <c r="J705" s="432"/>
      <c r="K705" s="432"/>
      <c r="L705" s="432"/>
      <c r="M705" s="432"/>
      <c r="N705" s="432"/>
      <c r="O705" s="432"/>
      <c r="P705" s="432"/>
      <c r="Q705" s="432"/>
      <c r="R705" s="432"/>
      <c r="S705" s="432"/>
      <c r="T705" s="432"/>
      <c r="U705" s="432"/>
      <c r="V705" s="432"/>
      <c r="W705" s="432"/>
      <c r="X705" s="432"/>
      <c r="Y705" s="432"/>
      <c r="Z705" s="432"/>
      <c r="AA705" s="432"/>
      <c r="AB705" s="432"/>
      <c r="AC705" s="432"/>
      <c r="AD705" s="432"/>
      <c r="AE705" s="432"/>
    </row>
    <row r="706">
      <c r="A706" s="432"/>
      <c r="B706" s="432"/>
      <c r="C706" s="432"/>
      <c r="D706" s="432"/>
      <c r="E706" s="432"/>
      <c r="F706" s="432"/>
      <c r="G706" s="432"/>
      <c r="H706" s="432"/>
      <c r="I706" s="432"/>
      <c r="J706" s="432"/>
      <c r="K706" s="432"/>
      <c r="L706" s="432"/>
      <c r="M706" s="432"/>
      <c r="N706" s="432"/>
      <c r="O706" s="432"/>
      <c r="P706" s="432"/>
      <c r="Q706" s="432"/>
      <c r="R706" s="432"/>
      <c r="S706" s="432"/>
      <c r="T706" s="432"/>
      <c r="U706" s="432"/>
      <c r="V706" s="432"/>
      <c r="W706" s="432"/>
      <c r="X706" s="432"/>
      <c r="Y706" s="432"/>
      <c r="Z706" s="432"/>
      <c r="AA706" s="432"/>
      <c r="AB706" s="432"/>
      <c r="AC706" s="432"/>
      <c r="AD706" s="432"/>
      <c r="AE706" s="432"/>
    </row>
    <row r="707">
      <c r="A707" s="432"/>
      <c r="B707" s="432"/>
      <c r="C707" s="432"/>
      <c r="D707" s="432"/>
      <c r="E707" s="432"/>
      <c r="F707" s="432"/>
      <c r="G707" s="432"/>
      <c r="H707" s="432"/>
      <c r="I707" s="432"/>
      <c r="J707" s="432"/>
      <c r="K707" s="432"/>
      <c r="L707" s="432"/>
      <c r="M707" s="432"/>
      <c r="N707" s="432"/>
      <c r="O707" s="432"/>
      <c r="P707" s="432"/>
      <c r="Q707" s="432"/>
      <c r="R707" s="432"/>
      <c r="S707" s="432"/>
      <c r="T707" s="432"/>
      <c r="U707" s="432"/>
      <c r="V707" s="432"/>
      <c r="W707" s="432"/>
      <c r="X707" s="432"/>
      <c r="Y707" s="432"/>
      <c r="Z707" s="432"/>
      <c r="AA707" s="432"/>
      <c r="AB707" s="432"/>
      <c r="AC707" s="432"/>
      <c r="AD707" s="432"/>
      <c r="AE707" s="432"/>
    </row>
    <row r="708">
      <c r="A708" s="432"/>
      <c r="B708" s="432"/>
      <c r="C708" s="432"/>
      <c r="D708" s="432"/>
      <c r="E708" s="432"/>
      <c r="F708" s="432"/>
      <c r="G708" s="432"/>
      <c r="H708" s="432"/>
      <c r="I708" s="432"/>
      <c r="J708" s="432"/>
      <c r="K708" s="432"/>
      <c r="L708" s="432"/>
      <c r="M708" s="432"/>
      <c r="N708" s="432"/>
      <c r="O708" s="432"/>
      <c r="P708" s="432"/>
      <c r="Q708" s="432"/>
      <c r="R708" s="432"/>
      <c r="S708" s="432"/>
      <c r="T708" s="432"/>
      <c r="U708" s="432"/>
      <c r="V708" s="432"/>
      <c r="W708" s="432"/>
      <c r="X708" s="432"/>
      <c r="Y708" s="432"/>
      <c r="Z708" s="432"/>
      <c r="AA708" s="432"/>
      <c r="AB708" s="432"/>
      <c r="AC708" s="432"/>
      <c r="AD708" s="432"/>
      <c r="AE708" s="432"/>
    </row>
    <row r="709">
      <c r="A709" s="432"/>
      <c r="B709" s="432"/>
      <c r="C709" s="432"/>
      <c r="D709" s="432"/>
      <c r="E709" s="432"/>
      <c r="F709" s="432"/>
      <c r="G709" s="432"/>
      <c r="H709" s="432"/>
      <c r="I709" s="432"/>
      <c r="J709" s="432"/>
      <c r="K709" s="432"/>
      <c r="L709" s="432"/>
      <c r="M709" s="432"/>
      <c r="N709" s="432"/>
      <c r="O709" s="432"/>
      <c r="P709" s="432"/>
      <c r="Q709" s="432"/>
      <c r="R709" s="432"/>
      <c r="S709" s="432"/>
      <c r="T709" s="432"/>
      <c r="U709" s="432"/>
      <c r="V709" s="432"/>
      <c r="W709" s="432"/>
      <c r="X709" s="432"/>
      <c r="Y709" s="432"/>
      <c r="Z709" s="432"/>
      <c r="AA709" s="432"/>
      <c r="AB709" s="432"/>
      <c r="AC709" s="432"/>
      <c r="AD709" s="432"/>
      <c r="AE709" s="432"/>
    </row>
    <row r="710">
      <c r="A710" s="432"/>
      <c r="B710" s="432"/>
      <c r="C710" s="432"/>
      <c r="D710" s="432"/>
      <c r="E710" s="432"/>
      <c r="F710" s="432"/>
      <c r="G710" s="432"/>
      <c r="H710" s="432"/>
      <c r="I710" s="432"/>
      <c r="J710" s="432"/>
      <c r="K710" s="432"/>
      <c r="L710" s="432"/>
      <c r="M710" s="432"/>
      <c r="N710" s="432"/>
      <c r="O710" s="432"/>
      <c r="P710" s="432"/>
      <c r="Q710" s="432"/>
      <c r="R710" s="432"/>
      <c r="S710" s="432"/>
      <c r="T710" s="432"/>
      <c r="U710" s="432"/>
      <c r="V710" s="432"/>
      <c r="W710" s="432"/>
      <c r="X710" s="432"/>
      <c r="Y710" s="432"/>
      <c r="Z710" s="432"/>
      <c r="AA710" s="432"/>
      <c r="AB710" s="432"/>
      <c r="AC710" s="432"/>
      <c r="AD710" s="432"/>
      <c r="AE710" s="432"/>
    </row>
    <row r="711">
      <c r="A711" s="432"/>
      <c r="B711" s="432"/>
      <c r="C711" s="432"/>
      <c r="D711" s="432"/>
      <c r="E711" s="432"/>
      <c r="F711" s="432"/>
      <c r="G711" s="432"/>
      <c r="H711" s="432"/>
      <c r="I711" s="432"/>
      <c r="J711" s="432"/>
      <c r="K711" s="432"/>
      <c r="L711" s="432"/>
      <c r="M711" s="432"/>
      <c r="N711" s="432"/>
      <c r="O711" s="432"/>
      <c r="P711" s="432"/>
      <c r="Q711" s="432"/>
      <c r="R711" s="432"/>
      <c r="S711" s="432"/>
      <c r="T711" s="432"/>
      <c r="U711" s="432"/>
      <c r="V711" s="432"/>
      <c r="W711" s="432"/>
      <c r="X711" s="432"/>
      <c r="Y711" s="432"/>
      <c r="Z711" s="432"/>
      <c r="AA711" s="432"/>
      <c r="AB711" s="432"/>
      <c r="AC711" s="432"/>
      <c r="AD711" s="432"/>
      <c r="AE711" s="432"/>
    </row>
    <row r="712">
      <c r="A712" s="432"/>
      <c r="B712" s="432"/>
      <c r="C712" s="432"/>
      <c r="D712" s="432"/>
      <c r="E712" s="432"/>
      <c r="F712" s="432"/>
      <c r="G712" s="432"/>
      <c r="H712" s="432"/>
      <c r="I712" s="432"/>
      <c r="J712" s="432"/>
      <c r="K712" s="432"/>
      <c r="L712" s="432"/>
      <c r="M712" s="432"/>
      <c r="N712" s="432"/>
      <c r="O712" s="432"/>
      <c r="P712" s="432"/>
      <c r="Q712" s="432"/>
      <c r="R712" s="432"/>
      <c r="S712" s="432"/>
      <c r="T712" s="432"/>
      <c r="U712" s="432"/>
      <c r="V712" s="432"/>
      <c r="W712" s="432"/>
      <c r="X712" s="432"/>
      <c r="Y712" s="432"/>
      <c r="Z712" s="432"/>
      <c r="AA712" s="432"/>
      <c r="AB712" s="432"/>
      <c r="AC712" s="432"/>
      <c r="AD712" s="432"/>
      <c r="AE712" s="432"/>
    </row>
    <row r="713">
      <c r="A713" s="432"/>
      <c r="B713" s="432"/>
      <c r="C713" s="432"/>
      <c r="D713" s="432"/>
      <c r="E713" s="432"/>
      <c r="F713" s="432"/>
      <c r="G713" s="432"/>
      <c r="H713" s="432"/>
      <c r="I713" s="432"/>
      <c r="J713" s="432"/>
      <c r="K713" s="432"/>
      <c r="L713" s="432"/>
      <c r="M713" s="432"/>
      <c r="N713" s="432"/>
      <c r="O713" s="432"/>
      <c r="P713" s="432"/>
      <c r="Q713" s="432"/>
      <c r="R713" s="432"/>
      <c r="S713" s="432"/>
      <c r="T713" s="432"/>
      <c r="U713" s="432"/>
      <c r="V713" s="432"/>
      <c r="W713" s="432"/>
      <c r="X713" s="432"/>
      <c r="Y713" s="432"/>
      <c r="Z713" s="432"/>
      <c r="AA713" s="432"/>
      <c r="AB713" s="432"/>
      <c r="AC713" s="432"/>
      <c r="AD713" s="432"/>
      <c r="AE713" s="432"/>
    </row>
    <row r="714">
      <c r="A714" s="432"/>
      <c r="B714" s="432"/>
      <c r="C714" s="432"/>
      <c r="D714" s="432"/>
      <c r="E714" s="432"/>
      <c r="F714" s="432"/>
      <c r="G714" s="432"/>
      <c r="H714" s="432"/>
      <c r="I714" s="432"/>
      <c r="J714" s="432"/>
      <c r="K714" s="432"/>
      <c r="L714" s="432"/>
      <c r="M714" s="432"/>
      <c r="N714" s="432"/>
      <c r="O714" s="432"/>
      <c r="P714" s="432"/>
      <c r="Q714" s="432"/>
      <c r="R714" s="432"/>
      <c r="S714" s="432"/>
      <c r="T714" s="432"/>
      <c r="U714" s="432"/>
      <c r="V714" s="432"/>
      <c r="W714" s="432"/>
      <c r="X714" s="432"/>
      <c r="Y714" s="432"/>
      <c r="Z714" s="432"/>
      <c r="AA714" s="432"/>
      <c r="AB714" s="432"/>
      <c r="AC714" s="432"/>
      <c r="AD714" s="432"/>
      <c r="AE714" s="432"/>
    </row>
    <row r="715">
      <c r="A715" s="432"/>
      <c r="B715" s="432"/>
      <c r="C715" s="432"/>
      <c r="D715" s="432"/>
      <c r="E715" s="432"/>
      <c r="F715" s="432"/>
      <c r="G715" s="432"/>
      <c r="H715" s="432"/>
      <c r="I715" s="432"/>
      <c r="J715" s="432"/>
      <c r="K715" s="432"/>
      <c r="L715" s="432"/>
      <c r="M715" s="432"/>
      <c r="N715" s="432"/>
      <c r="O715" s="432"/>
      <c r="P715" s="432"/>
      <c r="Q715" s="432"/>
      <c r="R715" s="432"/>
      <c r="S715" s="432"/>
      <c r="T715" s="432"/>
      <c r="U715" s="432"/>
      <c r="V715" s="432"/>
      <c r="W715" s="432"/>
      <c r="X715" s="432"/>
      <c r="Y715" s="432"/>
      <c r="Z715" s="432"/>
      <c r="AA715" s="432"/>
      <c r="AB715" s="432"/>
      <c r="AC715" s="432"/>
      <c r="AD715" s="432"/>
      <c r="AE715" s="432"/>
    </row>
    <row r="716">
      <c r="A716" s="432"/>
      <c r="B716" s="432"/>
      <c r="C716" s="432"/>
      <c r="D716" s="432"/>
      <c r="E716" s="432"/>
      <c r="F716" s="432"/>
      <c r="G716" s="432"/>
      <c r="H716" s="432"/>
      <c r="I716" s="432"/>
      <c r="J716" s="432"/>
      <c r="K716" s="432"/>
      <c r="L716" s="432"/>
      <c r="M716" s="432"/>
      <c r="N716" s="432"/>
      <c r="O716" s="432"/>
      <c r="P716" s="432"/>
      <c r="Q716" s="432"/>
      <c r="R716" s="432"/>
      <c r="S716" s="432"/>
      <c r="T716" s="432"/>
      <c r="U716" s="432"/>
      <c r="V716" s="432"/>
      <c r="W716" s="432"/>
      <c r="X716" s="432"/>
      <c r="Y716" s="432"/>
      <c r="Z716" s="432"/>
      <c r="AA716" s="432"/>
      <c r="AB716" s="432"/>
      <c r="AC716" s="432"/>
      <c r="AD716" s="432"/>
      <c r="AE716" s="432"/>
    </row>
    <row r="717">
      <c r="A717" s="432"/>
      <c r="B717" s="432"/>
      <c r="C717" s="432"/>
      <c r="D717" s="432"/>
      <c r="E717" s="432"/>
      <c r="F717" s="432"/>
      <c r="G717" s="432"/>
      <c r="H717" s="432"/>
      <c r="I717" s="432"/>
      <c r="J717" s="432"/>
      <c r="K717" s="432"/>
      <c r="L717" s="432"/>
      <c r="M717" s="432"/>
      <c r="N717" s="432"/>
      <c r="O717" s="432"/>
      <c r="P717" s="432"/>
      <c r="Q717" s="432"/>
      <c r="R717" s="432"/>
      <c r="S717" s="432"/>
      <c r="T717" s="432"/>
      <c r="U717" s="432"/>
      <c r="V717" s="432"/>
      <c r="W717" s="432"/>
      <c r="X717" s="432"/>
      <c r="Y717" s="432"/>
      <c r="Z717" s="432"/>
      <c r="AA717" s="432"/>
      <c r="AB717" s="432"/>
      <c r="AC717" s="432"/>
      <c r="AD717" s="432"/>
      <c r="AE717" s="432"/>
    </row>
    <row r="718">
      <c r="A718" s="432"/>
      <c r="B718" s="432"/>
      <c r="C718" s="432"/>
      <c r="D718" s="432"/>
      <c r="E718" s="432"/>
      <c r="F718" s="432"/>
      <c r="G718" s="432"/>
      <c r="H718" s="432"/>
      <c r="I718" s="432"/>
      <c r="J718" s="432"/>
      <c r="K718" s="432"/>
      <c r="L718" s="432"/>
      <c r="M718" s="432"/>
      <c r="N718" s="432"/>
      <c r="O718" s="432"/>
      <c r="P718" s="432"/>
      <c r="Q718" s="432"/>
      <c r="R718" s="432"/>
      <c r="S718" s="432"/>
      <c r="T718" s="432"/>
      <c r="U718" s="432"/>
      <c r="V718" s="432"/>
      <c r="W718" s="432"/>
      <c r="X718" s="432"/>
      <c r="Y718" s="432"/>
      <c r="Z718" s="432"/>
      <c r="AA718" s="432"/>
      <c r="AB718" s="432"/>
      <c r="AC718" s="432"/>
      <c r="AD718" s="432"/>
      <c r="AE718" s="432"/>
    </row>
    <row r="719">
      <c r="A719" s="432"/>
      <c r="B719" s="432"/>
      <c r="C719" s="432"/>
      <c r="D719" s="432"/>
      <c r="E719" s="432"/>
      <c r="F719" s="432"/>
      <c r="G719" s="432"/>
      <c r="H719" s="432"/>
      <c r="I719" s="432"/>
      <c r="J719" s="432"/>
      <c r="K719" s="432"/>
      <c r="L719" s="432"/>
      <c r="M719" s="432"/>
      <c r="N719" s="432"/>
      <c r="O719" s="432"/>
      <c r="P719" s="432"/>
      <c r="Q719" s="432"/>
      <c r="R719" s="432"/>
      <c r="S719" s="432"/>
      <c r="T719" s="432"/>
      <c r="U719" s="432"/>
      <c r="V719" s="432"/>
      <c r="W719" s="432"/>
      <c r="X719" s="432"/>
      <c r="Y719" s="432"/>
      <c r="Z719" s="432"/>
      <c r="AA719" s="432"/>
      <c r="AB719" s="432"/>
      <c r="AC719" s="432"/>
      <c r="AD719" s="432"/>
      <c r="AE719" s="432"/>
    </row>
    <row r="720">
      <c r="A720" s="432"/>
      <c r="B720" s="432"/>
      <c r="C720" s="432"/>
      <c r="D720" s="432"/>
      <c r="E720" s="432"/>
      <c r="F720" s="432"/>
      <c r="G720" s="432"/>
      <c r="H720" s="432"/>
      <c r="I720" s="432"/>
      <c r="J720" s="432"/>
      <c r="K720" s="432"/>
      <c r="L720" s="432"/>
      <c r="M720" s="432"/>
      <c r="N720" s="432"/>
      <c r="O720" s="432"/>
      <c r="P720" s="432"/>
      <c r="Q720" s="432"/>
      <c r="R720" s="432"/>
      <c r="S720" s="432"/>
      <c r="T720" s="432"/>
      <c r="U720" s="432"/>
      <c r="V720" s="432"/>
      <c r="W720" s="432"/>
      <c r="X720" s="432"/>
      <c r="Y720" s="432"/>
      <c r="Z720" s="432"/>
      <c r="AA720" s="432"/>
      <c r="AB720" s="432"/>
      <c r="AC720" s="432"/>
      <c r="AD720" s="432"/>
      <c r="AE720" s="432"/>
    </row>
    <row r="721">
      <c r="A721" s="432"/>
      <c r="B721" s="432"/>
      <c r="C721" s="432"/>
      <c r="D721" s="432"/>
      <c r="E721" s="432"/>
      <c r="F721" s="432"/>
      <c r="G721" s="432"/>
      <c r="H721" s="432"/>
      <c r="I721" s="432"/>
      <c r="J721" s="432"/>
      <c r="K721" s="432"/>
      <c r="L721" s="432"/>
      <c r="M721" s="432"/>
      <c r="N721" s="432"/>
      <c r="O721" s="432"/>
      <c r="P721" s="432"/>
      <c r="Q721" s="432"/>
      <c r="R721" s="432"/>
      <c r="S721" s="432"/>
      <c r="T721" s="432"/>
      <c r="U721" s="432"/>
      <c r="V721" s="432"/>
      <c r="W721" s="432"/>
      <c r="X721" s="432"/>
      <c r="Y721" s="432"/>
      <c r="Z721" s="432"/>
      <c r="AA721" s="432"/>
      <c r="AB721" s="432"/>
      <c r="AC721" s="432"/>
      <c r="AD721" s="432"/>
      <c r="AE721" s="432"/>
    </row>
    <row r="722">
      <c r="A722" s="432"/>
      <c r="B722" s="432"/>
      <c r="C722" s="432"/>
      <c r="D722" s="432"/>
      <c r="E722" s="432"/>
      <c r="F722" s="432"/>
      <c r="G722" s="432"/>
      <c r="H722" s="432"/>
      <c r="I722" s="432"/>
      <c r="J722" s="432"/>
      <c r="K722" s="432"/>
      <c r="L722" s="432"/>
      <c r="M722" s="432"/>
      <c r="N722" s="432"/>
      <c r="O722" s="432"/>
      <c r="P722" s="432"/>
      <c r="Q722" s="432"/>
      <c r="R722" s="432"/>
      <c r="S722" s="432"/>
      <c r="T722" s="432"/>
      <c r="U722" s="432"/>
      <c r="V722" s="432"/>
      <c r="W722" s="432"/>
      <c r="X722" s="432"/>
      <c r="Y722" s="432"/>
      <c r="Z722" s="432"/>
      <c r="AA722" s="432"/>
      <c r="AB722" s="432"/>
      <c r="AC722" s="432"/>
      <c r="AD722" s="432"/>
      <c r="AE722" s="432"/>
    </row>
    <row r="723">
      <c r="A723" s="432"/>
      <c r="B723" s="432"/>
      <c r="C723" s="432"/>
      <c r="D723" s="432"/>
      <c r="E723" s="432"/>
      <c r="F723" s="432"/>
      <c r="G723" s="432"/>
      <c r="H723" s="432"/>
      <c r="I723" s="432"/>
      <c r="J723" s="432"/>
      <c r="K723" s="432"/>
      <c r="L723" s="432"/>
      <c r="M723" s="432"/>
      <c r="N723" s="432"/>
      <c r="O723" s="432"/>
      <c r="P723" s="432"/>
      <c r="Q723" s="432"/>
      <c r="R723" s="432"/>
      <c r="S723" s="432"/>
      <c r="T723" s="432"/>
      <c r="U723" s="432"/>
      <c r="V723" s="432"/>
      <c r="W723" s="432"/>
      <c r="X723" s="432"/>
      <c r="Y723" s="432"/>
      <c r="Z723" s="432"/>
      <c r="AA723" s="432"/>
      <c r="AB723" s="432"/>
      <c r="AC723" s="432"/>
      <c r="AD723" s="432"/>
      <c r="AE723" s="432"/>
    </row>
    <row r="724">
      <c r="A724" s="432"/>
      <c r="B724" s="432"/>
      <c r="C724" s="432"/>
      <c r="D724" s="432"/>
      <c r="E724" s="432"/>
      <c r="F724" s="432"/>
      <c r="G724" s="432"/>
      <c r="H724" s="432"/>
      <c r="I724" s="432"/>
      <c r="J724" s="432"/>
      <c r="K724" s="432"/>
      <c r="L724" s="432"/>
      <c r="M724" s="432"/>
      <c r="N724" s="432"/>
      <c r="O724" s="432"/>
      <c r="P724" s="432"/>
      <c r="Q724" s="432"/>
      <c r="R724" s="432"/>
      <c r="S724" s="432"/>
      <c r="T724" s="432"/>
      <c r="U724" s="432"/>
      <c r="V724" s="432"/>
      <c r="W724" s="432"/>
      <c r="X724" s="432"/>
      <c r="Y724" s="432"/>
      <c r="Z724" s="432"/>
      <c r="AA724" s="432"/>
      <c r="AB724" s="432"/>
      <c r="AC724" s="432"/>
      <c r="AD724" s="432"/>
      <c r="AE724" s="432"/>
    </row>
    <row r="725">
      <c r="A725" s="432"/>
      <c r="B725" s="432"/>
      <c r="C725" s="432"/>
      <c r="D725" s="432"/>
      <c r="E725" s="432"/>
      <c r="F725" s="432"/>
      <c r="G725" s="432"/>
      <c r="H725" s="432"/>
      <c r="I725" s="432"/>
      <c r="J725" s="432"/>
      <c r="K725" s="432"/>
      <c r="L725" s="432"/>
      <c r="M725" s="432"/>
      <c r="N725" s="432"/>
      <c r="O725" s="432"/>
      <c r="P725" s="432"/>
      <c r="Q725" s="432"/>
      <c r="R725" s="432"/>
      <c r="S725" s="432"/>
      <c r="T725" s="432"/>
      <c r="U725" s="432"/>
      <c r="V725" s="432"/>
      <c r="W725" s="432"/>
      <c r="X725" s="432"/>
      <c r="Y725" s="432"/>
      <c r="Z725" s="432"/>
      <c r="AA725" s="432"/>
      <c r="AB725" s="432"/>
      <c r="AC725" s="432"/>
      <c r="AD725" s="432"/>
      <c r="AE725" s="432"/>
    </row>
    <row r="726">
      <c r="A726" s="432"/>
      <c r="B726" s="432"/>
      <c r="C726" s="432"/>
      <c r="D726" s="432"/>
      <c r="E726" s="432"/>
      <c r="F726" s="432"/>
      <c r="G726" s="432"/>
      <c r="H726" s="432"/>
      <c r="I726" s="432"/>
      <c r="J726" s="432"/>
      <c r="K726" s="432"/>
      <c r="L726" s="432"/>
      <c r="M726" s="432"/>
      <c r="N726" s="432"/>
      <c r="O726" s="432"/>
      <c r="P726" s="432"/>
      <c r="Q726" s="432"/>
      <c r="R726" s="432"/>
      <c r="S726" s="432"/>
      <c r="T726" s="432"/>
      <c r="U726" s="432"/>
      <c r="V726" s="432"/>
      <c r="W726" s="432"/>
      <c r="X726" s="432"/>
      <c r="Y726" s="432"/>
      <c r="Z726" s="432"/>
      <c r="AA726" s="432"/>
      <c r="AB726" s="432"/>
      <c r="AC726" s="432"/>
      <c r="AD726" s="432"/>
      <c r="AE726" s="432"/>
    </row>
    <row r="727">
      <c r="A727" s="432"/>
      <c r="B727" s="432"/>
      <c r="C727" s="432"/>
      <c r="D727" s="432"/>
      <c r="E727" s="432"/>
      <c r="F727" s="432"/>
      <c r="G727" s="432"/>
      <c r="H727" s="432"/>
      <c r="I727" s="432"/>
      <c r="J727" s="432"/>
      <c r="K727" s="432"/>
      <c r="L727" s="432"/>
      <c r="M727" s="432"/>
      <c r="N727" s="432"/>
      <c r="O727" s="432"/>
      <c r="P727" s="432"/>
      <c r="Q727" s="432"/>
      <c r="R727" s="432"/>
      <c r="S727" s="432"/>
      <c r="T727" s="432"/>
      <c r="U727" s="432"/>
      <c r="V727" s="432"/>
      <c r="W727" s="432"/>
      <c r="X727" s="432"/>
      <c r="Y727" s="432"/>
      <c r="Z727" s="432"/>
      <c r="AA727" s="432"/>
      <c r="AB727" s="432"/>
      <c r="AC727" s="432"/>
      <c r="AD727" s="432"/>
      <c r="AE727" s="432"/>
    </row>
    <row r="728">
      <c r="A728" s="432"/>
      <c r="B728" s="432"/>
      <c r="C728" s="432"/>
      <c r="D728" s="432"/>
      <c r="E728" s="432"/>
      <c r="F728" s="432"/>
      <c r="G728" s="432"/>
      <c r="H728" s="432"/>
      <c r="I728" s="432"/>
      <c r="J728" s="432"/>
      <c r="K728" s="432"/>
      <c r="L728" s="432"/>
      <c r="M728" s="432"/>
      <c r="N728" s="432"/>
      <c r="O728" s="432"/>
      <c r="P728" s="432"/>
      <c r="Q728" s="432"/>
      <c r="R728" s="432"/>
      <c r="S728" s="432"/>
      <c r="T728" s="432"/>
      <c r="U728" s="432"/>
      <c r="V728" s="432"/>
      <c r="W728" s="432"/>
      <c r="X728" s="432"/>
      <c r="Y728" s="432"/>
      <c r="Z728" s="432"/>
      <c r="AA728" s="432"/>
      <c r="AB728" s="432"/>
      <c r="AC728" s="432"/>
      <c r="AD728" s="432"/>
      <c r="AE728" s="432"/>
    </row>
    <row r="729">
      <c r="A729" s="432"/>
      <c r="B729" s="432"/>
      <c r="C729" s="432"/>
      <c r="D729" s="432"/>
      <c r="E729" s="432"/>
      <c r="F729" s="432"/>
      <c r="G729" s="432"/>
      <c r="H729" s="432"/>
      <c r="I729" s="432"/>
      <c r="J729" s="432"/>
      <c r="K729" s="432"/>
      <c r="L729" s="432"/>
      <c r="M729" s="432"/>
      <c r="N729" s="432"/>
      <c r="O729" s="432"/>
      <c r="P729" s="432"/>
      <c r="Q729" s="432"/>
      <c r="R729" s="432"/>
      <c r="S729" s="432"/>
      <c r="T729" s="432"/>
      <c r="U729" s="432"/>
      <c r="V729" s="432"/>
      <c r="W729" s="432"/>
      <c r="X729" s="432"/>
      <c r="Y729" s="432"/>
      <c r="Z729" s="432"/>
      <c r="AA729" s="432"/>
      <c r="AB729" s="432"/>
      <c r="AC729" s="432"/>
      <c r="AD729" s="432"/>
      <c r="AE729" s="432"/>
    </row>
    <row r="730">
      <c r="A730" s="432"/>
      <c r="B730" s="432"/>
      <c r="C730" s="432"/>
      <c r="D730" s="432"/>
      <c r="E730" s="432"/>
      <c r="F730" s="432"/>
      <c r="G730" s="432"/>
      <c r="H730" s="432"/>
      <c r="I730" s="432"/>
      <c r="J730" s="432"/>
      <c r="K730" s="432"/>
      <c r="L730" s="432"/>
      <c r="M730" s="432"/>
      <c r="N730" s="432"/>
      <c r="O730" s="432"/>
      <c r="P730" s="432"/>
      <c r="Q730" s="432"/>
      <c r="R730" s="432"/>
      <c r="S730" s="432"/>
      <c r="T730" s="432"/>
      <c r="U730" s="432"/>
      <c r="V730" s="432"/>
      <c r="W730" s="432"/>
      <c r="X730" s="432"/>
      <c r="Y730" s="432"/>
      <c r="Z730" s="432"/>
      <c r="AA730" s="432"/>
      <c r="AB730" s="432"/>
      <c r="AC730" s="432"/>
      <c r="AD730" s="432"/>
      <c r="AE730" s="432"/>
    </row>
    <row r="731">
      <c r="A731" s="432"/>
      <c r="B731" s="432"/>
      <c r="C731" s="432"/>
      <c r="D731" s="432"/>
      <c r="E731" s="432"/>
      <c r="F731" s="432"/>
      <c r="G731" s="432"/>
      <c r="H731" s="432"/>
      <c r="I731" s="432"/>
      <c r="J731" s="432"/>
      <c r="K731" s="432"/>
      <c r="L731" s="432"/>
      <c r="M731" s="432"/>
      <c r="N731" s="432"/>
      <c r="O731" s="432"/>
      <c r="P731" s="432"/>
      <c r="Q731" s="432"/>
      <c r="R731" s="432"/>
      <c r="S731" s="432"/>
      <c r="T731" s="432"/>
      <c r="U731" s="432"/>
      <c r="V731" s="432"/>
      <c r="W731" s="432"/>
      <c r="X731" s="432"/>
      <c r="Y731" s="432"/>
      <c r="Z731" s="432"/>
      <c r="AA731" s="432"/>
      <c r="AB731" s="432"/>
      <c r="AC731" s="432"/>
      <c r="AD731" s="432"/>
      <c r="AE731" s="432"/>
    </row>
    <row r="732">
      <c r="A732" s="432"/>
      <c r="B732" s="432"/>
      <c r="C732" s="432"/>
      <c r="D732" s="432"/>
      <c r="E732" s="432"/>
      <c r="F732" s="432"/>
      <c r="G732" s="432"/>
      <c r="H732" s="432"/>
      <c r="I732" s="432"/>
      <c r="J732" s="432"/>
      <c r="K732" s="432"/>
      <c r="L732" s="432"/>
      <c r="M732" s="432"/>
      <c r="N732" s="432"/>
      <c r="O732" s="432"/>
      <c r="P732" s="432"/>
      <c r="Q732" s="432"/>
      <c r="R732" s="432"/>
      <c r="S732" s="432"/>
      <c r="T732" s="432"/>
      <c r="U732" s="432"/>
      <c r="V732" s="432"/>
      <c r="W732" s="432"/>
      <c r="X732" s="432"/>
      <c r="Y732" s="432"/>
      <c r="Z732" s="432"/>
      <c r="AA732" s="432"/>
      <c r="AB732" s="432"/>
      <c r="AC732" s="432"/>
      <c r="AD732" s="432"/>
      <c r="AE732" s="432"/>
    </row>
    <row r="733">
      <c r="A733" s="432"/>
      <c r="B733" s="432"/>
      <c r="C733" s="432"/>
      <c r="D733" s="432"/>
      <c r="E733" s="432"/>
      <c r="F733" s="432"/>
      <c r="G733" s="432"/>
      <c r="H733" s="432"/>
      <c r="I733" s="432"/>
      <c r="J733" s="432"/>
      <c r="K733" s="432"/>
      <c r="L733" s="432"/>
      <c r="M733" s="432"/>
      <c r="N733" s="432"/>
      <c r="O733" s="432"/>
      <c r="P733" s="432"/>
      <c r="Q733" s="432"/>
      <c r="R733" s="432"/>
      <c r="S733" s="432"/>
      <c r="T733" s="432"/>
      <c r="U733" s="432"/>
      <c r="V733" s="432"/>
      <c r="W733" s="432"/>
      <c r="X733" s="432"/>
      <c r="Y733" s="432"/>
      <c r="Z733" s="432"/>
      <c r="AA733" s="432"/>
      <c r="AB733" s="432"/>
      <c r="AC733" s="432"/>
      <c r="AD733" s="432"/>
      <c r="AE733" s="432"/>
    </row>
    <row r="734">
      <c r="A734" s="432"/>
      <c r="B734" s="432"/>
      <c r="C734" s="432"/>
      <c r="D734" s="432"/>
      <c r="E734" s="432"/>
      <c r="F734" s="432"/>
      <c r="G734" s="432"/>
      <c r="H734" s="432"/>
      <c r="I734" s="432"/>
      <c r="J734" s="432"/>
      <c r="K734" s="432"/>
      <c r="L734" s="432"/>
      <c r="M734" s="432"/>
      <c r="N734" s="432"/>
      <c r="O734" s="432"/>
      <c r="P734" s="432"/>
      <c r="Q734" s="432"/>
      <c r="R734" s="432"/>
      <c r="S734" s="432"/>
      <c r="T734" s="432"/>
      <c r="U734" s="432"/>
      <c r="V734" s="432"/>
      <c r="W734" s="432"/>
      <c r="X734" s="432"/>
      <c r="Y734" s="432"/>
      <c r="Z734" s="432"/>
      <c r="AA734" s="432"/>
      <c r="AB734" s="432"/>
      <c r="AC734" s="432"/>
      <c r="AD734" s="432"/>
      <c r="AE734" s="432"/>
    </row>
    <row r="735">
      <c r="A735" s="432"/>
      <c r="B735" s="432"/>
      <c r="C735" s="432"/>
      <c r="D735" s="432"/>
      <c r="E735" s="432"/>
      <c r="F735" s="432"/>
      <c r="G735" s="432"/>
      <c r="H735" s="432"/>
      <c r="I735" s="432"/>
      <c r="J735" s="432"/>
      <c r="K735" s="432"/>
      <c r="L735" s="432"/>
      <c r="M735" s="432"/>
      <c r="N735" s="432"/>
      <c r="O735" s="432"/>
      <c r="P735" s="432"/>
      <c r="Q735" s="432"/>
      <c r="R735" s="432"/>
      <c r="S735" s="432"/>
      <c r="T735" s="432"/>
      <c r="U735" s="432"/>
      <c r="V735" s="432"/>
      <c r="W735" s="432"/>
      <c r="X735" s="432"/>
      <c r="Y735" s="432"/>
      <c r="Z735" s="432"/>
      <c r="AA735" s="432"/>
      <c r="AB735" s="432"/>
      <c r="AC735" s="432"/>
      <c r="AD735" s="432"/>
      <c r="AE735" s="432"/>
    </row>
    <row r="736">
      <c r="A736" s="432"/>
      <c r="B736" s="432"/>
      <c r="C736" s="432"/>
      <c r="D736" s="432"/>
      <c r="E736" s="432"/>
      <c r="F736" s="432"/>
      <c r="G736" s="432"/>
      <c r="H736" s="432"/>
      <c r="I736" s="432"/>
      <c r="J736" s="432"/>
      <c r="K736" s="432"/>
      <c r="L736" s="432"/>
      <c r="M736" s="432"/>
      <c r="N736" s="432"/>
      <c r="O736" s="432"/>
      <c r="P736" s="432"/>
      <c r="Q736" s="432"/>
      <c r="R736" s="432"/>
      <c r="S736" s="432"/>
      <c r="T736" s="432"/>
      <c r="U736" s="432"/>
      <c r="V736" s="432"/>
      <c r="W736" s="432"/>
      <c r="X736" s="432"/>
      <c r="Y736" s="432"/>
      <c r="Z736" s="432"/>
      <c r="AA736" s="432"/>
      <c r="AB736" s="432"/>
      <c r="AC736" s="432"/>
      <c r="AD736" s="432"/>
      <c r="AE736" s="432"/>
    </row>
    <row r="737">
      <c r="A737" s="432"/>
      <c r="B737" s="432"/>
      <c r="C737" s="432"/>
      <c r="D737" s="432"/>
      <c r="E737" s="432"/>
      <c r="F737" s="432"/>
      <c r="G737" s="432"/>
      <c r="H737" s="432"/>
      <c r="I737" s="432"/>
      <c r="J737" s="432"/>
      <c r="K737" s="432"/>
      <c r="L737" s="432"/>
      <c r="M737" s="432"/>
      <c r="N737" s="432"/>
      <c r="O737" s="432"/>
      <c r="P737" s="432"/>
      <c r="Q737" s="432"/>
      <c r="R737" s="432"/>
      <c r="S737" s="432"/>
      <c r="T737" s="432"/>
      <c r="U737" s="432"/>
      <c r="V737" s="432"/>
      <c r="W737" s="432"/>
      <c r="X737" s="432"/>
      <c r="Y737" s="432"/>
      <c r="Z737" s="432"/>
      <c r="AA737" s="432"/>
      <c r="AB737" s="432"/>
      <c r="AC737" s="432"/>
      <c r="AD737" s="432"/>
      <c r="AE737" s="432"/>
    </row>
    <row r="738">
      <c r="A738" s="432"/>
      <c r="B738" s="432"/>
      <c r="C738" s="432"/>
      <c r="D738" s="432"/>
      <c r="E738" s="432"/>
      <c r="F738" s="432"/>
      <c r="G738" s="432"/>
      <c r="H738" s="432"/>
      <c r="I738" s="432"/>
      <c r="J738" s="432"/>
      <c r="K738" s="432"/>
      <c r="L738" s="432"/>
      <c r="M738" s="432"/>
      <c r="N738" s="432"/>
      <c r="O738" s="432"/>
      <c r="P738" s="432"/>
      <c r="Q738" s="432"/>
      <c r="R738" s="432"/>
      <c r="S738" s="432"/>
      <c r="T738" s="432"/>
      <c r="U738" s="432"/>
      <c r="V738" s="432"/>
      <c r="W738" s="432"/>
      <c r="X738" s="432"/>
      <c r="Y738" s="432"/>
      <c r="Z738" s="432"/>
      <c r="AA738" s="432"/>
      <c r="AB738" s="432"/>
      <c r="AC738" s="432"/>
      <c r="AD738" s="432"/>
      <c r="AE738" s="432"/>
    </row>
    <row r="739">
      <c r="A739" s="432"/>
      <c r="B739" s="432"/>
      <c r="C739" s="432"/>
      <c r="D739" s="432"/>
      <c r="E739" s="432"/>
      <c r="F739" s="432"/>
      <c r="G739" s="432"/>
      <c r="H739" s="432"/>
      <c r="I739" s="432"/>
      <c r="J739" s="432"/>
      <c r="K739" s="432"/>
      <c r="L739" s="432"/>
      <c r="M739" s="432"/>
      <c r="N739" s="432"/>
      <c r="O739" s="432"/>
      <c r="P739" s="432"/>
      <c r="Q739" s="432"/>
      <c r="R739" s="432"/>
      <c r="S739" s="432"/>
      <c r="T739" s="432"/>
      <c r="U739" s="432"/>
      <c r="V739" s="432"/>
      <c r="W739" s="432"/>
      <c r="X739" s="432"/>
      <c r="Y739" s="432"/>
      <c r="Z739" s="432"/>
      <c r="AA739" s="432"/>
      <c r="AB739" s="432"/>
      <c r="AC739" s="432"/>
      <c r="AD739" s="432"/>
      <c r="AE739" s="432"/>
    </row>
    <row r="740">
      <c r="A740" s="432"/>
      <c r="B740" s="432"/>
      <c r="C740" s="432"/>
      <c r="D740" s="432"/>
      <c r="E740" s="432"/>
      <c r="F740" s="432"/>
      <c r="G740" s="432"/>
      <c r="H740" s="432"/>
      <c r="I740" s="432"/>
      <c r="J740" s="432"/>
      <c r="K740" s="432"/>
      <c r="L740" s="432"/>
      <c r="M740" s="432"/>
      <c r="N740" s="432"/>
      <c r="O740" s="432"/>
      <c r="P740" s="432"/>
      <c r="Q740" s="432"/>
      <c r="R740" s="432"/>
      <c r="S740" s="432"/>
      <c r="T740" s="432"/>
      <c r="U740" s="432"/>
      <c r="V740" s="432"/>
      <c r="W740" s="432"/>
      <c r="X740" s="432"/>
      <c r="Y740" s="432"/>
      <c r="Z740" s="432"/>
      <c r="AA740" s="432"/>
      <c r="AB740" s="432"/>
      <c r="AC740" s="432"/>
      <c r="AD740" s="432"/>
      <c r="AE740" s="432"/>
    </row>
    <row r="741">
      <c r="A741" s="432"/>
      <c r="B741" s="432"/>
      <c r="C741" s="432"/>
      <c r="D741" s="432"/>
      <c r="E741" s="432"/>
      <c r="F741" s="432"/>
      <c r="G741" s="432"/>
      <c r="H741" s="432"/>
      <c r="I741" s="432"/>
      <c r="J741" s="432"/>
      <c r="K741" s="432"/>
      <c r="L741" s="432"/>
      <c r="M741" s="432"/>
      <c r="N741" s="432"/>
      <c r="O741" s="432"/>
      <c r="P741" s="432"/>
      <c r="Q741" s="432"/>
      <c r="R741" s="432"/>
      <c r="S741" s="432"/>
      <c r="T741" s="432"/>
      <c r="U741" s="432"/>
      <c r="V741" s="432"/>
      <c r="W741" s="432"/>
      <c r="X741" s="432"/>
      <c r="Y741" s="432"/>
      <c r="Z741" s="432"/>
      <c r="AA741" s="432"/>
      <c r="AB741" s="432"/>
      <c r="AC741" s="432"/>
      <c r="AD741" s="432"/>
      <c r="AE741" s="432"/>
    </row>
    <row r="742">
      <c r="A742" s="432"/>
      <c r="B742" s="432"/>
      <c r="C742" s="432"/>
      <c r="D742" s="432"/>
      <c r="E742" s="432"/>
      <c r="F742" s="432"/>
      <c r="G742" s="432"/>
      <c r="H742" s="432"/>
      <c r="I742" s="432"/>
      <c r="J742" s="432"/>
      <c r="K742" s="432"/>
      <c r="L742" s="432"/>
      <c r="M742" s="432"/>
      <c r="N742" s="432"/>
      <c r="O742" s="432"/>
      <c r="P742" s="432"/>
      <c r="Q742" s="432"/>
      <c r="R742" s="432"/>
      <c r="S742" s="432"/>
      <c r="T742" s="432"/>
      <c r="U742" s="432"/>
      <c r="V742" s="432"/>
      <c r="W742" s="432"/>
      <c r="X742" s="432"/>
      <c r="Y742" s="432"/>
      <c r="Z742" s="432"/>
      <c r="AA742" s="432"/>
      <c r="AB742" s="432"/>
      <c r="AC742" s="432"/>
      <c r="AD742" s="432"/>
      <c r="AE742" s="432"/>
    </row>
    <row r="743">
      <c r="A743" s="432"/>
      <c r="B743" s="432"/>
      <c r="C743" s="432"/>
      <c r="D743" s="432"/>
      <c r="E743" s="432"/>
      <c r="F743" s="432"/>
      <c r="G743" s="432"/>
      <c r="H743" s="432"/>
      <c r="I743" s="432"/>
      <c r="J743" s="432"/>
      <c r="K743" s="432"/>
      <c r="L743" s="432"/>
      <c r="M743" s="432"/>
      <c r="N743" s="432"/>
      <c r="O743" s="432"/>
      <c r="P743" s="432"/>
      <c r="Q743" s="432"/>
      <c r="R743" s="432"/>
      <c r="S743" s="432"/>
      <c r="T743" s="432"/>
      <c r="U743" s="432"/>
      <c r="V743" s="432"/>
      <c r="W743" s="432"/>
      <c r="X743" s="432"/>
      <c r="Y743" s="432"/>
      <c r="Z743" s="432"/>
      <c r="AA743" s="432"/>
      <c r="AB743" s="432"/>
      <c r="AC743" s="432"/>
      <c r="AD743" s="432"/>
      <c r="AE743" s="432"/>
    </row>
    <row r="744">
      <c r="A744" s="432"/>
      <c r="B744" s="432"/>
      <c r="C744" s="432"/>
      <c r="D744" s="432"/>
      <c r="E744" s="432"/>
      <c r="F744" s="432"/>
      <c r="G744" s="432"/>
      <c r="H744" s="432"/>
      <c r="I744" s="432"/>
      <c r="J744" s="432"/>
      <c r="K744" s="432"/>
      <c r="L744" s="432"/>
      <c r="M744" s="432"/>
      <c r="N744" s="432"/>
      <c r="O744" s="432"/>
      <c r="P744" s="432"/>
      <c r="Q744" s="432"/>
      <c r="R744" s="432"/>
      <c r="S744" s="432"/>
      <c r="T744" s="432"/>
      <c r="U744" s="432"/>
      <c r="V744" s="432"/>
      <c r="W744" s="432"/>
      <c r="X744" s="432"/>
      <c r="Y744" s="432"/>
      <c r="Z744" s="432"/>
      <c r="AA744" s="432"/>
      <c r="AB744" s="432"/>
      <c r="AC744" s="432"/>
      <c r="AD744" s="432"/>
      <c r="AE744" s="432"/>
    </row>
    <row r="745">
      <c r="A745" s="432"/>
      <c r="B745" s="432"/>
      <c r="C745" s="432"/>
      <c r="D745" s="432"/>
      <c r="E745" s="432"/>
      <c r="F745" s="432"/>
      <c r="G745" s="432"/>
      <c r="H745" s="432"/>
      <c r="I745" s="432"/>
      <c r="J745" s="432"/>
      <c r="K745" s="432"/>
      <c r="L745" s="432"/>
      <c r="M745" s="432"/>
      <c r="N745" s="432"/>
      <c r="O745" s="432"/>
      <c r="P745" s="432"/>
      <c r="Q745" s="432"/>
      <c r="R745" s="432"/>
      <c r="S745" s="432"/>
      <c r="T745" s="432"/>
      <c r="U745" s="432"/>
      <c r="V745" s="432"/>
      <c r="W745" s="432"/>
      <c r="X745" s="432"/>
      <c r="Y745" s="432"/>
      <c r="Z745" s="432"/>
      <c r="AA745" s="432"/>
      <c r="AB745" s="432"/>
      <c r="AC745" s="432"/>
      <c r="AD745" s="432"/>
      <c r="AE745" s="432"/>
    </row>
    <row r="746">
      <c r="A746" s="432"/>
      <c r="B746" s="432"/>
      <c r="C746" s="432"/>
      <c r="D746" s="432"/>
      <c r="E746" s="432"/>
      <c r="F746" s="432"/>
      <c r="G746" s="432"/>
      <c r="H746" s="432"/>
      <c r="I746" s="432"/>
      <c r="J746" s="432"/>
      <c r="K746" s="432"/>
      <c r="L746" s="432"/>
      <c r="M746" s="432"/>
      <c r="N746" s="432"/>
      <c r="O746" s="432"/>
      <c r="P746" s="432"/>
      <c r="Q746" s="432"/>
      <c r="R746" s="432"/>
      <c r="S746" s="432"/>
      <c r="T746" s="432"/>
      <c r="U746" s="432"/>
      <c r="V746" s="432"/>
      <c r="W746" s="432"/>
      <c r="X746" s="432"/>
      <c r="Y746" s="432"/>
      <c r="Z746" s="432"/>
      <c r="AA746" s="432"/>
      <c r="AB746" s="432"/>
      <c r="AC746" s="432"/>
      <c r="AD746" s="432"/>
      <c r="AE746" s="432"/>
    </row>
    <row r="747">
      <c r="A747" s="432"/>
      <c r="B747" s="432"/>
      <c r="C747" s="432"/>
      <c r="D747" s="432"/>
      <c r="E747" s="432"/>
      <c r="F747" s="432"/>
      <c r="G747" s="432"/>
      <c r="H747" s="432"/>
      <c r="I747" s="432"/>
      <c r="J747" s="432"/>
      <c r="K747" s="432"/>
      <c r="L747" s="432"/>
      <c r="M747" s="432"/>
      <c r="N747" s="432"/>
      <c r="O747" s="432"/>
      <c r="P747" s="432"/>
      <c r="Q747" s="432"/>
      <c r="R747" s="432"/>
      <c r="S747" s="432"/>
      <c r="T747" s="432"/>
      <c r="U747" s="432"/>
      <c r="V747" s="432"/>
      <c r="W747" s="432"/>
      <c r="X747" s="432"/>
      <c r="Y747" s="432"/>
      <c r="Z747" s="432"/>
      <c r="AA747" s="432"/>
      <c r="AB747" s="432"/>
      <c r="AC747" s="432"/>
      <c r="AD747" s="432"/>
      <c r="AE747" s="432"/>
    </row>
    <row r="748">
      <c r="A748" s="432"/>
      <c r="B748" s="432"/>
      <c r="C748" s="432"/>
      <c r="D748" s="432"/>
      <c r="E748" s="432"/>
      <c r="F748" s="432"/>
      <c r="G748" s="432"/>
      <c r="H748" s="432"/>
      <c r="I748" s="432"/>
      <c r="J748" s="432"/>
      <c r="K748" s="432"/>
      <c r="L748" s="432"/>
      <c r="M748" s="432"/>
      <c r="N748" s="432"/>
      <c r="O748" s="432"/>
      <c r="P748" s="432"/>
      <c r="Q748" s="432"/>
      <c r="R748" s="432"/>
      <c r="S748" s="432"/>
      <c r="T748" s="432"/>
      <c r="U748" s="432"/>
      <c r="V748" s="432"/>
      <c r="W748" s="432"/>
      <c r="X748" s="432"/>
      <c r="Y748" s="432"/>
      <c r="Z748" s="432"/>
      <c r="AA748" s="432"/>
      <c r="AB748" s="432"/>
      <c r="AC748" s="432"/>
      <c r="AD748" s="432"/>
      <c r="AE748" s="432"/>
    </row>
    <row r="749">
      <c r="A749" s="432"/>
      <c r="B749" s="432"/>
      <c r="C749" s="432"/>
      <c r="D749" s="432"/>
      <c r="E749" s="432"/>
      <c r="F749" s="432"/>
      <c r="G749" s="432"/>
      <c r="H749" s="432"/>
      <c r="I749" s="432"/>
      <c r="J749" s="432"/>
      <c r="K749" s="432"/>
      <c r="L749" s="432"/>
      <c r="M749" s="432"/>
      <c r="N749" s="432"/>
      <c r="O749" s="432"/>
      <c r="P749" s="432"/>
      <c r="Q749" s="432"/>
      <c r="R749" s="432"/>
      <c r="S749" s="432"/>
      <c r="T749" s="432"/>
      <c r="U749" s="432"/>
      <c r="V749" s="432"/>
      <c r="W749" s="432"/>
      <c r="X749" s="432"/>
      <c r="Y749" s="432"/>
      <c r="Z749" s="432"/>
      <c r="AA749" s="432"/>
      <c r="AB749" s="432"/>
      <c r="AC749" s="432"/>
      <c r="AD749" s="432"/>
      <c r="AE749" s="432"/>
    </row>
    <row r="750">
      <c r="A750" s="432"/>
      <c r="B750" s="432"/>
      <c r="C750" s="432"/>
      <c r="D750" s="432"/>
      <c r="E750" s="432"/>
      <c r="F750" s="432"/>
      <c r="G750" s="432"/>
      <c r="H750" s="432"/>
      <c r="I750" s="432"/>
      <c r="J750" s="432"/>
      <c r="K750" s="432"/>
      <c r="L750" s="432"/>
      <c r="M750" s="432"/>
      <c r="N750" s="432"/>
      <c r="O750" s="432"/>
      <c r="P750" s="432"/>
      <c r="Q750" s="432"/>
      <c r="R750" s="432"/>
      <c r="S750" s="432"/>
      <c r="T750" s="432"/>
      <c r="U750" s="432"/>
      <c r="V750" s="432"/>
      <c r="W750" s="432"/>
      <c r="X750" s="432"/>
      <c r="Y750" s="432"/>
      <c r="Z750" s="432"/>
      <c r="AA750" s="432"/>
      <c r="AB750" s="432"/>
      <c r="AC750" s="432"/>
      <c r="AD750" s="432"/>
      <c r="AE750" s="432"/>
    </row>
    <row r="751">
      <c r="A751" s="432"/>
      <c r="B751" s="432"/>
      <c r="C751" s="432"/>
      <c r="D751" s="432"/>
      <c r="E751" s="432"/>
      <c r="F751" s="432"/>
      <c r="G751" s="432"/>
      <c r="H751" s="432"/>
      <c r="I751" s="432"/>
      <c r="J751" s="432"/>
      <c r="K751" s="432"/>
      <c r="L751" s="432"/>
      <c r="M751" s="432"/>
      <c r="N751" s="432"/>
      <c r="O751" s="432"/>
      <c r="P751" s="432"/>
      <c r="Q751" s="432"/>
      <c r="R751" s="432"/>
      <c r="S751" s="432"/>
      <c r="T751" s="432"/>
      <c r="U751" s="432"/>
      <c r="V751" s="432"/>
      <c r="W751" s="432"/>
      <c r="X751" s="432"/>
      <c r="Y751" s="432"/>
      <c r="Z751" s="432"/>
      <c r="AA751" s="432"/>
      <c r="AB751" s="432"/>
      <c r="AC751" s="432"/>
      <c r="AD751" s="432"/>
      <c r="AE751" s="432"/>
    </row>
    <row r="752">
      <c r="A752" s="432"/>
      <c r="B752" s="432"/>
      <c r="C752" s="432"/>
      <c r="D752" s="432"/>
      <c r="E752" s="432"/>
      <c r="F752" s="432"/>
      <c r="G752" s="432"/>
      <c r="H752" s="432"/>
      <c r="I752" s="432"/>
      <c r="J752" s="432"/>
      <c r="K752" s="432"/>
      <c r="L752" s="432"/>
      <c r="M752" s="432"/>
      <c r="N752" s="432"/>
      <c r="O752" s="432"/>
      <c r="P752" s="432"/>
      <c r="Q752" s="432"/>
      <c r="R752" s="432"/>
      <c r="S752" s="432"/>
      <c r="T752" s="432"/>
      <c r="U752" s="432"/>
      <c r="V752" s="432"/>
      <c r="W752" s="432"/>
      <c r="X752" s="432"/>
      <c r="Y752" s="432"/>
      <c r="Z752" s="432"/>
      <c r="AA752" s="432"/>
      <c r="AB752" s="432"/>
      <c r="AC752" s="432"/>
      <c r="AD752" s="432"/>
      <c r="AE752" s="432"/>
    </row>
    <row r="753">
      <c r="A753" s="432"/>
      <c r="B753" s="432"/>
      <c r="C753" s="432"/>
      <c r="D753" s="432"/>
      <c r="E753" s="432"/>
      <c r="F753" s="432"/>
      <c r="G753" s="432"/>
      <c r="H753" s="432"/>
      <c r="I753" s="432"/>
      <c r="J753" s="432"/>
      <c r="K753" s="432"/>
      <c r="L753" s="432"/>
      <c r="M753" s="432"/>
      <c r="N753" s="432"/>
      <c r="O753" s="432"/>
      <c r="P753" s="432"/>
      <c r="Q753" s="432"/>
      <c r="R753" s="432"/>
      <c r="S753" s="432"/>
      <c r="T753" s="432"/>
      <c r="U753" s="432"/>
      <c r="V753" s="432"/>
      <c r="W753" s="432"/>
      <c r="X753" s="432"/>
      <c r="Y753" s="432"/>
      <c r="Z753" s="432"/>
      <c r="AA753" s="432"/>
      <c r="AB753" s="432"/>
      <c r="AC753" s="432"/>
      <c r="AD753" s="432"/>
      <c r="AE753" s="432"/>
    </row>
    <row r="754">
      <c r="A754" s="432"/>
      <c r="B754" s="432"/>
      <c r="C754" s="432"/>
      <c r="D754" s="432"/>
      <c r="E754" s="432"/>
      <c r="F754" s="432"/>
      <c r="G754" s="432"/>
      <c r="H754" s="432"/>
      <c r="I754" s="432"/>
      <c r="J754" s="432"/>
      <c r="K754" s="432"/>
      <c r="L754" s="432"/>
      <c r="M754" s="432"/>
      <c r="N754" s="432"/>
      <c r="O754" s="432"/>
      <c r="P754" s="432"/>
      <c r="Q754" s="432"/>
      <c r="R754" s="432"/>
      <c r="S754" s="432"/>
      <c r="T754" s="432"/>
      <c r="U754" s="432"/>
      <c r="V754" s="432"/>
      <c r="W754" s="432"/>
      <c r="X754" s="432"/>
      <c r="Y754" s="432"/>
      <c r="Z754" s="432"/>
      <c r="AA754" s="432"/>
      <c r="AB754" s="432"/>
      <c r="AC754" s="432"/>
      <c r="AD754" s="432"/>
      <c r="AE754" s="432"/>
    </row>
    <row r="755">
      <c r="A755" s="432"/>
      <c r="B755" s="432"/>
      <c r="C755" s="432"/>
      <c r="D755" s="432"/>
      <c r="E755" s="432"/>
      <c r="F755" s="432"/>
      <c r="G755" s="432"/>
      <c r="H755" s="432"/>
      <c r="I755" s="432"/>
      <c r="J755" s="432"/>
      <c r="K755" s="432"/>
      <c r="L755" s="432"/>
      <c r="M755" s="432"/>
      <c r="N755" s="432"/>
      <c r="O755" s="432"/>
      <c r="P755" s="432"/>
      <c r="Q755" s="432"/>
      <c r="R755" s="432"/>
      <c r="S755" s="432"/>
      <c r="T755" s="432"/>
      <c r="U755" s="432"/>
      <c r="V755" s="432"/>
      <c r="W755" s="432"/>
      <c r="X755" s="432"/>
      <c r="Y755" s="432"/>
      <c r="Z755" s="432"/>
      <c r="AA755" s="432"/>
      <c r="AB755" s="432"/>
      <c r="AC755" s="432"/>
      <c r="AD755" s="432"/>
      <c r="AE755" s="432"/>
    </row>
    <row r="756">
      <c r="A756" s="432"/>
      <c r="B756" s="432"/>
      <c r="C756" s="432"/>
      <c r="D756" s="432"/>
      <c r="E756" s="432"/>
      <c r="F756" s="432"/>
      <c r="G756" s="432"/>
      <c r="H756" s="432"/>
      <c r="I756" s="432"/>
      <c r="J756" s="432"/>
      <c r="K756" s="432"/>
      <c r="L756" s="432"/>
      <c r="M756" s="432"/>
      <c r="N756" s="432"/>
      <c r="O756" s="432"/>
      <c r="P756" s="432"/>
      <c r="Q756" s="432"/>
      <c r="R756" s="432"/>
      <c r="S756" s="432"/>
      <c r="T756" s="432"/>
      <c r="U756" s="432"/>
      <c r="V756" s="432"/>
      <c r="W756" s="432"/>
      <c r="X756" s="432"/>
      <c r="Y756" s="432"/>
      <c r="Z756" s="432"/>
      <c r="AA756" s="432"/>
      <c r="AB756" s="432"/>
      <c r="AC756" s="432"/>
      <c r="AD756" s="432"/>
      <c r="AE756" s="432"/>
    </row>
    <row r="757">
      <c r="A757" s="432"/>
      <c r="B757" s="432"/>
      <c r="C757" s="432"/>
      <c r="D757" s="432"/>
      <c r="E757" s="432"/>
      <c r="F757" s="432"/>
      <c r="G757" s="432"/>
      <c r="H757" s="432"/>
      <c r="I757" s="432"/>
      <c r="J757" s="432"/>
      <c r="K757" s="432"/>
      <c r="L757" s="432"/>
      <c r="M757" s="432"/>
      <c r="N757" s="432"/>
      <c r="O757" s="432"/>
      <c r="P757" s="432"/>
      <c r="Q757" s="432"/>
      <c r="R757" s="432"/>
      <c r="S757" s="432"/>
      <c r="T757" s="432"/>
      <c r="U757" s="432"/>
      <c r="V757" s="432"/>
      <c r="W757" s="432"/>
      <c r="X757" s="432"/>
      <c r="Y757" s="432"/>
      <c r="Z757" s="432"/>
      <c r="AA757" s="432"/>
      <c r="AB757" s="432"/>
      <c r="AC757" s="432"/>
      <c r="AD757" s="432"/>
      <c r="AE757" s="432"/>
    </row>
    <row r="758">
      <c r="A758" s="432"/>
      <c r="B758" s="432"/>
      <c r="C758" s="432"/>
      <c r="D758" s="432"/>
      <c r="E758" s="432"/>
      <c r="F758" s="432"/>
      <c r="G758" s="432"/>
      <c r="H758" s="432"/>
      <c r="I758" s="432"/>
      <c r="J758" s="432"/>
      <c r="K758" s="432"/>
      <c r="L758" s="432"/>
      <c r="M758" s="432"/>
      <c r="N758" s="432"/>
      <c r="O758" s="432"/>
      <c r="P758" s="432"/>
      <c r="Q758" s="432"/>
      <c r="R758" s="432"/>
      <c r="S758" s="432"/>
      <c r="T758" s="432"/>
      <c r="U758" s="432"/>
      <c r="V758" s="432"/>
      <c r="W758" s="432"/>
      <c r="X758" s="432"/>
      <c r="Y758" s="432"/>
      <c r="Z758" s="432"/>
      <c r="AA758" s="432"/>
      <c r="AB758" s="432"/>
      <c r="AC758" s="432"/>
      <c r="AD758" s="432"/>
      <c r="AE758" s="432"/>
    </row>
    <row r="759">
      <c r="A759" s="432"/>
      <c r="B759" s="432"/>
      <c r="C759" s="432"/>
      <c r="D759" s="432"/>
      <c r="E759" s="432"/>
      <c r="F759" s="432"/>
      <c r="G759" s="432"/>
      <c r="H759" s="432"/>
      <c r="I759" s="432"/>
      <c r="J759" s="432"/>
      <c r="K759" s="432"/>
      <c r="L759" s="432"/>
      <c r="M759" s="432"/>
      <c r="N759" s="432"/>
      <c r="O759" s="432"/>
      <c r="P759" s="432"/>
      <c r="Q759" s="432"/>
      <c r="R759" s="432"/>
      <c r="S759" s="432"/>
      <c r="T759" s="432"/>
      <c r="U759" s="432"/>
      <c r="V759" s="432"/>
      <c r="W759" s="432"/>
      <c r="X759" s="432"/>
      <c r="Y759" s="432"/>
      <c r="Z759" s="432"/>
      <c r="AA759" s="432"/>
      <c r="AB759" s="432"/>
      <c r="AC759" s="432"/>
      <c r="AD759" s="432"/>
      <c r="AE759" s="432"/>
    </row>
    <row r="760">
      <c r="A760" s="432"/>
      <c r="B760" s="432"/>
      <c r="C760" s="432"/>
      <c r="D760" s="432"/>
      <c r="E760" s="432"/>
      <c r="F760" s="432"/>
      <c r="G760" s="432"/>
      <c r="H760" s="432"/>
      <c r="I760" s="432"/>
      <c r="J760" s="432"/>
      <c r="K760" s="432"/>
      <c r="L760" s="432"/>
      <c r="M760" s="432"/>
      <c r="N760" s="432"/>
      <c r="O760" s="432"/>
      <c r="P760" s="432"/>
      <c r="Q760" s="432"/>
      <c r="R760" s="432"/>
      <c r="S760" s="432"/>
      <c r="T760" s="432"/>
      <c r="U760" s="432"/>
      <c r="V760" s="432"/>
      <c r="W760" s="432"/>
      <c r="X760" s="432"/>
      <c r="Y760" s="432"/>
      <c r="Z760" s="432"/>
      <c r="AA760" s="432"/>
      <c r="AB760" s="432"/>
      <c r="AC760" s="432"/>
      <c r="AD760" s="432"/>
      <c r="AE760" s="432"/>
    </row>
    <row r="761">
      <c r="A761" s="432"/>
      <c r="B761" s="432"/>
      <c r="C761" s="432"/>
      <c r="D761" s="432"/>
      <c r="E761" s="432"/>
      <c r="F761" s="432"/>
      <c r="G761" s="432"/>
      <c r="H761" s="432"/>
      <c r="I761" s="432"/>
      <c r="J761" s="432"/>
      <c r="K761" s="432"/>
      <c r="L761" s="432"/>
      <c r="M761" s="432"/>
      <c r="N761" s="432"/>
      <c r="O761" s="432"/>
      <c r="P761" s="432"/>
      <c r="Q761" s="432"/>
      <c r="R761" s="432"/>
      <c r="S761" s="432"/>
      <c r="T761" s="432"/>
      <c r="U761" s="432"/>
      <c r="V761" s="432"/>
      <c r="W761" s="432"/>
      <c r="X761" s="432"/>
      <c r="Y761" s="432"/>
      <c r="Z761" s="432"/>
      <c r="AA761" s="432"/>
      <c r="AB761" s="432"/>
      <c r="AC761" s="432"/>
      <c r="AD761" s="432"/>
      <c r="AE761" s="432"/>
    </row>
    <row r="762">
      <c r="A762" s="432"/>
      <c r="B762" s="432"/>
      <c r="C762" s="432"/>
      <c r="D762" s="432"/>
      <c r="E762" s="432"/>
      <c r="F762" s="432"/>
      <c r="G762" s="432"/>
      <c r="H762" s="432"/>
      <c r="I762" s="432"/>
      <c r="J762" s="432"/>
      <c r="K762" s="432"/>
      <c r="L762" s="432"/>
      <c r="M762" s="432"/>
      <c r="N762" s="432"/>
      <c r="O762" s="432"/>
      <c r="P762" s="432"/>
      <c r="Q762" s="432"/>
      <c r="R762" s="432"/>
      <c r="S762" s="432"/>
      <c r="T762" s="432"/>
      <c r="U762" s="432"/>
      <c r="V762" s="432"/>
      <c r="W762" s="432"/>
      <c r="X762" s="432"/>
      <c r="Y762" s="432"/>
      <c r="Z762" s="432"/>
      <c r="AA762" s="432"/>
      <c r="AB762" s="432"/>
      <c r="AC762" s="432"/>
      <c r="AD762" s="432"/>
      <c r="AE762" s="432"/>
    </row>
    <row r="763">
      <c r="A763" s="432"/>
      <c r="B763" s="432"/>
      <c r="C763" s="432"/>
      <c r="D763" s="432"/>
      <c r="E763" s="432"/>
      <c r="F763" s="432"/>
      <c r="G763" s="432"/>
      <c r="H763" s="432"/>
      <c r="I763" s="432"/>
      <c r="J763" s="432"/>
      <c r="K763" s="432"/>
      <c r="L763" s="432"/>
      <c r="M763" s="432"/>
      <c r="N763" s="432"/>
      <c r="O763" s="432"/>
      <c r="P763" s="432"/>
      <c r="Q763" s="432"/>
      <c r="R763" s="432"/>
      <c r="S763" s="432"/>
      <c r="T763" s="432"/>
      <c r="U763" s="432"/>
      <c r="V763" s="432"/>
      <c r="W763" s="432"/>
      <c r="X763" s="432"/>
      <c r="Y763" s="432"/>
      <c r="Z763" s="432"/>
      <c r="AA763" s="432"/>
      <c r="AB763" s="432"/>
      <c r="AC763" s="432"/>
      <c r="AD763" s="432"/>
      <c r="AE763" s="432"/>
    </row>
    <row r="764">
      <c r="A764" s="432"/>
      <c r="B764" s="432"/>
      <c r="C764" s="432"/>
      <c r="D764" s="432"/>
      <c r="E764" s="432"/>
      <c r="F764" s="432"/>
      <c r="G764" s="432"/>
      <c r="H764" s="432"/>
      <c r="I764" s="432"/>
      <c r="J764" s="432"/>
      <c r="K764" s="432"/>
      <c r="L764" s="432"/>
      <c r="M764" s="432"/>
      <c r="N764" s="432"/>
      <c r="O764" s="432"/>
      <c r="P764" s="432"/>
      <c r="Q764" s="432"/>
      <c r="R764" s="432"/>
      <c r="S764" s="432"/>
      <c r="T764" s="432"/>
      <c r="U764" s="432"/>
      <c r="V764" s="432"/>
      <c r="W764" s="432"/>
      <c r="X764" s="432"/>
      <c r="Y764" s="432"/>
      <c r="Z764" s="432"/>
      <c r="AA764" s="432"/>
      <c r="AB764" s="432"/>
      <c r="AC764" s="432"/>
      <c r="AD764" s="432"/>
      <c r="AE764" s="432"/>
    </row>
    <row r="765">
      <c r="A765" s="432"/>
      <c r="B765" s="432"/>
      <c r="C765" s="432"/>
      <c r="D765" s="432"/>
      <c r="E765" s="432"/>
      <c r="F765" s="432"/>
      <c r="G765" s="432"/>
      <c r="H765" s="432"/>
      <c r="I765" s="432"/>
      <c r="J765" s="432"/>
      <c r="K765" s="432"/>
      <c r="L765" s="432"/>
      <c r="M765" s="432"/>
      <c r="N765" s="432"/>
      <c r="O765" s="432"/>
      <c r="P765" s="432"/>
      <c r="Q765" s="432"/>
      <c r="R765" s="432"/>
      <c r="S765" s="432"/>
      <c r="T765" s="432"/>
      <c r="U765" s="432"/>
      <c r="V765" s="432"/>
      <c r="W765" s="432"/>
      <c r="X765" s="432"/>
      <c r="Y765" s="432"/>
      <c r="Z765" s="432"/>
      <c r="AA765" s="432"/>
      <c r="AB765" s="432"/>
      <c r="AC765" s="432"/>
      <c r="AD765" s="432"/>
      <c r="AE765" s="432"/>
    </row>
    <row r="766">
      <c r="A766" s="432"/>
      <c r="B766" s="432"/>
      <c r="C766" s="432"/>
      <c r="D766" s="432"/>
      <c r="E766" s="432"/>
      <c r="F766" s="432"/>
      <c r="G766" s="432"/>
      <c r="H766" s="432"/>
      <c r="I766" s="432"/>
      <c r="J766" s="432"/>
      <c r="K766" s="432"/>
      <c r="L766" s="432"/>
      <c r="M766" s="432"/>
      <c r="N766" s="432"/>
      <c r="O766" s="432"/>
      <c r="P766" s="432"/>
      <c r="Q766" s="432"/>
      <c r="R766" s="432"/>
      <c r="S766" s="432"/>
      <c r="T766" s="432"/>
      <c r="U766" s="432"/>
      <c r="V766" s="432"/>
      <c r="W766" s="432"/>
      <c r="X766" s="432"/>
      <c r="Y766" s="432"/>
      <c r="Z766" s="432"/>
      <c r="AA766" s="432"/>
      <c r="AB766" s="432"/>
      <c r="AC766" s="432"/>
      <c r="AD766" s="432"/>
      <c r="AE766" s="432"/>
    </row>
    <row r="767">
      <c r="A767" s="432"/>
      <c r="B767" s="432"/>
      <c r="C767" s="432"/>
      <c r="D767" s="432"/>
      <c r="E767" s="432"/>
      <c r="F767" s="432"/>
      <c r="G767" s="432"/>
      <c r="H767" s="432"/>
      <c r="I767" s="432"/>
      <c r="J767" s="432"/>
      <c r="K767" s="432"/>
      <c r="L767" s="432"/>
      <c r="M767" s="432"/>
      <c r="N767" s="432"/>
      <c r="O767" s="432"/>
      <c r="P767" s="432"/>
      <c r="Q767" s="432"/>
      <c r="R767" s="432"/>
      <c r="S767" s="432"/>
      <c r="T767" s="432"/>
      <c r="U767" s="432"/>
      <c r="V767" s="432"/>
      <c r="W767" s="432"/>
      <c r="X767" s="432"/>
      <c r="Y767" s="432"/>
      <c r="Z767" s="432"/>
      <c r="AA767" s="432"/>
      <c r="AB767" s="432"/>
      <c r="AC767" s="432"/>
      <c r="AD767" s="432"/>
      <c r="AE767" s="432"/>
    </row>
    <row r="768">
      <c r="A768" s="432"/>
      <c r="B768" s="432"/>
      <c r="C768" s="432"/>
      <c r="D768" s="432"/>
      <c r="E768" s="432"/>
      <c r="F768" s="432"/>
      <c r="G768" s="432"/>
      <c r="H768" s="432"/>
      <c r="I768" s="432"/>
      <c r="J768" s="432"/>
      <c r="K768" s="432"/>
      <c r="L768" s="432"/>
      <c r="M768" s="432"/>
      <c r="N768" s="432"/>
      <c r="O768" s="432"/>
      <c r="P768" s="432"/>
      <c r="Q768" s="432"/>
      <c r="R768" s="432"/>
      <c r="S768" s="432"/>
      <c r="T768" s="432"/>
      <c r="U768" s="432"/>
      <c r="V768" s="432"/>
      <c r="W768" s="432"/>
      <c r="X768" s="432"/>
      <c r="Y768" s="432"/>
      <c r="Z768" s="432"/>
      <c r="AA768" s="432"/>
      <c r="AB768" s="432"/>
      <c r="AC768" s="432"/>
      <c r="AD768" s="432"/>
      <c r="AE768" s="432"/>
    </row>
    <row r="769">
      <c r="A769" s="432"/>
      <c r="B769" s="432"/>
      <c r="C769" s="432"/>
      <c r="D769" s="432"/>
      <c r="E769" s="432"/>
      <c r="F769" s="432"/>
      <c r="G769" s="432"/>
      <c r="H769" s="432"/>
      <c r="I769" s="432"/>
      <c r="J769" s="432"/>
      <c r="K769" s="432"/>
      <c r="L769" s="432"/>
      <c r="M769" s="432"/>
      <c r="N769" s="432"/>
      <c r="O769" s="432"/>
      <c r="P769" s="432"/>
      <c r="Q769" s="432"/>
      <c r="R769" s="432"/>
      <c r="S769" s="432"/>
      <c r="T769" s="432"/>
      <c r="U769" s="432"/>
      <c r="V769" s="432"/>
      <c r="W769" s="432"/>
      <c r="X769" s="432"/>
      <c r="Y769" s="432"/>
      <c r="Z769" s="432"/>
      <c r="AA769" s="432"/>
      <c r="AB769" s="432"/>
      <c r="AC769" s="432"/>
      <c r="AD769" s="432"/>
      <c r="AE769" s="432"/>
    </row>
    <row r="770">
      <c r="A770" s="432"/>
      <c r="B770" s="432"/>
      <c r="C770" s="432"/>
      <c r="D770" s="432"/>
      <c r="E770" s="432"/>
      <c r="F770" s="432"/>
      <c r="G770" s="432"/>
      <c r="H770" s="432"/>
      <c r="I770" s="432"/>
      <c r="J770" s="432"/>
      <c r="K770" s="432"/>
      <c r="L770" s="432"/>
      <c r="M770" s="432"/>
      <c r="N770" s="432"/>
      <c r="O770" s="432"/>
      <c r="P770" s="432"/>
      <c r="Q770" s="432"/>
      <c r="R770" s="432"/>
      <c r="S770" s="432"/>
      <c r="T770" s="432"/>
      <c r="U770" s="432"/>
      <c r="V770" s="432"/>
      <c r="W770" s="432"/>
      <c r="X770" s="432"/>
      <c r="Y770" s="432"/>
      <c r="Z770" s="432"/>
      <c r="AA770" s="432"/>
      <c r="AB770" s="432"/>
      <c r="AC770" s="432"/>
      <c r="AD770" s="432"/>
      <c r="AE770" s="432"/>
    </row>
    <row r="771">
      <c r="A771" s="432"/>
      <c r="B771" s="432"/>
      <c r="C771" s="432"/>
      <c r="D771" s="432"/>
      <c r="E771" s="432"/>
      <c r="F771" s="432"/>
      <c r="G771" s="432"/>
      <c r="H771" s="432"/>
      <c r="I771" s="432"/>
      <c r="J771" s="432"/>
      <c r="K771" s="432"/>
      <c r="L771" s="432"/>
      <c r="M771" s="432"/>
      <c r="N771" s="432"/>
      <c r="O771" s="432"/>
      <c r="P771" s="432"/>
      <c r="Q771" s="432"/>
      <c r="R771" s="432"/>
      <c r="S771" s="432"/>
      <c r="T771" s="432"/>
      <c r="U771" s="432"/>
      <c r="V771" s="432"/>
      <c r="W771" s="432"/>
      <c r="X771" s="432"/>
      <c r="Y771" s="432"/>
      <c r="Z771" s="432"/>
      <c r="AA771" s="432"/>
      <c r="AB771" s="432"/>
      <c r="AC771" s="432"/>
      <c r="AD771" s="432"/>
      <c r="AE771" s="432"/>
    </row>
    <row r="772">
      <c r="A772" s="432"/>
      <c r="B772" s="432"/>
      <c r="C772" s="432"/>
      <c r="D772" s="432"/>
      <c r="E772" s="432"/>
      <c r="F772" s="432"/>
      <c r="G772" s="432"/>
      <c r="H772" s="432"/>
      <c r="I772" s="432"/>
      <c r="J772" s="432"/>
      <c r="K772" s="432"/>
      <c r="L772" s="432"/>
      <c r="M772" s="432"/>
      <c r="N772" s="432"/>
      <c r="O772" s="432"/>
      <c r="P772" s="432"/>
      <c r="Q772" s="432"/>
      <c r="R772" s="432"/>
      <c r="S772" s="432"/>
      <c r="T772" s="432"/>
      <c r="U772" s="432"/>
      <c r="V772" s="432"/>
      <c r="W772" s="432"/>
      <c r="X772" s="432"/>
      <c r="Y772" s="432"/>
      <c r="Z772" s="432"/>
      <c r="AA772" s="432"/>
      <c r="AB772" s="432"/>
      <c r="AC772" s="432"/>
      <c r="AD772" s="432"/>
      <c r="AE772" s="432"/>
    </row>
    <row r="773">
      <c r="A773" s="432"/>
      <c r="B773" s="432"/>
      <c r="C773" s="432"/>
      <c r="D773" s="432"/>
      <c r="E773" s="432"/>
      <c r="F773" s="432"/>
      <c r="G773" s="432"/>
      <c r="H773" s="432"/>
      <c r="I773" s="432"/>
      <c r="J773" s="432"/>
      <c r="K773" s="432"/>
      <c r="L773" s="432"/>
      <c r="M773" s="432"/>
      <c r="N773" s="432"/>
      <c r="O773" s="432"/>
      <c r="P773" s="432"/>
      <c r="Q773" s="432"/>
      <c r="R773" s="432"/>
      <c r="S773" s="432"/>
      <c r="T773" s="432"/>
      <c r="U773" s="432"/>
      <c r="V773" s="432"/>
      <c r="W773" s="432"/>
      <c r="X773" s="432"/>
      <c r="Y773" s="432"/>
      <c r="Z773" s="432"/>
      <c r="AA773" s="432"/>
      <c r="AB773" s="432"/>
      <c r="AC773" s="432"/>
      <c r="AD773" s="432"/>
      <c r="AE773" s="432"/>
    </row>
    <row r="774">
      <c r="A774" s="432"/>
      <c r="B774" s="432"/>
      <c r="C774" s="432"/>
      <c r="D774" s="432"/>
      <c r="E774" s="432"/>
      <c r="F774" s="432"/>
      <c r="G774" s="432"/>
      <c r="H774" s="432"/>
      <c r="I774" s="432"/>
      <c r="J774" s="432"/>
      <c r="K774" s="432"/>
      <c r="L774" s="432"/>
      <c r="M774" s="432"/>
      <c r="N774" s="432"/>
      <c r="O774" s="432"/>
      <c r="P774" s="432"/>
      <c r="Q774" s="432"/>
      <c r="R774" s="432"/>
      <c r="S774" s="432"/>
      <c r="T774" s="432"/>
      <c r="U774" s="432"/>
      <c r="V774" s="432"/>
      <c r="W774" s="432"/>
      <c r="X774" s="432"/>
      <c r="Y774" s="432"/>
      <c r="Z774" s="432"/>
      <c r="AA774" s="432"/>
      <c r="AB774" s="432"/>
      <c r="AC774" s="432"/>
      <c r="AD774" s="432"/>
      <c r="AE774" s="432"/>
    </row>
    <row r="775">
      <c r="A775" s="432"/>
      <c r="B775" s="432"/>
      <c r="C775" s="432"/>
      <c r="D775" s="432"/>
      <c r="E775" s="432"/>
      <c r="F775" s="432"/>
      <c r="G775" s="432"/>
      <c r="H775" s="432"/>
      <c r="I775" s="432"/>
      <c r="J775" s="432"/>
      <c r="K775" s="432"/>
      <c r="L775" s="432"/>
      <c r="M775" s="432"/>
      <c r="N775" s="432"/>
      <c r="O775" s="432"/>
      <c r="P775" s="432"/>
      <c r="Q775" s="432"/>
      <c r="R775" s="432"/>
      <c r="S775" s="432"/>
      <c r="T775" s="432"/>
      <c r="U775" s="432"/>
      <c r="V775" s="432"/>
      <c r="W775" s="432"/>
      <c r="X775" s="432"/>
      <c r="Y775" s="432"/>
      <c r="Z775" s="432"/>
      <c r="AA775" s="432"/>
      <c r="AB775" s="432"/>
      <c r="AC775" s="432"/>
      <c r="AD775" s="432"/>
      <c r="AE775" s="432"/>
    </row>
    <row r="776">
      <c r="A776" s="432"/>
      <c r="B776" s="432"/>
      <c r="C776" s="432"/>
      <c r="D776" s="432"/>
      <c r="E776" s="432"/>
      <c r="F776" s="432"/>
      <c r="G776" s="432"/>
      <c r="H776" s="432"/>
      <c r="I776" s="432"/>
      <c r="J776" s="432"/>
      <c r="K776" s="432"/>
      <c r="L776" s="432"/>
      <c r="M776" s="432"/>
      <c r="N776" s="432"/>
      <c r="O776" s="432"/>
      <c r="P776" s="432"/>
      <c r="Q776" s="432"/>
      <c r="R776" s="432"/>
      <c r="S776" s="432"/>
      <c r="T776" s="432"/>
      <c r="U776" s="432"/>
      <c r="V776" s="432"/>
      <c r="W776" s="432"/>
      <c r="X776" s="432"/>
      <c r="Y776" s="432"/>
      <c r="Z776" s="432"/>
      <c r="AA776" s="432"/>
      <c r="AB776" s="432"/>
      <c r="AC776" s="432"/>
      <c r="AD776" s="432"/>
      <c r="AE776" s="432"/>
    </row>
    <row r="777">
      <c r="A777" s="432"/>
      <c r="B777" s="432"/>
      <c r="C777" s="432"/>
      <c r="D777" s="432"/>
      <c r="E777" s="432"/>
      <c r="F777" s="432"/>
      <c r="G777" s="432"/>
      <c r="H777" s="432"/>
      <c r="I777" s="432"/>
      <c r="J777" s="432"/>
      <c r="K777" s="432"/>
      <c r="L777" s="432"/>
      <c r="M777" s="432"/>
      <c r="N777" s="432"/>
      <c r="O777" s="432"/>
      <c r="P777" s="432"/>
      <c r="Q777" s="432"/>
      <c r="R777" s="432"/>
      <c r="S777" s="432"/>
      <c r="T777" s="432"/>
      <c r="U777" s="432"/>
      <c r="V777" s="432"/>
      <c r="W777" s="432"/>
      <c r="X777" s="432"/>
      <c r="Y777" s="432"/>
      <c r="Z777" s="432"/>
      <c r="AA777" s="432"/>
      <c r="AB777" s="432"/>
      <c r="AC777" s="432"/>
      <c r="AD777" s="432"/>
      <c r="AE777" s="432"/>
    </row>
    <row r="778">
      <c r="A778" s="432"/>
      <c r="B778" s="432"/>
      <c r="C778" s="432"/>
      <c r="D778" s="432"/>
      <c r="E778" s="432"/>
      <c r="F778" s="432"/>
      <c r="G778" s="432"/>
      <c r="H778" s="432"/>
      <c r="I778" s="432"/>
      <c r="J778" s="432"/>
      <c r="K778" s="432"/>
      <c r="L778" s="432"/>
      <c r="M778" s="432"/>
      <c r="N778" s="432"/>
      <c r="O778" s="432"/>
      <c r="P778" s="432"/>
      <c r="Q778" s="432"/>
      <c r="R778" s="432"/>
      <c r="S778" s="432"/>
      <c r="T778" s="432"/>
      <c r="U778" s="432"/>
      <c r="V778" s="432"/>
      <c r="W778" s="432"/>
      <c r="X778" s="432"/>
      <c r="Y778" s="432"/>
      <c r="Z778" s="432"/>
      <c r="AA778" s="432"/>
      <c r="AB778" s="432"/>
      <c r="AC778" s="432"/>
      <c r="AD778" s="432"/>
      <c r="AE778" s="432"/>
    </row>
    <row r="779">
      <c r="A779" s="432"/>
      <c r="B779" s="432"/>
      <c r="C779" s="432"/>
      <c r="D779" s="432"/>
      <c r="E779" s="432"/>
      <c r="F779" s="432"/>
      <c r="G779" s="432"/>
      <c r="H779" s="432"/>
      <c r="I779" s="432"/>
      <c r="J779" s="432"/>
      <c r="K779" s="432"/>
      <c r="L779" s="432"/>
      <c r="M779" s="432"/>
      <c r="N779" s="432"/>
      <c r="O779" s="432"/>
      <c r="P779" s="432"/>
      <c r="Q779" s="432"/>
      <c r="R779" s="432"/>
      <c r="S779" s="432"/>
      <c r="T779" s="432"/>
      <c r="U779" s="432"/>
      <c r="V779" s="432"/>
      <c r="W779" s="432"/>
      <c r="X779" s="432"/>
      <c r="Y779" s="432"/>
      <c r="Z779" s="432"/>
      <c r="AA779" s="432"/>
      <c r="AB779" s="432"/>
      <c r="AC779" s="432"/>
      <c r="AD779" s="432"/>
      <c r="AE779" s="432"/>
    </row>
    <row r="780">
      <c r="A780" s="432"/>
      <c r="B780" s="432"/>
      <c r="C780" s="432"/>
      <c r="D780" s="432"/>
      <c r="E780" s="432"/>
      <c r="F780" s="432"/>
      <c r="G780" s="432"/>
      <c r="H780" s="432"/>
      <c r="I780" s="432"/>
      <c r="J780" s="432"/>
      <c r="K780" s="432"/>
      <c r="L780" s="432"/>
      <c r="M780" s="432"/>
      <c r="N780" s="432"/>
      <c r="O780" s="432"/>
      <c r="P780" s="432"/>
      <c r="Q780" s="432"/>
      <c r="R780" s="432"/>
      <c r="S780" s="432"/>
      <c r="T780" s="432"/>
      <c r="U780" s="432"/>
      <c r="V780" s="432"/>
      <c r="W780" s="432"/>
      <c r="X780" s="432"/>
      <c r="Y780" s="432"/>
      <c r="Z780" s="432"/>
      <c r="AA780" s="432"/>
      <c r="AB780" s="432"/>
      <c r="AC780" s="432"/>
      <c r="AD780" s="432"/>
      <c r="AE780" s="432"/>
    </row>
    <row r="781">
      <c r="A781" s="432"/>
      <c r="B781" s="432"/>
      <c r="C781" s="432"/>
      <c r="D781" s="432"/>
      <c r="E781" s="432"/>
      <c r="F781" s="432"/>
      <c r="G781" s="432"/>
      <c r="H781" s="432"/>
      <c r="I781" s="432"/>
      <c r="J781" s="432"/>
      <c r="K781" s="432"/>
      <c r="L781" s="432"/>
      <c r="M781" s="432"/>
      <c r="N781" s="432"/>
      <c r="O781" s="432"/>
      <c r="P781" s="432"/>
      <c r="Q781" s="432"/>
      <c r="R781" s="432"/>
      <c r="S781" s="432"/>
      <c r="T781" s="432"/>
      <c r="U781" s="432"/>
      <c r="V781" s="432"/>
      <c r="W781" s="432"/>
      <c r="X781" s="432"/>
      <c r="Y781" s="432"/>
      <c r="Z781" s="432"/>
      <c r="AA781" s="432"/>
      <c r="AB781" s="432"/>
      <c r="AC781" s="432"/>
      <c r="AD781" s="432"/>
      <c r="AE781" s="432"/>
    </row>
    <row r="782">
      <c r="A782" s="432"/>
      <c r="B782" s="432"/>
      <c r="C782" s="432"/>
      <c r="D782" s="432"/>
      <c r="E782" s="432"/>
      <c r="F782" s="432"/>
      <c r="G782" s="432"/>
      <c r="H782" s="432"/>
      <c r="I782" s="432"/>
      <c r="J782" s="432"/>
      <c r="K782" s="432"/>
      <c r="L782" s="432"/>
      <c r="M782" s="432"/>
      <c r="N782" s="432"/>
      <c r="O782" s="432"/>
      <c r="P782" s="432"/>
      <c r="Q782" s="432"/>
      <c r="R782" s="432"/>
      <c r="S782" s="432"/>
      <c r="T782" s="432"/>
      <c r="U782" s="432"/>
      <c r="V782" s="432"/>
      <c r="W782" s="432"/>
      <c r="X782" s="432"/>
      <c r="Y782" s="432"/>
      <c r="Z782" s="432"/>
      <c r="AA782" s="432"/>
      <c r="AB782" s="432"/>
      <c r="AC782" s="432"/>
      <c r="AD782" s="432"/>
      <c r="AE782" s="432"/>
    </row>
    <row r="783">
      <c r="A783" s="432"/>
      <c r="B783" s="432"/>
      <c r="C783" s="432"/>
      <c r="D783" s="432"/>
      <c r="E783" s="432"/>
      <c r="F783" s="432"/>
      <c r="G783" s="432"/>
      <c r="H783" s="432"/>
      <c r="I783" s="432"/>
      <c r="J783" s="432"/>
      <c r="K783" s="432"/>
      <c r="L783" s="432"/>
      <c r="M783" s="432"/>
      <c r="N783" s="432"/>
      <c r="O783" s="432"/>
      <c r="P783" s="432"/>
      <c r="Q783" s="432"/>
      <c r="R783" s="432"/>
      <c r="S783" s="432"/>
      <c r="T783" s="432"/>
      <c r="U783" s="432"/>
      <c r="V783" s="432"/>
      <c r="W783" s="432"/>
      <c r="X783" s="432"/>
      <c r="Y783" s="432"/>
      <c r="Z783" s="432"/>
      <c r="AA783" s="432"/>
      <c r="AB783" s="432"/>
      <c r="AC783" s="432"/>
      <c r="AD783" s="432"/>
      <c r="AE783" s="432"/>
    </row>
    <row r="784">
      <c r="A784" s="432"/>
      <c r="B784" s="432"/>
      <c r="C784" s="432"/>
      <c r="D784" s="432"/>
      <c r="E784" s="432"/>
      <c r="F784" s="432"/>
      <c r="G784" s="432"/>
      <c r="H784" s="432"/>
      <c r="I784" s="432"/>
      <c r="J784" s="432"/>
      <c r="K784" s="432"/>
      <c r="L784" s="432"/>
      <c r="M784" s="432"/>
      <c r="N784" s="432"/>
      <c r="O784" s="432"/>
      <c r="P784" s="432"/>
      <c r="Q784" s="432"/>
      <c r="R784" s="432"/>
      <c r="S784" s="432"/>
      <c r="T784" s="432"/>
      <c r="U784" s="432"/>
      <c r="V784" s="432"/>
      <c r="W784" s="432"/>
      <c r="X784" s="432"/>
      <c r="Y784" s="432"/>
      <c r="Z784" s="432"/>
      <c r="AA784" s="432"/>
      <c r="AB784" s="432"/>
      <c r="AC784" s="432"/>
      <c r="AD784" s="432"/>
      <c r="AE784" s="432"/>
    </row>
    <row r="785">
      <c r="A785" s="432"/>
      <c r="B785" s="432"/>
      <c r="C785" s="432"/>
      <c r="D785" s="432"/>
      <c r="E785" s="432"/>
      <c r="F785" s="432"/>
      <c r="G785" s="432"/>
      <c r="H785" s="432"/>
      <c r="I785" s="432"/>
      <c r="J785" s="432"/>
      <c r="K785" s="432"/>
      <c r="L785" s="432"/>
      <c r="M785" s="432"/>
      <c r="N785" s="432"/>
      <c r="O785" s="432"/>
      <c r="P785" s="432"/>
      <c r="Q785" s="432"/>
      <c r="R785" s="432"/>
      <c r="S785" s="432"/>
      <c r="T785" s="432"/>
      <c r="U785" s="432"/>
      <c r="V785" s="432"/>
      <c r="W785" s="432"/>
      <c r="X785" s="432"/>
      <c r="Y785" s="432"/>
      <c r="Z785" s="432"/>
      <c r="AA785" s="432"/>
      <c r="AB785" s="432"/>
      <c r="AC785" s="432"/>
      <c r="AD785" s="432"/>
      <c r="AE785" s="432"/>
    </row>
    <row r="786">
      <c r="A786" s="432"/>
      <c r="B786" s="432"/>
      <c r="C786" s="432"/>
      <c r="D786" s="432"/>
      <c r="E786" s="432"/>
      <c r="F786" s="432"/>
      <c r="G786" s="432"/>
      <c r="H786" s="432"/>
      <c r="I786" s="432"/>
      <c r="J786" s="432"/>
      <c r="K786" s="432"/>
      <c r="L786" s="432"/>
      <c r="M786" s="432"/>
      <c r="N786" s="432"/>
      <c r="O786" s="432"/>
      <c r="P786" s="432"/>
      <c r="Q786" s="432"/>
      <c r="R786" s="432"/>
      <c r="S786" s="432"/>
      <c r="T786" s="432"/>
      <c r="U786" s="432"/>
      <c r="V786" s="432"/>
      <c r="W786" s="432"/>
      <c r="X786" s="432"/>
      <c r="Y786" s="432"/>
      <c r="Z786" s="432"/>
      <c r="AA786" s="432"/>
      <c r="AB786" s="432"/>
      <c r="AC786" s="432"/>
      <c r="AD786" s="432"/>
      <c r="AE786" s="432"/>
    </row>
    <row r="787">
      <c r="A787" s="432"/>
      <c r="B787" s="432"/>
      <c r="C787" s="432"/>
      <c r="D787" s="432"/>
      <c r="E787" s="432"/>
      <c r="F787" s="432"/>
      <c r="G787" s="432"/>
      <c r="H787" s="432"/>
      <c r="I787" s="432"/>
      <c r="J787" s="432"/>
      <c r="K787" s="432"/>
      <c r="L787" s="432"/>
      <c r="M787" s="432"/>
      <c r="N787" s="432"/>
      <c r="O787" s="432"/>
      <c r="P787" s="432"/>
      <c r="Q787" s="432"/>
      <c r="R787" s="432"/>
      <c r="S787" s="432"/>
      <c r="T787" s="432"/>
      <c r="U787" s="432"/>
      <c r="V787" s="432"/>
      <c r="W787" s="432"/>
      <c r="X787" s="432"/>
      <c r="Y787" s="432"/>
      <c r="Z787" s="432"/>
      <c r="AA787" s="432"/>
      <c r="AB787" s="432"/>
      <c r="AC787" s="432"/>
      <c r="AD787" s="432"/>
      <c r="AE787" s="432"/>
    </row>
    <row r="788">
      <c r="A788" s="432"/>
      <c r="B788" s="432"/>
      <c r="C788" s="432"/>
      <c r="D788" s="432"/>
      <c r="E788" s="432"/>
      <c r="F788" s="432"/>
      <c r="G788" s="432"/>
      <c r="H788" s="432"/>
      <c r="I788" s="432"/>
      <c r="J788" s="432"/>
      <c r="K788" s="432"/>
      <c r="L788" s="432"/>
      <c r="M788" s="432"/>
      <c r="N788" s="432"/>
      <c r="O788" s="432"/>
      <c r="P788" s="432"/>
      <c r="Q788" s="432"/>
      <c r="R788" s="432"/>
      <c r="S788" s="432"/>
      <c r="T788" s="432"/>
      <c r="U788" s="432"/>
      <c r="V788" s="432"/>
      <c r="W788" s="432"/>
      <c r="X788" s="432"/>
      <c r="Y788" s="432"/>
      <c r="Z788" s="432"/>
      <c r="AA788" s="432"/>
      <c r="AB788" s="432"/>
      <c r="AC788" s="432"/>
      <c r="AD788" s="432"/>
      <c r="AE788" s="432"/>
    </row>
    <row r="789">
      <c r="A789" s="432"/>
      <c r="B789" s="432"/>
      <c r="C789" s="432"/>
      <c r="D789" s="432"/>
      <c r="E789" s="432"/>
      <c r="F789" s="432"/>
      <c r="G789" s="432"/>
      <c r="H789" s="432"/>
      <c r="I789" s="432"/>
      <c r="J789" s="432"/>
      <c r="K789" s="432"/>
      <c r="L789" s="432"/>
      <c r="M789" s="432"/>
      <c r="N789" s="432"/>
      <c r="O789" s="432"/>
      <c r="P789" s="432"/>
      <c r="Q789" s="432"/>
      <c r="R789" s="432"/>
      <c r="S789" s="432"/>
      <c r="T789" s="432"/>
      <c r="U789" s="432"/>
      <c r="V789" s="432"/>
      <c r="W789" s="432"/>
      <c r="X789" s="432"/>
      <c r="Y789" s="432"/>
      <c r="Z789" s="432"/>
      <c r="AA789" s="432"/>
      <c r="AB789" s="432"/>
      <c r="AC789" s="432"/>
      <c r="AD789" s="432"/>
      <c r="AE789" s="432"/>
    </row>
    <row r="790">
      <c r="A790" s="432"/>
      <c r="B790" s="432"/>
      <c r="C790" s="432"/>
      <c r="D790" s="432"/>
      <c r="E790" s="432"/>
      <c r="F790" s="432"/>
      <c r="G790" s="432"/>
      <c r="H790" s="432"/>
      <c r="I790" s="432"/>
      <c r="J790" s="432"/>
      <c r="K790" s="432"/>
      <c r="L790" s="432"/>
      <c r="M790" s="432"/>
      <c r="N790" s="432"/>
      <c r="O790" s="432"/>
      <c r="P790" s="432"/>
      <c r="Q790" s="432"/>
      <c r="R790" s="432"/>
      <c r="S790" s="432"/>
      <c r="T790" s="432"/>
      <c r="U790" s="432"/>
      <c r="V790" s="432"/>
      <c r="W790" s="432"/>
      <c r="X790" s="432"/>
      <c r="Y790" s="432"/>
      <c r="Z790" s="432"/>
      <c r="AA790" s="432"/>
      <c r="AB790" s="432"/>
      <c r="AC790" s="432"/>
      <c r="AD790" s="432"/>
      <c r="AE790" s="432"/>
    </row>
    <row r="791">
      <c r="A791" s="432"/>
      <c r="B791" s="432"/>
      <c r="C791" s="432"/>
      <c r="D791" s="432"/>
      <c r="E791" s="432"/>
      <c r="F791" s="432"/>
      <c r="G791" s="432"/>
      <c r="H791" s="432"/>
      <c r="I791" s="432"/>
      <c r="J791" s="432"/>
      <c r="K791" s="432"/>
      <c r="L791" s="432"/>
      <c r="M791" s="432"/>
      <c r="N791" s="432"/>
      <c r="O791" s="432"/>
      <c r="P791" s="432"/>
      <c r="Q791" s="432"/>
      <c r="R791" s="432"/>
      <c r="S791" s="432"/>
      <c r="T791" s="432"/>
      <c r="U791" s="432"/>
      <c r="V791" s="432"/>
      <c r="W791" s="432"/>
      <c r="X791" s="432"/>
      <c r="Y791" s="432"/>
      <c r="Z791" s="432"/>
      <c r="AA791" s="432"/>
      <c r="AB791" s="432"/>
      <c r="AC791" s="432"/>
      <c r="AD791" s="432"/>
      <c r="AE791" s="432"/>
    </row>
    <row r="792">
      <c r="A792" s="432"/>
      <c r="B792" s="432"/>
      <c r="C792" s="432"/>
      <c r="D792" s="432"/>
      <c r="E792" s="432"/>
      <c r="F792" s="432"/>
      <c r="G792" s="432"/>
      <c r="H792" s="432"/>
      <c r="I792" s="432"/>
      <c r="J792" s="432"/>
      <c r="K792" s="432"/>
      <c r="L792" s="432"/>
      <c r="M792" s="432"/>
      <c r="N792" s="432"/>
      <c r="O792" s="432"/>
      <c r="P792" s="432"/>
      <c r="Q792" s="432"/>
      <c r="R792" s="432"/>
      <c r="S792" s="432"/>
      <c r="T792" s="432"/>
      <c r="U792" s="432"/>
      <c r="V792" s="432"/>
      <c r="W792" s="432"/>
      <c r="X792" s="432"/>
      <c r="Y792" s="432"/>
      <c r="Z792" s="432"/>
      <c r="AA792" s="432"/>
      <c r="AB792" s="432"/>
      <c r="AC792" s="432"/>
      <c r="AD792" s="432"/>
      <c r="AE792" s="432"/>
    </row>
    <row r="793">
      <c r="A793" s="432"/>
      <c r="B793" s="432"/>
      <c r="C793" s="432"/>
      <c r="D793" s="432"/>
      <c r="E793" s="432"/>
      <c r="F793" s="432"/>
      <c r="G793" s="432"/>
      <c r="H793" s="432"/>
      <c r="I793" s="432"/>
      <c r="J793" s="432"/>
      <c r="K793" s="432"/>
      <c r="L793" s="432"/>
      <c r="M793" s="432"/>
      <c r="N793" s="432"/>
      <c r="O793" s="432"/>
      <c r="P793" s="432"/>
      <c r="Q793" s="432"/>
      <c r="R793" s="432"/>
      <c r="S793" s="432"/>
      <c r="T793" s="432"/>
      <c r="U793" s="432"/>
      <c r="V793" s="432"/>
      <c r="W793" s="432"/>
      <c r="X793" s="432"/>
      <c r="Y793" s="432"/>
      <c r="Z793" s="432"/>
      <c r="AA793" s="432"/>
      <c r="AB793" s="432"/>
      <c r="AC793" s="432"/>
      <c r="AD793" s="432"/>
      <c r="AE793" s="432"/>
    </row>
    <row r="794">
      <c r="A794" s="432"/>
      <c r="B794" s="432"/>
      <c r="C794" s="432"/>
      <c r="D794" s="432"/>
      <c r="E794" s="432"/>
      <c r="F794" s="432"/>
      <c r="G794" s="432"/>
      <c r="H794" s="432"/>
      <c r="I794" s="432"/>
      <c r="J794" s="432"/>
      <c r="K794" s="432"/>
      <c r="L794" s="432"/>
      <c r="M794" s="432"/>
      <c r="N794" s="432"/>
      <c r="O794" s="432"/>
      <c r="P794" s="432"/>
      <c r="Q794" s="432"/>
      <c r="R794" s="432"/>
      <c r="S794" s="432"/>
      <c r="T794" s="432"/>
      <c r="U794" s="432"/>
      <c r="V794" s="432"/>
      <c r="W794" s="432"/>
      <c r="X794" s="432"/>
      <c r="Y794" s="432"/>
      <c r="Z794" s="432"/>
      <c r="AA794" s="432"/>
      <c r="AB794" s="432"/>
      <c r="AC794" s="432"/>
      <c r="AD794" s="432"/>
      <c r="AE794" s="432"/>
    </row>
    <row r="795">
      <c r="A795" s="432"/>
      <c r="B795" s="432"/>
      <c r="C795" s="432"/>
      <c r="D795" s="432"/>
      <c r="E795" s="432"/>
      <c r="F795" s="432"/>
      <c r="G795" s="432"/>
      <c r="H795" s="432"/>
      <c r="I795" s="432"/>
      <c r="J795" s="432"/>
      <c r="K795" s="432"/>
      <c r="L795" s="432"/>
      <c r="M795" s="432"/>
      <c r="N795" s="432"/>
      <c r="O795" s="432"/>
      <c r="P795" s="432"/>
      <c r="Q795" s="432"/>
      <c r="R795" s="432"/>
      <c r="S795" s="432"/>
      <c r="T795" s="432"/>
      <c r="U795" s="432"/>
      <c r="V795" s="432"/>
      <c r="W795" s="432"/>
      <c r="X795" s="432"/>
      <c r="Y795" s="432"/>
      <c r="Z795" s="432"/>
      <c r="AA795" s="432"/>
      <c r="AB795" s="432"/>
      <c r="AC795" s="432"/>
      <c r="AD795" s="432"/>
      <c r="AE795" s="432"/>
    </row>
    <row r="796">
      <c r="A796" s="432"/>
      <c r="B796" s="432"/>
      <c r="C796" s="432"/>
      <c r="D796" s="432"/>
      <c r="E796" s="432"/>
      <c r="F796" s="432"/>
      <c r="G796" s="432"/>
      <c r="H796" s="432"/>
      <c r="I796" s="432"/>
      <c r="J796" s="432"/>
      <c r="K796" s="432"/>
      <c r="L796" s="432"/>
      <c r="M796" s="432"/>
      <c r="N796" s="432"/>
      <c r="O796" s="432"/>
      <c r="P796" s="432"/>
      <c r="Q796" s="432"/>
      <c r="R796" s="432"/>
      <c r="S796" s="432"/>
      <c r="T796" s="432"/>
      <c r="U796" s="432"/>
      <c r="V796" s="432"/>
      <c r="W796" s="432"/>
      <c r="X796" s="432"/>
      <c r="Y796" s="432"/>
      <c r="Z796" s="432"/>
      <c r="AA796" s="432"/>
      <c r="AB796" s="432"/>
      <c r="AC796" s="432"/>
      <c r="AD796" s="432"/>
      <c r="AE796" s="432"/>
    </row>
    <row r="797">
      <c r="A797" s="432"/>
      <c r="B797" s="432"/>
      <c r="C797" s="432"/>
      <c r="D797" s="432"/>
      <c r="E797" s="432"/>
      <c r="F797" s="432"/>
      <c r="G797" s="432"/>
      <c r="H797" s="432"/>
      <c r="I797" s="432"/>
      <c r="J797" s="432"/>
      <c r="K797" s="432"/>
      <c r="L797" s="432"/>
      <c r="M797" s="432"/>
      <c r="N797" s="432"/>
      <c r="O797" s="432"/>
      <c r="P797" s="432"/>
      <c r="Q797" s="432"/>
      <c r="R797" s="432"/>
      <c r="S797" s="432"/>
      <c r="T797" s="432"/>
      <c r="U797" s="432"/>
      <c r="V797" s="432"/>
      <c r="W797" s="432"/>
      <c r="X797" s="432"/>
      <c r="Y797" s="432"/>
      <c r="Z797" s="432"/>
      <c r="AA797" s="432"/>
      <c r="AB797" s="432"/>
      <c r="AC797" s="432"/>
      <c r="AD797" s="432"/>
      <c r="AE797" s="432"/>
    </row>
    <row r="798">
      <c r="A798" s="432"/>
      <c r="B798" s="432"/>
      <c r="C798" s="432"/>
      <c r="D798" s="432"/>
      <c r="E798" s="432"/>
      <c r="F798" s="432"/>
      <c r="G798" s="432"/>
      <c r="H798" s="432"/>
      <c r="I798" s="432"/>
      <c r="J798" s="432"/>
      <c r="K798" s="432"/>
      <c r="L798" s="432"/>
      <c r="M798" s="432"/>
      <c r="N798" s="432"/>
      <c r="O798" s="432"/>
      <c r="P798" s="432"/>
      <c r="Q798" s="432"/>
      <c r="R798" s="432"/>
      <c r="S798" s="432"/>
      <c r="T798" s="432"/>
      <c r="U798" s="432"/>
      <c r="V798" s="432"/>
      <c r="W798" s="432"/>
      <c r="X798" s="432"/>
      <c r="Y798" s="432"/>
      <c r="Z798" s="432"/>
      <c r="AA798" s="432"/>
      <c r="AB798" s="432"/>
      <c r="AC798" s="432"/>
      <c r="AD798" s="432"/>
      <c r="AE798" s="432"/>
    </row>
    <row r="799">
      <c r="A799" s="432"/>
      <c r="B799" s="432"/>
      <c r="C799" s="432"/>
      <c r="D799" s="432"/>
      <c r="E799" s="432"/>
      <c r="F799" s="432"/>
      <c r="G799" s="432"/>
      <c r="H799" s="432"/>
      <c r="I799" s="432"/>
      <c r="J799" s="432"/>
      <c r="K799" s="432"/>
      <c r="L799" s="432"/>
      <c r="M799" s="432"/>
      <c r="N799" s="432"/>
      <c r="O799" s="432"/>
      <c r="P799" s="432"/>
      <c r="Q799" s="432"/>
      <c r="R799" s="432"/>
      <c r="S799" s="432"/>
      <c r="T799" s="432"/>
      <c r="U799" s="432"/>
      <c r="V799" s="432"/>
      <c r="W799" s="432"/>
      <c r="X799" s="432"/>
      <c r="Y799" s="432"/>
      <c r="Z799" s="432"/>
      <c r="AA799" s="432"/>
      <c r="AB799" s="432"/>
      <c r="AC799" s="432"/>
      <c r="AD799" s="432"/>
      <c r="AE799" s="432"/>
    </row>
    <row r="800">
      <c r="A800" s="432"/>
      <c r="B800" s="432"/>
      <c r="C800" s="432"/>
      <c r="D800" s="432"/>
      <c r="E800" s="432"/>
      <c r="F800" s="432"/>
      <c r="G800" s="432"/>
      <c r="H800" s="432"/>
      <c r="I800" s="432"/>
      <c r="J800" s="432"/>
      <c r="K800" s="432"/>
      <c r="L800" s="432"/>
      <c r="M800" s="432"/>
      <c r="N800" s="432"/>
      <c r="O800" s="432"/>
      <c r="P800" s="432"/>
      <c r="Q800" s="432"/>
      <c r="R800" s="432"/>
      <c r="S800" s="432"/>
      <c r="T800" s="432"/>
      <c r="U800" s="432"/>
      <c r="V800" s="432"/>
      <c r="W800" s="432"/>
      <c r="X800" s="432"/>
      <c r="Y800" s="432"/>
      <c r="Z800" s="432"/>
      <c r="AA800" s="432"/>
      <c r="AB800" s="432"/>
      <c r="AC800" s="432"/>
      <c r="AD800" s="432"/>
      <c r="AE800" s="432"/>
    </row>
    <row r="801">
      <c r="A801" s="432"/>
      <c r="B801" s="432"/>
      <c r="C801" s="432"/>
      <c r="D801" s="432"/>
      <c r="E801" s="432"/>
      <c r="F801" s="432"/>
      <c r="G801" s="432"/>
      <c r="H801" s="432"/>
      <c r="I801" s="432"/>
      <c r="J801" s="432"/>
      <c r="K801" s="432"/>
      <c r="L801" s="432"/>
      <c r="M801" s="432"/>
      <c r="N801" s="432"/>
      <c r="O801" s="432"/>
      <c r="P801" s="432"/>
      <c r="Q801" s="432"/>
      <c r="R801" s="432"/>
      <c r="S801" s="432"/>
      <c r="T801" s="432"/>
      <c r="U801" s="432"/>
      <c r="V801" s="432"/>
      <c r="W801" s="432"/>
      <c r="X801" s="432"/>
      <c r="Y801" s="432"/>
      <c r="Z801" s="432"/>
      <c r="AA801" s="432"/>
      <c r="AB801" s="432"/>
      <c r="AC801" s="432"/>
      <c r="AD801" s="432"/>
      <c r="AE801" s="432"/>
    </row>
    <row r="802">
      <c r="A802" s="432"/>
      <c r="B802" s="432"/>
      <c r="C802" s="432"/>
      <c r="D802" s="432"/>
      <c r="E802" s="432"/>
      <c r="F802" s="432"/>
      <c r="G802" s="432"/>
      <c r="H802" s="432"/>
      <c r="I802" s="432"/>
      <c r="J802" s="432"/>
      <c r="K802" s="432"/>
      <c r="L802" s="432"/>
      <c r="M802" s="432"/>
      <c r="N802" s="432"/>
      <c r="O802" s="432"/>
      <c r="P802" s="432"/>
      <c r="Q802" s="432"/>
      <c r="R802" s="432"/>
      <c r="S802" s="432"/>
      <c r="T802" s="432"/>
      <c r="U802" s="432"/>
      <c r="V802" s="432"/>
      <c r="W802" s="432"/>
      <c r="X802" s="432"/>
      <c r="Y802" s="432"/>
      <c r="Z802" s="432"/>
      <c r="AA802" s="432"/>
      <c r="AB802" s="432"/>
      <c r="AC802" s="432"/>
      <c r="AD802" s="432"/>
      <c r="AE802" s="432"/>
    </row>
    <row r="803">
      <c r="A803" s="432"/>
      <c r="B803" s="432"/>
      <c r="C803" s="432"/>
      <c r="D803" s="432"/>
      <c r="E803" s="432"/>
      <c r="F803" s="432"/>
      <c r="G803" s="432"/>
      <c r="H803" s="432"/>
      <c r="I803" s="432"/>
      <c r="J803" s="432"/>
      <c r="K803" s="432"/>
      <c r="L803" s="432"/>
      <c r="M803" s="432"/>
      <c r="N803" s="432"/>
      <c r="O803" s="432"/>
      <c r="P803" s="432"/>
      <c r="Q803" s="432"/>
      <c r="R803" s="432"/>
      <c r="S803" s="432"/>
      <c r="T803" s="432"/>
      <c r="U803" s="432"/>
      <c r="V803" s="432"/>
      <c r="W803" s="432"/>
      <c r="X803" s="432"/>
      <c r="Y803" s="432"/>
      <c r="Z803" s="432"/>
      <c r="AA803" s="432"/>
      <c r="AB803" s="432"/>
      <c r="AC803" s="432"/>
      <c r="AD803" s="432"/>
      <c r="AE803" s="432"/>
    </row>
    <row r="804">
      <c r="A804" s="432"/>
      <c r="B804" s="432"/>
      <c r="C804" s="432"/>
      <c r="D804" s="432"/>
      <c r="E804" s="432"/>
      <c r="F804" s="432"/>
      <c r="G804" s="432"/>
      <c r="H804" s="432"/>
      <c r="I804" s="432"/>
      <c r="J804" s="432"/>
      <c r="K804" s="432"/>
      <c r="L804" s="432"/>
      <c r="M804" s="432"/>
      <c r="N804" s="432"/>
      <c r="O804" s="432"/>
      <c r="P804" s="432"/>
      <c r="Q804" s="432"/>
      <c r="R804" s="432"/>
      <c r="S804" s="432"/>
      <c r="T804" s="432"/>
      <c r="U804" s="432"/>
      <c r="V804" s="432"/>
      <c r="W804" s="432"/>
      <c r="X804" s="432"/>
      <c r="Y804" s="432"/>
      <c r="Z804" s="432"/>
      <c r="AA804" s="432"/>
      <c r="AB804" s="432"/>
      <c r="AC804" s="432"/>
      <c r="AD804" s="432"/>
      <c r="AE804" s="432"/>
    </row>
    <row r="805">
      <c r="A805" s="432"/>
      <c r="B805" s="432"/>
      <c r="C805" s="432"/>
      <c r="D805" s="432"/>
      <c r="E805" s="432"/>
      <c r="F805" s="432"/>
      <c r="G805" s="432"/>
      <c r="H805" s="432"/>
      <c r="I805" s="432"/>
      <c r="J805" s="432"/>
      <c r="K805" s="432"/>
      <c r="L805" s="432"/>
      <c r="M805" s="432"/>
      <c r="N805" s="432"/>
      <c r="O805" s="432"/>
      <c r="P805" s="432"/>
      <c r="Q805" s="432"/>
      <c r="R805" s="432"/>
      <c r="S805" s="432"/>
      <c r="T805" s="432"/>
      <c r="U805" s="432"/>
      <c r="V805" s="432"/>
      <c r="W805" s="432"/>
      <c r="X805" s="432"/>
      <c r="Y805" s="432"/>
      <c r="Z805" s="432"/>
      <c r="AA805" s="432"/>
      <c r="AB805" s="432"/>
      <c r="AC805" s="432"/>
      <c r="AD805" s="432"/>
      <c r="AE805" s="432"/>
    </row>
    <row r="806">
      <c r="A806" s="432"/>
      <c r="B806" s="432"/>
      <c r="C806" s="432"/>
      <c r="D806" s="432"/>
      <c r="E806" s="432"/>
      <c r="F806" s="432"/>
      <c r="G806" s="432"/>
      <c r="H806" s="432"/>
      <c r="I806" s="432"/>
      <c r="J806" s="432"/>
      <c r="K806" s="432"/>
      <c r="L806" s="432"/>
      <c r="M806" s="432"/>
      <c r="N806" s="432"/>
      <c r="O806" s="432"/>
      <c r="P806" s="432"/>
      <c r="Q806" s="432"/>
      <c r="R806" s="432"/>
      <c r="S806" s="432"/>
      <c r="T806" s="432"/>
      <c r="U806" s="432"/>
      <c r="V806" s="432"/>
      <c r="W806" s="432"/>
      <c r="X806" s="432"/>
      <c r="Y806" s="432"/>
      <c r="Z806" s="432"/>
      <c r="AA806" s="432"/>
      <c r="AB806" s="432"/>
      <c r="AC806" s="432"/>
      <c r="AD806" s="432"/>
      <c r="AE806" s="432"/>
    </row>
    <row r="807">
      <c r="A807" s="432"/>
      <c r="B807" s="432"/>
      <c r="C807" s="432"/>
      <c r="D807" s="432"/>
      <c r="E807" s="432"/>
      <c r="F807" s="432"/>
      <c r="G807" s="432"/>
      <c r="H807" s="432"/>
      <c r="I807" s="432"/>
      <c r="J807" s="432"/>
      <c r="K807" s="432"/>
      <c r="L807" s="432"/>
      <c r="M807" s="432"/>
      <c r="N807" s="432"/>
      <c r="O807" s="432"/>
      <c r="P807" s="432"/>
      <c r="Q807" s="432"/>
      <c r="R807" s="432"/>
      <c r="S807" s="432"/>
      <c r="T807" s="432"/>
      <c r="U807" s="432"/>
      <c r="V807" s="432"/>
      <c r="W807" s="432"/>
      <c r="X807" s="432"/>
      <c r="Y807" s="432"/>
      <c r="Z807" s="432"/>
      <c r="AA807" s="432"/>
      <c r="AB807" s="432"/>
      <c r="AC807" s="432"/>
      <c r="AD807" s="432"/>
      <c r="AE807" s="432"/>
    </row>
    <row r="808">
      <c r="A808" s="432"/>
      <c r="B808" s="432"/>
      <c r="C808" s="432"/>
      <c r="D808" s="432"/>
      <c r="E808" s="432"/>
      <c r="F808" s="432"/>
      <c r="G808" s="432"/>
      <c r="H808" s="432"/>
      <c r="I808" s="432"/>
      <c r="J808" s="432"/>
      <c r="K808" s="432"/>
      <c r="L808" s="432"/>
      <c r="M808" s="432"/>
      <c r="N808" s="432"/>
      <c r="O808" s="432"/>
      <c r="P808" s="432"/>
      <c r="Q808" s="432"/>
      <c r="R808" s="432"/>
      <c r="S808" s="432"/>
      <c r="T808" s="432"/>
      <c r="U808" s="432"/>
      <c r="V808" s="432"/>
      <c r="W808" s="432"/>
      <c r="X808" s="432"/>
      <c r="Y808" s="432"/>
      <c r="Z808" s="432"/>
      <c r="AA808" s="432"/>
      <c r="AB808" s="432"/>
      <c r="AC808" s="432"/>
      <c r="AD808" s="432"/>
      <c r="AE808" s="432"/>
    </row>
    <row r="809">
      <c r="A809" s="432"/>
      <c r="B809" s="432"/>
      <c r="C809" s="432"/>
      <c r="D809" s="432"/>
      <c r="E809" s="432"/>
      <c r="F809" s="432"/>
      <c r="G809" s="432"/>
      <c r="H809" s="432"/>
      <c r="I809" s="432"/>
      <c r="J809" s="432"/>
      <c r="K809" s="432"/>
      <c r="L809" s="432"/>
      <c r="M809" s="432"/>
      <c r="N809" s="432"/>
      <c r="O809" s="432"/>
      <c r="P809" s="432"/>
      <c r="Q809" s="432"/>
      <c r="R809" s="432"/>
      <c r="S809" s="432"/>
      <c r="T809" s="432"/>
      <c r="U809" s="432"/>
      <c r="V809" s="432"/>
      <c r="W809" s="432"/>
      <c r="X809" s="432"/>
      <c r="Y809" s="432"/>
      <c r="Z809" s="432"/>
      <c r="AA809" s="432"/>
      <c r="AB809" s="432"/>
      <c r="AC809" s="432"/>
      <c r="AD809" s="432"/>
      <c r="AE809" s="432"/>
    </row>
    <row r="810">
      <c r="A810" s="432"/>
      <c r="B810" s="432"/>
      <c r="C810" s="432"/>
      <c r="D810" s="432"/>
      <c r="E810" s="432"/>
      <c r="F810" s="432"/>
      <c r="G810" s="432"/>
      <c r="H810" s="432"/>
      <c r="I810" s="432"/>
      <c r="J810" s="432"/>
      <c r="K810" s="432"/>
      <c r="L810" s="432"/>
      <c r="M810" s="432"/>
      <c r="N810" s="432"/>
      <c r="O810" s="432"/>
      <c r="P810" s="432"/>
      <c r="Q810" s="432"/>
      <c r="R810" s="432"/>
      <c r="S810" s="432"/>
      <c r="T810" s="432"/>
      <c r="U810" s="432"/>
      <c r="V810" s="432"/>
      <c r="W810" s="432"/>
      <c r="X810" s="432"/>
      <c r="Y810" s="432"/>
      <c r="Z810" s="432"/>
      <c r="AA810" s="432"/>
      <c r="AB810" s="432"/>
      <c r="AC810" s="432"/>
      <c r="AD810" s="432"/>
      <c r="AE810" s="432"/>
    </row>
    <row r="811">
      <c r="A811" s="432"/>
      <c r="B811" s="432"/>
      <c r="C811" s="432"/>
      <c r="D811" s="432"/>
      <c r="E811" s="432"/>
      <c r="F811" s="432"/>
      <c r="G811" s="432"/>
      <c r="H811" s="432"/>
      <c r="I811" s="432"/>
      <c r="J811" s="432"/>
      <c r="K811" s="432"/>
      <c r="L811" s="432"/>
      <c r="M811" s="432"/>
      <c r="N811" s="432"/>
      <c r="O811" s="432"/>
      <c r="P811" s="432"/>
      <c r="Q811" s="432"/>
      <c r="R811" s="432"/>
      <c r="S811" s="432"/>
      <c r="T811" s="432"/>
      <c r="U811" s="432"/>
      <c r="V811" s="432"/>
      <c r="W811" s="432"/>
      <c r="X811" s="432"/>
      <c r="Y811" s="432"/>
      <c r="Z811" s="432"/>
      <c r="AA811" s="432"/>
      <c r="AB811" s="432"/>
      <c r="AC811" s="432"/>
      <c r="AD811" s="432"/>
      <c r="AE811" s="432"/>
    </row>
    <row r="812">
      <c r="A812" s="432"/>
      <c r="B812" s="432"/>
      <c r="C812" s="432"/>
      <c r="D812" s="432"/>
      <c r="E812" s="432"/>
      <c r="F812" s="432"/>
      <c r="G812" s="432"/>
      <c r="H812" s="432"/>
      <c r="I812" s="432"/>
      <c r="J812" s="432"/>
      <c r="K812" s="432"/>
      <c r="L812" s="432"/>
      <c r="M812" s="432"/>
      <c r="N812" s="432"/>
      <c r="O812" s="432"/>
      <c r="P812" s="432"/>
      <c r="Q812" s="432"/>
      <c r="R812" s="432"/>
      <c r="S812" s="432"/>
      <c r="T812" s="432"/>
      <c r="U812" s="432"/>
      <c r="V812" s="432"/>
      <c r="W812" s="432"/>
      <c r="X812" s="432"/>
      <c r="Y812" s="432"/>
      <c r="Z812" s="432"/>
      <c r="AA812" s="432"/>
      <c r="AB812" s="432"/>
      <c r="AC812" s="432"/>
      <c r="AD812" s="432"/>
      <c r="AE812" s="432"/>
    </row>
    <row r="813">
      <c r="A813" s="432"/>
      <c r="B813" s="432"/>
      <c r="C813" s="432"/>
      <c r="D813" s="432"/>
      <c r="E813" s="432"/>
      <c r="F813" s="432"/>
      <c r="G813" s="432"/>
      <c r="H813" s="432"/>
      <c r="I813" s="432"/>
      <c r="J813" s="432"/>
      <c r="K813" s="432"/>
      <c r="L813" s="432"/>
      <c r="M813" s="432"/>
      <c r="N813" s="432"/>
      <c r="O813" s="432"/>
      <c r="P813" s="432"/>
      <c r="Q813" s="432"/>
      <c r="R813" s="432"/>
      <c r="S813" s="432"/>
      <c r="T813" s="432"/>
      <c r="U813" s="432"/>
      <c r="V813" s="432"/>
      <c r="W813" s="432"/>
      <c r="X813" s="432"/>
      <c r="Y813" s="432"/>
      <c r="Z813" s="432"/>
      <c r="AA813" s="432"/>
      <c r="AB813" s="432"/>
      <c r="AC813" s="432"/>
      <c r="AD813" s="432"/>
      <c r="AE813" s="432"/>
    </row>
    <row r="814">
      <c r="A814" s="432"/>
      <c r="B814" s="432"/>
      <c r="C814" s="432"/>
      <c r="D814" s="432"/>
      <c r="E814" s="432"/>
      <c r="F814" s="432"/>
      <c r="G814" s="432"/>
      <c r="H814" s="432"/>
      <c r="I814" s="432"/>
      <c r="J814" s="432"/>
      <c r="K814" s="432"/>
      <c r="L814" s="432"/>
      <c r="M814" s="432"/>
      <c r="N814" s="432"/>
      <c r="O814" s="432"/>
      <c r="P814" s="432"/>
      <c r="Q814" s="432"/>
      <c r="R814" s="432"/>
      <c r="S814" s="432"/>
      <c r="T814" s="432"/>
      <c r="U814" s="432"/>
      <c r="V814" s="432"/>
      <c r="W814" s="432"/>
      <c r="X814" s="432"/>
      <c r="Y814" s="432"/>
      <c r="Z814" s="432"/>
      <c r="AA814" s="432"/>
      <c r="AB814" s="432"/>
      <c r="AC814" s="432"/>
      <c r="AD814" s="432"/>
      <c r="AE814" s="432"/>
    </row>
    <row r="815">
      <c r="A815" s="432"/>
      <c r="B815" s="432"/>
      <c r="C815" s="432"/>
      <c r="D815" s="432"/>
      <c r="E815" s="432"/>
      <c r="F815" s="432"/>
      <c r="G815" s="432"/>
      <c r="H815" s="432"/>
      <c r="I815" s="432"/>
      <c r="J815" s="432"/>
      <c r="K815" s="432"/>
      <c r="L815" s="432"/>
      <c r="M815" s="432"/>
      <c r="N815" s="432"/>
      <c r="O815" s="432"/>
      <c r="P815" s="432"/>
      <c r="Q815" s="432"/>
      <c r="R815" s="432"/>
      <c r="S815" s="432"/>
      <c r="T815" s="432"/>
      <c r="U815" s="432"/>
      <c r="V815" s="432"/>
      <c r="W815" s="432"/>
      <c r="X815" s="432"/>
      <c r="Y815" s="432"/>
      <c r="Z815" s="432"/>
      <c r="AA815" s="432"/>
      <c r="AB815" s="432"/>
      <c r="AC815" s="432"/>
      <c r="AD815" s="432"/>
      <c r="AE815" s="432"/>
    </row>
    <row r="816">
      <c r="A816" s="432"/>
      <c r="B816" s="432"/>
      <c r="C816" s="432"/>
      <c r="D816" s="432"/>
      <c r="E816" s="432"/>
      <c r="F816" s="432"/>
      <c r="G816" s="432"/>
      <c r="H816" s="432"/>
      <c r="I816" s="432"/>
      <c r="J816" s="432"/>
      <c r="K816" s="432"/>
      <c r="L816" s="432"/>
      <c r="M816" s="432"/>
      <c r="N816" s="432"/>
      <c r="O816" s="432"/>
      <c r="P816" s="432"/>
      <c r="Q816" s="432"/>
      <c r="R816" s="432"/>
      <c r="S816" s="432"/>
      <c r="T816" s="432"/>
      <c r="U816" s="432"/>
      <c r="V816" s="432"/>
      <c r="W816" s="432"/>
      <c r="X816" s="432"/>
      <c r="Y816" s="432"/>
      <c r="Z816" s="432"/>
      <c r="AA816" s="432"/>
      <c r="AB816" s="432"/>
      <c r="AC816" s="432"/>
      <c r="AD816" s="432"/>
      <c r="AE816" s="432"/>
    </row>
    <row r="817">
      <c r="A817" s="432"/>
      <c r="B817" s="432"/>
      <c r="C817" s="432"/>
      <c r="D817" s="432"/>
      <c r="E817" s="432"/>
      <c r="F817" s="432"/>
      <c r="G817" s="432"/>
      <c r="H817" s="432"/>
      <c r="I817" s="432"/>
      <c r="J817" s="432"/>
      <c r="K817" s="432"/>
      <c r="L817" s="432"/>
      <c r="M817" s="432"/>
      <c r="N817" s="432"/>
      <c r="O817" s="432"/>
      <c r="P817" s="432"/>
      <c r="Q817" s="432"/>
      <c r="R817" s="432"/>
      <c r="S817" s="432"/>
      <c r="T817" s="432"/>
      <c r="U817" s="432"/>
      <c r="V817" s="432"/>
      <c r="W817" s="432"/>
      <c r="X817" s="432"/>
      <c r="Y817" s="432"/>
      <c r="Z817" s="432"/>
      <c r="AA817" s="432"/>
      <c r="AB817" s="432"/>
      <c r="AC817" s="432"/>
      <c r="AD817" s="432"/>
      <c r="AE817" s="432"/>
    </row>
    <row r="818">
      <c r="A818" s="432"/>
      <c r="B818" s="432"/>
      <c r="C818" s="432"/>
      <c r="D818" s="432"/>
      <c r="E818" s="432"/>
      <c r="F818" s="432"/>
      <c r="G818" s="432"/>
      <c r="H818" s="432"/>
      <c r="I818" s="432"/>
      <c r="J818" s="432"/>
      <c r="K818" s="432"/>
      <c r="L818" s="432"/>
      <c r="M818" s="432"/>
      <c r="N818" s="432"/>
      <c r="O818" s="432"/>
      <c r="P818" s="432"/>
      <c r="Q818" s="432"/>
      <c r="R818" s="432"/>
      <c r="S818" s="432"/>
      <c r="T818" s="432"/>
      <c r="U818" s="432"/>
      <c r="V818" s="432"/>
      <c r="W818" s="432"/>
      <c r="X818" s="432"/>
      <c r="Y818" s="432"/>
      <c r="Z818" s="432"/>
      <c r="AA818" s="432"/>
      <c r="AB818" s="432"/>
      <c r="AC818" s="432"/>
      <c r="AD818" s="432"/>
      <c r="AE818" s="432"/>
    </row>
    <row r="819">
      <c r="A819" s="432"/>
      <c r="B819" s="432"/>
      <c r="C819" s="432"/>
      <c r="D819" s="432"/>
      <c r="E819" s="432"/>
      <c r="F819" s="432"/>
      <c r="G819" s="432"/>
      <c r="H819" s="432"/>
      <c r="I819" s="432"/>
      <c r="J819" s="432"/>
      <c r="K819" s="432"/>
      <c r="L819" s="432"/>
      <c r="M819" s="432"/>
      <c r="N819" s="432"/>
      <c r="O819" s="432"/>
      <c r="P819" s="432"/>
      <c r="Q819" s="432"/>
      <c r="R819" s="432"/>
      <c r="S819" s="432"/>
      <c r="T819" s="432"/>
      <c r="U819" s="432"/>
      <c r="V819" s="432"/>
      <c r="W819" s="432"/>
      <c r="X819" s="432"/>
      <c r="Y819" s="432"/>
      <c r="Z819" s="432"/>
      <c r="AA819" s="432"/>
      <c r="AB819" s="432"/>
      <c r="AC819" s="432"/>
      <c r="AD819" s="432"/>
      <c r="AE819" s="432"/>
    </row>
    <row r="820">
      <c r="A820" s="432"/>
      <c r="B820" s="432"/>
      <c r="C820" s="432"/>
      <c r="D820" s="432"/>
      <c r="E820" s="432"/>
      <c r="F820" s="432"/>
      <c r="G820" s="432"/>
      <c r="H820" s="432"/>
      <c r="I820" s="432"/>
      <c r="J820" s="432"/>
      <c r="K820" s="432"/>
      <c r="L820" s="432"/>
      <c r="M820" s="432"/>
      <c r="N820" s="432"/>
      <c r="O820" s="432"/>
      <c r="P820" s="432"/>
      <c r="Q820" s="432"/>
      <c r="R820" s="432"/>
      <c r="S820" s="432"/>
      <c r="T820" s="432"/>
      <c r="U820" s="432"/>
      <c r="V820" s="432"/>
      <c r="W820" s="432"/>
      <c r="X820" s="432"/>
      <c r="Y820" s="432"/>
      <c r="Z820" s="432"/>
      <c r="AA820" s="432"/>
      <c r="AB820" s="432"/>
      <c r="AC820" s="432"/>
      <c r="AD820" s="432"/>
      <c r="AE820" s="432"/>
    </row>
    <row r="821">
      <c r="A821" s="432"/>
      <c r="B821" s="432"/>
      <c r="C821" s="432"/>
      <c r="D821" s="432"/>
      <c r="E821" s="432"/>
      <c r="F821" s="432"/>
      <c r="G821" s="432"/>
      <c r="H821" s="432"/>
      <c r="I821" s="432"/>
      <c r="J821" s="432"/>
      <c r="K821" s="432"/>
      <c r="L821" s="432"/>
      <c r="M821" s="432"/>
      <c r="N821" s="432"/>
      <c r="O821" s="432"/>
      <c r="P821" s="432"/>
      <c r="Q821" s="432"/>
      <c r="R821" s="432"/>
      <c r="S821" s="432"/>
      <c r="T821" s="432"/>
      <c r="U821" s="432"/>
      <c r="V821" s="432"/>
      <c r="W821" s="432"/>
      <c r="X821" s="432"/>
      <c r="Y821" s="432"/>
      <c r="Z821" s="432"/>
      <c r="AA821" s="432"/>
      <c r="AB821" s="432"/>
      <c r="AC821" s="432"/>
      <c r="AD821" s="432"/>
      <c r="AE821" s="432"/>
    </row>
    <row r="822">
      <c r="A822" s="432"/>
      <c r="B822" s="432"/>
      <c r="C822" s="432"/>
      <c r="D822" s="432"/>
      <c r="E822" s="432"/>
      <c r="F822" s="432"/>
      <c r="G822" s="432"/>
      <c r="H822" s="432"/>
      <c r="I822" s="432"/>
      <c r="J822" s="432"/>
      <c r="K822" s="432"/>
      <c r="L822" s="432"/>
      <c r="M822" s="432"/>
      <c r="N822" s="432"/>
      <c r="O822" s="432"/>
      <c r="P822" s="432"/>
      <c r="Q822" s="432"/>
      <c r="R822" s="432"/>
      <c r="S822" s="432"/>
      <c r="T822" s="432"/>
      <c r="U822" s="432"/>
      <c r="V822" s="432"/>
      <c r="W822" s="432"/>
      <c r="X822" s="432"/>
      <c r="Y822" s="432"/>
      <c r="Z822" s="432"/>
      <c r="AA822" s="432"/>
      <c r="AB822" s="432"/>
      <c r="AC822" s="432"/>
      <c r="AD822" s="432"/>
      <c r="AE822" s="432"/>
    </row>
    <row r="823">
      <c r="A823" s="432"/>
      <c r="B823" s="432"/>
      <c r="C823" s="432"/>
      <c r="D823" s="432"/>
      <c r="E823" s="432"/>
      <c r="F823" s="432"/>
      <c r="G823" s="432"/>
      <c r="H823" s="432"/>
      <c r="I823" s="432"/>
      <c r="J823" s="432"/>
      <c r="K823" s="432"/>
      <c r="L823" s="432"/>
      <c r="M823" s="432"/>
      <c r="N823" s="432"/>
      <c r="O823" s="432"/>
      <c r="P823" s="432"/>
      <c r="Q823" s="432"/>
      <c r="R823" s="432"/>
      <c r="S823" s="432"/>
      <c r="T823" s="432"/>
      <c r="U823" s="432"/>
      <c r="V823" s="432"/>
      <c r="W823" s="432"/>
      <c r="X823" s="432"/>
      <c r="Y823" s="432"/>
      <c r="Z823" s="432"/>
      <c r="AA823" s="432"/>
      <c r="AB823" s="432"/>
      <c r="AC823" s="432"/>
      <c r="AD823" s="432"/>
      <c r="AE823" s="432"/>
    </row>
    <row r="824">
      <c r="A824" s="432"/>
      <c r="B824" s="432"/>
      <c r="C824" s="432"/>
      <c r="D824" s="432"/>
      <c r="E824" s="432"/>
      <c r="F824" s="432"/>
      <c r="G824" s="432"/>
      <c r="H824" s="432"/>
      <c r="I824" s="432"/>
      <c r="J824" s="432"/>
      <c r="K824" s="432"/>
      <c r="L824" s="432"/>
      <c r="M824" s="432"/>
      <c r="N824" s="432"/>
      <c r="O824" s="432"/>
      <c r="P824" s="432"/>
      <c r="Q824" s="432"/>
      <c r="R824" s="432"/>
      <c r="S824" s="432"/>
      <c r="T824" s="432"/>
      <c r="U824" s="432"/>
      <c r="V824" s="432"/>
      <c r="W824" s="432"/>
      <c r="X824" s="432"/>
      <c r="Y824" s="432"/>
      <c r="Z824" s="432"/>
      <c r="AA824" s="432"/>
      <c r="AB824" s="432"/>
      <c r="AC824" s="432"/>
      <c r="AD824" s="432"/>
      <c r="AE824" s="432"/>
    </row>
    <row r="825">
      <c r="A825" s="432"/>
      <c r="B825" s="432"/>
      <c r="C825" s="432"/>
      <c r="D825" s="432"/>
      <c r="E825" s="432"/>
      <c r="F825" s="432"/>
      <c r="G825" s="432"/>
      <c r="H825" s="432"/>
      <c r="I825" s="432"/>
      <c r="J825" s="432"/>
      <c r="K825" s="432"/>
      <c r="L825" s="432"/>
      <c r="M825" s="432"/>
      <c r="N825" s="432"/>
      <c r="O825" s="432"/>
      <c r="P825" s="432"/>
      <c r="Q825" s="432"/>
      <c r="R825" s="432"/>
      <c r="S825" s="432"/>
      <c r="T825" s="432"/>
      <c r="U825" s="432"/>
      <c r="V825" s="432"/>
      <c r="W825" s="432"/>
      <c r="X825" s="432"/>
      <c r="Y825" s="432"/>
      <c r="Z825" s="432"/>
      <c r="AA825" s="432"/>
      <c r="AB825" s="432"/>
      <c r="AC825" s="432"/>
      <c r="AD825" s="432"/>
      <c r="AE825" s="432"/>
    </row>
    <row r="826">
      <c r="A826" s="432"/>
      <c r="B826" s="432"/>
      <c r="C826" s="432"/>
      <c r="D826" s="432"/>
      <c r="E826" s="432"/>
      <c r="F826" s="432"/>
      <c r="G826" s="432"/>
      <c r="H826" s="432"/>
      <c r="I826" s="432"/>
      <c r="J826" s="432"/>
      <c r="K826" s="432"/>
      <c r="L826" s="432"/>
      <c r="M826" s="432"/>
      <c r="N826" s="432"/>
      <c r="O826" s="432"/>
      <c r="P826" s="432"/>
      <c r="Q826" s="432"/>
      <c r="R826" s="432"/>
      <c r="S826" s="432"/>
      <c r="T826" s="432"/>
      <c r="U826" s="432"/>
      <c r="V826" s="432"/>
      <c r="W826" s="432"/>
      <c r="X826" s="432"/>
      <c r="Y826" s="432"/>
      <c r="Z826" s="432"/>
      <c r="AA826" s="432"/>
      <c r="AB826" s="432"/>
      <c r="AC826" s="432"/>
      <c r="AD826" s="432"/>
      <c r="AE826" s="432"/>
    </row>
    <row r="827">
      <c r="A827" s="432"/>
      <c r="B827" s="432"/>
      <c r="C827" s="432"/>
      <c r="D827" s="432"/>
      <c r="E827" s="432"/>
      <c r="F827" s="432"/>
      <c r="G827" s="432"/>
      <c r="H827" s="432"/>
      <c r="I827" s="432"/>
      <c r="J827" s="432"/>
      <c r="K827" s="432"/>
      <c r="L827" s="432"/>
      <c r="M827" s="432"/>
      <c r="N827" s="432"/>
      <c r="O827" s="432"/>
      <c r="P827" s="432"/>
      <c r="Q827" s="432"/>
      <c r="R827" s="432"/>
      <c r="S827" s="432"/>
      <c r="T827" s="432"/>
      <c r="U827" s="432"/>
      <c r="V827" s="432"/>
      <c r="W827" s="432"/>
      <c r="X827" s="432"/>
      <c r="Y827" s="432"/>
      <c r="Z827" s="432"/>
      <c r="AA827" s="432"/>
      <c r="AB827" s="432"/>
      <c r="AC827" s="432"/>
      <c r="AD827" s="432"/>
      <c r="AE827" s="432"/>
    </row>
    <row r="828">
      <c r="A828" s="432"/>
      <c r="B828" s="432"/>
      <c r="C828" s="432"/>
      <c r="D828" s="432"/>
      <c r="E828" s="432"/>
      <c r="F828" s="432"/>
      <c r="G828" s="432"/>
      <c r="H828" s="432"/>
      <c r="I828" s="432"/>
      <c r="J828" s="432"/>
      <c r="K828" s="432"/>
      <c r="L828" s="432"/>
      <c r="M828" s="432"/>
      <c r="N828" s="432"/>
      <c r="O828" s="432"/>
      <c r="P828" s="432"/>
      <c r="Q828" s="432"/>
      <c r="R828" s="432"/>
      <c r="S828" s="432"/>
      <c r="T828" s="432"/>
      <c r="U828" s="432"/>
      <c r="V828" s="432"/>
      <c r="W828" s="432"/>
      <c r="X828" s="432"/>
      <c r="Y828" s="432"/>
      <c r="Z828" s="432"/>
      <c r="AA828" s="432"/>
      <c r="AB828" s="432"/>
      <c r="AC828" s="432"/>
      <c r="AD828" s="432"/>
      <c r="AE828" s="432"/>
    </row>
    <row r="829">
      <c r="A829" s="432"/>
      <c r="B829" s="432"/>
      <c r="C829" s="432"/>
      <c r="D829" s="432"/>
      <c r="E829" s="432"/>
      <c r="F829" s="432"/>
      <c r="G829" s="432"/>
      <c r="H829" s="432"/>
      <c r="I829" s="432"/>
      <c r="J829" s="432"/>
      <c r="K829" s="432"/>
      <c r="L829" s="432"/>
      <c r="M829" s="432"/>
      <c r="N829" s="432"/>
      <c r="O829" s="432"/>
      <c r="P829" s="432"/>
      <c r="Q829" s="432"/>
      <c r="R829" s="432"/>
      <c r="S829" s="432"/>
      <c r="T829" s="432"/>
      <c r="U829" s="432"/>
      <c r="V829" s="432"/>
      <c r="W829" s="432"/>
      <c r="X829" s="432"/>
      <c r="Y829" s="432"/>
      <c r="Z829" s="432"/>
      <c r="AA829" s="432"/>
      <c r="AB829" s="432"/>
      <c r="AC829" s="432"/>
      <c r="AD829" s="432"/>
      <c r="AE829" s="432"/>
    </row>
    <row r="830">
      <c r="A830" s="432"/>
      <c r="B830" s="432"/>
      <c r="C830" s="432"/>
      <c r="D830" s="432"/>
      <c r="E830" s="432"/>
      <c r="F830" s="432"/>
      <c r="G830" s="432"/>
      <c r="H830" s="432"/>
      <c r="I830" s="432"/>
      <c r="J830" s="432"/>
      <c r="K830" s="432"/>
      <c r="L830" s="432"/>
      <c r="M830" s="432"/>
      <c r="N830" s="432"/>
      <c r="O830" s="432"/>
      <c r="P830" s="432"/>
      <c r="Q830" s="432"/>
      <c r="R830" s="432"/>
      <c r="S830" s="432"/>
      <c r="T830" s="432"/>
      <c r="U830" s="432"/>
      <c r="V830" s="432"/>
      <c r="W830" s="432"/>
      <c r="X830" s="432"/>
      <c r="Y830" s="432"/>
      <c r="Z830" s="432"/>
      <c r="AA830" s="432"/>
      <c r="AB830" s="432"/>
      <c r="AC830" s="432"/>
      <c r="AD830" s="432"/>
      <c r="AE830" s="432"/>
    </row>
    <row r="831">
      <c r="A831" s="432"/>
      <c r="B831" s="432"/>
      <c r="C831" s="432"/>
      <c r="D831" s="432"/>
      <c r="E831" s="432"/>
      <c r="F831" s="432"/>
      <c r="G831" s="432"/>
      <c r="H831" s="432"/>
      <c r="I831" s="432"/>
      <c r="J831" s="432"/>
      <c r="K831" s="432"/>
      <c r="L831" s="432"/>
      <c r="M831" s="432"/>
      <c r="N831" s="432"/>
      <c r="O831" s="432"/>
      <c r="P831" s="432"/>
      <c r="Q831" s="432"/>
      <c r="R831" s="432"/>
      <c r="S831" s="432"/>
      <c r="T831" s="432"/>
      <c r="U831" s="432"/>
      <c r="V831" s="432"/>
      <c r="W831" s="432"/>
      <c r="X831" s="432"/>
      <c r="Y831" s="432"/>
      <c r="Z831" s="432"/>
      <c r="AA831" s="432"/>
      <c r="AB831" s="432"/>
      <c r="AC831" s="432"/>
      <c r="AD831" s="432"/>
      <c r="AE831" s="432"/>
    </row>
    <row r="832">
      <c r="A832" s="432"/>
      <c r="B832" s="432"/>
      <c r="C832" s="432"/>
      <c r="D832" s="432"/>
      <c r="E832" s="432"/>
      <c r="F832" s="432"/>
      <c r="G832" s="432"/>
      <c r="H832" s="432"/>
      <c r="I832" s="432"/>
      <c r="J832" s="432"/>
      <c r="K832" s="432"/>
      <c r="L832" s="432"/>
      <c r="M832" s="432"/>
      <c r="N832" s="432"/>
      <c r="O832" s="432"/>
      <c r="P832" s="432"/>
      <c r="Q832" s="432"/>
      <c r="R832" s="432"/>
      <c r="S832" s="432"/>
      <c r="T832" s="432"/>
      <c r="U832" s="432"/>
      <c r="V832" s="432"/>
      <c r="W832" s="432"/>
      <c r="X832" s="432"/>
      <c r="Y832" s="432"/>
      <c r="Z832" s="432"/>
      <c r="AA832" s="432"/>
      <c r="AB832" s="432"/>
      <c r="AC832" s="432"/>
      <c r="AD832" s="432"/>
      <c r="AE832" s="432"/>
    </row>
    <row r="833">
      <c r="A833" s="432"/>
      <c r="B833" s="432"/>
      <c r="C833" s="432"/>
      <c r="D833" s="432"/>
      <c r="E833" s="432"/>
      <c r="F833" s="432"/>
      <c r="G833" s="432"/>
      <c r="H833" s="432"/>
      <c r="I833" s="432"/>
      <c r="J833" s="432"/>
      <c r="K833" s="432"/>
      <c r="L833" s="432"/>
      <c r="M833" s="432"/>
      <c r="N833" s="432"/>
      <c r="O833" s="432"/>
      <c r="P833" s="432"/>
      <c r="Q833" s="432"/>
      <c r="R833" s="432"/>
      <c r="S833" s="432"/>
      <c r="T833" s="432"/>
      <c r="U833" s="432"/>
      <c r="V833" s="432"/>
      <c r="W833" s="432"/>
      <c r="X833" s="432"/>
      <c r="Y833" s="432"/>
      <c r="Z833" s="432"/>
      <c r="AA833" s="432"/>
      <c r="AB833" s="432"/>
      <c r="AC833" s="432"/>
      <c r="AD833" s="432"/>
      <c r="AE833" s="432"/>
    </row>
    <row r="834">
      <c r="A834" s="432"/>
      <c r="B834" s="432"/>
      <c r="C834" s="432"/>
      <c r="D834" s="432"/>
      <c r="E834" s="432"/>
      <c r="F834" s="432"/>
      <c r="G834" s="432"/>
      <c r="H834" s="432"/>
      <c r="I834" s="432"/>
      <c r="J834" s="432"/>
      <c r="K834" s="432"/>
      <c r="L834" s="432"/>
      <c r="M834" s="432"/>
      <c r="N834" s="432"/>
      <c r="O834" s="432"/>
      <c r="P834" s="432"/>
      <c r="Q834" s="432"/>
      <c r="R834" s="432"/>
      <c r="S834" s="432"/>
      <c r="T834" s="432"/>
      <c r="U834" s="432"/>
      <c r="V834" s="432"/>
      <c r="W834" s="432"/>
      <c r="X834" s="432"/>
      <c r="Y834" s="432"/>
      <c r="Z834" s="432"/>
      <c r="AA834" s="432"/>
      <c r="AB834" s="432"/>
      <c r="AC834" s="432"/>
      <c r="AD834" s="432"/>
      <c r="AE834" s="432"/>
    </row>
    <row r="835">
      <c r="A835" s="432"/>
      <c r="B835" s="432"/>
      <c r="C835" s="432"/>
      <c r="D835" s="432"/>
      <c r="E835" s="432"/>
      <c r="F835" s="432"/>
      <c r="G835" s="432"/>
      <c r="H835" s="432"/>
      <c r="I835" s="432"/>
      <c r="J835" s="432"/>
      <c r="K835" s="432"/>
      <c r="L835" s="432"/>
      <c r="M835" s="432"/>
      <c r="N835" s="432"/>
      <c r="O835" s="432"/>
      <c r="P835" s="432"/>
      <c r="Q835" s="432"/>
      <c r="R835" s="432"/>
      <c r="S835" s="432"/>
      <c r="T835" s="432"/>
      <c r="U835" s="432"/>
      <c r="V835" s="432"/>
      <c r="W835" s="432"/>
      <c r="X835" s="432"/>
      <c r="Y835" s="432"/>
      <c r="Z835" s="432"/>
      <c r="AA835" s="432"/>
      <c r="AB835" s="432"/>
      <c r="AC835" s="432"/>
      <c r="AD835" s="432"/>
      <c r="AE835" s="432"/>
    </row>
    <row r="836">
      <c r="A836" s="432"/>
      <c r="B836" s="432"/>
      <c r="C836" s="432"/>
      <c r="D836" s="432"/>
      <c r="E836" s="432"/>
      <c r="F836" s="432"/>
      <c r="G836" s="432"/>
      <c r="H836" s="432"/>
      <c r="I836" s="432"/>
      <c r="J836" s="432"/>
      <c r="K836" s="432"/>
      <c r="L836" s="432"/>
      <c r="M836" s="432"/>
      <c r="N836" s="432"/>
      <c r="O836" s="432"/>
      <c r="P836" s="432"/>
      <c r="Q836" s="432"/>
      <c r="R836" s="432"/>
      <c r="S836" s="432"/>
      <c r="T836" s="432"/>
      <c r="U836" s="432"/>
      <c r="V836" s="432"/>
      <c r="W836" s="432"/>
      <c r="X836" s="432"/>
      <c r="Y836" s="432"/>
      <c r="Z836" s="432"/>
      <c r="AA836" s="432"/>
      <c r="AB836" s="432"/>
      <c r="AC836" s="432"/>
      <c r="AD836" s="432"/>
      <c r="AE836" s="432"/>
    </row>
    <row r="837">
      <c r="A837" s="432"/>
      <c r="B837" s="432"/>
      <c r="C837" s="432"/>
      <c r="D837" s="432"/>
      <c r="E837" s="432"/>
      <c r="F837" s="432"/>
      <c r="G837" s="432"/>
      <c r="H837" s="432"/>
      <c r="I837" s="432"/>
      <c r="J837" s="432"/>
      <c r="K837" s="432"/>
      <c r="L837" s="432"/>
      <c r="M837" s="432"/>
      <c r="N837" s="432"/>
      <c r="O837" s="432"/>
      <c r="P837" s="432"/>
      <c r="Q837" s="432"/>
      <c r="R837" s="432"/>
      <c r="S837" s="432"/>
      <c r="T837" s="432"/>
      <c r="U837" s="432"/>
      <c r="V837" s="432"/>
      <c r="W837" s="432"/>
      <c r="X837" s="432"/>
      <c r="Y837" s="432"/>
      <c r="Z837" s="432"/>
      <c r="AA837" s="432"/>
      <c r="AB837" s="432"/>
      <c r="AC837" s="432"/>
      <c r="AD837" s="432"/>
      <c r="AE837" s="432"/>
    </row>
    <row r="838">
      <c r="A838" s="432"/>
      <c r="B838" s="432"/>
      <c r="C838" s="432"/>
      <c r="D838" s="432"/>
      <c r="E838" s="432"/>
      <c r="F838" s="432"/>
      <c r="G838" s="432"/>
      <c r="H838" s="432"/>
      <c r="I838" s="432"/>
      <c r="J838" s="432"/>
      <c r="K838" s="432"/>
      <c r="L838" s="432"/>
      <c r="M838" s="432"/>
      <c r="N838" s="432"/>
      <c r="O838" s="432"/>
      <c r="P838" s="432"/>
      <c r="Q838" s="432"/>
      <c r="R838" s="432"/>
      <c r="S838" s="432"/>
      <c r="T838" s="432"/>
      <c r="U838" s="432"/>
      <c r="V838" s="432"/>
      <c r="W838" s="432"/>
      <c r="X838" s="432"/>
      <c r="Y838" s="432"/>
      <c r="Z838" s="432"/>
      <c r="AA838" s="432"/>
      <c r="AB838" s="432"/>
      <c r="AC838" s="432"/>
      <c r="AD838" s="432"/>
      <c r="AE838" s="432"/>
    </row>
    <row r="839">
      <c r="A839" s="432"/>
      <c r="B839" s="432"/>
      <c r="C839" s="432"/>
      <c r="D839" s="432"/>
      <c r="E839" s="432"/>
      <c r="F839" s="432"/>
      <c r="G839" s="432"/>
      <c r="H839" s="432"/>
      <c r="I839" s="432"/>
      <c r="J839" s="432"/>
      <c r="K839" s="432"/>
      <c r="L839" s="432"/>
      <c r="M839" s="432"/>
      <c r="N839" s="432"/>
      <c r="O839" s="432"/>
      <c r="P839" s="432"/>
      <c r="Q839" s="432"/>
      <c r="R839" s="432"/>
      <c r="S839" s="432"/>
      <c r="T839" s="432"/>
      <c r="U839" s="432"/>
      <c r="V839" s="432"/>
      <c r="W839" s="432"/>
      <c r="X839" s="432"/>
      <c r="Y839" s="432"/>
      <c r="Z839" s="432"/>
      <c r="AA839" s="432"/>
      <c r="AB839" s="432"/>
      <c r="AC839" s="432"/>
      <c r="AD839" s="432"/>
      <c r="AE839" s="432"/>
    </row>
    <row r="840">
      <c r="A840" s="432"/>
      <c r="B840" s="432"/>
      <c r="C840" s="432"/>
      <c r="D840" s="432"/>
      <c r="E840" s="432"/>
      <c r="F840" s="432"/>
      <c r="G840" s="432"/>
      <c r="H840" s="432"/>
      <c r="I840" s="432"/>
      <c r="J840" s="432"/>
      <c r="K840" s="432"/>
      <c r="L840" s="432"/>
      <c r="M840" s="432"/>
      <c r="N840" s="432"/>
      <c r="O840" s="432"/>
      <c r="P840" s="432"/>
      <c r="Q840" s="432"/>
      <c r="R840" s="432"/>
      <c r="S840" s="432"/>
      <c r="T840" s="432"/>
      <c r="U840" s="432"/>
      <c r="V840" s="432"/>
      <c r="W840" s="432"/>
      <c r="X840" s="432"/>
      <c r="Y840" s="432"/>
      <c r="Z840" s="432"/>
      <c r="AA840" s="432"/>
      <c r="AB840" s="432"/>
      <c r="AC840" s="432"/>
      <c r="AD840" s="432"/>
      <c r="AE840" s="432"/>
    </row>
    <row r="841">
      <c r="A841" s="432"/>
      <c r="B841" s="432"/>
      <c r="C841" s="432"/>
      <c r="D841" s="432"/>
      <c r="E841" s="432"/>
      <c r="F841" s="432"/>
      <c r="G841" s="432"/>
      <c r="H841" s="432"/>
      <c r="I841" s="432"/>
      <c r="J841" s="432"/>
      <c r="K841" s="432"/>
      <c r="L841" s="432"/>
      <c r="M841" s="432"/>
      <c r="N841" s="432"/>
      <c r="O841" s="432"/>
      <c r="P841" s="432"/>
      <c r="Q841" s="432"/>
      <c r="R841" s="432"/>
      <c r="S841" s="432"/>
      <c r="T841" s="432"/>
      <c r="U841" s="432"/>
      <c r="V841" s="432"/>
      <c r="W841" s="432"/>
      <c r="X841" s="432"/>
      <c r="Y841" s="432"/>
      <c r="Z841" s="432"/>
      <c r="AA841" s="432"/>
      <c r="AB841" s="432"/>
      <c r="AC841" s="432"/>
      <c r="AD841" s="432"/>
      <c r="AE841" s="432"/>
    </row>
    <row r="842">
      <c r="A842" s="432"/>
      <c r="B842" s="432"/>
      <c r="C842" s="432"/>
      <c r="D842" s="432"/>
      <c r="E842" s="432"/>
      <c r="F842" s="432"/>
      <c r="G842" s="432"/>
      <c r="H842" s="432"/>
      <c r="I842" s="432"/>
      <c r="J842" s="432"/>
      <c r="K842" s="432"/>
      <c r="L842" s="432"/>
      <c r="M842" s="432"/>
      <c r="N842" s="432"/>
      <c r="O842" s="432"/>
      <c r="P842" s="432"/>
      <c r="Q842" s="432"/>
      <c r="R842" s="432"/>
      <c r="S842" s="432"/>
      <c r="T842" s="432"/>
      <c r="U842" s="432"/>
      <c r="V842" s="432"/>
      <c r="W842" s="432"/>
      <c r="X842" s="432"/>
      <c r="Y842" s="432"/>
      <c r="Z842" s="432"/>
      <c r="AA842" s="432"/>
      <c r="AB842" s="432"/>
      <c r="AC842" s="432"/>
      <c r="AD842" s="432"/>
      <c r="AE842" s="432"/>
    </row>
    <row r="843">
      <c r="A843" s="432"/>
      <c r="B843" s="432"/>
      <c r="C843" s="432"/>
      <c r="D843" s="432"/>
      <c r="E843" s="432"/>
      <c r="F843" s="432"/>
      <c r="G843" s="432"/>
      <c r="H843" s="432"/>
      <c r="I843" s="432"/>
      <c r="J843" s="432"/>
      <c r="K843" s="432"/>
      <c r="L843" s="432"/>
      <c r="M843" s="432"/>
      <c r="N843" s="432"/>
      <c r="O843" s="432"/>
      <c r="P843" s="432"/>
      <c r="Q843" s="432"/>
      <c r="R843" s="432"/>
      <c r="S843" s="432"/>
      <c r="T843" s="432"/>
      <c r="U843" s="432"/>
      <c r="V843" s="432"/>
      <c r="W843" s="432"/>
      <c r="X843" s="432"/>
      <c r="Y843" s="432"/>
      <c r="Z843" s="432"/>
      <c r="AA843" s="432"/>
      <c r="AB843" s="432"/>
      <c r="AC843" s="432"/>
      <c r="AD843" s="432"/>
      <c r="AE843" s="432"/>
    </row>
    <row r="844">
      <c r="A844" s="432"/>
      <c r="B844" s="432"/>
      <c r="C844" s="432"/>
      <c r="D844" s="432"/>
      <c r="E844" s="432"/>
      <c r="F844" s="432"/>
      <c r="G844" s="432"/>
      <c r="H844" s="432"/>
      <c r="I844" s="432"/>
      <c r="J844" s="432"/>
      <c r="K844" s="432"/>
      <c r="L844" s="432"/>
      <c r="M844" s="432"/>
      <c r="N844" s="432"/>
      <c r="O844" s="432"/>
      <c r="P844" s="432"/>
      <c r="Q844" s="432"/>
      <c r="R844" s="432"/>
      <c r="S844" s="432"/>
      <c r="T844" s="432"/>
      <c r="U844" s="432"/>
      <c r="V844" s="432"/>
      <c r="W844" s="432"/>
      <c r="X844" s="432"/>
      <c r="Y844" s="432"/>
      <c r="Z844" s="432"/>
      <c r="AA844" s="432"/>
      <c r="AB844" s="432"/>
      <c r="AC844" s="432"/>
      <c r="AD844" s="432"/>
      <c r="AE844" s="432"/>
    </row>
    <row r="845">
      <c r="A845" s="432"/>
      <c r="B845" s="432"/>
      <c r="C845" s="432"/>
      <c r="D845" s="432"/>
      <c r="E845" s="432"/>
      <c r="F845" s="432"/>
      <c r="G845" s="432"/>
      <c r="H845" s="432"/>
      <c r="I845" s="432"/>
      <c r="J845" s="432"/>
      <c r="K845" s="432"/>
      <c r="L845" s="432"/>
      <c r="M845" s="432"/>
      <c r="N845" s="432"/>
      <c r="O845" s="432"/>
      <c r="P845" s="432"/>
      <c r="Q845" s="432"/>
      <c r="R845" s="432"/>
      <c r="S845" s="432"/>
      <c r="T845" s="432"/>
      <c r="U845" s="432"/>
      <c r="V845" s="432"/>
      <c r="W845" s="432"/>
      <c r="X845" s="432"/>
      <c r="Y845" s="432"/>
      <c r="Z845" s="432"/>
      <c r="AA845" s="432"/>
      <c r="AB845" s="432"/>
      <c r="AC845" s="432"/>
      <c r="AD845" s="432"/>
      <c r="AE845" s="432"/>
    </row>
    <row r="846">
      <c r="A846" s="432"/>
      <c r="B846" s="432"/>
      <c r="C846" s="432"/>
      <c r="D846" s="432"/>
      <c r="E846" s="432"/>
      <c r="F846" s="432"/>
      <c r="G846" s="432"/>
      <c r="H846" s="432"/>
      <c r="I846" s="432"/>
      <c r="J846" s="432"/>
      <c r="K846" s="432"/>
      <c r="L846" s="432"/>
      <c r="M846" s="432"/>
      <c r="N846" s="432"/>
      <c r="O846" s="432"/>
      <c r="P846" s="432"/>
      <c r="Q846" s="432"/>
      <c r="R846" s="432"/>
      <c r="S846" s="432"/>
      <c r="T846" s="432"/>
      <c r="U846" s="432"/>
      <c r="V846" s="432"/>
      <c r="W846" s="432"/>
      <c r="X846" s="432"/>
      <c r="Y846" s="432"/>
      <c r="Z846" s="432"/>
      <c r="AA846" s="432"/>
      <c r="AB846" s="432"/>
      <c r="AC846" s="432"/>
      <c r="AD846" s="432"/>
      <c r="AE846" s="432"/>
    </row>
    <row r="847">
      <c r="A847" s="432"/>
      <c r="B847" s="432"/>
      <c r="C847" s="432"/>
      <c r="D847" s="432"/>
      <c r="E847" s="432"/>
      <c r="F847" s="432"/>
      <c r="G847" s="432"/>
      <c r="H847" s="432"/>
      <c r="I847" s="432"/>
      <c r="J847" s="432"/>
      <c r="K847" s="432"/>
      <c r="L847" s="432"/>
      <c r="M847" s="432"/>
      <c r="N847" s="432"/>
      <c r="O847" s="432"/>
      <c r="P847" s="432"/>
      <c r="Q847" s="432"/>
      <c r="R847" s="432"/>
      <c r="S847" s="432"/>
      <c r="T847" s="432"/>
      <c r="U847" s="432"/>
      <c r="V847" s="432"/>
      <c r="W847" s="432"/>
      <c r="X847" s="432"/>
      <c r="Y847" s="432"/>
      <c r="Z847" s="432"/>
      <c r="AA847" s="432"/>
      <c r="AB847" s="432"/>
      <c r="AC847" s="432"/>
      <c r="AD847" s="432"/>
      <c r="AE847" s="432"/>
    </row>
    <row r="848">
      <c r="A848" s="432"/>
      <c r="B848" s="432"/>
      <c r="C848" s="432"/>
      <c r="D848" s="432"/>
      <c r="E848" s="432"/>
      <c r="F848" s="432"/>
      <c r="G848" s="432"/>
      <c r="H848" s="432"/>
      <c r="I848" s="432"/>
      <c r="J848" s="432"/>
      <c r="K848" s="432"/>
      <c r="L848" s="432"/>
      <c r="M848" s="432"/>
      <c r="N848" s="432"/>
      <c r="O848" s="432"/>
      <c r="P848" s="432"/>
      <c r="Q848" s="432"/>
      <c r="R848" s="432"/>
      <c r="S848" s="432"/>
      <c r="T848" s="432"/>
      <c r="U848" s="432"/>
      <c r="V848" s="432"/>
      <c r="W848" s="432"/>
      <c r="X848" s="432"/>
      <c r="Y848" s="432"/>
      <c r="Z848" s="432"/>
      <c r="AA848" s="432"/>
      <c r="AB848" s="432"/>
      <c r="AC848" s="432"/>
      <c r="AD848" s="432"/>
      <c r="AE848" s="432"/>
    </row>
    <row r="849">
      <c r="A849" s="432"/>
      <c r="B849" s="432"/>
      <c r="C849" s="432"/>
      <c r="D849" s="432"/>
      <c r="E849" s="432"/>
      <c r="F849" s="432"/>
      <c r="G849" s="432"/>
      <c r="H849" s="432"/>
      <c r="I849" s="432"/>
      <c r="J849" s="432"/>
      <c r="K849" s="432"/>
      <c r="L849" s="432"/>
      <c r="M849" s="432"/>
      <c r="N849" s="432"/>
      <c r="O849" s="432"/>
      <c r="P849" s="432"/>
      <c r="Q849" s="432"/>
      <c r="R849" s="432"/>
      <c r="S849" s="432"/>
      <c r="T849" s="432"/>
      <c r="U849" s="432"/>
      <c r="V849" s="432"/>
      <c r="W849" s="432"/>
      <c r="X849" s="432"/>
      <c r="Y849" s="432"/>
      <c r="Z849" s="432"/>
      <c r="AA849" s="432"/>
      <c r="AB849" s="432"/>
      <c r="AC849" s="432"/>
      <c r="AD849" s="432"/>
      <c r="AE849" s="432"/>
    </row>
    <row r="850">
      <c r="A850" s="432"/>
      <c r="B850" s="432"/>
      <c r="C850" s="432"/>
      <c r="D850" s="432"/>
      <c r="E850" s="432"/>
      <c r="F850" s="432"/>
      <c r="G850" s="432"/>
      <c r="H850" s="432"/>
      <c r="I850" s="432"/>
      <c r="J850" s="432"/>
      <c r="K850" s="432"/>
      <c r="L850" s="432"/>
      <c r="M850" s="432"/>
      <c r="N850" s="432"/>
      <c r="O850" s="432"/>
      <c r="P850" s="432"/>
      <c r="Q850" s="432"/>
      <c r="R850" s="432"/>
      <c r="S850" s="432"/>
      <c r="T850" s="432"/>
      <c r="U850" s="432"/>
      <c r="V850" s="432"/>
      <c r="W850" s="432"/>
      <c r="X850" s="432"/>
      <c r="Y850" s="432"/>
      <c r="Z850" s="432"/>
      <c r="AA850" s="432"/>
      <c r="AB850" s="432"/>
      <c r="AC850" s="432"/>
      <c r="AD850" s="432"/>
      <c r="AE850" s="432"/>
    </row>
    <row r="851">
      <c r="A851" s="432"/>
      <c r="B851" s="432"/>
      <c r="C851" s="432"/>
      <c r="D851" s="432"/>
      <c r="E851" s="432"/>
      <c r="F851" s="432"/>
      <c r="G851" s="432"/>
      <c r="H851" s="432"/>
      <c r="I851" s="432"/>
      <c r="J851" s="432"/>
      <c r="K851" s="432"/>
      <c r="L851" s="432"/>
      <c r="M851" s="432"/>
      <c r="N851" s="432"/>
      <c r="O851" s="432"/>
      <c r="P851" s="432"/>
      <c r="Q851" s="432"/>
      <c r="R851" s="432"/>
      <c r="S851" s="432"/>
      <c r="T851" s="432"/>
      <c r="U851" s="432"/>
      <c r="V851" s="432"/>
      <c r="W851" s="432"/>
      <c r="X851" s="432"/>
      <c r="Y851" s="432"/>
      <c r="Z851" s="432"/>
      <c r="AA851" s="432"/>
      <c r="AB851" s="432"/>
      <c r="AC851" s="432"/>
      <c r="AD851" s="432"/>
      <c r="AE851" s="432"/>
    </row>
    <row r="852">
      <c r="A852" s="432"/>
      <c r="B852" s="432"/>
      <c r="C852" s="432"/>
      <c r="D852" s="432"/>
      <c r="E852" s="432"/>
      <c r="F852" s="432"/>
      <c r="G852" s="432"/>
      <c r="H852" s="432"/>
      <c r="I852" s="432"/>
      <c r="J852" s="432"/>
      <c r="K852" s="432"/>
      <c r="L852" s="432"/>
      <c r="M852" s="432"/>
      <c r="N852" s="432"/>
      <c r="O852" s="432"/>
      <c r="P852" s="432"/>
      <c r="Q852" s="432"/>
      <c r="R852" s="432"/>
      <c r="S852" s="432"/>
      <c r="T852" s="432"/>
      <c r="U852" s="432"/>
      <c r="V852" s="432"/>
      <c r="W852" s="432"/>
      <c r="X852" s="432"/>
      <c r="Y852" s="432"/>
      <c r="Z852" s="432"/>
      <c r="AA852" s="432"/>
      <c r="AB852" s="432"/>
      <c r="AC852" s="432"/>
      <c r="AD852" s="432"/>
      <c r="AE852" s="432"/>
    </row>
    <row r="853">
      <c r="A853" s="432"/>
      <c r="B853" s="432"/>
      <c r="C853" s="432"/>
      <c r="D853" s="432"/>
      <c r="E853" s="432"/>
      <c r="F853" s="432"/>
      <c r="G853" s="432"/>
      <c r="H853" s="432"/>
      <c r="I853" s="432"/>
      <c r="J853" s="432"/>
      <c r="K853" s="432"/>
      <c r="L853" s="432"/>
      <c r="M853" s="432"/>
      <c r="N853" s="432"/>
      <c r="O853" s="432"/>
      <c r="P853" s="432"/>
      <c r="Q853" s="432"/>
      <c r="R853" s="432"/>
      <c r="S853" s="432"/>
      <c r="T853" s="432"/>
      <c r="U853" s="432"/>
      <c r="V853" s="432"/>
      <c r="W853" s="432"/>
      <c r="X853" s="432"/>
      <c r="Y853" s="432"/>
      <c r="Z853" s="432"/>
      <c r="AA853" s="432"/>
      <c r="AB853" s="432"/>
      <c r="AC853" s="432"/>
      <c r="AD853" s="432"/>
      <c r="AE853" s="432"/>
    </row>
    <row r="854">
      <c r="A854" s="432"/>
      <c r="B854" s="432"/>
      <c r="C854" s="432"/>
      <c r="D854" s="432"/>
      <c r="E854" s="432"/>
      <c r="F854" s="432"/>
      <c r="G854" s="432"/>
      <c r="H854" s="432"/>
      <c r="I854" s="432"/>
      <c r="J854" s="432"/>
      <c r="K854" s="432"/>
      <c r="L854" s="432"/>
      <c r="M854" s="432"/>
      <c r="N854" s="432"/>
      <c r="O854" s="432"/>
      <c r="P854" s="432"/>
      <c r="Q854" s="432"/>
      <c r="R854" s="432"/>
      <c r="S854" s="432"/>
      <c r="T854" s="432"/>
      <c r="U854" s="432"/>
      <c r="V854" s="432"/>
      <c r="W854" s="432"/>
      <c r="X854" s="432"/>
      <c r="Y854" s="432"/>
      <c r="Z854" s="432"/>
      <c r="AA854" s="432"/>
      <c r="AB854" s="432"/>
      <c r="AC854" s="432"/>
      <c r="AD854" s="432"/>
      <c r="AE854" s="432"/>
    </row>
    <row r="855">
      <c r="A855" s="432"/>
      <c r="B855" s="432"/>
      <c r="C855" s="432"/>
      <c r="D855" s="432"/>
      <c r="E855" s="432"/>
      <c r="F855" s="432"/>
      <c r="G855" s="432"/>
      <c r="H855" s="432"/>
      <c r="I855" s="432"/>
      <c r="J855" s="432"/>
      <c r="K855" s="432"/>
      <c r="L855" s="432"/>
      <c r="M855" s="432"/>
      <c r="N855" s="432"/>
      <c r="O855" s="432"/>
      <c r="P855" s="432"/>
      <c r="Q855" s="432"/>
      <c r="R855" s="432"/>
      <c r="S855" s="432"/>
      <c r="T855" s="432"/>
      <c r="U855" s="432"/>
      <c r="V855" s="432"/>
      <c r="W855" s="432"/>
      <c r="X855" s="432"/>
      <c r="Y855" s="432"/>
      <c r="Z855" s="432"/>
      <c r="AA855" s="432"/>
      <c r="AB855" s="432"/>
      <c r="AC855" s="432"/>
      <c r="AD855" s="432"/>
      <c r="AE855" s="432"/>
    </row>
    <row r="856">
      <c r="A856" s="432"/>
      <c r="B856" s="432"/>
      <c r="C856" s="432"/>
      <c r="D856" s="432"/>
      <c r="E856" s="432"/>
      <c r="F856" s="432"/>
      <c r="G856" s="432"/>
      <c r="H856" s="432"/>
      <c r="I856" s="432"/>
      <c r="J856" s="432"/>
      <c r="K856" s="432"/>
      <c r="L856" s="432"/>
      <c r="M856" s="432"/>
      <c r="N856" s="432"/>
      <c r="O856" s="432"/>
      <c r="P856" s="432"/>
      <c r="Q856" s="432"/>
      <c r="R856" s="432"/>
      <c r="S856" s="432"/>
      <c r="T856" s="432"/>
      <c r="U856" s="432"/>
      <c r="V856" s="432"/>
      <c r="W856" s="432"/>
      <c r="X856" s="432"/>
      <c r="Y856" s="432"/>
      <c r="Z856" s="432"/>
      <c r="AA856" s="432"/>
      <c r="AB856" s="432"/>
      <c r="AC856" s="432"/>
      <c r="AD856" s="432"/>
      <c r="AE856" s="432"/>
    </row>
    <row r="857">
      <c r="A857" s="432"/>
      <c r="B857" s="432"/>
      <c r="C857" s="432"/>
      <c r="D857" s="432"/>
      <c r="E857" s="432"/>
      <c r="F857" s="432"/>
      <c r="G857" s="432"/>
      <c r="H857" s="432"/>
      <c r="I857" s="432"/>
      <c r="J857" s="432"/>
      <c r="K857" s="432"/>
      <c r="L857" s="432"/>
      <c r="M857" s="432"/>
      <c r="N857" s="432"/>
      <c r="O857" s="432"/>
      <c r="P857" s="432"/>
      <c r="Q857" s="432"/>
      <c r="R857" s="432"/>
      <c r="S857" s="432"/>
      <c r="T857" s="432"/>
      <c r="U857" s="432"/>
      <c r="V857" s="432"/>
      <c r="W857" s="432"/>
      <c r="X857" s="432"/>
      <c r="Y857" s="432"/>
      <c r="Z857" s="432"/>
      <c r="AA857" s="432"/>
      <c r="AB857" s="432"/>
      <c r="AC857" s="432"/>
      <c r="AD857" s="432"/>
      <c r="AE857" s="432"/>
    </row>
    <row r="858">
      <c r="A858" s="432"/>
      <c r="B858" s="432"/>
      <c r="C858" s="432"/>
      <c r="D858" s="432"/>
      <c r="E858" s="432"/>
      <c r="F858" s="432"/>
      <c r="G858" s="432"/>
      <c r="H858" s="432"/>
      <c r="I858" s="432"/>
      <c r="J858" s="432"/>
      <c r="K858" s="432"/>
      <c r="L858" s="432"/>
      <c r="M858" s="432"/>
      <c r="N858" s="432"/>
      <c r="O858" s="432"/>
      <c r="P858" s="432"/>
      <c r="Q858" s="432"/>
      <c r="R858" s="432"/>
      <c r="S858" s="432"/>
      <c r="T858" s="432"/>
      <c r="U858" s="432"/>
      <c r="V858" s="432"/>
      <c r="W858" s="432"/>
      <c r="X858" s="432"/>
      <c r="Y858" s="432"/>
      <c r="Z858" s="432"/>
      <c r="AA858" s="432"/>
      <c r="AB858" s="432"/>
      <c r="AC858" s="432"/>
      <c r="AD858" s="432"/>
      <c r="AE858" s="432"/>
    </row>
    <row r="859">
      <c r="A859" s="432"/>
      <c r="B859" s="432"/>
      <c r="C859" s="432"/>
      <c r="D859" s="432"/>
      <c r="E859" s="432"/>
      <c r="F859" s="432"/>
      <c r="G859" s="432"/>
      <c r="H859" s="432"/>
      <c r="I859" s="432"/>
      <c r="J859" s="432"/>
      <c r="K859" s="432"/>
      <c r="L859" s="432"/>
      <c r="M859" s="432"/>
      <c r="N859" s="432"/>
      <c r="O859" s="432"/>
      <c r="P859" s="432"/>
      <c r="Q859" s="432"/>
      <c r="R859" s="432"/>
      <c r="S859" s="432"/>
      <c r="T859" s="432"/>
      <c r="U859" s="432"/>
      <c r="V859" s="432"/>
      <c r="W859" s="432"/>
      <c r="X859" s="432"/>
      <c r="Y859" s="432"/>
      <c r="Z859" s="432"/>
      <c r="AA859" s="432"/>
      <c r="AB859" s="432"/>
      <c r="AC859" s="432"/>
      <c r="AD859" s="432"/>
      <c r="AE859" s="432"/>
    </row>
    <row r="860">
      <c r="A860" s="432"/>
      <c r="B860" s="432"/>
      <c r="C860" s="432"/>
      <c r="D860" s="432"/>
      <c r="E860" s="432"/>
      <c r="F860" s="432"/>
      <c r="G860" s="432"/>
      <c r="H860" s="432"/>
      <c r="I860" s="432"/>
      <c r="J860" s="432"/>
      <c r="K860" s="432"/>
      <c r="L860" s="432"/>
      <c r="M860" s="432"/>
      <c r="N860" s="432"/>
      <c r="O860" s="432"/>
      <c r="P860" s="432"/>
      <c r="Q860" s="432"/>
      <c r="R860" s="432"/>
      <c r="S860" s="432"/>
      <c r="T860" s="432"/>
      <c r="U860" s="432"/>
      <c r="V860" s="432"/>
      <c r="W860" s="432"/>
      <c r="X860" s="432"/>
      <c r="Y860" s="432"/>
      <c r="Z860" s="432"/>
      <c r="AA860" s="432"/>
      <c r="AB860" s="432"/>
      <c r="AC860" s="432"/>
      <c r="AD860" s="432"/>
      <c r="AE860" s="432"/>
    </row>
    <row r="861">
      <c r="A861" s="432"/>
      <c r="B861" s="432"/>
      <c r="C861" s="432"/>
      <c r="D861" s="432"/>
      <c r="E861" s="432"/>
      <c r="F861" s="432"/>
      <c r="G861" s="432"/>
      <c r="H861" s="432"/>
      <c r="I861" s="432"/>
      <c r="J861" s="432"/>
      <c r="K861" s="432"/>
      <c r="L861" s="432"/>
      <c r="M861" s="432"/>
      <c r="N861" s="432"/>
      <c r="O861" s="432"/>
      <c r="P861" s="432"/>
      <c r="Q861" s="432"/>
      <c r="R861" s="432"/>
      <c r="S861" s="432"/>
      <c r="T861" s="432"/>
      <c r="U861" s="432"/>
      <c r="V861" s="432"/>
      <c r="W861" s="432"/>
      <c r="X861" s="432"/>
      <c r="Y861" s="432"/>
      <c r="Z861" s="432"/>
      <c r="AA861" s="432"/>
      <c r="AB861" s="432"/>
      <c r="AC861" s="432"/>
      <c r="AD861" s="432"/>
      <c r="AE861" s="432"/>
    </row>
    <row r="862">
      <c r="A862" s="432"/>
      <c r="B862" s="432"/>
      <c r="C862" s="432"/>
      <c r="D862" s="432"/>
      <c r="E862" s="432"/>
      <c r="F862" s="432"/>
      <c r="G862" s="432"/>
      <c r="H862" s="432"/>
      <c r="I862" s="432"/>
      <c r="J862" s="432"/>
      <c r="K862" s="432"/>
      <c r="L862" s="432"/>
      <c r="M862" s="432"/>
      <c r="N862" s="432"/>
      <c r="O862" s="432"/>
      <c r="P862" s="432"/>
      <c r="Q862" s="432"/>
      <c r="R862" s="432"/>
      <c r="S862" s="432"/>
      <c r="T862" s="432"/>
      <c r="U862" s="432"/>
      <c r="V862" s="432"/>
      <c r="W862" s="432"/>
      <c r="X862" s="432"/>
      <c r="Y862" s="432"/>
      <c r="Z862" s="432"/>
      <c r="AA862" s="432"/>
      <c r="AB862" s="432"/>
      <c r="AC862" s="432"/>
      <c r="AD862" s="432"/>
      <c r="AE862" s="432"/>
    </row>
    <row r="863">
      <c r="A863" s="432"/>
      <c r="B863" s="432"/>
      <c r="C863" s="432"/>
      <c r="D863" s="432"/>
      <c r="E863" s="432"/>
      <c r="F863" s="432"/>
      <c r="G863" s="432"/>
      <c r="H863" s="432"/>
      <c r="I863" s="432"/>
      <c r="J863" s="432"/>
      <c r="K863" s="432"/>
      <c r="L863" s="432"/>
      <c r="M863" s="432"/>
      <c r="N863" s="432"/>
      <c r="O863" s="432"/>
      <c r="P863" s="432"/>
      <c r="Q863" s="432"/>
      <c r="R863" s="432"/>
      <c r="S863" s="432"/>
      <c r="T863" s="432"/>
      <c r="U863" s="432"/>
      <c r="V863" s="432"/>
      <c r="W863" s="432"/>
      <c r="X863" s="432"/>
      <c r="Y863" s="432"/>
      <c r="Z863" s="432"/>
      <c r="AA863" s="432"/>
      <c r="AB863" s="432"/>
      <c r="AC863" s="432"/>
      <c r="AD863" s="432"/>
      <c r="AE863" s="432"/>
    </row>
    <row r="864">
      <c r="A864" s="432"/>
      <c r="B864" s="432"/>
      <c r="C864" s="432"/>
      <c r="D864" s="432"/>
      <c r="E864" s="432"/>
      <c r="F864" s="432"/>
      <c r="G864" s="432"/>
      <c r="H864" s="432"/>
      <c r="I864" s="432"/>
      <c r="J864" s="432"/>
      <c r="K864" s="432"/>
      <c r="L864" s="432"/>
      <c r="M864" s="432"/>
      <c r="N864" s="432"/>
      <c r="O864" s="432"/>
      <c r="P864" s="432"/>
      <c r="Q864" s="432"/>
      <c r="R864" s="432"/>
      <c r="S864" s="432"/>
      <c r="T864" s="432"/>
      <c r="U864" s="432"/>
      <c r="V864" s="432"/>
      <c r="W864" s="432"/>
      <c r="X864" s="432"/>
      <c r="Y864" s="432"/>
      <c r="Z864" s="432"/>
      <c r="AA864" s="432"/>
      <c r="AB864" s="432"/>
      <c r="AC864" s="432"/>
      <c r="AD864" s="432"/>
      <c r="AE864" s="432"/>
    </row>
    <row r="865">
      <c r="A865" s="432"/>
      <c r="B865" s="432"/>
      <c r="C865" s="432"/>
      <c r="D865" s="432"/>
      <c r="E865" s="432"/>
      <c r="F865" s="432"/>
      <c r="G865" s="432"/>
      <c r="H865" s="432"/>
      <c r="I865" s="432"/>
      <c r="J865" s="432"/>
      <c r="K865" s="432"/>
      <c r="L865" s="432"/>
      <c r="M865" s="432"/>
      <c r="N865" s="432"/>
      <c r="O865" s="432"/>
      <c r="P865" s="432"/>
      <c r="Q865" s="432"/>
      <c r="R865" s="432"/>
      <c r="S865" s="432"/>
      <c r="T865" s="432"/>
      <c r="U865" s="432"/>
      <c r="V865" s="432"/>
      <c r="W865" s="432"/>
      <c r="X865" s="432"/>
      <c r="Y865" s="432"/>
      <c r="Z865" s="432"/>
      <c r="AA865" s="432"/>
      <c r="AB865" s="432"/>
      <c r="AC865" s="432"/>
      <c r="AD865" s="432"/>
      <c r="AE865" s="432"/>
    </row>
    <row r="866">
      <c r="A866" s="432"/>
      <c r="B866" s="432"/>
      <c r="C866" s="432"/>
      <c r="D866" s="432"/>
      <c r="E866" s="432"/>
      <c r="F866" s="432"/>
      <c r="G866" s="432"/>
      <c r="H866" s="432"/>
      <c r="I866" s="432"/>
      <c r="J866" s="432"/>
      <c r="K866" s="432"/>
      <c r="L866" s="432"/>
      <c r="M866" s="432"/>
      <c r="N866" s="432"/>
      <c r="O866" s="432"/>
      <c r="P866" s="432"/>
      <c r="Q866" s="432"/>
      <c r="R866" s="432"/>
      <c r="S866" s="432"/>
      <c r="T866" s="432"/>
      <c r="U866" s="432"/>
      <c r="V866" s="432"/>
      <c r="W866" s="432"/>
      <c r="X866" s="432"/>
      <c r="Y866" s="432"/>
      <c r="Z866" s="432"/>
      <c r="AA866" s="432"/>
      <c r="AB866" s="432"/>
      <c r="AC866" s="432"/>
      <c r="AD866" s="432"/>
      <c r="AE866" s="432"/>
    </row>
    <row r="867">
      <c r="A867" s="432"/>
      <c r="B867" s="432"/>
      <c r="C867" s="432"/>
      <c r="D867" s="432"/>
      <c r="E867" s="432"/>
      <c r="F867" s="432"/>
      <c r="G867" s="432"/>
      <c r="H867" s="432"/>
      <c r="I867" s="432"/>
      <c r="J867" s="432"/>
      <c r="K867" s="432"/>
      <c r="L867" s="432"/>
      <c r="M867" s="432"/>
      <c r="N867" s="432"/>
      <c r="O867" s="432"/>
      <c r="P867" s="432"/>
      <c r="Q867" s="432"/>
      <c r="R867" s="432"/>
      <c r="S867" s="432"/>
      <c r="T867" s="432"/>
      <c r="U867" s="432"/>
      <c r="V867" s="432"/>
      <c r="W867" s="432"/>
      <c r="X867" s="432"/>
      <c r="Y867" s="432"/>
      <c r="Z867" s="432"/>
      <c r="AA867" s="432"/>
      <c r="AB867" s="432"/>
      <c r="AC867" s="432"/>
      <c r="AD867" s="432"/>
      <c r="AE867" s="432"/>
    </row>
    <row r="868">
      <c r="A868" s="432"/>
      <c r="B868" s="432"/>
      <c r="C868" s="432"/>
      <c r="D868" s="432"/>
      <c r="E868" s="432"/>
      <c r="F868" s="432"/>
      <c r="G868" s="432"/>
      <c r="H868" s="432"/>
      <c r="I868" s="432"/>
      <c r="J868" s="432"/>
      <c r="K868" s="432"/>
      <c r="L868" s="432"/>
      <c r="M868" s="432"/>
      <c r="N868" s="432"/>
      <c r="O868" s="432"/>
      <c r="P868" s="432"/>
      <c r="Q868" s="432"/>
      <c r="R868" s="432"/>
      <c r="S868" s="432"/>
      <c r="T868" s="432"/>
      <c r="U868" s="432"/>
      <c r="V868" s="432"/>
      <c r="W868" s="432"/>
      <c r="X868" s="432"/>
      <c r="Y868" s="432"/>
      <c r="Z868" s="432"/>
      <c r="AA868" s="432"/>
      <c r="AB868" s="432"/>
      <c r="AC868" s="432"/>
      <c r="AD868" s="432"/>
      <c r="AE868" s="432"/>
    </row>
    <row r="869">
      <c r="A869" s="432"/>
      <c r="B869" s="432"/>
      <c r="C869" s="432"/>
      <c r="D869" s="432"/>
      <c r="E869" s="432"/>
      <c r="F869" s="432"/>
      <c r="G869" s="432"/>
      <c r="H869" s="432"/>
      <c r="I869" s="432"/>
      <c r="J869" s="432"/>
      <c r="K869" s="432"/>
      <c r="L869" s="432"/>
      <c r="M869" s="432"/>
      <c r="N869" s="432"/>
      <c r="O869" s="432"/>
      <c r="P869" s="432"/>
      <c r="Q869" s="432"/>
      <c r="R869" s="432"/>
      <c r="S869" s="432"/>
      <c r="T869" s="432"/>
      <c r="U869" s="432"/>
      <c r="V869" s="432"/>
      <c r="W869" s="432"/>
      <c r="X869" s="432"/>
      <c r="Y869" s="432"/>
      <c r="Z869" s="432"/>
      <c r="AA869" s="432"/>
      <c r="AB869" s="432"/>
      <c r="AC869" s="432"/>
      <c r="AD869" s="432"/>
      <c r="AE869" s="432"/>
    </row>
    <row r="870">
      <c r="A870" s="432"/>
      <c r="B870" s="432"/>
      <c r="C870" s="432"/>
      <c r="D870" s="432"/>
      <c r="E870" s="432"/>
      <c r="F870" s="432"/>
      <c r="G870" s="432"/>
      <c r="H870" s="432"/>
      <c r="I870" s="432"/>
      <c r="J870" s="432"/>
      <c r="K870" s="432"/>
      <c r="L870" s="432"/>
      <c r="M870" s="432"/>
      <c r="N870" s="432"/>
      <c r="O870" s="432"/>
      <c r="P870" s="432"/>
      <c r="Q870" s="432"/>
      <c r="R870" s="432"/>
      <c r="S870" s="432"/>
      <c r="T870" s="432"/>
      <c r="U870" s="432"/>
      <c r="V870" s="432"/>
      <c r="W870" s="432"/>
      <c r="X870" s="432"/>
      <c r="Y870" s="432"/>
      <c r="Z870" s="432"/>
      <c r="AA870" s="432"/>
      <c r="AB870" s="432"/>
      <c r="AC870" s="432"/>
      <c r="AD870" s="432"/>
      <c r="AE870" s="432"/>
    </row>
    <row r="871">
      <c r="A871" s="432"/>
      <c r="B871" s="432"/>
      <c r="C871" s="432"/>
      <c r="D871" s="432"/>
      <c r="E871" s="432"/>
      <c r="F871" s="432"/>
      <c r="G871" s="432"/>
      <c r="H871" s="432"/>
      <c r="I871" s="432"/>
      <c r="J871" s="432"/>
      <c r="K871" s="432"/>
      <c r="L871" s="432"/>
      <c r="M871" s="432"/>
      <c r="N871" s="432"/>
      <c r="O871" s="432"/>
      <c r="P871" s="432"/>
      <c r="Q871" s="432"/>
      <c r="R871" s="432"/>
      <c r="S871" s="432"/>
      <c r="T871" s="432"/>
      <c r="U871" s="432"/>
      <c r="V871" s="432"/>
      <c r="W871" s="432"/>
      <c r="X871" s="432"/>
      <c r="Y871" s="432"/>
      <c r="Z871" s="432"/>
      <c r="AA871" s="432"/>
      <c r="AB871" s="432"/>
      <c r="AC871" s="432"/>
      <c r="AD871" s="432"/>
      <c r="AE871" s="432"/>
    </row>
    <row r="872">
      <c r="A872" s="432"/>
      <c r="B872" s="432"/>
      <c r="C872" s="432"/>
      <c r="D872" s="432"/>
      <c r="E872" s="432"/>
      <c r="F872" s="432"/>
      <c r="G872" s="432"/>
      <c r="H872" s="432"/>
      <c r="I872" s="432"/>
      <c r="J872" s="432"/>
      <c r="K872" s="432"/>
      <c r="L872" s="432"/>
      <c r="M872" s="432"/>
      <c r="N872" s="432"/>
      <c r="O872" s="432"/>
      <c r="P872" s="432"/>
      <c r="Q872" s="432"/>
      <c r="R872" s="432"/>
      <c r="S872" s="432"/>
      <c r="T872" s="432"/>
      <c r="U872" s="432"/>
      <c r="V872" s="432"/>
      <c r="W872" s="432"/>
      <c r="X872" s="432"/>
      <c r="Y872" s="432"/>
      <c r="Z872" s="432"/>
      <c r="AA872" s="432"/>
      <c r="AB872" s="432"/>
      <c r="AC872" s="432"/>
      <c r="AD872" s="432"/>
      <c r="AE872" s="432"/>
    </row>
    <row r="873">
      <c r="A873" s="432"/>
      <c r="B873" s="432"/>
      <c r="C873" s="432"/>
      <c r="D873" s="432"/>
      <c r="E873" s="432"/>
      <c r="F873" s="432"/>
      <c r="G873" s="432"/>
      <c r="H873" s="432"/>
      <c r="I873" s="432"/>
      <c r="J873" s="432"/>
      <c r="K873" s="432"/>
      <c r="L873" s="432"/>
      <c r="M873" s="432"/>
      <c r="N873" s="432"/>
      <c r="O873" s="432"/>
      <c r="P873" s="432"/>
      <c r="Q873" s="432"/>
      <c r="R873" s="432"/>
      <c r="S873" s="432"/>
      <c r="T873" s="432"/>
      <c r="U873" s="432"/>
      <c r="V873" s="432"/>
      <c r="W873" s="432"/>
      <c r="X873" s="432"/>
      <c r="Y873" s="432"/>
      <c r="Z873" s="432"/>
      <c r="AA873" s="432"/>
      <c r="AB873" s="432"/>
      <c r="AC873" s="432"/>
      <c r="AD873" s="432"/>
      <c r="AE873" s="432"/>
    </row>
    <row r="874">
      <c r="A874" s="432"/>
      <c r="B874" s="432"/>
      <c r="C874" s="432"/>
      <c r="D874" s="432"/>
      <c r="E874" s="432"/>
      <c r="F874" s="432"/>
      <c r="G874" s="432"/>
      <c r="H874" s="432"/>
      <c r="I874" s="432"/>
      <c r="J874" s="432"/>
      <c r="K874" s="432"/>
      <c r="L874" s="432"/>
      <c r="M874" s="432"/>
      <c r="N874" s="432"/>
      <c r="O874" s="432"/>
      <c r="P874" s="432"/>
      <c r="Q874" s="432"/>
      <c r="R874" s="432"/>
      <c r="S874" s="432"/>
      <c r="T874" s="432"/>
      <c r="U874" s="432"/>
      <c r="V874" s="432"/>
      <c r="W874" s="432"/>
      <c r="X874" s="432"/>
      <c r="Y874" s="432"/>
      <c r="Z874" s="432"/>
      <c r="AA874" s="432"/>
      <c r="AB874" s="432"/>
      <c r="AC874" s="432"/>
      <c r="AD874" s="432"/>
      <c r="AE874" s="432"/>
    </row>
    <row r="875">
      <c r="A875" s="432"/>
      <c r="B875" s="432"/>
      <c r="C875" s="432"/>
      <c r="D875" s="432"/>
      <c r="E875" s="432"/>
      <c r="F875" s="432"/>
      <c r="G875" s="432"/>
      <c r="H875" s="432"/>
      <c r="I875" s="432"/>
      <c r="J875" s="432"/>
      <c r="K875" s="432"/>
      <c r="L875" s="432"/>
      <c r="M875" s="432"/>
      <c r="N875" s="432"/>
      <c r="O875" s="432"/>
      <c r="P875" s="432"/>
      <c r="Q875" s="432"/>
      <c r="R875" s="432"/>
      <c r="S875" s="432"/>
      <c r="T875" s="432"/>
      <c r="U875" s="432"/>
      <c r="V875" s="432"/>
      <c r="W875" s="432"/>
      <c r="X875" s="432"/>
      <c r="Y875" s="432"/>
      <c r="Z875" s="432"/>
      <c r="AA875" s="432"/>
      <c r="AB875" s="432"/>
      <c r="AC875" s="432"/>
      <c r="AD875" s="432"/>
      <c r="AE875" s="432"/>
    </row>
    <row r="876">
      <c r="A876" s="432"/>
      <c r="B876" s="432"/>
      <c r="C876" s="432"/>
      <c r="D876" s="432"/>
      <c r="E876" s="432"/>
      <c r="F876" s="432"/>
      <c r="G876" s="432"/>
      <c r="H876" s="432"/>
      <c r="I876" s="432"/>
      <c r="J876" s="432"/>
      <c r="K876" s="432"/>
      <c r="L876" s="432"/>
      <c r="M876" s="432"/>
      <c r="N876" s="432"/>
      <c r="O876" s="432"/>
      <c r="P876" s="432"/>
      <c r="Q876" s="432"/>
      <c r="R876" s="432"/>
      <c r="S876" s="432"/>
      <c r="T876" s="432"/>
      <c r="U876" s="432"/>
      <c r="V876" s="432"/>
      <c r="W876" s="432"/>
      <c r="X876" s="432"/>
      <c r="Y876" s="432"/>
      <c r="Z876" s="432"/>
      <c r="AA876" s="432"/>
      <c r="AB876" s="432"/>
      <c r="AC876" s="432"/>
      <c r="AD876" s="432"/>
      <c r="AE876" s="432"/>
    </row>
    <row r="877">
      <c r="A877" s="432"/>
      <c r="B877" s="432"/>
      <c r="C877" s="432"/>
      <c r="D877" s="432"/>
      <c r="E877" s="432"/>
      <c r="F877" s="432"/>
      <c r="G877" s="432"/>
      <c r="H877" s="432"/>
      <c r="I877" s="432"/>
      <c r="J877" s="432"/>
      <c r="K877" s="432"/>
      <c r="L877" s="432"/>
      <c r="M877" s="432"/>
      <c r="N877" s="432"/>
      <c r="O877" s="432"/>
      <c r="P877" s="432"/>
      <c r="Q877" s="432"/>
      <c r="R877" s="432"/>
      <c r="S877" s="432"/>
      <c r="T877" s="432"/>
      <c r="U877" s="432"/>
      <c r="V877" s="432"/>
      <c r="W877" s="432"/>
      <c r="X877" s="432"/>
      <c r="Y877" s="432"/>
      <c r="Z877" s="432"/>
      <c r="AA877" s="432"/>
      <c r="AB877" s="432"/>
      <c r="AC877" s="432"/>
      <c r="AD877" s="432"/>
      <c r="AE877" s="432"/>
    </row>
    <row r="878">
      <c r="A878" s="432"/>
      <c r="B878" s="432"/>
      <c r="C878" s="432"/>
      <c r="D878" s="432"/>
      <c r="E878" s="432"/>
      <c r="F878" s="432"/>
      <c r="G878" s="432"/>
      <c r="H878" s="432"/>
      <c r="I878" s="432"/>
      <c r="J878" s="432"/>
      <c r="K878" s="432"/>
      <c r="L878" s="432"/>
      <c r="M878" s="432"/>
      <c r="N878" s="432"/>
      <c r="O878" s="432"/>
      <c r="P878" s="432"/>
      <c r="Q878" s="432"/>
      <c r="R878" s="432"/>
      <c r="S878" s="432"/>
      <c r="T878" s="432"/>
      <c r="U878" s="432"/>
      <c r="V878" s="432"/>
      <c r="W878" s="432"/>
      <c r="X878" s="432"/>
      <c r="Y878" s="432"/>
      <c r="Z878" s="432"/>
      <c r="AA878" s="432"/>
      <c r="AB878" s="432"/>
      <c r="AC878" s="432"/>
      <c r="AD878" s="432"/>
      <c r="AE878" s="432"/>
    </row>
    <row r="879">
      <c r="A879" s="432"/>
      <c r="B879" s="432"/>
      <c r="C879" s="432"/>
      <c r="D879" s="432"/>
      <c r="E879" s="432"/>
      <c r="F879" s="432"/>
      <c r="G879" s="432"/>
      <c r="H879" s="432"/>
      <c r="I879" s="432"/>
      <c r="J879" s="432"/>
      <c r="K879" s="432"/>
      <c r="L879" s="432"/>
      <c r="M879" s="432"/>
      <c r="N879" s="432"/>
      <c r="O879" s="432"/>
      <c r="P879" s="432"/>
      <c r="Q879" s="432"/>
      <c r="R879" s="432"/>
      <c r="S879" s="432"/>
      <c r="T879" s="432"/>
      <c r="U879" s="432"/>
      <c r="V879" s="432"/>
      <c r="W879" s="432"/>
      <c r="X879" s="432"/>
      <c r="Y879" s="432"/>
      <c r="Z879" s="432"/>
      <c r="AA879" s="432"/>
      <c r="AB879" s="432"/>
      <c r="AC879" s="432"/>
      <c r="AD879" s="432"/>
      <c r="AE879" s="432"/>
    </row>
    <row r="880">
      <c r="A880" s="432"/>
      <c r="B880" s="432"/>
      <c r="C880" s="432"/>
      <c r="D880" s="432"/>
      <c r="E880" s="432"/>
      <c r="F880" s="432"/>
      <c r="G880" s="432"/>
      <c r="H880" s="432"/>
      <c r="I880" s="432"/>
      <c r="J880" s="432"/>
      <c r="K880" s="432"/>
      <c r="L880" s="432"/>
      <c r="M880" s="432"/>
      <c r="N880" s="432"/>
      <c r="O880" s="432"/>
      <c r="P880" s="432"/>
      <c r="Q880" s="432"/>
      <c r="R880" s="432"/>
      <c r="S880" s="432"/>
      <c r="T880" s="432"/>
      <c r="U880" s="432"/>
      <c r="V880" s="432"/>
      <c r="W880" s="432"/>
      <c r="X880" s="432"/>
      <c r="Y880" s="432"/>
      <c r="Z880" s="432"/>
      <c r="AA880" s="432"/>
      <c r="AB880" s="432"/>
      <c r="AC880" s="432"/>
      <c r="AD880" s="432"/>
      <c r="AE880" s="432"/>
    </row>
    <row r="881">
      <c r="A881" s="432"/>
      <c r="B881" s="432"/>
      <c r="C881" s="432"/>
      <c r="D881" s="432"/>
      <c r="E881" s="432"/>
      <c r="F881" s="432"/>
      <c r="G881" s="432"/>
      <c r="H881" s="432"/>
      <c r="I881" s="432"/>
      <c r="J881" s="432"/>
      <c r="K881" s="432"/>
      <c r="L881" s="432"/>
      <c r="M881" s="432"/>
      <c r="N881" s="432"/>
      <c r="O881" s="432"/>
      <c r="P881" s="432"/>
      <c r="Q881" s="432"/>
      <c r="R881" s="432"/>
      <c r="S881" s="432"/>
      <c r="T881" s="432"/>
      <c r="U881" s="432"/>
      <c r="V881" s="432"/>
      <c r="W881" s="432"/>
      <c r="X881" s="432"/>
      <c r="Y881" s="432"/>
      <c r="Z881" s="432"/>
      <c r="AA881" s="432"/>
      <c r="AB881" s="432"/>
      <c r="AC881" s="432"/>
      <c r="AD881" s="432"/>
      <c r="AE881" s="432"/>
    </row>
    <row r="882">
      <c r="A882" s="432"/>
      <c r="B882" s="432"/>
      <c r="C882" s="432"/>
      <c r="D882" s="432"/>
      <c r="E882" s="432"/>
      <c r="F882" s="432"/>
      <c r="G882" s="432"/>
      <c r="H882" s="432"/>
      <c r="I882" s="432"/>
      <c r="J882" s="432"/>
      <c r="K882" s="432"/>
      <c r="L882" s="432"/>
      <c r="M882" s="432"/>
      <c r="N882" s="432"/>
      <c r="O882" s="432"/>
      <c r="P882" s="432"/>
      <c r="Q882" s="432"/>
      <c r="R882" s="432"/>
      <c r="S882" s="432"/>
      <c r="T882" s="432"/>
      <c r="U882" s="432"/>
      <c r="V882" s="432"/>
      <c r="W882" s="432"/>
      <c r="X882" s="432"/>
      <c r="Y882" s="432"/>
      <c r="Z882" s="432"/>
      <c r="AA882" s="432"/>
      <c r="AB882" s="432"/>
      <c r="AC882" s="432"/>
      <c r="AD882" s="432"/>
      <c r="AE882" s="432"/>
    </row>
    <row r="883">
      <c r="A883" s="432"/>
      <c r="B883" s="432"/>
      <c r="C883" s="432"/>
      <c r="D883" s="432"/>
      <c r="E883" s="432"/>
      <c r="F883" s="432"/>
      <c r="G883" s="432"/>
      <c r="H883" s="432"/>
      <c r="I883" s="432"/>
      <c r="J883" s="432"/>
      <c r="K883" s="432"/>
      <c r="L883" s="432"/>
      <c r="M883" s="432"/>
      <c r="N883" s="432"/>
      <c r="O883" s="432"/>
      <c r="P883" s="432"/>
      <c r="Q883" s="432"/>
      <c r="R883" s="432"/>
      <c r="S883" s="432"/>
      <c r="T883" s="432"/>
      <c r="U883" s="432"/>
      <c r="V883" s="432"/>
      <c r="W883" s="432"/>
      <c r="X883" s="432"/>
      <c r="Y883" s="432"/>
      <c r="Z883" s="432"/>
      <c r="AA883" s="432"/>
      <c r="AB883" s="432"/>
      <c r="AC883" s="432"/>
      <c r="AD883" s="432"/>
      <c r="AE883" s="432"/>
    </row>
    <row r="884">
      <c r="A884" s="432"/>
      <c r="B884" s="432"/>
      <c r="C884" s="432"/>
      <c r="D884" s="432"/>
      <c r="E884" s="432"/>
      <c r="F884" s="432"/>
      <c r="G884" s="432"/>
      <c r="H884" s="432"/>
      <c r="I884" s="432"/>
      <c r="J884" s="432"/>
      <c r="K884" s="432"/>
      <c r="L884" s="432"/>
      <c r="M884" s="432"/>
      <c r="N884" s="432"/>
      <c r="O884" s="432"/>
      <c r="P884" s="432"/>
      <c r="Q884" s="432"/>
      <c r="R884" s="432"/>
      <c r="S884" s="432"/>
      <c r="T884" s="432"/>
      <c r="U884" s="432"/>
      <c r="V884" s="432"/>
      <c r="W884" s="432"/>
      <c r="X884" s="432"/>
      <c r="Y884" s="432"/>
      <c r="Z884" s="432"/>
      <c r="AA884" s="432"/>
      <c r="AB884" s="432"/>
      <c r="AC884" s="432"/>
      <c r="AD884" s="432"/>
      <c r="AE884" s="432"/>
    </row>
    <row r="885">
      <c r="A885" s="432"/>
      <c r="B885" s="432"/>
      <c r="C885" s="432"/>
      <c r="D885" s="432"/>
      <c r="E885" s="432"/>
      <c r="F885" s="432"/>
      <c r="G885" s="432"/>
      <c r="H885" s="432"/>
      <c r="I885" s="432"/>
      <c r="J885" s="432"/>
      <c r="K885" s="432"/>
      <c r="L885" s="432"/>
      <c r="M885" s="432"/>
      <c r="N885" s="432"/>
      <c r="O885" s="432"/>
      <c r="P885" s="432"/>
      <c r="Q885" s="432"/>
      <c r="R885" s="432"/>
      <c r="S885" s="432"/>
      <c r="T885" s="432"/>
      <c r="U885" s="432"/>
      <c r="V885" s="432"/>
      <c r="W885" s="432"/>
      <c r="X885" s="432"/>
      <c r="Y885" s="432"/>
      <c r="Z885" s="432"/>
      <c r="AA885" s="432"/>
      <c r="AB885" s="432"/>
      <c r="AC885" s="432"/>
      <c r="AD885" s="432"/>
      <c r="AE885" s="432"/>
    </row>
    <row r="886">
      <c r="A886" s="432"/>
      <c r="B886" s="432"/>
      <c r="C886" s="432"/>
      <c r="D886" s="432"/>
      <c r="E886" s="432"/>
      <c r="F886" s="432"/>
      <c r="G886" s="432"/>
      <c r="H886" s="432"/>
      <c r="I886" s="432"/>
      <c r="J886" s="432"/>
      <c r="K886" s="432"/>
      <c r="L886" s="432"/>
      <c r="M886" s="432"/>
      <c r="N886" s="432"/>
      <c r="O886" s="432"/>
      <c r="P886" s="432"/>
      <c r="Q886" s="432"/>
      <c r="R886" s="432"/>
      <c r="S886" s="432"/>
      <c r="T886" s="432"/>
      <c r="U886" s="432"/>
      <c r="V886" s="432"/>
      <c r="W886" s="432"/>
      <c r="X886" s="432"/>
      <c r="Y886" s="432"/>
      <c r="Z886" s="432"/>
      <c r="AA886" s="432"/>
      <c r="AB886" s="432"/>
      <c r="AC886" s="432"/>
      <c r="AD886" s="432"/>
      <c r="AE886" s="432"/>
    </row>
    <row r="887">
      <c r="A887" s="432"/>
      <c r="B887" s="432"/>
      <c r="C887" s="432"/>
      <c r="D887" s="432"/>
      <c r="E887" s="432"/>
      <c r="F887" s="432"/>
      <c r="G887" s="432"/>
      <c r="H887" s="432"/>
      <c r="I887" s="432"/>
      <c r="J887" s="432"/>
      <c r="K887" s="432"/>
      <c r="L887" s="432"/>
      <c r="M887" s="432"/>
      <c r="N887" s="432"/>
      <c r="O887" s="432"/>
      <c r="P887" s="432"/>
      <c r="Q887" s="432"/>
      <c r="R887" s="432"/>
      <c r="S887" s="432"/>
      <c r="T887" s="432"/>
      <c r="U887" s="432"/>
      <c r="V887" s="432"/>
      <c r="W887" s="432"/>
      <c r="X887" s="432"/>
      <c r="Y887" s="432"/>
      <c r="Z887" s="432"/>
      <c r="AA887" s="432"/>
      <c r="AB887" s="432"/>
      <c r="AC887" s="432"/>
      <c r="AD887" s="432"/>
      <c r="AE887" s="432"/>
    </row>
    <row r="888">
      <c r="A888" s="432"/>
      <c r="B888" s="432"/>
      <c r="C888" s="432"/>
      <c r="D888" s="432"/>
      <c r="E888" s="432"/>
      <c r="F888" s="432"/>
      <c r="G888" s="432"/>
      <c r="H888" s="432"/>
      <c r="I888" s="432"/>
      <c r="J888" s="432"/>
      <c r="K888" s="432"/>
      <c r="L888" s="432"/>
      <c r="M888" s="432"/>
      <c r="N888" s="432"/>
      <c r="O888" s="432"/>
      <c r="P888" s="432"/>
      <c r="Q888" s="432"/>
      <c r="R888" s="432"/>
      <c r="S888" s="432"/>
      <c r="T888" s="432"/>
      <c r="U888" s="432"/>
      <c r="V888" s="432"/>
      <c r="W888" s="432"/>
      <c r="X888" s="432"/>
      <c r="Y888" s="432"/>
      <c r="Z888" s="432"/>
      <c r="AA888" s="432"/>
      <c r="AB888" s="432"/>
      <c r="AC888" s="432"/>
      <c r="AD888" s="432"/>
      <c r="AE888" s="432"/>
    </row>
    <row r="889">
      <c r="A889" s="432"/>
      <c r="B889" s="432"/>
      <c r="C889" s="432"/>
      <c r="D889" s="432"/>
      <c r="E889" s="432"/>
      <c r="F889" s="432"/>
      <c r="G889" s="432"/>
      <c r="H889" s="432"/>
      <c r="I889" s="432"/>
      <c r="J889" s="432"/>
      <c r="K889" s="432"/>
      <c r="L889" s="432"/>
      <c r="M889" s="432"/>
      <c r="N889" s="432"/>
      <c r="O889" s="432"/>
      <c r="P889" s="432"/>
      <c r="Q889" s="432"/>
      <c r="R889" s="432"/>
      <c r="S889" s="432"/>
      <c r="T889" s="432"/>
      <c r="U889" s="432"/>
      <c r="V889" s="432"/>
      <c r="W889" s="432"/>
      <c r="X889" s="432"/>
      <c r="Y889" s="432"/>
      <c r="Z889" s="432"/>
      <c r="AA889" s="432"/>
      <c r="AB889" s="432"/>
      <c r="AC889" s="432"/>
      <c r="AD889" s="432"/>
      <c r="AE889" s="432"/>
    </row>
    <row r="890">
      <c r="A890" s="432"/>
      <c r="B890" s="432"/>
      <c r="C890" s="432"/>
      <c r="D890" s="432"/>
      <c r="E890" s="432"/>
      <c r="F890" s="432"/>
      <c r="G890" s="432"/>
      <c r="H890" s="432"/>
      <c r="I890" s="432"/>
      <c r="J890" s="432"/>
      <c r="K890" s="432"/>
      <c r="L890" s="432"/>
      <c r="M890" s="432"/>
      <c r="N890" s="432"/>
      <c r="O890" s="432"/>
      <c r="P890" s="432"/>
      <c r="Q890" s="432"/>
      <c r="R890" s="432"/>
      <c r="S890" s="432"/>
      <c r="T890" s="432"/>
      <c r="U890" s="432"/>
      <c r="V890" s="432"/>
      <c r="W890" s="432"/>
      <c r="X890" s="432"/>
      <c r="Y890" s="432"/>
      <c r="Z890" s="432"/>
      <c r="AA890" s="432"/>
      <c r="AB890" s="432"/>
      <c r="AC890" s="432"/>
      <c r="AD890" s="432"/>
      <c r="AE890" s="432"/>
    </row>
    <row r="891">
      <c r="A891" s="432"/>
      <c r="B891" s="432"/>
      <c r="C891" s="432"/>
      <c r="D891" s="432"/>
      <c r="E891" s="432"/>
      <c r="F891" s="432"/>
      <c r="G891" s="432"/>
      <c r="H891" s="432"/>
      <c r="I891" s="432"/>
      <c r="J891" s="432"/>
      <c r="K891" s="432"/>
      <c r="L891" s="432"/>
      <c r="M891" s="432"/>
      <c r="N891" s="432"/>
      <c r="O891" s="432"/>
      <c r="P891" s="432"/>
      <c r="Q891" s="432"/>
      <c r="R891" s="432"/>
      <c r="S891" s="432"/>
      <c r="T891" s="432"/>
      <c r="U891" s="432"/>
      <c r="V891" s="432"/>
      <c r="W891" s="432"/>
      <c r="X891" s="432"/>
      <c r="Y891" s="432"/>
      <c r="Z891" s="432"/>
      <c r="AA891" s="432"/>
      <c r="AB891" s="432"/>
      <c r="AC891" s="432"/>
      <c r="AD891" s="432"/>
      <c r="AE891" s="432"/>
    </row>
    <row r="892">
      <c r="A892" s="432"/>
      <c r="B892" s="432"/>
      <c r="C892" s="432"/>
      <c r="D892" s="432"/>
      <c r="E892" s="432"/>
      <c r="F892" s="432"/>
      <c r="G892" s="432"/>
      <c r="H892" s="432"/>
      <c r="I892" s="432"/>
      <c r="J892" s="432"/>
      <c r="K892" s="432"/>
      <c r="L892" s="432"/>
      <c r="M892" s="432"/>
      <c r="N892" s="432"/>
      <c r="O892" s="432"/>
      <c r="P892" s="432"/>
      <c r="Q892" s="432"/>
      <c r="R892" s="432"/>
      <c r="S892" s="432"/>
      <c r="T892" s="432"/>
      <c r="U892" s="432"/>
      <c r="V892" s="432"/>
      <c r="W892" s="432"/>
      <c r="X892" s="432"/>
      <c r="Y892" s="432"/>
      <c r="Z892" s="432"/>
      <c r="AA892" s="432"/>
      <c r="AB892" s="432"/>
      <c r="AC892" s="432"/>
      <c r="AD892" s="432"/>
      <c r="AE892" s="432"/>
    </row>
    <row r="893">
      <c r="A893" s="432"/>
      <c r="B893" s="432"/>
      <c r="C893" s="432"/>
      <c r="D893" s="432"/>
      <c r="E893" s="432"/>
      <c r="F893" s="432"/>
      <c r="G893" s="432"/>
      <c r="H893" s="432"/>
      <c r="I893" s="432"/>
      <c r="J893" s="432"/>
      <c r="K893" s="432"/>
      <c r="L893" s="432"/>
      <c r="M893" s="432"/>
      <c r="N893" s="432"/>
      <c r="O893" s="432"/>
      <c r="P893" s="432"/>
      <c r="Q893" s="432"/>
      <c r="R893" s="432"/>
      <c r="S893" s="432"/>
      <c r="T893" s="432"/>
      <c r="U893" s="432"/>
      <c r="V893" s="432"/>
      <c r="W893" s="432"/>
      <c r="X893" s="432"/>
      <c r="Y893" s="432"/>
      <c r="Z893" s="432"/>
      <c r="AA893" s="432"/>
      <c r="AB893" s="432"/>
      <c r="AC893" s="432"/>
      <c r="AD893" s="432"/>
      <c r="AE893" s="432"/>
    </row>
    <row r="894">
      <c r="A894" s="432"/>
      <c r="B894" s="432"/>
      <c r="C894" s="432"/>
      <c r="D894" s="432"/>
      <c r="E894" s="432"/>
      <c r="F894" s="432"/>
      <c r="G894" s="432"/>
      <c r="H894" s="432"/>
      <c r="I894" s="432"/>
      <c r="J894" s="432"/>
      <c r="K894" s="432"/>
      <c r="L894" s="432"/>
      <c r="M894" s="432"/>
      <c r="N894" s="432"/>
      <c r="O894" s="432"/>
      <c r="P894" s="432"/>
      <c r="Q894" s="432"/>
      <c r="R894" s="432"/>
      <c r="S894" s="432"/>
      <c r="T894" s="432"/>
      <c r="U894" s="432"/>
      <c r="V894" s="432"/>
      <c r="W894" s="432"/>
      <c r="X894" s="432"/>
      <c r="Y894" s="432"/>
      <c r="Z894" s="432"/>
      <c r="AA894" s="432"/>
      <c r="AB894" s="432"/>
      <c r="AC894" s="432"/>
      <c r="AD894" s="432"/>
      <c r="AE894" s="432"/>
    </row>
    <row r="895">
      <c r="A895" s="432"/>
      <c r="B895" s="432"/>
      <c r="C895" s="432"/>
      <c r="D895" s="432"/>
      <c r="E895" s="432"/>
      <c r="F895" s="432"/>
      <c r="G895" s="432"/>
      <c r="H895" s="432"/>
      <c r="I895" s="432"/>
      <c r="J895" s="432"/>
      <c r="K895" s="432"/>
      <c r="L895" s="432"/>
      <c r="M895" s="432"/>
      <c r="N895" s="432"/>
      <c r="O895" s="432"/>
      <c r="P895" s="432"/>
      <c r="Q895" s="432"/>
      <c r="R895" s="432"/>
      <c r="S895" s="432"/>
      <c r="T895" s="432"/>
      <c r="U895" s="432"/>
      <c r="V895" s="432"/>
      <c r="W895" s="432"/>
      <c r="X895" s="432"/>
      <c r="Y895" s="432"/>
      <c r="Z895" s="432"/>
      <c r="AA895" s="432"/>
      <c r="AB895" s="432"/>
      <c r="AC895" s="432"/>
      <c r="AD895" s="432"/>
      <c r="AE895" s="432"/>
    </row>
    <row r="896">
      <c r="A896" s="432"/>
      <c r="B896" s="432"/>
      <c r="C896" s="432"/>
      <c r="D896" s="432"/>
      <c r="E896" s="432"/>
      <c r="F896" s="432"/>
      <c r="G896" s="432"/>
      <c r="H896" s="432"/>
      <c r="I896" s="432"/>
      <c r="J896" s="432"/>
      <c r="K896" s="432"/>
      <c r="L896" s="432"/>
      <c r="M896" s="432"/>
      <c r="N896" s="432"/>
      <c r="O896" s="432"/>
      <c r="P896" s="432"/>
      <c r="Q896" s="432"/>
      <c r="R896" s="432"/>
      <c r="S896" s="432"/>
      <c r="T896" s="432"/>
      <c r="U896" s="432"/>
      <c r="V896" s="432"/>
      <c r="W896" s="432"/>
      <c r="X896" s="432"/>
      <c r="Y896" s="432"/>
      <c r="Z896" s="432"/>
      <c r="AA896" s="432"/>
      <c r="AB896" s="432"/>
      <c r="AC896" s="432"/>
      <c r="AD896" s="432"/>
      <c r="AE896" s="432"/>
    </row>
    <row r="897">
      <c r="A897" s="432"/>
      <c r="B897" s="432"/>
      <c r="C897" s="432"/>
      <c r="D897" s="432"/>
      <c r="E897" s="432"/>
      <c r="F897" s="432"/>
      <c r="G897" s="432"/>
      <c r="H897" s="432"/>
      <c r="I897" s="432"/>
      <c r="J897" s="432"/>
      <c r="K897" s="432"/>
      <c r="L897" s="432"/>
      <c r="M897" s="432"/>
      <c r="N897" s="432"/>
      <c r="O897" s="432"/>
      <c r="P897" s="432"/>
      <c r="Q897" s="432"/>
      <c r="R897" s="432"/>
      <c r="S897" s="432"/>
      <c r="T897" s="432"/>
      <c r="U897" s="432"/>
      <c r="V897" s="432"/>
      <c r="W897" s="432"/>
      <c r="X897" s="432"/>
      <c r="Y897" s="432"/>
      <c r="Z897" s="432"/>
      <c r="AA897" s="432"/>
      <c r="AB897" s="432"/>
      <c r="AC897" s="432"/>
      <c r="AD897" s="432"/>
      <c r="AE897" s="432"/>
    </row>
    <row r="898">
      <c r="A898" s="432"/>
      <c r="B898" s="432"/>
      <c r="C898" s="432"/>
      <c r="D898" s="432"/>
      <c r="E898" s="432"/>
      <c r="F898" s="432"/>
      <c r="G898" s="432"/>
      <c r="H898" s="432"/>
      <c r="I898" s="432"/>
      <c r="J898" s="432"/>
      <c r="K898" s="432"/>
      <c r="L898" s="432"/>
      <c r="M898" s="432"/>
      <c r="N898" s="432"/>
      <c r="O898" s="432"/>
      <c r="P898" s="432"/>
      <c r="Q898" s="432"/>
      <c r="R898" s="432"/>
      <c r="S898" s="432"/>
      <c r="T898" s="432"/>
      <c r="U898" s="432"/>
      <c r="V898" s="432"/>
      <c r="W898" s="432"/>
      <c r="X898" s="432"/>
      <c r="Y898" s="432"/>
      <c r="Z898" s="432"/>
      <c r="AA898" s="432"/>
      <c r="AB898" s="432"/>
      <c r="AC898" s="432"/>
      <c r="AD898" s="432"/>
      <c r="AE898" s="432"/>
    </row>
    <row r="899">
      <c r="A899" s="432"/>
      <c r="B899" s="432"/>
      <c r="C899" s="432"/>
      <c r="D899" s="432"/>
      <c r="E899" s="432"/>
      <c r="F899" s="432"/>
      <c r="G899" s="432"/>
      <c r="H899" s="432"/>
      <c r="I899" s="432"/>
      <c r="J899" s="432"/>
      <c r="K899" s="432"/>
      <c r="L899" s="432"/>
      <c r="M899" s="432"/>
      <c r="N899" s="432"/>
      <c r="O899" s="432"/>
      <c r="P899" s="432"/>
      <c r="Q899" s="432"/>
      <c r="R899" s="432"/>
      <c r="S899" s="432"/>
      <c r="T899" s="432"/>
      <c r="U899" s="432"/>
      <c r="V899" s="432"/>
      <c r="W899" s="432"/>
      <c r="X899" s="432"/>
      <c r="Y899" s="432"/>
      <c r="Z899" s="432"/>
      <c r="AA899" s="432"/>
      <c r="AB899" s="432"/>
      <c r="AC899" s="432"/>
      <c r="AD899" s="432"/>
      <c r="AE899" s="432"/>
    </row>
    <row r="900">
      <c r="A900" s="432"/>
      <c r="B900" s="432"/>
      <c r="C900" s="432"/>
      <c r="D900" s="432"/>
      <c r="E900" s="432"/>
      <c r="F900" s="432"/>
      <c r="G900" s="432"/>
      <c r="H900" s="432"/>
      <c r="I900" s="432"/>
      <c r="J900" s="432"/>
      <c r="K900" s="432"/>
      <c r="L900" s="432"/>
      <c r="M900" s="432"/>
      <c r="N900" s="432"/>
      <c r="O900" s="432"/>
      <c r="P900" s="432"/>
      <c r="Q900" s="432"/>
      <c r="R900" s="432"/>
      <c r="S900" s="432"/>
      <c r="T900" s="432"/>
      <c r="U900" s="432"/>
      <c r="V900" s="432"/>
      <c r="W900" s="432"/>
      <c r="X900" s="432"/>
      <c r="Y900" s="432"/>
      <c r="Z900" s="432"/>
      <c r="AA900" s="432"/>
      <c r="AB900" s="432"/>
      <c r="AC900" s="432"/>
      <c r="AD900" s="432"/>
      <c r="AE900" s="432"/>
    </row>
    <row r="901">
      <c r="A901" s="432"/>
      <c r="B901" s="432"/>
      <c r="C901" s="432"/>
      <c r="D901" s="432"/>
      <c r="E901" s="432"/>
      <c r="F901" s="432"/>
      <c r="G901" s="432"/>
      <c r="H901" s="432"/>
      <c r="I901" s="432"/>
      <c r="J901" s="432"/>
      <c r="K901" s="432"/>
      <c r="L901" s="432"/>
      <c r="M901" s="432"/>
      <c r="N901" s="432"/>
      <c r="O901" s="432"/>
      <c r="P901" s="432"/>
      <c r="Q901" s="432"/>
      <c r="R901" s="432"/>
      <c r="S901" s="432"/>
      <c r="T901" s="432"/>
      <c r="U901" s="432"/>
      <c r="V901" s="432"/>
      <c r="W901" s="432"/>
      <c r="X901" s="432"/>
      <c r="Y901" s="432"/>
      <c r="Z901" s="432"/>
      <c r="AA901" s="432"/>
      <c r="AB901" s="432"/>
      <c r="AC901" s="432"/>
      <c r="AD901" s="432"/>
      <c r="AE901" s="432"/>
    </row>
    <row r="902">
      <c r="A902" s="432"/>
      <c r="B902" s="432"/>
      <c r="C902" s="432"/>
      <c r="D902" s="432"/>
      <c r="E902" s="432"/>
      <c r="F902" s="432"/>
      <c r="G902" s="432"/>
      <c r="H902" s="432"/>
      <c r="I902" s="432"/>
      <c r="J902" s="432"/>
      <c r="K902" s="432"/>
      <c r="L902" s="432"/>
      <c r="M902" s="432"/>
      <c r="N902" s="432"/>
      <c r="O902" s="432"/>
      <c r="P902" s="432"/>
      <c r="Q902" s="432"/>
      <c r="R902" s="432"/>
      <c r="S902" s="432"/>
      <c r="T902" s="432"/>
      <c r="U902" s="432"/>
      <c r="V902" s="432"/>
      <c r="W902" s="432"/>
      <c r="X902" s="432"/>
      <c r="Y902" s="432"/>
      <c r="Z902" s="432"/>
      <c r="AA902" s="432"/>
      <c r="AB902" s="432"/>
      <c r="AC902" s="432"/>
      <c r="AD902" s="432"/>
      <c r="AE902" s="432"/>
    </row>
    <row r="903">
      <c r="A903" s="432"/>
      <c r="B903" s="432"/>
      <c r="C903" s="432"/>
      <c r="D903" s="432"/>
      <c r="E903" s="432"/>
      <c r="F903" s="432"/>
      <c r="G903" s="432"/>
      <c r="H903" s="432"/>
      <c r="I903" s="432"/>
      <c r="J903" s="432"/>
      <c r="K903" s="432"/>
      <c r="L903" s="432"/>
      <c r="M903" s="432"/>
      <c r="N903" s="432"/>
      <c r="O903" s="432"/>
      <c r="P903" s="432"/>
      <c r="Q903" s="432"/>
      <c r="R903" s="432"/>
      <c r="S903" s="432"/>
      <c r="T903" s="432"/>
      <c r="U903" s="432"/>
      <c r="V903" s="432"/>
      <c r="W903" s="432"/>
      <c r="X903" s="432"/>
      <c r="Y903" s="432"/>
      <c r="Z903" s="432"/>
      <c r="AA903" s="432"/>
      <c r="AB903" s="432"/>
      <c r="AC903" s="432"/>
      <c r="AD903" s="432"/>
      <c r="AE903" s="432"/>
    </row>
    <row r="904">
      <c r="A904" s="432"/>
      <c r="B904" s="432"/>
      <c r="C904" s="432"/>
      <c r="D904" s="432"/>
      <c r="E904" s="432"/>
      <c r="F904" s="432"/>
      <c r="G904" s="432"/>
      <c r="H904" s="432"/>
      <c r="I904" s="432"/>
      <c r="J904" s="432"/>
      <c r="K904" s="432"/>
      <c r="L904" s="432"/>
      <c r="M904" s="432"/>
      <c r="N904" s="432"/>
      <c r="O904" s="432"/>
      <c r="P904" s="432"/>
      <c r="Q904" s="432"/>
      <c r="R904" s="432"/>
      <c r="S904" s="432"/>
      <c r="T904" s="432"/>
      <c r="U904" s="432"/>
      <c r="V904" s="432"/>
      <c r="W904" s="432"/>
      <c r="X904" s="432"/>
      <c r="Y904" s="432"/>
      <c r="Z904" s="432"/>
      <c r="AA904" s="432"/>
      <c r="AB904" s="432"/>
      <c r="AC904" s="432"/>
      <c r="AD904" s="432"/>
      <c r="AE904" s="432"/>
    </row>
    <row r="905">
      <c r="A905" s="432"/>
      <c r="B905" s="432"/>
      <c r="C905" s="432"/>
      <c r="D905" s="432"/>
      <c r="E905" s="432"/>
      <c r="F905" s="432"/>
      <c r="G905" s="432"/>
      <c r="H905" s="432"/>
      <c r="I905" s="432"/>
      <c r="J905" s="432"/>
      <c r="K905" s="432"/>
      <c r="L905" s="432"/>
      <c r="M905" s="432"/>
      <c r="N905" s="432"/>
      <c r="O905" s="432"/>
      <c r="P905" s="432"/>
      <c r="Q905" s="432"/>
      <c r="R905" s="432"/>
      <c r="S905" s="432"/>
      <c r="T905" s="432"/>
      <c r="U905" s="432"/>
      <c r="V905" s="432"/>
      <c r="W905" s="432"/>
      <c r="X905" s="432"/>
      <c r="Y905" s="432"/>
      <c r="Z905" s="432"/>
      <c r="AA905" s="432"/>
      <c r="AB905" s="432"/>
      <c r="AC905" s="432"/>
      <c r="AD905" s="432"/>
      <c r="AE905" s="432"/>
    </row>
    <row r="906">
      <c r="A906" s="432"/>
      <c r="B906" s="432"/>
      <c r="C906" s="432"/>
      <c r="D906" s="432"/>
      <c r="E906" s="432"/>
      <c r="F906" s="432"/>
      <c r="G906" s="432"/>
      <c r="H906" s="432"/>
      <c r="I906" s="432"/>
      <c r="J906" s="432"/>
      <c r="K906" s="432"/>
      <c r="L906" s="432"/>
      <c r="M906" s="432"/>
      <c r="N906" s="432"/>
      <c r="O906" s="432"/>
      <c r="P906" s="432"/>
      <c r="Q906" s="432"/>
      <c r="R906" s="432"/>
      <c r="S906" s="432"/>
      <c r="T906" s="432"/>
      <c r="U906" s="432"/>
      <c r="V906" s="432"/>
      <c r="W906" s="432"/>
      <c r="X906" s="432"/>
      <c r="Y906" s="432"/>
      <c r="Z906" s="432"/>
      <c r="AA906" s="432"/>
      <c r="AB906" s="432"/>
      <c r="AC906" s="432"/>
      <c r="AD906" s="432"/>
      <c r="AE906" s="432"/>
    </row>
    <row r="907">
      <c r="A907" s="432"/>
      <c r="B907" s="432"/>
      <c r="C907" s="432"/>
      <c r="D907" s="432"/>
      <c r="E907" s="432"/>
      <c r="F907" s="432"/>
      <c r="G907" s="432"/>
      <c r="H907" s="432"/>
      <c r="I907" s="432"/>
      <c r="J907" s="432"/>
      <c r="K907" s="432"/>
      <c r="L907" s="432"/>
      <c r="M907" s="432"/>
      <c r="N907" s="432"/>
      <c r="O907" s="432"/>
      <c r="P907" s="432"/>
      <c r="Q907" s="432"/>
      <c r="R907" s="432"/>
      <c r="S907" s="432"/>
      <c r="T907" s="432"/>
      <c r="U907" s="432"/>
      <c r="V907" s="432"/>
      <c r="W907" s="432"/>
      <c r="X907" s="432"/>
      <c r="Y907" s="432"/>
      <c r="Z907" s="432"/>
      <c r="AA907" s="432"/>
      <c r="AB907" s="432"/>
      <c r="AC907" s="432"/>
      <c r="AD907" s="432"/>
      <c r="AE907" s="432"/>
    </row>
    <row r="908">
      <c r="A908" s="432"/>
      <c r="B908" s="432"/>
      <c r="C908" s="432"/>
      <c r="D908" s="432"/>
      <c r="E908" s="432"/>
      <c r="F908" s="432"/>
      <c r="G908" s="432"/>
      <c r="H908" s="432"/>
      <c r="I908" s="432"/>
      <c r="J908" s="432"/>
      <c r="K908" s="432"/>
      <c r="L908" s="432"/>
      <c r="M908" s="432"/>
      <c r="N908" s="432"/>
      <c r="O908" s="432"/>
      <c r="P908" s="432"/>
      <c r="Q908" s="432"/>
      <c r="R908" s="432"/>
      <c r="S908" s="432"/>
      <c r="T908" s="432"/>
      <c r="U908" s="432"/>
      <c r="V908" s="432"/>
      <c r="W908" s="432"/>
      <c r="X908" s="432"/>
      <c r="Y908" s="432"/>
      <c r="Z908" s="432"/>
      <c r="AA908" s="432"/>
      <c r="AB908" s="432"/>
      <c r="AC908" s="432"/>
      <c r="AD908" s="432"/>
      <c r="AE908" s="432"/>
    </row>
    <row r="909">
      <c r="A909" s="432"/>
      <c r="B909" s="432"/>
      <c r="C909" s="432"/>
      <c r="D909" s="432"/>
      <c r="E909" s="432"/>
      <c r="F909" s="432"/>
      <c r="G909" s="432"/>
      <c r="H909" s="432"/>
      <c r="I909" s="432"/>
      <c r="J909" s="432"/>
      <c r="K909" s="432"/>
      <c r="L909" s="432"/>
      <c r="M909" s="432"/>
      <c r="N909" s="432"/>
      <c r="O909" s="432"/>
      <c r="P909" s="432"/>
      <c r="Q909" s="432"/>
      <c r="R909" s="432"/>
      <c r="S909" s="432"/>
      <c r="T909" s="432"/>
      <c r="U909" s="432"/>
      <c r="V909" s="432"/>
      <c r="W909" s="432"/>
      <c r="X909" s="432"/>
      <c r="Y909" s="432"/>
      <c r="Z909" s="432"/>
      <c r="AA909" s="432"/>
      <c r="AB909" s="432"/>
      <c r="AC909" s="432"/>
      <c r="AD909" s="432"/>
      <c r="AE909" s="432"/>
    </row>
    <row r="910">
      <c r="A910" s="432"/>
      <c r="B910" s="432"/>
      <c r="C910" s="432"/>
      <c r="D910" s="432"/>
      <c r="E910" s="432"/>
      <c r="F910" s="432"/>
      <c r="G910" s="432"/>
      <c r="H910" s="432"/>
      <c r="I910" s="432"/>
      <c r="J910" s="432"/>
      <c r="K910" s="432"/>
      <c r="L910" s="432"/>
      <c r="M910" s="432"/>
      <c r="N910" s="432"/>
      <c r="O910" s="432"/>
      <c r="P910" s="432"/>
      <c r="Q910" s="432"/>
      <c r="R910" s="432"/>
      <c r="S910" s="432"/>
      <c r="T910" s="432"/>
      <c r="U910" s="432"/>
      <c r="V910" s="432"/>
      <c r="W910" s="432"/>
      <c r="X910" s="432"/>
      <c r="Y910" s="432"/>
      <c r="Z910" s="432"/>
      <c r="AA910" s="432"/>
      <c r="AB910" s="432"/>
      <c r="AC910" s="432"/>
      <c r="AD910" s="432"/>
      <c r="AE910" s="432"/>
    </row>
    <row r="911">
      <c r="A911" s="432"/>
      <c r="B911" s="432"/>
      <c r="C911" s="432"/>
      <c r="D911" s="432"/>
      <c r="E911" s="432"/>
      <c r="F911" s="432"/>
      <c r="G911" s="432"/>
      <c r="H911" s="432"/>
      <c r="I911" s="432"/>
      <c r="J911" s="432"/>
      <c r="K911" s="432"/>
      <c r="L911" s="432"/>
      <c r="M911" s="432"/>
      <c r="N911" s="432"/>
      <c r="O911" s="432"/>
      <c r="P911" s="432"/>
      <c r="Q911" s="432"/>
      <c r="R911" s="432"/>
      <c r="S911" s="432"/>
      <c r="T911" s="432"/>
      <c r="U911" s="432"/>
      <c r="V911" s="432"/>
      <c r="W911" s="432"/>
      <c r="X911" s="432"/>
      <c r="Y911" s="432"/>
      <c r="Z911" s="432"/>
      <c r="AA911" s="432"/>
      <c r="AB911" s="432"/>
      <c r="AC911" s="432"/>
      <c r="AD911" s="432"/>
      <c r="AE911" s="432"/>
    </row>
    <row r="912">
      <c r="A912" s="432"/>
      <c r="B912" s="432"/>
      <c r="C912" s="432"/>
      <c r="D912" s="432"/>
      <c r="E912" s="432"/>
      <c r="F912" s="432"/>
      <c r="G912" s="432"/>
      <c r="H912" s="432"/>
      <c r="I912" s="432"/>
      <c r="J912" s="432"/>
      <c r="K912" s="432"/>
      <c r="L912" s="432"/>
      <c r="M912" s="432"/>
      <c r="N912" s="432"/>
      <c r="O912" s="432"/>
      <c r="P912" s="432"/>
      <c r="Q912" s="432"/>
      <c r="R912" s="432"/>
      <c r="S912" s="432"/>
      <c r="T912" s="432"/>
      <c r="U912" s="432"/>
      <c r="V912" s="432"/>
      <c r="W912" s="432"/>
      <c r="X912" s="432"/>
      <c r="Y912" s="432"/>
      <c r="Z912" s="432"/>
      <c r="AA912" s="432"/>
      <c r="AB912" s="432"/>
      <c r="AC912" s="432"/>
      <c r="AD912" s="432"/>
      <c r="AE912" s="432"/>
    </row>
    <row r="913">
      <c r="A913" s="432"/>
      <c r="B913" s="432"/>
      <c r="C913" s="432"/>
      <c r="D913" s="432"/>
      <c r="E913" s="432"/>
      <c r="F913" s="432"/>
      <c r="G913" s="432"/>
      <c r="H913" s="432"/>
      <c r="I913" s="432"/>
      <c r="J913" s="432"/>
      <c r="K913" s="432"/>
      <c r="L913" s="432"/>
      <c r="M913" s="432"/>
      <c r="N913" s="432"/>
      <c r="O913" s="432"/>
      <c r="P913" s="432"/>
      <c r="Q913" s="432"/>
      <c r="R913" s="432"/>
      <c r="S913" s="432"/>
      <c r="T913" s="432"/>
      <c r="U913" s="432"/>
      <c r="V913" s="432"/>
      <c r="W913" s="432"/>
      <c r="X913" s="432"/>
      <c r="Y913" s="432"/>
      <c r="Z913" s="432"/>
      <c r="AA913" s="432"/>
      <c r="AB913" s="432"/>
      <c r="AC913" s="432"/>
      <c r="AD913" s="432"/>
      <c r="AE913" s="432"/>
    </row>
    <row r="914">
      <c r="A914" s="432"/>
      <c r="B914" s="432"/>
      <c r="C914" s="432"/>
      <c r="D914" s="432"/>
      <c r="E914" s="432"/>
      <c r="F914" s="432"/>
      <c r="G914" s="432"/>
      <c r="H914" s="432"/>
      <c r="I914" s="432"/>
      <c r="J914" s="432"/>
      <c r="K914" s="432"/>
      <c r="L914" s="432"/>
      <c r="M914" s="432"/>
      <c r="N914" s="432"/>
      <c r="O914" s="432"/>
      <c r="P914" s="432"/>
      <c r="Q914" s="432"/>
      <c r="R914" s="432"/>
      <c r="S914" s="432"/>
      <c r="T914" s="432"/>
      <c r="U914" s="432"/>
      <c r="V914" s="432"/>
      <c r="W914" s="432"/>
      <c r="X914" s="432"/>
      <c r="Y914" s="432"/>
      <c r="Z914" s="432"/>
      <c r="AA914" s="432"/>
      <c r="AB914" s="432"/>
      <c r="AC914" s="432"/>
      <c r="AD914" s="432"/>
      <c r="AE914" s="432"/>
    </row>
    <row r="915">
      <c r="A915" s="432"/>
      <c r="B915" s="432"/>
      <c r="C915" s="432"/>
      <c r="D915" s="432"/>
      <c r="E915" s="432"/>
      <c r="F915" s="432"/>
      <c r="G915" s="432"/>
      <c r="H915" s="432"/>
      <c r="I915" s="432"/>
      <c r="J915" s="432"/>
      <c r="K915" s="432"/>
      <c r="L915" s="432"/>
      <c r="M915" s="432"/>
      <c r="N915" s="432"/>
      <c r="O915" s="432"/>
      <c r="P915" s="432"/>
      <c r="Q915" s="432"/>
      <c r="R915" s="432"/>
      <c r="S915" s="432"/>
      <c r="T915" s="432"/>
      <c r="U915" s="432"/>
      <c r="V915" s="432"/>
      <c r="W915" s="432"/>
      <c r="X915" s="432"/>
      <c r="Y915" s="432"/>
      <c r="Z915" s="432"/>
      <c r="AA915" s="432"/>
      <c r="AB915" s="432"/>
      <c r="AC915" s="432"/>
      <c r="AD915" s="432"/>
      <c r="AE915" s="432"/>
    </row>
    <row r="916">
      <c r="A916" s="432"/>
      <c r="B916" s="432"/>
      <c r="C916" s="432"/>
      <c r="D916" s="432"/>
      <c r="E916" s="432"/>
      <c r="F916" s="432"/>
      <c r="G916" s="432"/>
      <c r="H916" s="432"/>
      <c r="I916" s="432"/>
      <c r="J916" s="432"/>
      <c r="K916" s="432"/>
      <c r="L916" s="432"/>
      <c r="M916" s="432"/>
      <c r="N916" s="432"/>
      <c r="O916" s="432"/>
      <c r="P916" s="432"/>
      <c r="Q916" s="432"/>
      <c r="R916" s="432"/>
      <c r="S916" s="432"/>
      <c r="T916" s="432"/>
      <c r="U916" s="432"/>
      <c r="V916" s="432"/>
      <c r="W916" s="432"/>
      <c r="X916" s="432"/>
      <c r="Y916" s="432"/>
      <c r="Z916" s="432"/>
      <c r="AA916" s="432"/>
      <c r="AB916" s="432"/>
      <c r="AC916" s="432"/>
      <c r="AD916" s="432"/>
      <c r="AE916" s="432"/>
    </row>
    <row r="917">
      <c r="A917" s="432"/>
      <c r="B917" s="432"/>
      <c r="C917" s="432"/>
      <c r="D917" s="432"/>
      <c r="E917" s="432"/>
      <c r="F917" s="432"/>
      <c r="G917" s="432"/>
      <c r="H917" s="432"/>
      <c r="I917" s="432"/>
      <c r="J917" s="432"/>
      <c r="K917" s="432"/>
      <c r="L917" s="432"/>
      <c r="M917" s="432"/>
      <c r="N917" s="432"/>
      <c r="O917" s="432"/>
      <c r="P917" s="432"/>
      <c r="Q917" s="432"/>
      <c r="R917" s="432"/>
      <c r="S917" s="432"/>
      <c r="T917" s="432"/>
      <c r="U917" s="432"/>
      <c r="V917" s="432"/>
      <c r="W917" s="432"/>
      <c r="X917" s="432"/>
      <c r="Y917" s="432"/>
      <c r="Z917" s="432"/>
      <c r="AA917" s="432"/>
      <c r="AB917" s="432"/>
      <c r="AC917" s="432"/>
      <c r="AD917" s="432"/>
      <c r="AE917" s="432"/>
    </row>
    <row r="918">
      <c r="A918" s="432"/>
      <c r="B918" s="432"/>
      <c r="C918" s="432"/>
      <c r="D918" s="432"/>
      <c r="E918" s="432"/>
      <c r="F918" s="432"/>
      <c r="G918" s="432"/>
      <c r="H918" s="432"/>
      <c r="I918" s="432"/>
      <c r="J918" s="432"/>
      <c r="K918" s="432"/>
      <c r="L918" s="432"/>
      <c r="M918" s="432"/>
      <c r="N918" s="432"/>
      <c r="O918" s="432"/>
      <c r="P918" s="432"/>
      <c r="Q918" s="432"/>
      <c r="R918" s="432"/>
      <c r="S918" s="432"/>
      <c r="T918" s="432"/>
      <c r="U918" s="432"/>
      <c r="V918" s="432"/>
      <c r="W918" s="432"/>
      <c r="X918" s="432"/>
      <c r="Y918" s="432"/>
      <c r="Z918" s="432"/>
      <c r="AA918" s="432"/>
      <c r="AB918" s="432"/>
      <c r="AC918" s="432"/>
      <c r="AD918" s="432"/>
      <c r="AE918" s="432"/>
    </row>
    <row r="919">
      <c r="A919" s="432"/>
      <c r="B919" s="432"/>
      <c r="C919" s="432"/>
      <c r="D919" s="432"/>
      <c r="E919" s="432"/>
      <c r="F919" s="432"/>
      <c r="G919" s="432"/>
      <c r="H919" s="432"/>
      <c r="I919" s="432"/>
      <c r="J919" s="432"/>
      <c r="K919" s="432"/>
      <c r="L919" s="432"/>
      <c r="M919" s="432"/>
      <c r="N919" s="432"/>
      <c r="O919" s="432"/>
      <c r="P919" s="432"/>
      <c r="Q919" s="432"/>
      <c r="R919" s="432"/>
      <c r="S919" s="432"/>
      <c r="T919" s="432"/>
      <c r="U919" s="432"/>
      <c r="V919" s="432"/>
      <c r="W919" s="432"/>
      <c r="X919" s="432"/>
      <c r="Y919" s="432"/>
      <c r="Z919" s="432"/>
      <c r="AA919" s="432"/>
      <c r="AB919" s="432"/>
      <c r="AC919" s="432"/>
      <c r="AD919" s="432"/>
      <c r="AE919" s="432"/>
    </row>
    <row r="920">
      <c r="A920" s="432"/>
      <c r="B920" s="432"/>
      <c r="C920" s="432"/>
      <c r="D920" s="432"/>
      <c r="E920" s="432"/>
      <c r="F920" s="432"/>
      <c r="G920" s="432"/>
      <c r="H920" s="432"/>
      <c r="I920" s="432"/>
      <c r="J920" s="432"/>
      <c r="K920" s="432"/>
      <c r="L920" s="432"/>
      <c r="M920" s="432"/>
      <c r="N920" s="432"/>
      <c r="O920" s="432"/>
      <c r="P920" s="432"/>
      <c r="Q920" s="432"/>
      <c r="R920" s="432"/>
      <c r="S920" s="432"/>
      <c r="T920" s="432"/>
      <c r="U920" s="432"/>
      <c r="V920" s="432"/>
      <c r="W920" s="432"/>
      <c r="X920" s="432"/>
      <c r="Y920" s="432"/>
      <c r="Z920" s="432"/>
      <c r="AA920" s="432"/>
      <c r="AB920" s="432"/>
      <c r="AC920" s="432"/>
      <c r="AD920" s="432"/>
      <c r="AE920" s="432"/>
    </row>
    <row r="921">
      <c r="A921" s="432"/>
      <c r="B921" s="432"/>
      <c r="C921" s="432"/>
      <c r="D921" s="432"/>
      <c r="E921" s="432"/>
      <c r="F921" s="432"/>
      <c r="G921" s="432"/>
      <c r="H921" s="432"/>
      <c r="I921" s="432"/>
      <c r="J921" s="432"/>
      <c r="K921" s="432"/>
      <c r="L921" s="432"/>
      <c r="M921" s="432"/>
      <c r="N921" s="432"/>
      <c r="O921" s="432"/>
      <c r="P921" s="432"/>
      <c r="Q921" s="432"/>
      <c r="R921" s="432"/>
      <c r="S921" s="432"/>
      <c r="T921" s="432"/>
      <c r="U921" s="432"/>
      <c r="V921" s="432"/>
      <c r="W921" s="432"/>
      <c r="X921" s="432"/>
      <c r="Y921" s="432"/>
      <c r="Z921" s="432"/>
      <c r="AA921" s="432"/>
      <c r="AB921" s="432"/>
      <c r="AC921" s="432"/>
      <c r="AD921" s="432"/>
      <c r="AE921" s="432"/>
    </row>
    <row r="922">
      <c r="A922" s="432"/>
      <c r="B922" s="432"/>
      <c r="C922" s="432"/>
      <c r="D922" s="432"/>
      <c r="E922" s="432"/>
      <c r="F922" s="432"/>
      <c r="G922" s="432"/>
      <c r="H922" s="432"/>
      <c r="I922" s="432"/>
      <c r="J922" s="432"/>
      <c r="K922" s="432"/>
      <c r="L922" s="432"/>
      <c r="M922" s="432"/>
      <c r="N922" s="432"/>
      <c r="O922" s="432"/>
      <c r="P922" s="432"/>
      <c r="Q922" s="432"/>
      <c r="R922" s="432"/>
      <c r="S922" s="432"/>
      <c r="T922" s="432"/>
      <c r="U922" s="432"/>
      <c r="V922" s="432"/>
      <c r="W922" s="432"/>
      <c r="X922" s="432"/>
      <c r="Y922" s="432"/>
      <c r="Z922" s="432"/>
      <c r="AA922" s="432"/>
      <c r="AB922" s="432"/>
      <c r="AC922" s="432"/>
      <c r="AD922" s="432"/>
      <c r="AE922" s="432"/>
    </row>
    <row r="923">
      <c r="A923" s="432"/>
      <c r="B923" s="432"/>
      <c r="C923" s="432"/>
      <c r="D923" s="432"/>
      <c r="E923" s="432"/>
      <c r="F923" s="432"/>
      <c r="G923" s="432"/>
      <c r="H923" s="432"/>
      <c r="I923" s="432"/>
      <c r="J923" s="432"/>
      <c r="K923" s="432"/>
      <c r="L923" s="432"/>
      <c r="M923" s="432"/>
      <c r="N923" s="432"/>
      <c r="O923" s="432"/>
      <c r="P923" s="432"/>
      <c r="Q923" s="432"/>
      <c r="R923" s="432"/>
      <c r="S923" s="432"/>
      <c r="T923" s="432"/>
      <c r="U923" s="432"/>
      <c r="V923" s="432"/>
      <c r="W923" s="432"/>
      <c r="X923" s="432"/>
      <c r="Y923" s="432"/>
      <c r="Z923" s="432"/>
      <c r="AA923" s="432"/>
      <c r="AB923" s="432"/>
      <c r="AC923" s="432"/>
      <c r="AD923" s="432"/>
      <c r="AE923" s="432"/>
    </row>
    <row r="924">
      <c r="A924" s="432"/>
      <c r="B924" s="432"/>
      <c r="C924" s="432"/>
      <c r="D924" s="432"/>
      <c r="E924" s="432"/>
      <c r="F924" s="432"/>
      <c r="G924" s="432"/>
      <c r="H924" s="432"/>
      <c r="I924" s="432"/>
      <c r="J924" s="432"/>
      <c r="K924" s="432"/>
      <c r="L924" s="432"/>
      <c r="M924" s="432"/>
      <c r="N924" s="432"/>
      <c r="O924" s="432"/>
      <c r="P924" s="432"/>
      <c r="Q924" s="432"/>
      <c r="R924" s="432"/>
      <c r="S924" s="432"/>
      <c r="T924" s="432"/>
      <c r="U924" s="432"/>
      <c r="V924" s="432"/>
      <c r="W924" s="432"/>
      <c r="X924" s="432"/>
      <c r="Y924" s="432"/>
      <c r="Z924" s="432"/>
      <c r="AA924" s="432"/>
      <c r="AB924" s="432"/>
      <c r="AC924" s="432"/>
      <c r="AD924" s="432"/>
      <c r="AE924" s="432"/>
    </row>
    <row r="925">
      <c r="A925" s="432"/>
      <c r="B925" s="432"/>
      <c r="C925" s="432"/>
      <c r="D925" s="432"/>
      <c r="E925" s="432"/>
      <c r="F925" s="432"/>
      <c r="G925" s="432"/>
      <c r="H925" s="432"/>
      <c r="I925" s="432"/>
      <c r="J925" s="432"/>
      <c r="K925" s="432"/>
      <c r="L925" s="432"/>
      <c r="M925" s="432"/>
      <c r="N925" s="432"/>
      <c r="O925" s="432"/>
      <c r="P925" s="432"/>
      <c r="Q925" s="432"/>
      <c r="R925" s="432"/>
      <c r="S925" s="432"/>
      <c r="T925" s="432"/>
      <c r="U925" s="432"/>
      <c r="V925" s="432"/>
      <c r="W925" s="432"/>
      <c r="X925" s="432"/>
      <c r="Y925" s="432"/>
      <c r="Z925" s="432"/>
      <c r="AA925" s="432"/>
      <c r="AB925" s="432"/>
      <c r="AC925" s="432"/>
      <c r="AD925" s="432"/>
      <c r="AE925" s="432"/>
    </row>
    <row r="926">
      <c r="A926" s="432"/>
      <c r="B926" s="432"/>
      <c r="C926" s="432"/>
      <c r="D926" s="432"/>
      <c r="E926" s="432"/>
      <c r="F926" s="432"/>
      <c r="G926" s="432"/>
      <c r="H926" s="432"/>
      <c r="I926" s="432"/>
      <c r="J926" s="432"/>
      <c r="K926" s="432"/>
      <c r="L926" s="432"/>
      <c r="M926" s="432"/>
      <c r="N926" s="432"/>
      <c r="O926" s="432"/>
      <c r="P926" s="432"/>
      <c r="Q926" s="432"/>
      <c r="R926" s="432"/>
      <c r="S926" s="432"/>
      <c r="T926" s="432"/>
      <c r="U926" s="432"/>
      <c r="V926" s="432"/>
      <c r="W926" s="432"/>
      <c r="X926" s="432"/>
      <c r="Y926" s="432"/>
      <c r="Z926" s="432"/>
      <c r="AA926" s="432"/>
      <c r="AB926" s="432"/>
      <c r="AC926" s="432"/>
      <c r="AD926" s="432"/>
      <c r="AE926" s="432"/>
    </row>
    <row r="927">
      <c r="A927" s="432"/>
      <c r="B927" s="432"/>
      <c r="C927" s="432"/>
      <c r="D927" s="432"/>
      <c r="E927" s="432"/>
      <c r="F927" s="432"/>
      <c r="G927" s="432"/>
      <c r="H927" s="432"/>
      <c r="I927" s="432"/>
      <c r="J927" s="432"/>
      <c r="K927" s="432"/>
      <c r="L927" s="432"/>
      <c r="M927" s="432"/>
      <c r="N927" s="432"/>
      <c r="O927" s="432"/>
      <c r="P927" s="432"/>
      <c r="Q927" s="432"/>
      <c r="R927" s="432"/>
      <c r="S927" s="432"/>
      <c r="T927" s="432"/>
      <c r="U927" s="432"/>
      <c r="V927" s="432"/>
      <c r="W927" s="432"/>
      <c r="X927" s="432"/>
      <c r="Y927" s="432"/>
      <c r="Z927" s="432"/>
      <c r="AA927" s="432"/>
      <c r="AB927" s="432"/>
      <c r="AC927" s="432"/>
      <c r="AD927" s="432"/>
      <c r="AE927" s="432"/>
    </row>
    <row r="928">
      <c r="A928" s="432"/>
      <c r="B928" s="432"/>
      <c r="C928" s="432"/>
      <c r="D928" s="432"/>
      <c r="E928" s="432"/>
      <c r="F928" s="432"/>
      <c r="G928" s="432"/>
      <c r="H928" s="432"/>
      <c r="I928" s="432"/>
      <c r="J928" s="432"/>
      <c r="K928" s="432"/>
      <c r="L928" s="432"/>
      <c r="M928" s="432"/>
      <c r="N928" s="432"/>
      <c r="O928" s="432"/>
      <c r="P928" s="432"/>
      <c r="Q928" s="432"/>
      <c r="R928" s="432"/>
      <c r="S928" s="432"/>
      <c r="T928" s="432"/>
      <c r="U928" s="432"/>
      <c r="V928" s="432"/>
      <c r="W928" s="432"/>
      <c r="X928" s="432"/>
      <c r="Y928" s="432"/>
      <c r="Z928" s="432"/>
      <c r="AA928" s="432"/>
      <c r="AB928" s="432"/>
      <c r="AC928" s="432"/>
      <c r="AD928" s="432"/>
      <c r="AE928" s="432"/>
    </row>
    <row r="929">
      <c r="A929" s="432"/>
      <c r="B929" s="432"/>
      <c r="C929" s="432"/>
      <c r="D929" s="432"/>
      <c r="E929" s="432"/>
      <c r="F929" s="432"/>
      <c r="G929" s="432"/>
      <c r="H929" s="432"/>
      <c r="I929" s="432"/>
      <c r="J929" s="432"/>
      <c r="K929" s="432"/>
      <c r="L929" s="432"/>
      <c r="M929" s="432"/>
      <c r="N929" s="432"/>
      <c r="O929" s="432"/>
      <c r="P929" s="432"/>
      <c r="Q929" s="432"/>
      <c r="R929" s="432"/>
      <c r="S929" s="432"/>
      <c r="T929" s="432"/>
      <c r="U929" s="432"/>
      <c r="V929" s="432"/>
      <c r="W929" s="432"/>
      <c r="X929" s="432"/>
      <c r="Y929" s="432"/>
      <c r="Z929" s="432"/>
      <c r="AA929" s="432"/>
      <c r="AB929" s="432"/>
      <c r="AC929" s="432"/>
      <c r="AD929" s="432"/>
      <c r="AE929" s="432"/>
    </row>
    <row r="930">
      <c r="A930" s="432"/>
      <c r="B930" s="432"/>
      <c r="C930" s="432"/>
      <c r="D930" s="432"/>
      <c r="E930" s="432"/>
      <c r="F930" s="432"/>
      <c r="G930" s="432"/>
      <c r="H930" s="432"/>
      <c r="I930" s="432"/>
      <c r="J930" s="432"/>
      <c r="K930" s="432"/>
      <c r="L930" s="432"/>
      <c r="M930" s="432"/>
      <c r="N930" s="432"/>
      <c r="O930" s="432"/>
      <c r="P930" s="432"/>
      <c r="Q930" s="432"/>
      <c r="R930" s="432"/>
      <c r="S930" s="432"/>
      <c r="T930" s="432"/>
      <c r="U930" s="432"/>
      <c r="V930" s="432"/>
      <c r="W930" s="432"/>
      <c r="X930" s="432"/>
      <c r="Y930" s="432"/>
      <c r="Z930" s="432"/>
      <c r="AA930" s="432"/>
      <c r="AB930" s="432"/>
      <c r="AC930" s="432"/>
      <c r="AD930" s="432"/>
      <c r="AE930" s="432"/>
    </row>
    <row r="931">
      <c r="A931" s="432"/>
      <c r="B931" s="432"/>
      <c r="C931" s="432"/>
      <c r="D931" s="432"/>
      <c r="E931" s="432"/>
      <c r="F931" s="432"/>
      <c r="G931" s="432"/>
      <c r="H931" s="432"/>
      <c r="I931" s="432"/>
      <c r="J931" s="432"/>
      <c r="K931" s="432"/>
      <c r="L931" s="432"/>
      <c r="M931" s="432"/>
      <c r="N931" s="432"/>
      <c r="O931" s="432"/>
      <c r="P931" s="432"/>
      <c r="Q931" s="432"/>
      <c r="R931" s="432"/>
      <c r="S931" s="432"/>
      <c r="T931" s="432"/>
      <c r="U931" s="432"/>
      <c r="V931" s="432"/>
      <c r="W931" s="432"/>
      <c r="X931" s="432"/>
      <c r="Y931" s="432"/>
      <c r="Z931" s="432"/>
      <c r="AA931" s="432"/>
      <c r="AB931" s="432"/>
      <c r="AC931" s="432"/>
      <c r="AD931" s="432"/>
      <c r="AE931" s="432"/>
    </row>
    <row r="932">
      <c r="A932" s="432"/>
      <c r="B932" s="432"/>
      <c r="C932" s="432"/>
      <c r="D932" s="432"/>
      <c r="E932" s="432"/>
      <c r="F932" s="432"/>
      <c r="G932" s="432"/>
      <c r="H932" s="432"/>
      <c r="I932" s="432"/>
      <c r="J932" s="432"/>
      <c r="K932" s="432"/>
      <c r="L932" s="432"/>
      <c r="M932" s="432"/>
      <c r="N932" s="432"/>
      <c r="O932" s="432"/>
      <c r="P932" s="432"/>
      <c r="Q932" s="432"/>
      <c r="R932" s="432"/>
      <c r="S932" s="432"/>
      <c r="T932" s="432"/>
      <c r="U932" s="432"/>
      <c r="V932" s="432"/>
      <c r="W932" s="432"/>
      <c r="X932" s="432"/>
      <c r="Y932" s="432"/>
      <c r="Z932" s="432"/>
      <c r="AA932" s="432"/>
      <c r="AB932" s="432"/>
      <c r="AC932" s="432"/>
      <c r="AD932" s="432"/>
      <c r="AE932" s="432"/>
    </row>
    <row r="933">
      <c r="A933" s="432"/>
      <c r="B933" s="432"/>
      <c r="C933" s="432"/>
      <c r="D933" s="432"/>
      <c r="E933" s="432"/>
      <c r="F933" s="432"/>
      <c r="G933" s="432"/>
      <c r="H933" s="432"/>
      <c r="I933" s="432"/>
      <c r="J933" s="432"/>
      <c r="K933" s="432"/>
      <c r="L933" s="432"/>
      <c r="M933" s="432"/>
      <c r="N933" s="432"/>
      <c r="O933" s="432"/>
      <c r="P933" s="432"/>
      <c r="Q933" s="432"/>
      <c r="R933" s="432"/>
      <c r="S933" s="432"/>
      <c r="T933" s="432"/>
      <c r="U933" s="432"/>
      <c r="V933" s="432"/>
      <c r="W933" s="432"/>
      <c r="X933" s="432"/>
      <c r="Y933" s="432"/>
      <c r="Z933" s="432"/>
      <c r="AA933" s="432"/>
      <c r="AB933" s="432"/>
      <c r="AC933" s="432"/>
      <c r="AD933" s="432"/>
      <c r="AE933" s="432"/>
    </row>
    <row r="934">
      <c r="A934" s="432"/>
      <c r="B934" s="432"/>
      <c r="C934" s="432"/>
      <c r="D934" s="432"/>
      <c r="E934" s="432"/>
      <c r="F934" s="432"/>
      <c r="G934" s="432"/>
      <c r="H934" s="432"/>
      <c r="I934" s="432"/>
      <c r="J934" s="432"/>
      <c r="K934" s="432"/>
      <c r="L934" s="432"/>
      <c r="M934" s="432"/>
      <c r="N934" s="432"/>
      <c r="O934" s="432"/>
      <c r="P934" s="432"/>
      <c r="Q934" s="432"/>
      <c r="R934" s="432"/>
      <c r="S934" s="432"/>
      <c r="T934" s="432"/>
      <c r="U934" s="432"/>
      <c r="V934" s="432"/>
      <c r="W934" s="432"/>
      <c r="X934" s="432"/>
      <c r="Y934" s="432"/>
      <c r="Z934" s="432"/>
      <c r="AA934" s="432"/>
      <c r="AB934" s="432"/>
      <c r="AC934" s="432"/>
      <c r="AD934" s="432"/>
      <c r="AE934" s="432"/>
    </row>
    <row r="935">
      <c r="A935" s="432"/>
      <c r="B935" s="432"/>
      <c r="C935" s="432"/>
      <c r="D935" s="432"/>
      <c r="E935" s="432"/>
      <c r="F935" s="432"/>
      <c r="G935" s="432"/>
      <c r="H935" s="432"/>
      <c r="I935" s="432"/>
      <c r="J935" s="432"/>
      <c r="K935" s="432"/>
      <c r="L935" s="432"/>
      <c r="M935" s="432"/>
      <c r="N935" s="432"/>
      <c r="O935" s="432"/>
      <c r="P935" s="432"/>
      <c r="Q935" s="432"/>
      <c r="R935" s="432"/>
      <c r="S935" s="432"/>
      <c r="T935" s="432"/>
      <c r="U935" s="432"/>
      <c r="V935" s="432"/>
      <c r="W935" s="432"/>
      <c r="X935" s="432"/>
      <c r="Y935" s="432"/>
      <c r="Z935" s="432"/>
      <c r="AA935" s="432"/>
      <c r="AB935" s="432"/>
      <c r="AC935" s="432"/>
      <c r="AD935" s="432"/>
      <c r="AE935" s="432"/>
    </row>
    <row r="936">
      <c r="A936" s="432"/>
      <c r="B936" s="432"/>
      <c r="C936" s="432"/>
      <c r="D936" s="432"/>
      <c r="E936" s="432"/>
      <c r="F936" s="432"/>
      <c r="G936" s="432"/>
      <c r="H936" s="432"/>
      <c r="I936" s="432"/>
      <c r="J936" s="432"/>
      <c r="K936" s="432"/>
      <c r="L936" s="432"/>
      <c r="M936" s="432"/>
      <c r="N936" s="432"/>
      <c r="O936" s="432"/>
      <c r="P936" s="432"/>
      <c r="Q936" s="432"/>
      <c r="R936" s="432"/>
      <c r="S936" s="432"/>
      <c r="T936" s="432"/>
      <c r="U936" s="432"/>
      <c r="V936" s="432"/>
      <c r="W936" s="432"/>
      <c r="X936" s="432"/>
      <c r="Y936" s="432"/>
      <c r="Z936" s="432"/>
      <c r="AA936" s="432"/>
      <c r="AB936" s="432"/>
      <c r="AC936" s="432"/>
      <c r="AD936" s="432"/>
      <c r="AE936" s="432"/>
    </row>
    <row r="937">
      <c r="A937" s="432"/>
      <c r="B937" s="432"/>
      <c r="C937" s="432"/>
      <c r="D937" s="432"/>
      <c r="E937" s="432"/>
      <c r="F937" s="432"/>
      <c r="G937" s="432"/>
      <c r="H937" s="432"/>
      <c r="I937" s="432"/>
      <c r="J937" s="432"/>
      <c r="K937" s="432"/>
      <c r="L937" s="432"/>
      <c r="M937" s="432"/>
      <c r="N937" s="432"/>
      <c r="O937" s="432"/>
      <c r="P937" s="432"/>
      <c r="Q937" s="432"/>
      <c r="R937" s="432"/>
      <c r="S937" s="432"/>
      <c r="T937" s="432"/>
      <c r="U937" s="432"/>
      <c r="V937" s="432"/>
      <c r="W937" s="432"/>
      <c r="X937" s="432"/>
      <c r="Y937" s="432"/>
      <c r="Z937" s="432"/>
      <c r="AA937" s="432"/>
      <c r="AB937" s="432"/>
      <c r="AC937" s="432"/>
      <c r="AD937" s="432"/>
      <c r="AE937" s="432"/>
    </row>
    <row r="938">
      <c r="A938" s="432"/>
      <c r="B938" s="432"/>
      <c r="C938" s="432"/>
      <c r="D938" s="432"/>
      <c r="E938" s="432"/>
      <c r="F938" s="432"/>
      <c r="G938" s="432"/>
      <c r="H938" s="432"/>
      <c r="I938" s="432"/>
      <c r="J938" s="432"/>
      <c r="K938" s="432"/>
      <c r="L938" s="432"/>
      <c r="M938" s="432"/>
      <c r="N938" s="432"/>
      <c r="O938" s="432"/>
      <c r="P938" s="432"/>
      <c r="Q938" s="432"/>
      <c r="R938" s="432"/>
      <c r="S938" s="432"/>
      <c r="T938" s="432"/>
      <c r="U938" s="432"/>
      <c r="V938" s="432"/>
      <c r="W938" s="432"/>
      <c r="X938" s="432"/>
      <c r="Y938" s="432"/>
      <c r="Z938" s="432"/>
      <c r="AA938" s="432"/>
      <c r="AB938" s="432"/>
      <c r="AC938" s="432"/>
      <c r="AD938" s="432"/>
      <c r="AE938" s="432"/>
    </row>
    <row r="939">
      <c r="A939" s="432"/>
      <c r="B939" s="432"/>
      <c r="C939" s="432"/>
      <c r="D939" s="432"/>
      <c r="E939" s="432"/>
      <c r="F939" s="432"/>
      <c r="G939" s="432"/>
      <c r="H939" s="432"/>
      <c r="I939" s="432"/>
      <c r="J939" s="432"/>
      <c r="K939" s="432"/>
      <c r="L939" s="432"/>
      <c r="M939" s="432"/>
      <c r="N939" s="432"/>
      <c r="O939" s="432"/>
      <c r="P939" s="432"/>
      <c r="Q939" s="432"/>
      <c r="R939" s="432"/>
      <c r="S939" s="432"/>
      <c r="T939" s="432"/>
      <c r="U939" s="432"/>
      <c r="V939" s="432"/>
      <c r="W939" s="432"/>
      <c r="X939" s="432"/>
      <c r="Y939" s="432"/>
      <c r="Z939" s="432"/>
      <c r="AA939" s="432"/>
      <c r="AB939" s="432"/>
      <c r="AC939" s="432"/>
      <c r="AD939" s="432"/>
      <c r="AE939" s="432"/>
    </row>
    <row r="940">
      <c r="A940" s="432"/>
      <c r="B940" s="432"/>
      <c r="C940" s="432"/>
      <c r="D940" s="432"/>
      <c r="E940" s="432"/>
      <c r="F940" s="432"/>
      <c r="G940" s="432"/>
      <c r="H940" s="432"/>
      <c r="I940" s="432"/>
      <c r="J940" s="432"/>
      <c r="K940" s="432"/>
      <c r="L940" s="432"/>
      <c r="M940" s="432"/>
      <c r="N940" s="432"/>
      <c r="O940" s="432"/>
      <c r="P940" s="432"/>
      <c r="Q940" s="432"/>
      <c r="R940" s="432"/>
      <c r="S940" s="432"/>
      <c r="T940" s="432"/>
      <c r="U940" s="432"/>
      <c r="V940" s="432"/>
      <c r="W940" s="432"/>
      <c r="X940" s="432"/>
      <c r="Y940" s="432"/>
      <c r="Z940" s="432"/>
      <c r="AA940" s="432"/>
      <c r="AB940" s="432"/>
      <c r="AC940" s="432"/>
      <c r="AD940" s="432"/>
      <c r="AE940" s="432"/>
    </row>
    <row r="941">
      <c r="A941" s="432"/>
      <c r="B941" s="432"/>
      <c r="C941" s="432"/>
      <c r="D941" s="432"/>
      <c r="E941" s="432"/>
      <c r="F941" s="432"/>
      <c r="G941" s="432"/>
      <c r="H941" s="432"/>
      <c r="I941" s="432"/>
      <c r="J941" s="432"/>
      <c r="K941" s="432"/>
      <c r="L941" s="432"/>
      <c r="M941" s="432"/>
      <c r="N941" s="432"/>
      <c r="O941" s="432"/>
      <c r="P941" s="432"/>
      <c r="Q941" s="432"/>
      <c r="R941" s="432"/>
      <c r="S941" s="432"/>
      <c r="T941" s="432"/>
      <c r="U941" s="432"/>
      <c r="V941" s="432"/>
      <c r="W941" s="432"/>
      <c r="X941" s="432"/>
      <c r="Y941" s="432"/>
      <c r="Z941" s="432"/>
      <c r="AA941" s="432"/>
      <c r="AB941" s="432"/>
      <c r="AC941" s="432"/>
      <c r="AD941" s="432"/>
      <c r="AE941" s="432"/>
    </row>
    <row r="942">
      <c r="A942" s="432"/>
      <c r="B942" s="432"/>
      <c r="C942" s="432"/>
      <c r="D942" s="432"/>
      <c r="E942" s="432"/>
      <c r="F942" s="432"/>
      <c r="G942" s="432"/>
      <c r="H942" s="432"/>
      <c r="I942" s="432"/>
      <c r="J942" s="432"/>
      <c r="K942" s="432"/>
      <c r="L942" s="432"/>
      <c r="M942" s="432"/>
      <c r="N942" s="432"/>
      <c r="O942" s="432"/>
      <c r="P942" s="432"/>
      <c r="Q942" s="432"/>
      <c r="R942" s="432"/>
      <c r="S942" s="432"/>
      <c r="T942" s="432"/>
      <c r="U942" s="432"/>
      <c r="V942" s="432"/>
      <c r="W942" s="432"/>
      <c r="X942" s="432"/>
      <c r="Y942" s="432"/>
      <c r="Z942" s="432"/>
      <c r="AA942" s="432"/>
      <c r="AB942" s="432"/>
      <c r="AC942" s="432"/>
      <c r="AD942" s="432"/>
      <c r="AE942" s="432"/>
    </row>
    <row r="943">
      <c r="A943" s="432"/>
      <c r="B943" s="432"/>
      <c r="C943" s="432"/>
      <c r="D943" s="432"/>
      <c r="E943" s="432"/>
      <c r="F943" s="432"/>
      <c r="G943" s="432"/>
      <c r="H943" s="432"/>
      <c r="I943" s="432"/>
      <c r="J943" s="432"/>
      <c r="K943" s="432"/>
      <c r="L943" s="432"/>
      <c r="M943" s="432"/>
      <c r="N943" s="432"/>
      <c r="O943" s="432"/>
      <c r="P943" s="432"/>
      <c r="Q943" s="432"/>
      <c r="R943" s="432"/>
      <c r="S943" s="432"/>
      <c r="T943" s="432"/>
      <c r="U943" s="432"/>
      <c r="V943" s="432"/>
      <c r="W943" s="432"/>
      <c r="X943" s="432"/>
      <c r="Y943" s="432"/>
      <c r="Z943" s="432"/>
      <c r="AA943" s="432"/>
      <c r="AB943" s="432"/>
      <c r="AC943" s="432"/>
      <c r="AD943" s="432"/>
      <c r="AE943" s="432"/>
    </row>
    <row r="944">
      <c r="A944" s="432"/>
      <c r="B944" s="432"/>
      <c r="C944" s="432"/>
      <c r="D944" s="432"/>
      <c r="E944" s="432"/>
      <c r="F944" s="432"/>
      <c r="G944" s="432"/>
      <c r="H944" s="432"/>
      <c r="I944" s="432"/>
      <c r="J944" s="432"/>
      <c r="K944" s="432"/>
      <c r="L944" s="432"/>
      <c r="M944" s="432"/>
      <c r="N944" s="432"/>
      <c r="O944" s="432"/>
      <c r="P944" s="432"/>
      <c r="Q944" s="432"/>
      <c r="R944" s="432"/>
      <c r="S944" s="432"/>
      <c r="T944" s="432"/>
      <c r="U944" s="432"/>
      <c r="V944" s="432"/>
      <c r="W944" s="432"/>
      <c r="X944" s="432"/>
      <c r="Y944" s="432"/>
      <c r="Z944" s="432"/>
      <c r="AA944" s="432"/>
      <c r="AB944" s="432"/>
      <c r="AC944" s="432"/>
      <c r="AD944" s="432"/>
      <c r="AE944" s="432"/>
    </row>
    <row r="945">
      <c r="A945" s="432"/>
      <c r="B945" s="432"/>
      <c r="C945" s="432"/>
      <c r="D945" s="432"/>
      <c r="E945" s="432"/>
      <c r="F945" s="432"/>
      <c r="G945" s="432"/>
      <c r="H945" s="432"/>
      <c r="I945" s="432"/>
      <c r="J945" s="432"/>
      <c r="K945" s="432"/>
      <c r="L945" s="432"/>
      <c r="M945" s="432"/>
      <c r="N945" s="432"/>
      <c r="O945" s="432"/>
      <c r="P945" s="432"/>
      <c r="Q945" s="432"/>
      <c r="R945" s="432"/>
      <c r="S945" s="432"/>
      <c r="T945" s="432"/>
      <c r="U945" s="432"/>
      <c r="V945" s="432"/>
      <c r="W945" s="432"/>
      <c r="X945" s="432"/>
      <c r="Y945" s="432"/>
      <c r="Z945" s="432"/>
      <c r="AA945" s="432"/>
      <c r="AB945" s="432"/>
      <c r="AC945" s="432"/>
      <c r="AD945" s="432"/>
      <c r="AE945" s="432"/>
    </row>
    <row r="946">
      <c r="A946" s="432"/>
      <c r="B946" s="432"/>
      <c r="C946" s="432"/>
      <c r="D946" s="432"/>
      <c r="E946" s="432"/>
      <c r="F946" s="432"/>
      <c r="G946" s="432"/>
      <c r="H946" s="432"/>
      <c r="I946" s="432"/>
      <c r="J946" s="432"/>
      <c r="K946" s="432"/>
      <c r="L946" s="432"/>
      <c r="M946" s="432"/>
      <c r="N946" s="432"/>
      <c r="O946" s="432"/>
      <c r="P946" s="432"/>
      <c r="Q946" s="432"/>
      <c r="R946" s="432"/>
      <c r="S946" s="432"/>
      <c r="T946" s="432"/>
      <c r="U946" s="432"/>
      <c r="V946" s="432"/>
      <c r="W946" s="432"/>
      <c r="X946" s="432"/>
      <c r="Y946" s="432"/>
      <c r="Z946" s="432"/>
      <c r="AA946" s="432"/>
      <c r="AB946" s="432"/>
      <c r="AC946" s="432"/>
      <c r="AD946" s="432"/>
      <c r="AE946" s="432"/>
    </row>
    <row r="947">
      <c r="A947" s="432"/>
      <c r="B947" s="432"/>
      <c r="C947" s="432"/>
      <c r="D947" s="432"/>
      <c r="E947" s="432"/>
      <c r="F947" s="432"/>
      <c r="G947" s="432"/>
      <c r="H947" s="432"/>
      <c r="I947" s="432"/>
      <c r="J947" s="432"/>
      <c r="K947" s="432"/>
      <c r="L947" s="432"/>
      <c r="M947" s="432"/>
      <c r="N947" s="432"/>
      <c r="O947" s="432"/>
      <c r="P947" s="432"/>
      <c r="Q947" s="432"/>
      <c r="R947" s="432"/>
      <c r="S947" s="432"/>
      <c r="T947" s="432"/>
      <c r="U947" s="432"/>
      <c r="V947" s="432"/>
      <c r="W947" s="432"/>
      <c r="X947" s="432"/>
      <c r="Y947" s="432"/>
      <c r="Z947" s="432"/>
      <c r="AA947" s="432"/>
      <c r="AB947" s="432"/>
      <c r="AC947" s="432"/>
      <c r="AD947" s="432"/>
      <c r="AE947" s="432"/>
    </row>
    <row r="948">
      <c r="A948" s="432"/>
      <c r="B948" s="432"/>
      <c r="C948" s="432"/>
      <c r="D948" s="432"/>
      <c r="E948" s="432"/>
      <c r="F948" s="432"/>
      <c r="G948" s="432"/>
      <c r="H948" s="432"/>
      <c r="I948" s="432"/>
      <c r="J948" s="432"/>
      <c r="K948" s="432"/>
      <c r="L948" s="432"/>
      <c r="M948" s="432"/>
      <c r="N948" s="432"/>
      <c r="O948" s="432"/>
      <c r="P948" s="432"/>
      <c r="Q948" s="432"/>
      <c r="R948" s="432"/>
      <c r="S948" s="432"/>
      <c r="T948" s="432"/>
      <c r="U948" s="432"/>
      <c r="V948" s="432"/>
      <c r="W948" s="432"/>
      <c r="X948" s="432"/>
      <c r="Y948" s="432"/>
      <c r="Z948" s="432"/>
      <c r="AA948" s="432"/>
      <c r="AB948" s="432"/>
      <c r="AC948" s="432"/>
      <c r="AD948" s="432"/>
      <c r="AE948" s="432"/>
    </row>
    <row r="949">
      <c r="A949" s="432"/>
      <c r="B949" s="432"/>
      <c r="C949" s="432"/>
      <c r="D949" s="432"/>
      <c r="E949" s="432"/>
      <c r="F949" s="432"/>
      <c r="G949" s="432"/>
      <c r="H949" s="432"/>
      <c r="I949" s="432"/>
      <c r="J949" s="432"/>
      <c r="K949" s="432"/>
      <c r="L949" s="432"/>
      <c r="M949" s="432"/>
      <c r="N949" s="432"/>
      <c r="O949" s="432"/>
      <c r="P949" s="432"/>
      <c r="Q949" s="432"/>
      <c r="R949" s="432"/>
      <c r="S949" s="432"/>
      <c r="T949" s="432"/>
      <c r="U949" s="432"/>
      <c r="V949" s="432"/>
      <c r="W949" s="432"/>
      <c r="X949" s="432"/>
      <c r="Y949" s="432"/>
      <c r="Z949" s="432"/>
      <c r="AA949" s="432"/>
      <c r="AB949" s="432"/>
      <c r="AC949" s="432"/>
      <c r="AD949" s="432"/>
      <c r="AE949" s="432"/>
    </row>
    <row r="950">
      <c r="A950" s="432"/>
      <c r="B950" s="432"/>
      <c r="C950" s="432"/>
      <c r="D950" s="432"/>
      <c r="E950" s="432"/>
      <c r="F950" s="432"/>
      <c r="G950" s="432"/>
      <c r="H950" s="432"/>
      <c r="I950" s="432"/>
      <c r="J950" s="432"/>
      <c r="K950" s="432"/>
      <c r="L950" s="432"/>
      <c r="M950" s="432"/>
      <c r="N950" s="432"/>
      <c r="O950" s="432"/>
      <c r="P950" s="432"/>
      <c r="Q950" s="432"/>
      <c r="R950" s="432"/>
      <c r="S950" s="432"/>
      <c r="T950" s="432"/>
      <c r="U950" s="432"/>
      <c r="V950" s="432"/>
      <c r="W950" s="432"/>
      <c r="X950" s="432"/>
      <c r="Y950" s="432"/>
      <c r="Z950" s="432"/>
      <c r="AA950" s="432"/>
      <c r="AB950" s="432"/>
      <c r="AC950" s="432"/>
      <c r="AD950" s="432"/>
      <c r="AE950" s="432"/>
    </row>
    <row r="951">
      <c r="A951" s="432"/>
      <c r="B951" s="432"/>
      <c r="C951" s="432"/>
      <c r="D951" s="432"/>
      <c r="E951" s="432"/>
      <c r="F951" s="432"/>
      <c r="G951" s="432"/>
      <c r="H951" s="432"/>
      <c r="I951" s="432"/>
      <c r="J951" s="432"/>
      <c r="K951" s="432"/>
      <c r="L951" s="432"/>
      <c r="M951" s="432"/>
      <c r="N951" s="432"/>
      <c r="O951" s="432"/>
      <c r="P951" s="432"/>
      <c r="Q951" s="432"/>
      <c r="R951" s="432"/>
      <c r="S951" s="432"/>
      <c r="T951" s="432"/>
      <c r="U951" s="432"/>
      <c r="V951" s="432"/>
      <c r="W951" s="432"/>
      <c r="X951" s="432"/>
      <c r="Y951" s="432"/>
      <c r="Z951" s="432"/>
      <c r="AA951" s="432"/>
      <c r="AB951" s="432"/>
      <c r="AC951" s="432"/>
      <c r="AD951" s="432"/>
      <c r="AE951" s="432"/>
    </row>
    <row r="952">
      <c r="A952" s="432"/>
      <c r="B952" s="432"/>
      <c r="C952" s="432"/>
      <c r="D952" s="432"/>
      <c r="E952" s="432"/>
      <c r="F952" s="432"/>
      <c r="G952" s="432"/>
      <c r="H952" s="432"/>
      <c r="I952" s="432"/>
      <c r="J952" s="432"/>
      <c r="K952" s="432"/>
      <c r="L952" s="432"/>
      <c r="M952" s="432"/>
      <c r="N952" s="432"/>
      <c r="O952" s="432"/>
      <c r="P952" s="432"/>
      <c r="Q952" s="432"/>
      <c r="R952" s="432"/>
      <c r="S952" s="432"/>
      <c r="T952" s="432"/>
      <c r="U952" s="432"/>
      <c r="V952" s="432"/>
      <c r="W952" s="432"/>
      <c r="X952" s="432"/>
      <c r="Y952" s="432"/>
      <c r="Z952" s="432"/>
      <c r="AA952" s="432"/>
      <c r="AB952" s="432"/>
      <c r="AC952" s="432"/>
      <c r="AD952" s="432"/>
      <c r="AE952" s="432"/>
    </row>
    <row r="953">
      <c r="A953" s="432"/>
      <c r="B953" s="432"/>
      <c r="C953" s="432"/>
      <c r="D953" s="432"/>
      <c r="E953" s="432"/>
      <c r="F953" s="432"/>
      <c r="G953" s="432"/>
      <c r="H953" s="432"/>
      <c r="I953" s="432"/>
      <c r="J953" s="432"/>
      <c r="K953" s="432"/>
      <c r="L953" s="432"/>
      <c r="M953" s="432"/>
      <c r="N953" s="432"/>
      <c r="O953" s="432"/>
      <c r="P953" s="432"/>
      <c r="Q953" s="432"/>
      <c r="R953" s="432"/>
      <c r="S953" s="432"/>
      <c r="T953" s="432"/>
      <c r="U953" s="432"/>
      <c r="V953" s="432"/>
      <c r="W953" s="432"/>
      <c r="X953" s="432"/>
      <c r="Y953" s="432"/>
      <c r="Z953" s="432"/>
      <c r="AA953" s="432"/>
      <c r="AB953" s="432"/>
      <c r="AC953" s="432"/>
      <c r="AD953" s="432"/>
      <c r="AE953" s="432"/>
    </row>
    <row r="954">
      <c r="A954" s="432"/>
      <c r="B954" s="432"/>
      <c r="C954" s="432"/>
      <c r="D954" s="432"/>
      <c r="E954" s="432"/>
      <c r="F954" s="432"/>
      <c r="G954" s="432"/>
      <c r="H954" s="432"/>
      <c r="I954" s="432"/>
      <c r="J954" s="432"/>
      <c r="K954" s="432"/>
      <c r="L954" s="432"/>
      <c r="M954" s="432"/>
      <c r="N954" s="432"/>
      <c r="O954" s="432"/>
      <c r="P954" s="432"/>
      <c r="Q954" s="432"/>
      <c r="R954" s="432"/>
      <c r="S954" s="432"/>
      <c r="T954" s="432"/>
      <c r="U954" s="432"/>
      <c r="V954" s="432"/>
      <c r="W954" s="432"/>
      <c r="X954" s="432"/>
      <c r="Y954" s="432"/>
      <c r="Z954" s="432"/>
      <c r="AA954" s="432"/>
      <c r="AB954" s="432"/>
      <c r="AC954" s="432"/>
      <c r="AD954" s="432"/>
      <c r="AE954" s="432"/>
    </row>
    <row r="955">
      <c r="A955" s="432"/>
      <c r="B955" s="432"/>
      <c r="C955" s="432"/>
      <c r="D955" s="432"/>
      <c r="E955" s="432"/>
      <c r="F955" s="432"/>
      <c r="G955" s="432"/>
      <c r="H955" s="432"/>
      <c r="I955" s="432"/>
      <c r="J955" s="432"/>
      <c r="K955" s="432"/>
      <c r="L955" s="432"/>
      <c r="M955" s="432"/>
      <c r="N955" s="432"/>
      <c r="O955" s="432"/>
      <c r="P955" s="432"/>
      <c r="Q955" s="432"/>
      <c r="R955" s="432"/>
      <c r="S955" s="432"/>
      <c r="T955" s="432"/>
      <c r="U955" s="432"/>
      <c r="V955" s="432"/>
      <c r="W955" s="432"/>
      <c r="X955" s="432"/>
      <c r="Y955" s="432"/>
      <c r="Z955" s="432"/>
      <c r="AA955" s="432"/>
      <c r="AB955" s="432"/>
      <c r="AC955" s="432"/>
      <c r="AD955" s="432"/>
      <c r="AE955" s="432"/>
    </row>
    <row r="956">
      <c r="A956" s="432"/>
      <c r="B956" s="432"/>
      <c r="C956" s="432"/>
      <c r="D956" s="432"/>
      <c r="E956" s="432"/>
      <c r="F956" s="432"/>
      <c r="G956" s="432"/>
      <c r="H956" s="432"/>
      <c r="I956" s="432"/>
      <c r="J956" s="432"/>
      <c r="K956" s="432"/>
      <c r="L956" s="432"/>
      <c r="M956" s="432"/>
      <c r="N956" s="432"/>
      <c r="O956" s="432"/>
      <c r="P956" s="432"/>
      <c r="Q956" s="432"/>
      <c r="R956" s="432"/>
      <c r="S956" s="432"/>
      <c r="T956" s="432"/>
      <c r="U956" s="432"/>
      <c r="V956" s="432"/>
      <c r="W956" s="432"/>
      <c r="X956" s="432"/>
      <c r="Y956" s="432"/>
      <c r="Z956" s="432"/>
      <c r="AA956" s="432"/>
      <c r="AB956" s="432"/>
      <c r="AC956" s="432"/>
      <c r="AD956" s="432"/>
      <c r="AE956" s="432"/>
    </row>
    <row r="957">
      <c r="A957" s="432"/>
      <c r="B957" s="432"/>
      <c r="C957" s="432"/>
      <c r="D957" s="432"/>
      <c r="E957" s="432"/>
      <c r="F957" s="432"/>
      <c r="G957" s="432"/>
      <c r="H957" s="432"/>
      <c r="I957" s="432"/>
      <c r="J957" s="432"/>
      <c r="K957" s="432"/>
      <c r="L957" s="432"/>
      <c r="M957" s="432"/>
      <c r="N957" s="432"/>
      <c r="O957" s="432"/>
      <c r="P957" s="432"/>
      <c r="Q957" s="432"/>
      <c r="R957" s="432"/>
      <c r="S957" s="432"/>
      <c r="T957" s="432"/>
      <c r="U957" s="432"/>
      <c r="V957" s="432"/>
      <c r="W957" s="432"/>
      <c r="X957" s="432"/>
      <c r="Y957" s="432"/>
      <c r="Z957" s="432"/>
      <c r="AA957" s="432"/>
      <c r="AB957" s="432"/>
      <c r="AC957" s="432"/>
      <c r="AD957" s="432"/>
      <c r="AE957" s="432"/>
    </row>
    <row r="958">
      <c r="A958" s="432"/>
      <c r="B958" s="432"/>
      <c r="C958" s="432"/>
      <c r="D958" s="432"/>
      <c r="E958" s="432"/>
      <c r="F958" s="432"/>
      <c r="G958" s="432"/>
      <c r="H958" s="432"/>
      <c r="I958" s="432"/>
      <c r="J958" s="432"/>
      <c r="K958" s="432"/>
      <c r="L958" s="432"/>
      <c r="M958" s="432"/>
      <c r="N958" s="432"/>
      <c r="O958" s="432"/>
      <c r="P958" s="432"/>
      <c r="Q958" s="432"/>
      <c r="R958" s="432"/>
      <c r="S958" s="432"/>
      <c r="T958" s="432"/>
      <c r="U958" s="432"/>
      <c r="V958" s="432"/>
      <c r="W958" s="432"/>
      <c r="X958" s="432"/>
      <c r="Y958" s="432"/>
      <c r="Z958" s="432"/>
      <c r="AA958" s="432"/>
      <c r="AB958" s="432"/>
      <c r="AC958" s="432"/>
      <c r="AD958" s="432"/>
      <c r="AE958" s="432"/>
    </row>
    <row r="959">
      <c r="A959" s="432"/>
      <c r="B959" s="432"/>
      <c r="C959" s="432"/>
      <c r="D959" s="432"/>
      <c r="E959" s="432"/>
      <c r="F959" s="432"/>
      <c r="G959" s="432"/>
      <c r="H959" s="432"/>
      <c r="I959" s="432"/>
      <c r="J959" s="432"/>
      <c r="K959" s="432"/>
      <c r="L959" s="432"/>
      <c r="M959" s="432"/>
      <c r="N959" s="432"/>
      <c r="O959" s="432"/>
      <c r="P959" s="432"/>
      <c r="Q959" s="432"/>
      <c r="R959" s="432"/>
      <c r="S959" s="432"/>
      <c r="T959" s="432"/>
      <c r="U959" s="432"/>
      <c r="V959" s="432"/>
      <c r="W959" s="432"/>
      <c r="X959" s="432"/>
      <c r="Y959" s="432"/>
      <c r="Z959" s="432"/>
      <c r="AA959" s="432"/>
      <c r="AB959" s="432"/>
      <c r="AC959" s="432"/>
      <c r="AD959" s="432"/>
      <c r="AE959" s="432"/>
    </row>
    <row r="960">
      <c r="A960" s="432"/>
      <c r="B960" s="432"/>
      <c r="C960" s="432"/>
      <c r="D960" s="432"/>
      <c r="E960" s="432"/>
      <c r="F960" s="432"/>
      <c r="G960" s="432"/>
      <c r="H960" s="432"/>
      <c r="I960" s="432"/>
      <c r="J960" s="432"/>
      <c r="K960" s="432"/>
      <c r="L960" s="432"/>
      <c r="M960" s="432"/>
      <c r="N960" s="432"/>
      <c r="O960" s="432"/>
      <c r="P960" s="432"/>
      <c r="Q960" s="432"/>
      <c r="R960" s="432"/>
      <c r="S960" s="432"/>
      <c r="T960" s="432"/>
      <c r="U960" s="432"/>
      <c r="V960" s="432"/>
      <c r="W960" s="432"/>
      <c r="X960" s="432"/>
      <c r="Y960" s="432"/>
      <c r="Z960" s="432"/>
      <c r="AA960" s="432"/>
      <c r="AB960" s="432"/>
      <c r="AC960" s="432"/>
      <c r="AD960" s="432"/>
      <c r="AE960" s="432"/>
    </row>
    <row r="961">
      <c r="A961" s="432"/>
      <c r="B961" s="432"/>
      <c r="C961" s="432"/>
      <c r="D961" s="432"/>
      <c r="E961" s="432"/>
      <c r="F961" s="432"/>
      <c r="G961" s="432"/>
      <c r="H961" s="432"/>
      <c r="I961" s="432"/>
      <c r="J961" s="432"/>
      <c r="K961" s="432"/>
      <c r="L961" s="432"/>
      <c r="M961" s="432"/>
      <c r="N961" s="432"/>
      <c r="O961" s="432"/>
      <c r="P961" s="432"/>
      <c r="Q961" s="432"/>
      <c r="R961" s="432"/>
      <c r="S961" s="432"/>
      <c r="T961" s="432"/>
      <c r="U961" s="432"/>
      <c r="V961" s="432"/>
      <c r="W961" s="432"/>
      <c r="X961" s="432"/>
      <c r="Y961" s="432"/>
      <c r="Z961" s="432"/>
      <c r="AA961" s="432"/>
      <c r="AB961" s="432"/>
      <c r="AC961" s="432"/>
      <c r="AD961" s="432"/>
      <c r="AE961" s="432"/>
    </row>
    <row r="962">
      <c r="A962" s="432"/>
      <c r="B962" s="432"/>
      <c r="C962" s="432"/>
      <c r="D962" s="432"/>
      <c r="E962" s="432"/>
      <c r="F962" s="432"/>
      <c r="G962" s="432"/>
      <c r="H962" s="432"/>
      <c r="I962" s="432"/>
      <c r="J962" s="432"/>
      <c r="K962" s="432"/>
      <c r="L962" s="432"/>
      <c r="M962" s="432"/>
      <c r="N962" s="432"/>
      <c r="O962" s="432"/>
      <c r="P962" s="432"/>
      <c r="Q962" s="432"/>
      <c r="R962" s="432"/>
      <c r="S962" s="432"/>
      <c r="T962" s="432"/>
      <c r="U962" s="432"/>
      <c r="V962" s="432"/>
      <c r="W962" s="432"/>
      <c r="X962" s="432"/>
      <c r="Y962" s="432"/>
      <c r="Z962" s="432"/>
      <c r="AA962" s="432"/>
      <c r="AB962" s="432"/>
      <c r="AC962" s="432"/>
      <c r="AD962" s="432"/>
      <c r="AE962" s="432"/>
    </row>
    <row r="963">
      <c r="A963" s="432"/>
      <c r="B963" s="432"/>
      <c r="C963" s="432"/>
      <c r="D963" s="432"/>
      <c r="E963" s="432"/>
      <c r="F963" s="432"/>
      <c r="G963" s="432"/>
      <c r="H963" s="432"/>
      <c r="I963" s="432"/>
      <c r="J963" s="432"/>
      <c r="K963" s="432"/>
      <c r="L963" s="432"/>
      <c r="M963" s="432"/>
      <c r="N963" s="432"/>
      <c r="O963" s="432"/>
      <c r="P963" s="432"/>
      <c r="Q963" s="432"/>
      <c r="R963" s="432"/>
      <c r="S963" s="432"/>
      <c r="T963" s="432"/>
      <c r="U963" s="432"/>
      <c r="V963" s="432"/>
      <c r="W963" s="432"/>
      <c r="X963" s="432"/>
      <c r="Y963" s="432"/>
      <c r="Z963" s="432"/>
      <c r="AA963" s="432"/>
      <c r="AB963" s="432"/>
      <c r="AC963" s="432"/>
      <c r="AD963" s="432"/>
      <c r="AE963" s="432"/>
    </row>
    <row r="964">
      <c r="A964" s="432"/>
      <c r="B964" s="432"/>
      <c r="C964" s="432"/>
      <c r="D964" s="432"/>
      <c r="E964" s="432"/>
      <c r="F964" s="432"/>
      <c r="G964" s="432"/>
      <c r="H964" s="432"/>
      <c r="I964" s="432"/>
      <c r="J964" s="432"/>
      <c r="K964" s="432"/>
      <c r="L964" s="432"/>
      <c r="M964" s="432"/>
      <c r="N964" s="432"/>
      <c r="O964" s="432"/>
      <c r="P964" s="432"/>
      <c r="Q964" s="432"/>
      <c r="R964" s="432"/>
      <c r="S964" s="432"/>
      <c r="T964" s="432"/>
      <c r="U964" s="432"/>
      <c r="V964" s="432"/>
      <c r="W964" s="432"/>
      <c r="X964" s="432"/>
      <c r="Y964" s="432"/>
      <c r="Z964" s="432"/>
      <c r="AA964" s="432"/>
      <c r="AB964" s="432"/>
      <c r="AC964" s="432"/>
      <c r="AD964" s="432"/>
      <c r="AE964" s="432"/>
    </row>
    <row r="965">
      <c r="A965" s="432"/>
      <c r="B965" s="432"/>
      <c r="C965" s="432"/>
      <c r="D965" s="432"/>
      <c r="E965" s="432"/>
      <c r="F965" s="432"/>
      <c r="G965" s="432"/>
      <c r="H965" s="432"/>
      <c r="I965" s="432"/>
      <c r="J965" s="432"/>
      <c r="K965" s="432"/>
      <c r="L965" s="432"/>
      <c r="M965" s="432"/>
      <c r="N965" s="432"/>
      <c r="O965" s="432"/>
      <c r="P965" s="432"/>
      <c r="Q965" s="432"/>
      <c r="R965" s="432"/>
      <c r="S965" s="432"/>
      <c r="T965" s="432"/>
      <c r="U965" s="432"/>
      <c r="V965" s="432"/>
      <c r="W965" s="432"/>
      <c r="X965" s="432"/>
      <c r="Y965" s="432"/>
      <c r="Z965" s="432"/>
      <c r="AA965" s="432"/>
      <c r="AB965" s="432"/>
      <c r="AC965" s="432"/>
      <c r="AD965" s="432"/>
      <c r="AE965" s="432"/>
    </row>
    <row r="966">
      <c r="A966" s="432"/>
      <c r="B966" s="432"/>
      <c r="C966" s="432"/>
      <c r="D966" s="432"/>
      <c r="E966" s="432"/>
      <c r="F966" s="432"/>
      <c r="G966" s="432"/>
      <c r="H966" s="432"/>
      <c r="I966" s="432"/>
      <c r="J966" s="432"/>
      <c r="K966" s="432"/>
      <c r="L966" s="432"/>
      <c r="M966" s="432"/>
      <c r="N966" s="432"/>
      <c r="O966" s="432"/>
      <c r="P966" s="432"/>
      <c r="Q966" s="432"/>
      <c r="R966" s="432"/>
      <c r="S966" s="432"/>
      <c r="T966" s="432"/>
      <c r="U966" s="432"/>
      <c r="V966" s="432"/>
      <c r="W966" s="432"/>
      <c r="X966" s="432"/>
      <c r="Y966" s="432"/>
      <c r="Z966" s="432"/>
      <c r="AA966" s="432"/>
      <c r="AB966" s="432"/>
      <c r="AC966" s="432"/>
      <c r="AD966" s="432"/>
      <c r="AE966" s="432"/>
    </row>
    <row r="967">
      <c r="A967" s="432"/>
      <c r="B967" s="432"/>
      <c r="C967" s="432"/>
      <c r="D967" s="432"/>
      <c r="E967" s="432"/>
      <c r="F967" s="432"/>
      <c r="G967" s="432"/>
      <c r="H967" s="432"/>
      <c r="I967" s="432"/>
      <c r="J967" s="432"/>
      <c r="K967" s="432"/>
      <c r="L967" s="432"/>
      <c r="M967" s="432"/>
      <c r="N967" s="432"/>
      <c r="O967" s="432"/>
      <c r="P967" s="432"/>
      <c r="Q967" s="432"/>
      <c r="R967" s="432"/>
      <c r="S967" s="432"/>
      <c r="T967" s="432"/>
      <c r="U967" s="432"/>
      <c r="V967" s="432"/>
      <c r="W967" s="432"/>
      <c r="X967" s="432"/>
      <c r="Y967" s="432"/>
      <c r="Z967" s="432"/>
      <c r="AA967" s="432"/>
      <c r="AB967" s="432"/>
      <c r="AC967" s="432"/>
      <c r="AD967" s="432"/>
      <c r="AE967" s="432"/>
    </row>
    <row r="968">
      <c r="A968" s="432"/>
      <c r="B968" s="432"/>
      <c r="C968" s="432"/>
      <c r="D968" s="432"/>
      <c r="E968" s="432"/>
      <c r="F968" s="432"/>
      <c r="G968" s="432"/>
      <c r="H968" s="432"/>
      <c r="I968" s="432"/>
      <c r="J968" s="432"/>
      <c r="K968" s="432"/>
      <c r="L968" s="432"/>
      <c r="M968" s="432"/>
      <c r="N968" s="432"/>
      <c r="O968" s="432"/>
      <c r="P968" s="432"/>
      <c r="Q968" s="432"/>
      <c r="R968" s="432"/>
      <c r="S968" s="432"/>
      <c r="T968" s="432"/>
      <c r="U968" s="432"/>
      <c r="V968" s="432"/>
      <c r="W968" s="432"/>
      <c r="X968" s="432"/>
      <c r="Y968" s="432"/>
      <c r="Z968" s="432"/>
      <c r="AA968" s="432"/>
      <c r="AB968" s="432"/>
      <c r="AC968" s="432"/>
      <c r="AD968" s="432"/>
      <c r="AE968" s="432"/>
    </row>
    <row r="969">
      <c r="A969" s="432"/>
      <c r="B969" s="432"/>
      <c r="C969" s="432"/>
      <c r="D969" s="432"/>
      <c r="E969" s="432"/>
      <c r="F969" s="432"/>
      <c r="G969" s="432"/>
      <c r="H969" s="432"/>
      <c r="I969" s="432"/>
      <c r="J969" s="432"/>
      <c r="K969" s="432"/>
      <c r="L969" s="432"/>
      <c r="M969" s="432"/>
      <c r="N969" s="432"/>
      <c r="O969" s="432"/>
      <c r="P969" s="432"/>
      <c r="Q969" s="432"/>
      <c r="R969" s="432"/>
      <c r="S969" s="432"/>
      <c r="T969" s="432"/>
      <c r="U969" s="432"/>
      <c r="V969" s="432"/>
      <c r="W969" s="432"/>
      <c r="X969" s="432"/>
      <c r="Y969" s="432"/>
      <c r="Z969" s="432"/>
      <c r="AA969" s="432"/>
      <c r="AB969" s="432"/>
      <c r="AC969" s="432"/>
      <c r="AD969" s="432"/>
      <c r="AE969" s="432"/>
    </row>
    <row r="970">
      <c r="A970" s="432"/>
      <c r="B970" s="432"/>
      <c r="C970" s="432"/>
      <c r="D970" s="432"/>
      <c r="E970" s="432"/>
      <c r="F970" s="432"/>
      <c r="G970" s="432"/>
      <c r="H970" s="432"/>
      <c r="I970" s="432"/>
      <c r="J970" s="432"/>
      <c r="K970" s="432"/>
      <c r="L970" s="432"/>
      <c r="M970" s="432"/>
      <c r="N970" s="432"/>
      <c r="O970" s="432"/>
      <c r="P970" s="432"/>
      <c r="Q970" s="432"/>
      <c r="R970" s="432"/>
      <c r="S970" s="432"/>
      <c r="T970" s="432"/>
      <c r="U970" s="432"/>
      <c r="V970" s="432"/>
      <c r="W970" s="432"/>
      <c r="X970" s="432"/>
      <c r="Y970" s="432"/>
      <c r="Z970" s="432"/>
      <c r="AA970" s="432"/>
      <c r="AB970" s="432"/>
      <c r="AC970" s="432"/>
      <c r="AD970" s="432"/>
      <c r="AE970" s="432"/>
    </row>
    <row r="971">
      <c r="A971" s="432"/>
      <c r="B971" s="432"/>
      <c r="C971" s="432"/>
      <c r="D971" s="432"/>
      <c r="E971" s="432"/>
      <c r="F971" s="432"/>
      <c r="G971" s="432"/>
      <c r="H971" s="432"/>
      <c r="I971" s="432"/>
      <c r="J971" s="432"/>
      <c r="K971" s="432"/>
      <c r="L971" s="432"/>
      <c r="M971" s="432"/>
      <c r="N971" s="432"/>
      <c r="O971" s="432"/>
      <c r="P971" s="432"/>
      <c r="Q971" s="432"/>
      <c r="R971" s="432"/>
      <c r="S971" s="432"/>
      <c r="T971" s="432"/>
      <c r="U971" s="432"/>
      <c r="V971" s="432"/>
      <c r="W971" s="432"/>
      <c r="X971" s="432"/>
      <c r="Y971" s="432"/>
      <c r="Z971" s="432"/>
      <c r="AA971" s="432"/>
      <c r="AB971" s="432"/>
      <c r="AC971" s="432"/>
      <c r="AD971" s="432"/>
      <c r="AE971" s="432"/>
    </row>
    <row r="972">
      <c r="A972" s="432"/>
      <c r="B972" s="432"/>
      <c r="C972" s="432"/>
      <c r="D972" s="432"/>
      <c r="E972" s="432"/>
      <c r="F972" s="432"/>
      <c r="G972" s="432"/>
      <c r="H972" s="432"/>
      <c r="I972" s="432"/>
      <c r="J972" s="432"/>
      <c r="K972" s="432"/>
      <c r="L972" s="432"/>
      <c r="M972" s="432"/>
      <c r="N972" s="432"/>
      <c r="O972" s="432"/>
      <c r="P972" s="432"/>
      <c r="Q972" s="432"/>
      <c r="R972" s="432"/>
      <c r="S972" s="432"/>
      <c r="T972" s="432"/>
      <c r="U972" s="432"/>
      <c r="V972" s="432"/>
      <c r="W972" s="432"/>
      <c r="X972" s="432"/>
      <c r="Y972" s="432"/>
      <c r="Z972" s="432"/>
      <c r="AA972" s="432"/>
      <c r="AB972" s="432"/>
      <c r="AC972" s="432"/>
      <c r="AD972" s="432"/>
      <c r="AE972" s="432"/>
    </row>
    <row r="973">
      <c r="A973" s="432"/>
      <c r="B973" s="432"/>
      <c r="C973" s="432"/>
      <c r="D973" s="432"/>
      <c r="E973" s="432"/>
      <c r="F973" s="432"/>
      <c r="G973" s="432"/>
      <c r="H973" s="432"/>
      <c r="I973" s="432"/>
      <c r="J973" s="432"/>
      <c r="K973" s="432"/>
      <c r="L973" s="432"/>
      <c r="M973" s="432"/>
      <c r="N973" s="432"/>
      <c r="O973" s="432"/>
      <c r="P973" s="432"/>
      <c r="Q973" s="432"/>
      <c r="R973" s="432"/>
      <c r="S973" s="432"/>
      <c r="T973" s="432"/>
      <c r="U973" s="432"/>
      <c r="V973" s="432"/>
      <c r="W973" s="432"/>
      <c r="X973" s="432"/>
      <c r="Y973" s="432"/>
      <c r="Z973" s="432"/>
      <c r="AA973" s="432"/>
      <c r="AB973" s="432"/>
      <c r="AC973" s="432"/>
      <c r="AD973" s="432"/>
      <c r="AE973" s="432"/>
    </row>
    <row r="974">
      <c r="A974" s="432"/>
      <c r="B974" s="432"/>
      <c r="C974" s="432"/>
      <c r="D974" s="432"/>
      <c r="E974" s="432"/>
      <c r="F974" s="432"/>
      <c r="G974" s="432"/>
      <c r="H974" s="432"/>
      <c r="I974" s="432"/>
      <c r="J974" s="432"/>
      <c r="K974" s="432"/>
      <c r="L974" s="432"/>
      <c r="M974" s="432"/>
      <c r="N974" s="432"/>
      <c r="O974" s="432"/>
      <c r="P974" s="432"/>
      <c r="Q974" s="432"/>
      <c r="R974" s="432"/>
      <c r="S974" s="432"/>
      <c r="T974" s="432"/>
      <c r="U974" s="432"/>
      <c r="V974" s="432"/>
      <c r="W974" s="432"/>
      <c r="X974" s="432"/>
      <c r="Y974" s="432"/>
      <c r="Z974" s="432"/>
      <c r="AA974" s="432"/>
      <c r="AB974" s="432"/>
      <c r="AC974" s="432"/>
      <c r="AD974" s="432"/>
      <c r="AE974" s="432"/>
    </row>
    <row r="975">
      <c r="A975" s="432"/>
      <c r="B975" s="432"/>
      <c r="C975" s="432"/>
      <c r="D975" s="432"/>
      <c r="E975" s="432"/>
      <c r="F975" s="432"/>
      <c r="G975" s="432"/>
      <c r="H975" s="432"/>
      <c r="I975" s="432"/>
      <c r="J975" s="432"/>
      <c r="K975" s="432"/>
      <c r="L975" s="432"/>
      <c r="M975" s="432"/>
      <c r="N975" s="432"/>
      <c r="O975" s="432"/>
      <c r="P975" s="432"/>
      <c r="Q975" s="432"/>
      <c r="R975" s="432"/>
      <c r="S975" s="432"/>
      <c r="T975" s="432"/>
      <c r="U975" s="432"/>
      <c r="V975" s="432"/>
      <c r="W975" s="432"/>
      <c r="X975" s="432"/>
      <c r="Y975" s="432"/>
      <c r="Z975" s="432"/>
      <c r="AA975" s="432"/>
      <c r="AB975" s="432"/>
      <c r="AC975" s="432"/>
      <c r="AD975" s="432"/>
      <c r="AE975" s="432"/>
    </row>
    <row r="976">
      <c r="A976" s="432"/>
      <c r="B976" s="432"/>
      <c r="C976" s="432"/>
      <c r="D976" s="432"/>
      <c r="E976" s="432"/>
      <c r="F976" s="432"/>
      <c r="G976" s="432"/>
      <c r="H976" s="432"/>
      <c r="I976" s="432"/>
      <c r="J976" s="432"/>
      <c r="K976" s="432"/>
      <c r="L976" s="432"/>
      <c r="M976" s="432"/>
      <c r="N976" s="432"/>
      <c r="O976" s="432"/>
      <c r="P976" s="432"/>
      <c r="Q976" s="432"/>
      <c r="R976" s="432"/>
      <c r="S976" s="432"/>
      <c r="T976" s="432"/>
      <c r="U976" s="432"/>
      <c r="V976" s="432"/>
      <c r="W976" s="432"/>
      <c r="X976" s="432"/>
      <c r="Y976" s="432"/>
      <c r="Z976" s="432"/>
      <c r="AA976" s="432"/>
      <c r="AB976" s="432"/>
      <c r="AC976" s="432"/>
      <c r="AD976" s="432"/>
      <c r="AE976" s="432"/>
    </row>
    <row r="977">
      <c r="A977" s="432"/>
      <c r="B977" s="432"/>
      <c r="C977" s="432"/>
      <c r="D977" s="432"/>
      <c r="E977" s="432"/>
      <c r="F977" s="432"/>
      <c r="G977" s="432"/>
      <c r="H977" s="432"/>
      <c r="I977" s="432"/>
      <c r="J977" s="432"/>
      <c r="K977" s="432"/>
      <c r="L977" s="432"/>
      <c r="M977" s="432"/>
      <c r="N977" s="432"/>
      <c r="O977" s="432"/>
      <c r="P977" s="432"/>
      <c r="Q977" s="432"/>
      <c r="R977" s="432"/>
      <c r="S977" s="432"/>
      <c r="T977" s="432"/>
      <c r="U977" s="432"/>
      <c r="V977" s="432"/>
      <c r="W977" s="432"/>
      <c r="X977" s="432"/>
      <c r="Y977" s="432"/>
      <c r="Z977" s="432"/>
      <c r="AA977" s="432"/>
      <c r="AB977" s="432"/>
      <c r="AC977" s="432"/>
      <c r="AD977" s="432"/>
      <c r="AE977" s="432"/>
    </row>
    <row r="978">
      <c r="A978" s="432"/>
      <c r="B978" s="432"/>
      <c r="C978" s="432"/>
      <c r="D978" s="432"/>
      <c r="E978" s="432"/>
      <c r="F978" s="432"/>
      <c r="G978" s="432"/>
      <c r="H978" s="432"/>
      <c r="I978" s="432"/>
      <c r="J978" s="432"/>
      <c r="K978" s="432"/>
      <c r="L978" s="432"/>
      <c r="M978" s="432"/>
      <c r="N978" s="432"/>
      <c r="O978" s="432"/>
      <c r="P978" s="432"/>
      <c r="Q978" s="432"/>
      <c r="R978" s="432"/>
      <c r="S978" s="432"/>
      <c r="T978" s="432"/>
      <c r="U978" s="432"/>
      <c r="V978" s="432"/>
      <c r="W978" s="432"/>
      <c r="X978" s="432"/>
      <c r="Y978" s="432"/>
      <c r="Z978" s="432"/>
      <c r="AA978" s="432"/>
      <c r="AB978" s="432"/>
      <c r="AC978" s="432"/>
      <c r="AD978" s="432"/>
      <c r="AE978" s="432"/>
    </row>
    <row r="979">
      <c r="A979" s="432"/>
      <c r="B979" s="432"/>
      <c r="C979" s="432"/>
      <c r="D979" s="432"/>
      <c r="E979" s="432"/>
      <c r="F979" s="432"/>
      <c r="G979" s="432"/>
      <c r="H979" s="432"/>
      <c r="I979" s="432"/>
      <c r="J979" s="432"/>
      <c r="K979" s="432"/>
      <c r="L979" s="432"/>
      <c r="M979" s="432"/>
      <c r="N979" s="432"/>
      <c r="O979" s="432"/>
      <c r="P979" s="432"/>
      <c r="Q979" s="432"/>
      <c r="R979" s="432"/>
      <c r="S979" s="432"/>
      <c r="T979" s="432"/>
      <c r="U979" s="432"/>
      <c r="V979" s="432"/>
      <c r="W979" s="432"/>
      <c r="X979" s="432"/>
      <c r="Y979" s="432"/>
      <c r="Z979" s="432"/>
      <c r="AA979" s="432"/>
      <c r="AB979" s="432"/>
      <c r="AC979" s="432"/>
      <c r="AD979" s="432"/>
      <c r="AE979" s="432"/>
    </row>
    <row r="980">
      <c r="A980" s="432"/>
      <c r="B980" s="432"/>
      <c r="C980" s="432"/>
      <c r="D980" s="432"/>
      <c r="E980" s="432"/>
      <c r="F980" s="432"/>
      <c r="G980" s="432"/>
      <c r="H980" s="432"/>
      <c r="I980" s="432"/>
      <c r="J980" s="432"/>
      <c r="K980" s="432"/>
      <c r="L980" s="432"/>
      <c r="M980" s="432"/>
      <c r="N980" s="432"/>
      <c r="O980" s="432"/>
      <c r="P980" s="432"/>
      <c r="Q980" s="432"/>
      <c r="R980" s="432"/>
      <c r="S980" s="432"/>
      <c r="T980" s="432"/>
      <c r="U980" s="432"/>
      <c r="V980" s="432"/>
      <c r="W980" s="432"/>
      <c r="X980" s="432"/>
      <c r="Y980" s="432"/>
      <c r="Z980" s="432"/>
      <c r="AA980" s="432"/>
      <c r="AB980" s="432"/>
      <c r="AC980" s="432"/>
      <c r="AD980" s="432"/>
      <c r="AE980" s="432"/>
    </row>
    <row r="981">
      <c r="A981" s="432"/>
      <c r="B981" s="432"/>
      <c r="C981" s="432"/>
      <c r="D981" s="432"/>
      <c r="E981" s="432"/>
      <c r="F981" s="432"/>
      <c r="G981" s="432"/>
      <c r="H981" s="432"/>
      <c r="I981" s="432"/>
      <c r="J981" s="432"/>
      <c r="K981" s="432"/>
      <c r="L981" s="432"/>
      <c r="M981" s="432"/>
      <c r="N981" s="432"/>
      <c r="O981" s="432"/>
      <c r="P981" s="432"/>
      <c r="Q981" s="432"/>
      <c r="R981" s="432"/>
      <c r="S981" s="432"/>
      <c r="T981" s="432"/>
      <c r="U981" s="432"/>
      <c r="V981" s="432"/>
      <c r="W981" s="432"/>
      <c r="X981" s="432"/>
      <c r="Y981" s="432"/>
      <c r="Z981" s="432"/>
      <c r="AA981" s="432"/>
      <c r="AB981" s="432"/>
      <c r="AC981" s="432"/>
      <c r="AD981" s="432"/>
      <c r="AE981" s="432"/>
    </row>
    <row r="982">
      <c r="A982" s="432"/>
      <c r="B982" s="432"/>
      <c r="C982" s="432"/>
      <c r="D982" s="432"/>
      <c r="E982" s="432"/>
      <c r="F982" s="432"/>
      <c r="G982" s="432"/>
      <c r="H982" s="432"/>
      <c r="I982" s="432"/>
      <c r="J982" s="432"/>
      <c r="K982" s="432"/>
      <c r="L982" s="432"/>
      <c r="M982" s="432"/>
      <c r="N982" s="432"/>
      <c r="O982" s="432"/>
      <c r="P982" s="432"/>
      <c r="Q982" s="432"/>
      <c r="R982" s="432"/>
      <c r="S982" s="432"/>
      <c r="T982" s="432"/>
      <c r="U982" s="432"/>
      <c r="V982" s="432"/>
      <c r="W982" s="432"/>
      <c r="X982" s="432"/>
      <c r="Y982" s="432"/>
      <c r="Z982" s="432"/>
      <c r="AA982" s="432"/>
      <c r="AB982" s="432"/>
      <c r="AC982" s="432"/>
      <c r="AD982" s="432"/>
      <c r="AE982" s="432"/>
    </row>
    <row r="983">
      <c r="A983" s="432"/>
      <c r="B983" s="432"/>
      <c r="C983" s="432"/>
      <c r="D983" s="432"/>
      <c r="E983" s="432"/>
      <c r="F983" s="432"/>
      <c r="G983" s="432"/>
      <c r="H983" s="432"/>
      <c r="I983" s="432"/>
      <c r="J983" s="432"/>
      <c r="K983" s="432"/>
      <c r="L983" s="432"/>
      <c r="M983" s="432"/>
      <c r="N983" s="432"/>
      <c r="O983" s="432"/>
      <c r="P983" s="432"/>
      <c r="Q983" s="432"/>
      <c r="R983" s="432"/>
      <c r="S983" s="432"/>
      <c r="T983" s="432"/>
      <c r="U983" s="432"/>
      <c r="V983" s="432"/>
      <c r="W983" s="432"/>
      <c r="X983" s="432"/>
      <c r="Y983" s="432"/>
      <c r="Z983" s="432"/>
      <c r="AA983" s="432"/>
      <c r="AB983" s="432"/>
      <c r="AC983" s="432"/>
      <c r="AD983" s="432"/>
      <c r="AE983" s="432"/>
    </row>
    <row r="984">
      <c r="A984" s="432"/>
      <c r="B984" s="432"/>
      <c r="C984" s="432"/>
      <c r="D984" s="432"/>
      <c r="E984" s="432"/>
      <c r="F984" s="432"/>
      <c r="G984" s="432"/>
      <c r="H984" s="432"/>
      <c r="I984" s="432"/>
      <c r="J984" s="432"/>
      <c r="K984" s="432"/>
      <c r="L984" s="432"/>
      <c r="M984" s="432"/>
      <c r="N984" s="432"/>
      <c r="O984" s="432"/>
      <c r="P984" s="432"/>
      <c r="Q984" s="432"/>
      <c r="R984" s="432"/>
      <c r="S984" s="432"/>
      <c r="T984" s="432"/>
      <c r="U984" s="432"/>
      <c r="V984" s="432"/>
      <c r="W984" s="432"/>
      <c r="X984" s="432"/>
      <c r="Y984" s="432"/>
      <c r="Z984" s="432"/>
      <c r="AA984" s="432"/>
      <c r="AB984" s="432"/>
      <c r="AC984" s="432"/>
      <c r="AD984" s="432"/>
      <c r="AE984" s="432"/>
    </row>
    <row r="985">
      <c r="A985" s="432"/>
      <c r="B985" s="432"/>
      <c r="C985" s="432"/>
      <c r="D985" s="432"/>
      <c r="E985" s="432"/>
      <c r="F985" s="432"/>
      <c r="G985" s="432"/>
      <c r="H985" s="432"/>
      <c r="I985" s="432"/>
      <c r="J985" s="432"/>
      <c r="K985" s="432"/>
      <c r="L985" s="432"/>
      <c r="M985" s="432"/>
      <c r="N985" s="432"/>
      <c r="O985" s="432"/>
      <c r="P985" s="432"/>
      <c r="Q985" s="432"/>
      <c r="R985" s="432"/>
      <c r="S985" s="432"/>
      <c r="T985" s="432"/>
      <c r="U985" s="432"/>
      <c r="V985" s="432"/>
      <c r="W985" s="432"/>
      <c r="X985" s="432"/>
      <c r="Y985" s="432"/>
      <c r="Z985" s="432"/>
      <c r="AA985" s="432"/>
      <c r="AB985" s="432"/>
      <c r="AC985" s="432"/>
      <c r="AD985" s="432"/>
      <c r="AE985" s="432"/>
    </row>
    <row r="986">
      <c r="A986" s="432"/>
      <c r="B986" s="432"/>
      <c r="C986" s="432"/>
      <c r="D986" s="432"/>
      <c r="E986" s="432"/>
      <c r="F986" s="432"/>
      <c r="G986" s="432"/>
      <c r="H986" s="432"/>
      <c r="I986" s="432"/>
      <c r="J986" s="432"/>
      <c r="K986" s="432"/>
      <c r="L986" s="432"/>
      <c r="M986" s="432"/>
      <c r="N986" s="432"/>
      <c r="O986" s="432"/>
      <c r="P986" s="432"/>
      <c r="Q986" s="432"/>
      <c r="R986" s="432"/>
      <c r="S986" s="432"/>
      <c r="T986" s="432"/>
      <c r="U986" s="432"/>
      <c r="V986" s="432"/>
      <c r="W986" s="432"/>
      <c r="X986" s="432"/>
      <c r="Y986" s="432"/>
      <c r="Z986" s="432"/>
      <c r="AA986" s="432"/>
      <c r="AB986" s="432"/>
      <c r="AC986" s="432"/>
      <c r="AD986" s="432"/>
      <c r="AE986" s="432"/>
    </row>
    <row r="987">
      <c r="A987" s="432"/>
      <c r="B987" s="432"/>
      <c r="C987" s="432"/>
      <c r="D987" s="432"/>
      <c r="E987" s="432"/>
      <c r="F987" s="432"/>
      <c r="G987" s="432"/>
      <c r="H987" s="432"/>
      <c r="I987" s="432"/>
      <c r="J987" s="432"/>
      <c r="K987" s="432"/>
      <c r="L987" s="432"/>
      <c r="M987" s="432"/>
      <c r="N987" s="432"/>
      <c r="O987" s="432"/>
      <c r="P987" s="432"/>
      <c r="Q987" s="432"/>
      <c r="R987" s="432"/>
      <c r="S987" s="432"/>
      <c r="T987" s="432"/>
      <c r="U987" s="432"/>
      <c r="V987" s="432"/>
      <c r="W987" s="432"/>
      <c r="X987" s="432"/>
      <c r="Y987" s="432"/>
      <c r="Z987" s="432"/>
      <c r="AA987" s="432"/>
      <c r="AB987" s="432"/>
      <c r="AC987" s="432"/>
      <c r="AD987" s="432"/>
      <c r="AE987" s="432"/>
    </row>
    <row r="988">
      <c r="A988" s="432"/>
      <c r="B988" s="432"/>
      <c r="C988" s="432"/>
      <c r="D988" s="432"/>
      <c r="E988" s="432"/>
      <c r="F988" s="432"/>
      <c r="G988" s="432"/>
      <c r="H988" s="432"/>
      <c r="I988" s="432"/>
      <c r="J988" s="432"/>
      <c r="K988" s="432"/>
      <c r="L988" s="432"/>
      <c r="M988" s="432"/>
      <c r="N988" s="432"/>
      <c r="O988" s="432"/>
      <c r="P988" s="432"/>
      <c r="Q988" s="432"/>
      <c r="R988" s="432"/>
      <c r="S988" s="432"/>
      <c r="T988" s="432"/>
      <c r="U988" s="432"/>
      <c r="V988" s="432"/>
      <c r="W988" s="432"/>
      <c r="X988" s="432"/>
      <c r="Y988" s="432"/>
      <c r="Z988" s="432"/>
      <c r="AA988" s="432"/>
      <c r="AB988" s="432"/>
      <c r="AC988" s="432"/>
      <c r="AD988" s="432"/>
      <c r="AE988" s="432"/>
    </row>
    <row r="989">
      <c r="A989" s="432"/>
      <c r="B989" s="432"/>
      <c r="C989" s="432"/>
      <c r="D989" s="432"/>
      <c r="E989" s="432"/>
      <c r="F989" s="432"/>
      <c r="G989" s="432"/>
      <c r="H989" s="432"/>
      <c r="I989" s="432"/>
      <c r="J989" s="432"/>
      <c r="K989" s="432"/>
      <c r="L989" s="432"/>
      <c r="M989" s="432"/>
      <c r="N989" s="432"/>
      <c r="O989" s="432"/>
      <c r="P989" s="432"/>
      <c r="Q989" s="432"/>
      <c r="R989" s="432"/>
      <c r="S989" s="432"/>
      <c r="T989" s="432"/>
      <c r="U989" s="432"/>
      <c r="V989" s="432"/>
      <c r="W989" s="432"/>
      <c r="X989" s="432"/>
      <c r="Y989" s="432"/>
      <c r="Z989" s="432"/>
      <c r="AA989" s="432"/>
      <c r="AB989" s="432"/>
      <c r="AC989" s="432"/>
      <c r="AD989" s="432"/>
      <c r="AE989" s="432"/>
    </row>
    <row r="990">
      <c r="A990" s="432"/>
      <c r="B990" s="432"/>
      <c r="C990" s="432"/>
      <c r="D990" s="432"/>
      <c r="E990" s="432"/>
      <c r="F990" s="432"/>
      <c r="G990" s="432"/>
      <c r="H990" s="432"/>
      <c r="I990" s="432"/>
      <c r="J990" s="432"/>
      <c r="K990" s="432"/>
      <c r="L990" s="432"/>
      <c r="M990" s="432"/>
      <c r="N990" s="432"/>
      <c r="O990" s="432"/>
      <c r="P990" s="432"/>
      <c r="Q990" s="432"/>
      <c r="R990" s="432"/>
      <c r="S990" s="432"/>
      <c r="T990" s="432"/>
      <c r="U990" s="432"/>
      <c r="V990" s="432"/>
      <c r="W990" s="432"/>
      <c r="X990" s="432"/>
      <c r="Y990" s="432"/>
      <c r="Z990" s="432"/>
      <c r="AA990" s="432"/>
      <c r="AB990" s="432"/>
      <c r="AC990" s="432"/>
      <c r="AD990" s="432"/>
      <c r="AE990" s="432"/>
    </row>
    <row r="991">
      <c r="A991" s="432"/>
      <c r="B991" s="432"/>
      <c r="C991" s="432"/>
      <c r="D991" s="432"/>
      <c r="E991" s="432"/>
      <c r="F991" s="432"/>
      <c r="G991" s="432"/>
      <c r="H991" s="432"/>
      <c r="I991" s="432"/>
      <c r="J991" s="432"/>
      <c r="K991" s="432"/>
      <c r="L991" s="432"/>
      <c r="M991" s="432"/>
      <c r="N991" s="432"/>
      <c r="O991" s="432"/>
      <c r="P991" s="432"/>
      <c r="Q991" s="432"/>
      <c r="R991" s="432"/>
      <c r="S991" s="432"/>
      <c r="T991" s="432"/>
      <c r="U991" s="432"/>
      <c r="V991" s="432"/>
      <c r="W991" s="432"/>
      <c r="X991" s="432"/>
      <c r="Y991" s="432"/>
      <c r="Z991" s="432"/>
      <c r="AA991" s="432"/>
      <c r="AB991" s="432"/>
      <c r="AC991" s="432"/>
      <c r="AD991" s="432"/>
      <c r="AE991" s="432"/>
    </row>
    <row r="992">
      <c r="A992" s="432"/>
      <c r="B992" s="432"/>
      <c r="C992" s="432"/>
      <c r="D992" s="432"/>
      <c r="E992" s="432"/>
      <c r="F992" s="432"/>
      <c r="G992" s="432"/>
      <c r="H992" s="432"/>
      <c r="I992" s="432"/>
      <c r="J992" s="432"/>
      <c r="K992" s="432"/>
      <c r="L992" s="432"/>
      <c r="M992" s="432"/>
      <c r="N992" s="432"/>
      <c r="O992" s="432"/>
      <c r="P992" s="432"/>
      <c r="Q992" s="432"/>
      <c r="R992" s="432"/>
      <c r="S992" s="432"/>
      <c r="T992" s="432"/>
      <c r="U992" s="432"/>
      <c r="V992" s="432"/>
      <c r="W992" s="432"/>
      <c r="X992" s="432"/>
      <c r="Y992" s="432"/>
      <c r="Z992" s="432"/>
      <c r="AA992" s="432"/>
      <c r="AB992" s="432"/>
      <c r="AC992" s="432"/>
      <c r="AD992" s="432"/>
      <c r="AE992" s="432"/>
    </row>
    <row r="993">
      <c r="A993" s="432"/>
      <c r="B993" s="432"/>
      <c r="C993" s="432"/>
      <c r="D993" s="432"/>
      <c r="E993" s="432"/>
      <c r="F993" s="432"/>
      <c r="G993" s="432"/>
      <c r="H993" s="432"/>
      <c r="I993" s="432"/>
      <c r="J993" s="432"/>
      <c r="K993" s="432"/>
      <c r="L993" s="432"/>
      <c r="M993" s="432"/>
      <c r="N993" s="432"/>
      <c r="O993" s="432"/>
      <c r="P993" s="432"/>
      <c r="Q993" s="432"/>
      <c r="R993" s="432"/>
      <c r="S993" s="432"/>
      <c r="T993" s="432"/>
      <c r="U993" s="432"/>
      <c r="V993" s="432"/>
      <c r="W993" s="432"/>
      <c r="X993" s="432"/>
      <c r="Y993" s="432"/>
      <c r="Z993" s="432"/>
      <c r="AA993" s="432"/>
      <c r="AB993" s="432"/>
      <c r="AC993" s="432"/>
      <c r="AD993" s="432"/>
      <c r="AE993" s="432"/>
    </row>
    <row r="994">
      <c r="A994" s="432"/>
      <c r="B994" s="432"/>
      <c r="C994" s="432"/>
      <c r="D994" s="432"/>
      <c r="E994" s="432"/>
      <c r="F994" s="432"/>
      <c r="G994" s="432"/>
      <c r="H994" s="432"/>
      <c r="I994" s="432"/>
      <c r="J994" s="432"/>
      <c r="K994" s="432"/>
      <c r="L994" s="432"/>
      <c r="M994" s="432"/>
      <c r="N994" s="432"/>
      <c r="O994" s="432"/>
      <c r="P994" s="432"/>
      <c r="Q994" s="432"/>
      <c r="R994" s="432"/>
      <c r="S994" s="432"/>
      <c r="T994" s="432"/>
      <c r="U994" s="432"/>
      <c r="V994" s="432"/>
      <c r="W994" s="432"/>
      <c r="X994" s="432"/>
      <c r="Y994" s="432"/>
      <c r="Z994" s="432"/>
      <c r="AA994" s="432"/>
      <c r="AB994" s="432"/>
      <c r="AC994" s="432"/>
      <c r="AD994" s="432"/>
      <c r="AE994" s="432"/>
    </row>
    <row r="995">
      <c r="A995" s="432"/>
      <c r="B995" s="432"/>
      <c r="C995" s="432"/>
      <c r="D995" s="432"/>
      <c r="E995" s="432"/>
      <c r="F995" s="432"/>
      <c r="G995" s="432"/>
      <c r="H995" s="432"/>
      <c r="I995" s="432"/>
      <c r="J995" s="432"/>
      <c r="K995" s="432"/>
      <c r="L995" s="432"/>
      <c r="M995" s="432"/>
      <c r="N995" s="432"/>
      <c r="O995" s="432"/>
      <c r="P995" s="432"/>
      <c r="Q995" s="432"/>
      <c r="R995" s="432"/>
      <c r="S995" s="432"/>
      <c r="T995" s="432"/>
      <c r="U995" s="432"/>
      <c r="V995" s="432"/>
      <c r="W995" s="432"/>
      <c r="X995" s="432"/>
      <c r="Y995" s="432"/>
      <c r="Z995" s="432"/>
      <c r="AA995" s="432"/>
      <c r="AB995" s="432"/>
      <c r="AC995" s="432"/>
      <c r="AD995" s="432"/>
      <c r="AE995" s="432"/>
    </row>
    <row r="996">
      <c r="A996" s="432"/>
      <c r="B996" s="432"/>
      <c r="C996" s="432"/>
      <c r="D996" s="432"/>
      <c r="E996" s="432"/>
      <c r="F996" s="432"/>
      <c r="G996" s="432"/>
      <c r="H996" s="432"/>
      <c r="I996" s="432"/>
      <c r="J996" s="432"/>
      <c r="K996" s="432"/>
      <c r="L996" s="432"/>
      <c r="M996" s="432"/>
      <c r="N996" s="432"/>
      <c r="O996" s="432"/>
      <c r="P996" s="432"/>
      <c r="Q996" s="432"/>
      <c r="R996" s="432"/>
      <c r="S996" s="432"/>
      <c r="T996" s="432"/>
      <c r="U996" s="432"/>
      <c r="V996" s="432"/>
      <c r="W996" s="432"/>
      <c r="X996" s="432"/>
      <c r="Y996" s="432"/>
      <c r="Z996" s="432"/>
      <c r="AA996" s="432"/>
      <c r="AB996" s="432"/>
      <c r="AC996" s="432"/>
      <c r="AD996" s="432"/>
      <c r="AE996" s="432"/>
    </row>
  </sheetData>
  <dataValidations>
    <dataValidation type="list" allowBlank="1" showErrorMessage="1" sqref="E2:E4">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formula1>
    </dataValidation>
    <dataValidation type="list" allowBlank="1" showErrorMessage="1" sqref="Q2:Q4">
      <formula1>"Adultos mayores,Ciclistas,Comerciantes,Comunidad lgbti+,Conductores,Conductores de carga pesada,Conductores de vehíulos hibridos y eléctricos,Deportistas,Discapacidad,Habitantes de calle,Hermanos de la Iglesia,Jóvenes,Mascotas,Mujeres,Niños,Recicladores,S"&amp;"ector interreligioso,Turistas,Vendedores informales,Victimas y o desplazados,Otro,No aplica"</formula1>
    </dataValidation>
    <dataValidation type="list" allowBlank="1" showErrorMessage="1" sqref="B2:B4">
      <formula1>"Enero,Febrero,Marzo,Abril,Mayo,Junio,Julio,Agosto,N/A,Septiembre,Octubre,Noviembre ,Diciembre"</formula1>
    </dataValidation>
    <dataValidation type="list" allowBlank="1" showErrorMessage="1" sqref="O2:O4">
      <formula1>"Asesor,Edil,N/A"</formula1>
    </dataValidation>
    <dataValidation type="list" allowBlank="1" showErrorMessage="1" sqref="P2:P4">
      <formula1>"Alexandra García  ,Angie Benitez,Angie Serrano ,Fernando Zamora,Jairo Jaramillo,Julian Scarpetta,Katherine Galindo,Maicol Quiroga,No se solicito ayuda,N/A"</formula1>
    </dataValidation>
    <dataValidation type="list" allowBlank="1" showErrorMessage="1" sqref="L2:L4">
      <formula1>"Libertad religiosa,Movilidad,Niñez,Servicios públicos,Tramites"</formula1>
    </dataValidation>
    <dataValidation type="list" allowBlank="1" sqref="C2:C4">
      <formula1>"Intervención,Debate,Denuncia,Editorial "</formula1>
    </dataValidation>
    <dataValidation type="list" allowBlank="1" sqref="A2:A4">
      <formula1>"2024,2025,2026,2027 "</formula1>
    </dataValidation>
  </dataValidations>
  <hyperlinks>
    <hyperlink r:id="rId1" ref="M2"/>
    <hyperlink r:id="rId2" location="slide=id.g2d2f546de15_0_23" ref="M3"/>
    <hyperlink r:id="rId3" location="slide=id.g2d8116b308e_0_18" ref="M4"/>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2" width="16.13"/>
    <col customWidth="1" min="3" max="3" width="18.63"/>
    <col customWidth="1" min="6" max="6" width="29.88"/>
    <col customWidth="1" min="7" max="7" width="17.88"/>
    <col customWidth="1" min="8" max="8" width="31.75"/>
    <col customWidth="1" min="9" max="9" width="89.13"/>
    <col customWidth="1" min="10" max="10" width="16.13"/>
  </cols>
  <sheetData>
    <row r="1">
      <c r="A1" s="260" t="s">
        <v>1140</v>
      </c>
      <c r="B1" s="260" t="s">
        <v>1141</v>
      </c>
      <c r="C1" s="506" t="s">
        <v>2933</v>
      </c>
      <c r="D1" s="431" t="s">
        <v>1145</v>
      </c>
      <c r="E1" s="431" t="s">
        <v>2934</v>
      </c>
      <c r="F1" s="431" t="s">
        <v>2935</v>
      </c>
      <c r="G1" s="431" t="s">
        <v>37</v>
      </c>
      <c r="H1" s="431" t="s">
        <v>2936</v>
      </c>
      <c r="I1" s="431" t="s">
        <v>2937</v>
      </c>
      <c r="J1" s="431" t="s">
        <v>2938</v>
      </c>
      <c r="K1" s="431" t="s">
        <v>2939</v>
      </c>
      <c r="L1" s="431" t="s">
        <v>2940</v>
      </c>
      <c r="M1" s="431" t="s">
        <v>2941</v>
      </c>
      <c r="N1" s="431" t="s">
        <v>2942</v>
      </c>
      <c r="O1" s="431" t="s">
        <v>2943</v>
      </c>
      <c r="P1" s="431" t="s">
        <v>2944</v>
      </c>
      <c r="Q1" s="431" t="s">
        <v>2945</v>
      </c>
      <c r="R1" s="431" t="s">
        <v>2946</v>
      </c>
      <c r="S1" s="431" t="s">
        <v>2947</v>
      </c>
    </row>
    <row r="2">
      <c r="A2" s="453">
        <v>2024.0</v>
      </c>
      <c r="B2" s="453" t="s">
        <v>54</v>
      </c>
      <c r="C2" s="507">
        <v>45308.0</v>
      </c>
      <c r="D2" s="29" t="s">
        <v>259</v>
      </c>
      <c r="E2" s="453" t="s">
        <v>57</v>
      </c>
      <c r="F2" s="508" t="s">
        <v>2948</v>
      </c>
      <c r="G2" s="453" t="s">
        <v>63</v>
      </c>
      <c r="H2" s="453"/>
      <c r="I2" s="509"/>
      <c r="J2" s="510"/>
      <c r="K2" s="453" t="s">
        <v>2694</v>
      </c>
      <c r="L2" s="453" t="s">
        <v>2694</v>
      </c>
      <c r="M2" s="453" t="s">
        <v>2694</v>
      </c>
      <c r="N2" s="453" t="s">
        <v>2694</v>
      </c>
      <c r="O2" s="453" t="s">
        <v>2694</v>
      </c>
      <c r="P2" s="453" t="s">
        <v>2694</v>
      </c>
      <c r="Q2" s="453" t="s">
        <v>2694</v>
      </c>
      <c r="R2" s="453" t="s">
        <v>2949</v>
      </c>
      <c r="S2" s="453" t="s">
        <v>2694</v>
      </c>
    </row>
    <row r="3">
      <c r="A3" s="453">
        <v>2024.0</v>
      </c>
      <c r="B3" s="453" t="s">
        <v>54</v>
      </c>
      <c r="C3" s="511">
        <v>45313.0</v>
      </c>
      <c r="D3" s="453" t="s">
        <v>119</v>
      </c>
      <c r="E3" s="512" t="s">
        <v>57</v>
      </c>
      <c r="F3" s="512" t="s">
        <v>2950</v>
      </c>
      <c r="G3" s="453" t="s">
        <v>63</v>
      </c>
      <c r="H3" s="513" t="s">
        <v>2951</v>
      </c>
      <c r="I3" s="509"/>
      <c r="J3" s="510"/>
      <c r="K3" s="453" t="s">
        <v>2694</v>
      </c>
      <c r="L3" s="453" t="s">
        <v>2694</v>
      </c>
      <c r="M3" s="453" t="s">
        <v>2694</v>
      </c>
      <c r="N3" s="453" t="s">
        <v>2694</v>
      </c>
      <c r="O3" s="453" t="s">
        <v>2694</v>
      </c>
      <c r="P3" s="453" t="s">
        <v>2694</v>
      </c>
      <c r="Q3" s="453" t="s">
        <v>2694</v>
      </c>
      <c r="R3" s="453" t="s">
        <v>2949</v>
      </c>
      <c r="S3" s="453" t="s">
        <v>2694</v>
      </c>
    </row>
    <row r="4">
      <c r="A4" s="453">
        <v>2024.0</v>
      </c>
      <c r="B4" s="453" t="s">
        <v>143</v>
      </c>
      <c r="C4" s="514">
        <v>45351.0</v>
      </c>
      <c r="D4" s="453" t="s">
        <v>119</v>
      </c>
      <c r="E4" s="512" t="s">
        <v>57</v>
      </c>
      <c r="F4" s="512" t="s">
        <v>1373</v>
      </c>
      <c r="G4" s="453" t="s">
        <v>63</v>
      </c>
      <c r="H4" s="512" t="s">
        <v>2952</v>
      </c>
      <c r="I4" s="515"/>
      <c r="J4" s="510"/>
      <c r="K4" s="453"/>
      <c r="L4" s="453"/>
      <c r="M4" s="453"/>
      <c r="N4" s="453"/>
      <c r="O4" s="453"/>
      <c r="P4" s="453" t="s">
        <v>2694</v>
      </c>
      <c r="Q4" s="453" t="s">
        <v>2694</v>
      </c>
      <c r="R4" s="453"/>
      <c r="S4" s="453"/>
    </row>
    <row r="5">
      <c r="A5" s="453">
        <v>2024.0</v>
      </c>
      <c r="B5" s="516" t="s">
        <v>179</v>
      </c>
      <c r="C5" s="517">
        <v>45359.0</v>
      </c>
      <c r="D5" s="453" t="s">
        <v>1018</v>
      </c>
      <c r="E5" s="453" t="s">
        <v>57</v>
      </c>
      <c r="F5" s="518" t="s">
        <v>2953</v>
      </c>
      <c r="G5" s="453" t="s">
        <v>63</v>
      </c>
      <c r="H5" s="453" t="s">
        <v>2954</v>
      </c>
      <c r="I5" s="519" t="s">
        <v>2955</v>
      </c>
      <c r="J5" s="510"/>
      <c r="K5" s="453" t="s">
        <v>2949</v>
      </c>
      <c r="L5" s="453" t="s">
        <v>2694</v>
      </c>
      <c r="M5" s="453" t="s">
        <v>2949</v>
      </c>
      <c r="N5" s="453" t="s">
        <v>2949</v>
      </c>
      <c r="O5" s="453" t="s">
        <v>2694</v>
      </c>
      <c r="P5" s="453" t="s">
        <v>2694</v>
      </c>
      <c r="Q5" s="453" t="s">
        <v>2694</v>
      </c>
      <c r="R5" s="453" t="s">
        <v>2694</v>
      </c>
      <c r="S5" s="453" t="s">
        <v>2694</v>
      </c>
    </row>
    <row r="6">
      <c r="A6" s="453">
        <v>2024.0</v>
      </c>
      <c r="B6" s="453" t="s">
        <v>179</v>
      </c>
      <c r="C6" s="517">
        <v>45360.0</v>
      </c>
      <c r="D6" s="453" t="s">
        <v>82</v>
      </c>
      <c r="E6" s="453" t="s">
        <v>57</v>
      </c>
      <c r="F6" s="518" t="s">
        <v>2956</v>
      </c>
      <c r="G6" s="453" t="s">
        <v>82</v>
      </c>
      <c r="H6" s="453" t="s">
        <v>2957</v>
      </c>
      <c r="I6" s="519" t="s">
        <v>2958</v>
      </c>
      <c r="J6" s="510"/>
      <c r="K6" s="453" t="s">
        <v>2949</v>
      </c>
      <c r="L6" s="453" t="s">
        <v>2694</v>
      </c>
      <c r="M6" s="453" t="s">
        <v>2949</v>
      </c>
      <c r="N6" s="453" t="s">
        <v>2949</v>
      </c>
      <c r="O6" s="453" t="s">
        <v>2694</v>
      </c>
      <c r="P6" s="453" t="s">
        <v>2694</v>
      </c>
      <c r="Q6" s="453" t="s">
        <v>2694</v>
      </c>
      <c r="R6" s="453" t="s">
        <v>2694</v>
      </c>
      <c r="S6" s="453" t="s">
        <v>2694</v>
      </c>
    </row>
    <row r="7">
      <c r="A7" s="453">
        <v>2024.0</v>
      </c>
      <c r="B7" s="453" t="s">
        <v>179</v>
      </c>
      <c r="C7" s="517">
        <v>45363.0</v>
      </c>
      <c r="D7" s="453" t="s">
        <v>119</v>
      </c>
      <c r="E7" s="453" t="s">
        <v>57</v>
      </c>
      <c r="F7" s="518" t="s">
        <v>2959</v>
      </c>
      <c r="G7" s="453" t="s">
        <v>63</v>
      </c>
      <c r="H7" s="453" t="s">
        <v>2960</v>
      </c>
      <c r="I7" s="520" t="s">
        <v>2961</v>
      </c>
      <c r="J7" s="510"/>
      <c r="K7" s="453" t="s">
        <v>2949</v>
      </c>
      <c r="L7" s="453" t="s">
        <v>2694</v>
      </c>
      <c r="M7" s="453" t="s">
        <v>2949</v>
      </c>
      <c r="N7" s="453" t="s">
        <v>2949</v>
      </c>
      <c r="O7" s="453" t="s">
        <v>2694</v>
      </c>
      <c r="P7" s="453" t="s">
        <v>2694</v>
      </c>
      <c r="Q7" s="453" t="s">
        <v>2694</v>
      </c>
      <c r="R7" s="453" t="s">
        <v>2949</v>
      </c>
      <c r="S7" s="453" t="s">
        <v>2694</v>
      </c>
    </row>
    <row r="8">
      <c r="A8" s="453">
        <v>2024.0</v>
      </c>
      <c r="B8" s="453" t="s">
        <v>179</v>
      </c>
      <c r="C8" s="517">
        <v>45365.0</v>
      </c>
      <c r="D8" s="453" t="s">
        <v>55</v>
      </c>
      <c r="E8" s="453" t="s">
        <v>57</v>
      </c>
      <c r="F8" s="518" t="s">
        <v>2962</v>
      </c>
      <c r="G8" s="453" t="s">
        <v>63</v>
      </c>
      <c r="H8" s="453" t="s">
        <v>2963</v>
      </c>
      <c r="I8" s="520" t="s">
        <v>2964</v>
      </c>
      <c r="J8" s="510"/>
      <c r="K8" s="453" t="s">
        <v>2949</v>
      </c>
      <c r="L8" s="453" t="s">
        <v>2694</v>
      </c>
      <c r="M8" s="453" t="s">
        <v>2949</v>
      </c>
      <c r="N8" s="453" t="s">
        <v>2949</v>
      </c>
      <c r="O8" s="453" t="s">
        <v>2694</v>
      </c>
      <c r="P8" s="453" t="s">
        <v>2694</v>
      </c>
      <c r="Q8" s="453" t="s">
        <v>2694</v>
      </c>
      <c r="R8" s="453" t="s">
        <v>2949</v>
      </c>
      <c r="S8" s="453" t="s">
        <v>2694</v>
      </c>
    </row>
    <row r="9">
      <c r="A9" s="453">
        <v>2024.0</v>
      </c>
      <c r="B9" s="453" t="s">
        <v>179</v>
      </c>
      <c r="C9" s="517">
        <v>45366.0</v>
      </c>
      <c r="D9" s="453" t="s">
        <v>82</v>
      </c>
      <c r="E9" s="453" t="s">
        <v>57</v>
      </c>
      <c r="F9" s="518" t="s">
        <v>2965</v>
      </c>
      <c r="G9" s="453" t="s">
        <v>82</v>
      </c>
      <c r="H9" s="453" t="s">
        <v>2966</v>
      </c>
      <c r="I9" s="519" t="s">
        <v>2967</v>
      </c>
      <c r="J9" s="510"/>
      <c r="K9" s="453" t="s">
        <v>2949</v>
      </c>
      <c r="L9" s="453" t="s">
        <v>2694</v>
      </c>
      <c r="M9" s="453" t="s">
        <v>2949</v>
      </c>
      <c r="N9" s="453" t="s">
        <v>2949</v>
      </c>
      <c r="O9" s="453" t="s">
        <v>2694</v>
      </c>
      <c r="P9" s="453" t="s">
        <v>2694</v>
      </c>
      <c r="Q9" s="453" t="s">
        <v>2694</v>
      </c>
      <c r="R9" s="453" t="s">
        <v>2949</v>
      </c>
      <c r="S9" s="453" t="s">
        <v>2694</v>
      </c>
    </row>
    <row r="10" ht="15.75" customHeight="1">
      <c r="A10" s="453">
        <v>2024.0</v>
      </c>
      <c r="B10" s="453" t="s">
        <v>179</v>
      </c>
      <c r="C10" s="511">
        <v>45308.0</v>
      </c>
      <c r="D10" s="453" t="s">
        <v>88</v>
      </c>
      <c r="E10" s="512" t="s">
        <v>57</v>
      </c>
      <c r="F10" s="512" t="s">
        <v>2968</v>
      </c>
      <c r="G10" s="453" t="s">
        <v>63</v>
      </c>
      <c r="H10" s="512" t="s">
        <v>2969</v>
      </c>
      <c r="I10" s="521" t="s">
        <v>2970</v>
      </c>
      <c r="J10" s="522"/>
      <c r="K10" s="523" t="s">
        <v>2949</v>
      </c>
      <c r="L10" s="523" t="s">
        <v>2949</v>
      </c>
      <c r="M10" s="453" t="s">
        <v>2949</v>
      </c>
      <c r="N10" s="453" t="s">
        <v>2949</v>
      </c>
      <c r="O10" s="453" t="s">
        <v>2694</v>
      </c>
      <c r="P10" s="453" t="s">
        <v>2694</v>
      </c>
      <c r="Q10" s="453" t="s">
        <v>2694</v>
      </c>
      <c r="R10" s="453" t="s">
        <v>2949</v>
      </c>
      <c r="S10" s="453" t="s">
        <v>2694</v>
      </c>
    </row>
    <row r="11" ht="42.0" customHeight="1">
      <c r="A11" s="453">
        <v>2024.0</v>
      </c>
      <c r="B11" s="453" t="s">
        <v>179</v>
      </c>
      <c r="C11" s="511">
        <v>45369.0</v>
      </c>
      <c r="D11" s="453" t="s">
        <v>124</v>
      </c>
      <c r="E11" s="524" t="s">
        <v>57</v>
      </c>
      <c r="F11" s="524" t="s">
        <v>2971</v>
      </c>
      <c r="G11" s="453" t="s">
        <v>63</v>
      </c>
      <c r="H11" s="433" t="s">
        <v>2972</v>
      </c>
      <c r="I11" s="510"/>
      <c r="J11" s="510"/>
      <c r="K11" s="453" t="s">
        <v>2949</v>
      </c>
      <c r="L11" s="453" t="s">
        <v>2694</v>
      </c>
      <c r="M11" s="453" t="s">
        <v>2694</v>
      </c>
      <c r="N11" s="453" t="s">
        <v>2694</v>
      </c>
      <c r="O11" s="453" t="s">
        <v>2694</v>
      </c>
      <c r="P11" s="453" t="s">
        <v>2694</v>
      </c>
      <c r="Q11" s="453" t="s">
        <v>2694</v>
      </c>
      <c r="R11" s="453" t="s">
        <v>2949</v>
      </c>
      <c r="S11" s="453" t="s">
        <v>2694</v>
      </c>
    </row>
    <row r="12" ht="26.25" customHeight="1">
      <c r="A12" s="453">
        <v>2024.0</v>
      </c>
      <c r="B12" s="453" t="s">
        <v>200</v>
      </c>
      <c r="C12" s="525">
        <v>45385.0</v>
      </c>
      <c r="D12" s="453" t="s">
        <v>259</v>
      </c>
      <c r="E12" s="524" t="s">
        <v>57</v>
      </c>
      <c r="F12" s="526" t="s">
        <v>2973</v>
      </c>
      <c r="G12" s="453" t="s">
        <v>63</v>
      </c>
      <c r="H12" s="526" t="s">
        <v>2973</v>
      </c>
      <c r="I12" s="510"/>
      <c r="J12" s="510"/>
      <c r="K12" s="453" t="s">
        <v>2949</v>
      </c>
      <c r="L12" s="453" t="s">
        <v>2694</v>
      </c>
      <c r="M12" s="453" t="s">
        <v>2694</v>
      </c>
      <c r="N12" s="453" t="s">
        <v>2694</v>
      </c>
      <c r="O12" s="453" t="s">
        <v>2694</v>
      </c>
      <c r="P12" s="453" t="s">
        <v>2694</v>
      </c>
      <c r="Q12" s="453" t="s">
        <v>2694</v>
      </c>
      <c r="R12" s="453" t="s">
        <v>2949</v>
      </c>
      <c r="S12" s="453" t="s">
        <v>2694</v>
      </c>
    </row>
    <row r="13">
      <c r="A13" s="453">
        <v>2024.0</v>
      </c>
      <c r="B13" s="453" t="s">
        <v>200</v>
      </c>
      <c r="C13" s="527">
        <v>45387.0</v>
      </c>
      <c r="D13" s="453" t="s">
        <v>259</v>
      </c>
      <c r="E13" s="453" t="s">
        <v>57</v>
      </c>
      <c r="F13" s="453" t="s">
        <v>2974</v>
      </c>
      <c r="G13" s="453" t="s">
        <v>63</v>
      </c>
      <c r="H13" s="453" t="s">
        <v>2975</v>
      </c>
      <c r="I13" s="519" t="s">
        <v>2976</v>
      </c>
      <c r="J13" s="510"/>
      <c r="K13" s="453" t="s">
        <v>2949</v>
      </c>
      <c r="L13" s="453" t="s">
        <v>2694</v>
      </c>
      <c r="M13" s="453" t="s">
        <v>2949</v>
      </c>
      <c r="N13" s="453" t="s">
        <v>2949</v>
      </c>
      <c r="O13" s="453" t="s">
        <v>2694</v>
      </c>
      <c r="P13" s="453" t="s">
        <v>2694</v>
      </c>
      <c r="Q13" s="453" t="s">
        <v>2694</v>
      </c>
      <c r="R13" s="453" t="s">
        <v>2694</v>
      </c>
      <c r="S13" s="453" t="s">
        <v>2694</v>
      </c>
    </row>
    <row r="14">
      <c r="A14" s="453">
        <v>2024.0</v>
      </c>
      <c r="B14" s="453" t="s">
        <v>200</v>
      </c>
      <c r="C14" s="528">
        <v>45387.0</v>
      </c>
      <c r="D14" s="453" t="s">
        <v>358</v>
      </c>
      <c r="E14" s="453" t="s">
        <v>57</v>
      </c>
      <c r="F14" s="453" t="s">
        <v>2977</v>
      </c>
      <c r="G14" s="453" t="s">
        <v>63</v>
      </c>
      <c r="H14" s="453" t="s">
        <v>2978</v>
      </c>
      <c r="I14" s="519" t="s">
        <v>2979</v>
      </c>
      <c r="J14" s="510"/>
      <c r="K14" s="453" t="s">
        <v>2949</v>
      </c>
      <c r="L14" s="453" t="s">
        <v>2694</v>
      </c>
      <c r="M14" s="453" t="s">
        <v>2949</v>
      </c>
      <c r="N14" s="453" t="s">
        <v>2949</v>
      </c>
      <c r="O14" s="453" t="s">
        <v>2694</v>
      </c>
      <c r="P14" s="453" t="s">
        <v>2694</v>
      </c>
      <c r="Q14" s="453" t="s">
        <v>2694</v>
      </c>
      <c r="R14" s="453" t="s">
        <v>2694</v>
      </c>
      <c r="S14" s="453" t="s">
        <v>2694</v>
      </c>
    </row>
    <row r="15">
      <c r="A15" s="453">
        <v>2024.0</v>
      </c>
      <c r="B15" s="453" t="s">
        <v>200</v>
      </c>
      <c r="C15" s="527">
        <v>45388.0</v>
      </c>
      <c r="D15" s="453" t="s">
        <v>1018</v>
      </c>
      <c r="E15" s="453" t="s">
        <v>57</v>
      </c>
      <c r="F15" s="453" t="s">
        <v>2980</v>
      </c>
      <c r="G15" s="453"/>
      <c r="H15" s="453" t="s">
        <v>2981</v>
      </c>
      <c r="I15" s="519" t="s">
        <v>2982</v>
      </c>
      <c r="J15" s="510"/>
      <c r="K15" s="453" t="s">
        <v>2949</v>
      </c>
      <c r="L15" s="453" t="s">
        <v>2694</v>
      </c>
      <c r="M15" s="453" t="s">
        <v>2949</v>
      </c>
      <c r="N15" s="453" t="s">
        <v>2949</v>
      </c>
      <c r="O15" s="453" t="s">
        <v>2694</v>
      </c>
      <c r="P15" s="453" t="s">
        <v>2694</v>
      </c>
      <c r="Q15" s="453" t="s">
        <v>2694</v>
      </c>
      <c r="R15" s="453" t="s">
        <v>2694</v>
      </c>
      <c r="S15" s="453" t="s">
        <v>2694</v>
      </c>
    </row>
    <row r="16">
      <c r="A16" s="453">
        <v>2024.0</v>
      </c>
      <c r="B16" s="453" t="s">
        <v>200</v>
      </c>
      <c r="C16" s="527">
        <v>45391.0</v>
      </c>
      <c r="D16" s="453" t="s">
        <v>82</v>
      </c>
      <c r="E16" s="453" t="s">
        <v>57</v>
      </c>
      <c r="F16" s="453" t="s">
        <v>2983</v>
      </c>
      <c r="G16" s="453" t="s">
        <v>82</v>
      </c>
      <c r="H16" s="453" t="s">
        <v>2984</v>
      </c>
      <c r="I16" s="520" t="s">
        <v>2985</v>
      </c>
      <c r="J16" s="510"/>
      <c r="K16" s="453" t="s">
        <v>2949</v>
      </c>
      <c r="L16" s="453" t="s">
        <v>2694</v>
      </c>
      <c r="M16" s="453" t="s">
        <v>2949</v>
      </c>
      <c r="N16" s="453" t="s">
        <v>2949</v>
      </c>
      <c r="O16" s="453" t="s">
        <v>2694</v>
      </c>
      <c r="P16" s="453" t="s">
        <v>2694</v>
      </c>
      <c r="Q16" s="453" t="s">
        <v>2694</v>
      </c>
      <c r="R16" s="453" t="s">
        <v>2694</v>
      </c>
      <c r="S16" s="453" t="s">
        <v>2694</v>
      </c>
    </row>
    <row r="17">
      <c r="A17" s="453">
        <v>2024.0</v>
      </c>
      <c r="B17" s="453" t="s">
        <v>200</v>
      </c>
      <c r="C17" s="527">
        <v>45391.0</v>
      </c>
      <c r="D17" s="453" t="s">
        <v>88</v>
      </c>
      <c r="E17" s="453" t="s">
        <v>57</v>
      </c>
      <c r="F17" s="453" t="s">
        <v>2986</v>
      </c>
      <c r="G17" s="453" t="s">
        <v>63</v>
      </c>
      <c r="H17" s="453" t="s">
        <v>2987</v>
      </c>
      <c r="I17" s="519" t="s">
        <v>2988</v>
      </c>
      <c r="J17" s="510"/>
      <c r="K17" s="453" t="s">
        <v>2949</v>
      </c>
      <c r="L17" s="453" t="s">
        <v>2694</v>
      </c>
      <c r="M17" s="453" t="s">
        <v>2949</v>
      </c>
      <c r="N17" s="453" t="s">
        <v>2949</v>
      </c>
      <c r="O17" s="453" t="s">
        <v>2694</v>
      </c>
      <c r="P17" s="453" t="s">
        <v>2694</v>
      </c>
      <c r="Q17" s="453" t="s">
        <v>2694</v>
      </c>
      <c r="R17" s="453" t="s">
        <v>2694</v>
      </c>
      <c r="S17" s="453" t="s">
        <v>2694</v>
      </c>
    </row>
    <row r="18">
      <c r="A18" s="453">
        <v>2024.0</v>
      </c>
      <c r="B18" s="453" t="s">
        <v>200</v>
      </c>
      <c r="C18" s="527">
        <v>45392.0</v>
      </c>
      <c r="D18" s="453" t="s">
        <v>259</v>
      </c>
      <c r="E18" s="453" t="s">
        <v>57</v>
      </c>
      <c r="F18" s="453" t="s">
        <v>2989</v>
      </c>
      <c r="G18" s="453" t="s">
        <v>63</v>
      </c>
      <c r="H18" s="453" t="s">
        <v>2975</v>
      </c>
      <c r="I18" s="519" t="s">
        <v>2990</v>
      </c>
      <c r="J18" s="510"/>
      <c r="K18" s="453" t="s">
        <v>2949</v>
      </c>
      <c r="L18" s="453" t="s">
        <v>2694</v>
      </c>
      <c r="M18" s="453" t="s">
        <v>2949</v>
      </c>
      <c r="N18" s="453" t="s">
        <v>2949</v>
      </c>
      <c r="O18" s="453" t="s">
        <v>2694</v>
      </c>
      <c r="P18" s="453" t="s">
        <v>2694</v>
      </c>
      <c r="Q18" s="453" t="s">
        <v>2694</v>
      </c>
      <c r="R18" s="453" t="s">
        <v>2694</v>
      </c>
      <c r="S18" s="453" t="s">
        <v>2694</v>
      </c>
    </row>
    <row r="19">
      <c r="A19" s="453">
        <v>2024.0</v>
      </c>
      <c r="B19" s="453" t="s">
        <v>200</v>
      </c>
      <c r="C19" s="527">
        <v>45393.0</v>
      </c>
      <c r="D19" s="453" t="s">
        <v>55</v>
      </c>
      <c r="E19" s="453" t="s">
        <v>57</v>
      </c>
      <c r="F19" s="453" t="s">
        <v>2991</v>
      </c>
      <c r="G19" s="453" t="s">
        <v>82</v>
      </c>
      <c r="H19" s="453" t="s">
        <v>2992</v>
      </c>
      <c r="I19" s="519" t="s">
        <v>2993</v>
      </c>
      <c r="J19" s="510"/>
      <c r="K19" s="453" t="s">
        <v>2949</v>
      </c>
      <c r="L19" s="453" t="s">
        <v>2694</v>
      </c>
      <c r="M19" s="453" t="s">
        <v>2949</v>
      </c>
      <c r="N19" s="453" t="s">
        <v>2949</v>
      </c>
      <c r="O19" s="453" t="s">
        <v>2694</v>
      </c>
      <c r="P19" s="453" t="s">
        <v>2694</v>
      </c>
      <c r="Q19" s="453" t="s">
        <v>2694</v>
      </c>
      <c r="R19" s="453" t="s">
        <v>2694</v>
      </c>
      <c r="S19" s="453" t="s">
        <v>2694</v>
      </c>
    </row>
    <row r="20">
      <c r="A20" s="453">
        <v>2024.0</v>
      </c>
      <c r="B20" s="453" t="s">
        <v>200</v>
      </c>
      <c r="C20" s="527">
        <v>45394.0</v>
      </c>
      <c r="D20" s="453" t="s">
        <v>82</v>
      </c>
      <c r="E20" s="453" t="s">
        <v>57</v>
      </c>
      <c r="F20" s="453" t="s">
        <v>2962</v>
      </c>
      <c r="G20" s="453" t="s">
        <v>82</v>
      </c>
      <c r="H20" s="453" t="s">
        <v>2994</v>
      </c>
      <c r="I20" s="519" t="s">
        <v>2995</v>
      </c>
      <c r="J20" s="510"/>
      <c r="K20" s="453" t="s">
        <v>2949</v>
      </c>
      <c r="L20" s="453" t="s">
        <v>2694</v>
      </c>
      <c r="M20" s="453" t="s">
        <v>2949</v>
      </c>
      <c r="N20" s="453" t="s">
        <v>2949</v>
      </c>
      <c r="O20" s="453" t="s">
        <v>2694</v>
      </c>
      <c r="P20" s="453" t="s">
        <v>2694</v>
      </c>
      <c r="Q20" s="453" t="s">
        <v>2694</v>
      </c>
      <c r="R20" s="453" t="s">
        <v>2694</v>
      </c>
      <c r="S20" s="453" t="s">
        <v>2694</v>
      </c>
    </row>
    <row r="21">
      <c r="A21" s="453">
        <v>2024.0</v>
      </c>
      <c r="B21" s="529" t="s">
        <v>200</v>
      </c>
      <c r="C21" s="524" t="s">
        <v>2996</v>
      </c>
      <c r="D21" s="453" t="s">
        <v>259</v>
      </c>
      <c r="E21" s="524" t="s">
        <v>57</v>
      </c>
      <c r="F21" s="524" t="s">
        <v>2997</v>
      </c>
      <c r="G21" s="453" t="s">
        <v>63</v>
      </c>
      <c r="H21" s="524" t="s">
        <v>2998</v>
      </c>
      <c r="I21" s="519" t="s">
        <v>2999</v>
      </c>
      <c r="J21" s="510"/>
      <c r="K21" s="453" t="s">
        <v>2949</v>
      </c>
      <c r="L21" s="453" t="s">
        <v>2694</v>
      </c>
      <c r="M21" s="453" t="s">
        <v>2949</v>
      </c>
      <c r="N21" s="453" t="s">
        <v>2949</v>
      </c>
      <c r="O21" s="453" t="s">
        <v>2694</v>
      </c>
      <c r="P21" s="453" t="s">
        <v>2694</v>
      </c>
      <c r="Q21" s="453" t="s">
        <v>2694</v>
      </c>
      <c r="R21" s="453" t="s">
        <v>2694</v>
      </c>
      <c r="S21" s="453" t="s">
        <v>2694</v>
      </c>
    </row>
    <row r="22">
      <c r="A22" s="453">
        <v>2024.0</v>
      </c>
      <c r="B22" s="453" t="s">
        <v>200</v>
      </c>
      <c r="C22" s="527">
        <v>45398.0</v>
      </c>
      <c r="D22" s="453" t="s">
        <v>88</v>
      </c>
      <c r="E22" s="453" t="s">
        <v>57</v>
      </c>
      <c r="F22" s="453" t="s">
        <v>3000</v>
      </c>
      <c r="G22" s="453" t="s">
        <v>63</v>
      </c>
      <c r="H22" s="453" t="s">
        <v>3001</v>
      </c>
      <c r="I22" s="520" t="s">
        <v>3002</v>
      </c>
      <c r="J22" s="510"/>
      <c r="K22" s="453" t="s">
        <v>2949</v>
      </c>
      <c r="L22" s="453" t="s">
        <v>2694</v>
      </c>
      <c r="M22" s="453" t="s">
        <v>2949</v>
      </c>
      <c r="N22" s="453" t="s">
        <v>2949</v>
      </c>
      <c r="O22" s="453" t="s">
        <v>2694</v>
      </c>
      <c r="P22" s="453" t="s">
        <v>2694</v>
      </c>
      <c r="Q22" s="453" t="s">
        <v>2694</v>
      </c>
      <c r="R22" s="453" t="s">
        <v>2694</v>
      </c>
      <c r="S22" s="453" t="s">
        <v>2694</v>
      </c>
    </row>
    <row r="23">
      <c r="A23" s="453">
        <v>2024.0</v>
      </c>
      <c r="B23" s="453" t="s">
        <v>200</v>
      </c>
      <c r="C23" s="527">
        <v>45399.0</v>
      </c>
      <c r="D23" s="453" t="s">
        <v>2885</v>
      </c>
      <c r="E23" s="453" t="s">
        <v>57</v>
      </c>
      <c r="F23" s="453" t="s">
        <v>3003</v>
      </c>
      <c r="G23" s="453" t="s">
        <v>1122</v>
      </c>
      <c r="H23" s="453" t="s">
        <v>3004</v>
      </c>
      <c r="I23" s="520" t="s">
        <v>3005</v>
      </c>
      <c r="J23" s="510"/>
      <c r="K23" s="453" t="s">
        <v>2949</v>
      </c>
      <c r="L23" s="453" t="s">
        <v>2694</v>
      </c>
      <c r="M23" s="453" t="s">
        <v>2949</v>
      </c>
      <c r="N23" s="453" t="s">
        <v>2949</v>
      </c>
      <c r="O23" s="453" t="s">
        <v>2694</v>
      </c>
      <c r="P23" s="453" t="s">
        <v>2694</v>
      </c>
      <c r="Q23" s="453" t="s">
        <v>2694</v>
      </c>
      <c r="R23" s="453" t="s">
        <v>2694</v>
      </c>
      <c r="S23" s="453" t="s">
        <v>2694</v>
      </c>
    </row>
    <row r="24">
      <c r="A24" s="453">
        <v>2024.0</v>
      </c>
      <c r="B24" s="453" t="s">
        <v>200</v>
      </c>
      <c r="C24" s="527">
        <v>45404.0</v>
      </c>
      <c r="D24" s="453" t="s">
        <v>55</v>
      </c>
      <c r="E24" s="453" t="s">
        <v>57</v>
      </c>
      <c r="F24" s="453" t="s">
        <v>3006</v>
      </c>
      <c r="G24" s="453" t="s">
        <v>63</v>
      </c>
      <c r="H24" s="453" t="s">
        <v>3007</v>
      </c>
      <c r="I24" s="519" t="s">
        <v>3008</v>
      </c>
      <c r="J24" s="510"/>
      <c r="K24" s="453" t="s">
        <v>2949</v>
      </c>
      <c r="L24" s="453" t="s">
        <v>2694</v>
      </c>
      <c r="M24" s="453" t="s">
        <v>2949</v>
      </c>
      <c r="N24" s="453" t="s">
        <v>2949</v>
      </c>
      <c r="O24" s="453" t="s">
        <v>2694</v>
      </c>
      <c r="P24" s="453" t="s">
        <v>2694</v>
      </c>
      <c r="Q24" s="453" t="s">
        <v>2694</v>
      </c>
      <c r="R24" s="453" t="s">
        <v>2694</v>
      </c>
      <c r="S24" s="453" t="s">
        <v>2694</v>
      </c>
    </row>
    <row r="25">
      <c r="A25" s="453">
        <v>2024.0</v>
      </c>
      <c r="B25" s="453" t="s">
        <v>200</v>
      </c>
      <c r="C25" s="527">
        <v>45406.0</v>
      </c>
      <c r="D25" s="453" t="s">
        <v>72</v>
      </c>
      <c r="E25" s="453" t="s">
        <v>57</v>
      </c>
      <c r="F25" s="453" t="s">
        <v>3009</v>
      </c>
      <c r="G25" s="453" t="s">
        <v>63</v>
      </c>
      <c r="H25" s="453" t="s">
        <v>2987</v>
      </c>
      <c r="I25" s="519" t="s">
        <v>3010</v>
      </c>
      <c r="J25" s="510"/>
      <c r="K25" s="453" t="s">
        <v>2949</v>
      </c>
      <c r="L25" s="453" t="s">
        <v>2694</v>
      </c>
      <c r="M25" s="453" t="s">
        <v>2949</v>
      </c>
      <c r="N25" s="453" t="s">
        <v>2949</v>
      </c>
      <c r="O25" s="453" t="s">
        <v>2694</v>
      </c>
      <c r="P25" s="453" t="s">
        <v>2694</v>
      </c>
      <c r="Q25" s="453" t="s">
        <v>2694</v>
      </c>
      <c r="R25" s="453" t="s">
        <v>2694</v>
      </c>
      <c r="S25" s="453" t="s">
        <v>2694</v>
      </c>
    </row>
    <row r="26">
      <c r="A26" s="453">
        <v>2024.0</v>
      </c>
      <c r="B26" s="453" t="s">
        <v>200</v>
      </c>
      <c r="C26" s="527">
        <v>45409.0</v>
      </c>
      <c r="D26" s="453" t="s">
        <v>128</v>
      </c>
      <c r="E26" s="453" t="s">
        <v>57</v>
      </c>
      <c r="F26" s="453" t="s">
        <v>3011</v>
      </c>
      <c r="G26" s="453" t="s">
        <v>63</v>
      </c>
      <c r="H26" s="453" t="s">
        <v>3012</v>
      </c>
      <c r="I26" s="519" t="s">
        <v>3013</v>
      </c>
      <c r="J26" s="510"/>
      <c r="K26" s="453" t="s">
        <v>2949</v>
      </c>
      <c r="L26" s="453" t="s">
        <v>2694</v>
      </c>
      <c r="M26" s="453" t="s">
        <v>2949</v>
      </c>
      <c r="N26" s="453" t="s">
        <v>2949</v>
      </c>
      <c r="O26" s="453" t="s">
        <v>2694</v>
      </c>
      <c r="P26" s="453" t="s">
        <v>2694</v>
      </c>
      <c r="Q26" s="453" t="s">
        <v>2694</v>
      </c>
      <c r="R26" s="453" t="s">
        <v>2694</v>
      </c>
      <c r="S26" s="453" t="s">
        <v>2694</v>
      </c>
    </row>
    <row r="27">
      <c r="A27" s="453">
        <v>2024.0</v>
      </c>
      <c r="B27" s="453" t="s">
        <v>200</v>
      </c>
      <c r="C27" s="527">
        <v>45411.0</v>
      </c>
      <c r="D27" s="453" t="s">
        <v>82</v>
      </c>
      <c r="E27" s="453" t="s">
        <v>57</v>
      </c>
      <c r="F27" s="453" t="s">
        <v>3014</v>
      </c>
      <c r="G27" s="453" t="s">
        <v>82</v>
      </c>
      <c r="H27" s="453" t="s">
        <v>3015</v>
      </c>
      <c r="I27" s="520" t="s">
        <v>3016</v>
      </c>
      <c r="J27" s="510"/>
      <c r="K27" s="453" t="s">
        <v>2949</v>
      </c>
      <c r="L27" s="453" t="s">
        <v>2694</v>
      </c>
      <c r="M27" s="453" t="s">
        <v>2949</v>
      </c>
      <c r="N27" s="453" t="s">
        <v>2949</v>
      </c>
      <c r="O27" s="453" t="s">
        <v>2694</v>
      </c>
      <c r="P27" s="453" t="s">
        <v>2694</v>
      </c>
      <c r="Q27" s="453" t="s">
        <v>2694</v>
      </c>
      <c r="R27" s="453" t="s">
        <v>2694</v>
      </c>
      <c r="S27" s="453" t="s">
        <v>2694</v>
      </c>
    </row>
    <row r="28">
      <c r="A28" s="453">
        <v>2024.0</v>
      </c>
      <c r="B28" s="453" t="s">
        <v>480</v>
      </c>
      <c r="C28" s="517">
        <v>45448.0</v>
      </c>
      <c r="D28" s="453" t="s">
        <v>82</v>
      </c>
      <c r="E28" s="453" t="s">
        <v>57</v>
      </c>
      <c r="F28" s="453" t="s">
        <v>3017</v>
      </c>
      <c r="G28" s="453" t="s">
        <v>82</v>
      </c>
      <c r="H28" s="453" t="s">
        <v>82</v>
      </c>
      <c r="I28" s="519" t="s">
        <v>3018</v>
      </c>
      <c r="J28" s="510"/>
      <c r="K28" s="453" t="s">
        <v>2949</v>
      </c>
      <c r="L28" s="453" t="s">
        <v>2694</v>
      </c>
      <c r="M28" s="453" t="s">
        <v>2949</v>
      </c>
      <c r="N28" s="453" t="s">
        <v>2949</v>
      </c>
      <c r="O28" s="453" t="s">
        <v>2694</v>
      </c>
      <c r="P28" s="453" t="s">
        <v>2694</v>
      </c>
      <c r="Q28" s="453" t="s">
        <v>2694</v>
      </c>
      <c r="R28" s="453" t="s">
        <v>2694</v>
      </c>
      <c r="S28" s="453" t="s">
        <v>2694</v>
      </c>
    </row>
    <row r="29">
      <c r="A29" s="453">
        <v>2024.0</v>
      </c>
      <c r="B29" s="453" t="s">
        <v>312</v>
      </c>
      <c r="C29" s="527">
        <v>45416.0</v>
      </c>
      <c r="D29" s="453" t="s">
        <v>1018</v>
      </c>
      <c r="E29" s="453" t="s">
        <v>57</v>
      </c>
      <c r="F29" s="453" t="s">
        <v>3019</v>
      </c>
      <c r="G29" s="453" t="s">
        <v>63</v>
      </c>
      <c r="H29" s="453" t="s">
        <v>3020</v>
      </c>
      <c r="I29" s="519" t="s">
        <v>3021</v>
      </c>
      <c r="J29" s="510"/>
      <c r="K29" s="453" t="s">
        <v>2949</v>
      </c>
      <c r="L29" s="453" t="s">
        <v>2694</v>
      </c>
      <c r="M29" s="453" t="s">
        <v>2949</v>
      </c>
      <c r="N29" s="453" t="s">
        <v>2949</v>
      </c>
      <c r="O29" s="453" t="s">
        <v>2694</v>
      </c>
      <c r="P29" s="453" t="s">
        <v>2694</v>
      </c>
      <c r="Q29" s="453" t="s">
        <v>2694</v>
      </c>
      <c r="R29" s="453" t="s">
        <v>2694</v>
      </c>
      <c r="S29" s="453" t="s">
        <v>2694</v>
      </c>
    </row>
    <row r="30">
      <c r="A30" s="453">
        <v>2024.0</v>
      </c>
      <c r="B30" s="453" t="s">
        <v>312</v>
      </c>
      <c r="C30" s="527">
        <v>45420.0</v>
      </c>
      <c r="D30" s="453" t="s">
        <v>82</v>
      </c>
      <c r="E30" s="453" t="s">
        <v>57</v>
      </c>
      <c r="F30" s="453" t="s">
        <v>3022</v>
      </c>
      <c r="G30" s="453" t="s">
        <v>82</v>
      </c>
      <c r="H30" s="453" t="s">
        <v>3023</v>
      </c>
      <c r="I30" s="519" t="s">
        <v>3024</v>
      </c>
      <c r="J30" s="510"/>
      <c r="K30" s="453" t="s">
        <v>2949</v>
      </c>
      <c r="L30" s="453" t="s">
        <v>2694</v>
      </c>
      <c r="M30" s="453" t="s">
        <v>2949</v>
      </c>
      <c r="N30" s="453" t="s">
        <v>2949</v>
      </c>
      <c r="O30" s="453" t="s">
        <v>2694</v>
      </c>
      <c r="P30" s="453" t="s">
        <v>2694</v>
      </c>
      <c r="Q30" s="453" t="s">
        <v>2694</v>
      </c>
      <c r="R30" s="453" t="s">
        <v>2694</v>
      </c>
      <c r="S30" s="453" t="s">
        <v>2694</v>
      </c>
    </row>
    <row r="31">
      <c r="A31" s="453">
        <v>2024.0</v>
      </c>
      <c r="B31" s="453" t="s">
        <v>312</v>
      </c>
      <c r="C31" s="517">
        <v>45428.0</v>
      </c>
      <c r="D31" s="453" t="s">
        <v>88</v>
      </c>
      <c r="E31" s="453" t="s">
        <v>57</v>
      </c>
      <c r="F31" s="453" t="s">
        <v>3025</v>
      </c>
      <c r="G31" s="453" t="s">
        <v>63</v>
      </c>
      <c r="H31" s="453" t="s">
        <v>3026</v>
      </c>
      <c r="I31" s="519" t="s">
        <v>3027</v>
      </c>
      <c r="J31" s="510"/>
      <c r="K31" s="453" t="s">
        <v>2949</v>
      </c>
      <c r="L31" s="453" t="s">
        <v>2694</v>
      </c>
      <c r="M31" s="453" t="s">
        <v>2949</v>
      </c>
      <c r="N31" s="453" t="s">
        <v>2949</v>
      </c>
      <c r="O31" s="453" t="s">
        <v>2694</v>
      </c>
      <c r="P31" s="453" t="s">
        <v>2694</v>
      </c>
      <c r="Q31" s="453" t="s">
        <v>2694</v>
      </c>
      <c r="R31" s="453" t="s">
        <v>2694</v>
      </c>
      <c r="S31" s="453" t="s">
        <v>2694</v>
      </c>
    </row>
    <row r="32">
      <c r="A32" s="453">
        <v>2024.0</v>
      </c>
      <c r="B32" s="453" t="s">
        <v>312</v>
      </c>
      <c r="C32" s="517">
        <v>45431.0</v>
      </c>
      <c r="D32" s="453" t="s">
        <v>259</v>
      </c>
      <c r="E32" s="453" t="s">
        <v>57</v>
      </c>
      <c r="F32" s="453" t="s">
        <v>3028</v>
      </c>
      <c r="G32" s="453" t="s">
        <v>63</v>
      </c>
      <c r="H32" s="453" t="s">
        <v>3029</v>
      </c>
      <c r="I32" s="519" t="s">
        <v>3030</v>
      </c>
      <c r="J32" s="510"/>
      <c r="K32" s="453" t="s">
        <v>2949</v>
      </c>
      <c r="L32" s="453" t="s">
        <v>2694</v>
      </c>
      <c r="M32" s="453" t="s">
        <v>2949</v>
      </c>
      <c r="N32" s="453" t="s">
        <v>2949</v>
      </c>
      <c r="O32" s="453" t="s">
        <v>2694</v>
      </c>
      <c r="P32" s="453" t="s">
        <v>2694</v>
      </c>
      <c r="Q32" s="453" t="s">
        <v>2694</v>
      </c>
      <c r="R32" s="453" t="s">
        <v>2694</v>
      </c>
      <c r="S32" s="453" t="s">
        <v>2694</v>
      </c>
    </row>
    <row r="33">
      <c r="A33" s="453">
        <v>2024.0</v>
      </c>
      <c r="B33" s="453" t="s">
        <v>312</v>
      </c>
      <c r="C33" s="517">
        <v>45432.0</v>
      </c>
      <c r="D33" s="453" t="s">
        <v>82</v>
      </c>
      <c r="E33" s="453" t="s">
        <v>57</v>
      </c>
      <c r="F33" s="453" t="s">
        <v>3031</v>
      </c>
      <c r="G33" s="453" t="s">
        <v>82</v>
      </c>
      <c r="H33" s="453" t="s">
        <v>3032</v>
      </c>
      <c r="I33" s="519" t="s">
        <v>3033</v>
      </c>
      <c r="J33" s="510"/>
      <c r="K33" s="453" t="s">
        <v>2949</v>
      </c>
      <c r="L33" s="453" t="s">
        <v>2694</v>
      </c>
      <c r="M33" s="453" t="s">
        <v>2949</v>
      </c>
      <c r="N33" s="453" t="s">
        <v>2949</v>
      </c>
      <c r="O33" s="453" t="s">
        <v>2694</v>
      </c>
      <c r="P33" s="453" t="s">
        <v>2694</v>
      </c>
      <c r="Q33" s="453" t="s">
        <v>2694</v>
      </c>
      <c r="R33" s="453" t="s">
        <v>2694</v>
      </c>
      <c r="S33" s="453" t="s">
        <v>2694</v>
      </c>
    </row>
    <row r="34">
      <c r="A34" s="453">
        <v>2024.0</v>
      </c>
      <c r="B34" s="453" t="s">
        <v>312</v>
      </c>
      <c r="C34" s="517">
        <v>45437.0</v>
      </c>
      <c r="D34" s="453" t="s">
        <v>82</v>
      </c>
      <c r="E34" s="453" t="s">
        <v>57</v>
      </c>
      <c r="F34" s="453" t="s">
        <v>3034</v>
      </c>
      <c r="G34" s="453" t="s">
        <v>82</v>
      </c>
      <c r="H34" s="453" t="s">
        <v>3035</v>
      </c>
      <c r="I34" s="520" t="s">
        <v>3036</v>
      </c>
      <c r="J34" s="510"/>
      <c r="K34" s="453" t="s">
        <v>2949</v>
      </c>
      <c r="L34" s="453" t="s">
        <v>2694</v>
      </c>
      <c r="M34" s="453" t="s">
        <v>2949</v>
      </c>
      <c r="N34" s="453" t="s">
        <v>2949</v>
      </c>
      <c r="O34" s="453" t="s">
        <v>2694</v>
      </c>
      <c r="P34" s="453" t="s">
        <v>2694</v>
      </c>
      <c r="Q34" s="453" t="s">
        <v>2694</v>
      </c>
      <c r="R34" s="453" t="s">
        <v>2694</v>
      </c>
      <c r="S34" s="453" t="s">
        <v>2694</v>
      </c>
    </row>
    <row r="35">
      <c r="A35" s="453">
        <v>2024.0</v>
      </c>
      <c r="B35" s="453" t="s">
        <v>312</v>
      </c>
      <c r="C35" s="517">
        <v>45440.0</v>
      </c>
      <c r="D35" s="453" t="s">
        <v>128</v>
      </c>
      <c r="E35" s="453" t="s">
        <v>57</v>
      </c>
      <c r="F35" s="453" t="s">
        <v>3037</v>
      </c>
      <c r="G35" s="453" t="s">
        <v>63</v>
      </c>
      <c r="H35" s="453" t="s">
        <v>3038</v>
      </c>
      <c r="I35" s="519" t="s">
        <v>3039</v>
      </c>
      <c r="J35" s="510"/>
      <c r="K35" s="453" t="s">
        <v>2949</v>
      </c>
      <c r="L35" s="453" t="s">
        <v>2694</v>
      </c>
      <c r="M35" s="453" t="s">
        <v>2949</v>
      </c>
      <c r="N35" s="453" t="s">
        <v>2949</v>
      </c>
      <c r="O35" s="453" t="s">
        <v>2694</v>
      </c>
      <c r="P35" s="453" t="s">
        <v>2694</v>
      </c>
      <c r="Q35" s="453" t="s">
        <v>2694</v>
      </c>
      <c r="R35" s="453" t="s">
        <v>2694</v>
      </c>
      <c r="S35" s="453" t="s">
        <v>2694</v>
      </c>
    </row>
    <row r="36">
      <c r="A36" s="453">
        <v>2024.0</v>
      </c>
      <c r="B36" s="453" t="s">
        <v>425</v>
      </c>
      <c r="C36" s="527">
        <v>45456.0</v>
      </c>
      <c r="D36" s="453" t="s">
        <v>259</v>
      </c>
      <c r="E36" s="453" t="s">
        <v>57</v>
      </c>
      <c r="F36" s="453" t="s">
        <v>3040</v>
      </c>
      <c r="G36" s="453" t="s">
        <v>63</v>
      </c>
      <c r="H36" s="453" t="s">
        <v>2974</v>
      </c>
      <c r="I36" s="519" t="s">
        <v>3041</v>
      </c>
      <c r="J36" s="510"/>
      <c r="K36" s="453" t="s">
        <v>2949</v>
      </c>
      <c r="L36" s="453" t="s">
        <v>2694</v>
      </c>
      <c r="M36" s="453" t="s">
        <v>2949</v>
      </c>
      <c r="N36" s="453" t="s">
        <v>2949</v>
      </c>
      <c r="O36" s="453" t="s">
        <v>2694</v>
      </c>
      <c r="P36" s="453" t="s">
        <v>2694</v>
      </c>
      <c r="Q36" s="453" t="s">
        <v>2694</v>
      </c>
      <c r="R36" s="453" t="s">
        <v>2694</v>
      </c>
      <c r="S36" s="453" t="s">
        <v>2694</v>
      </c>
    </row>
    <row r="37">
      <c r="A37" s="453">
        <v>2024.0</v>
      </c>
      <c r="B37" s="453" t="s">
        <v>425</v>
      </c>
      <c r="C37" s="527">
        <v>45465.0</v>
      </c>
      <c r="D37" s="453" t="s">
        <v>55</v>
      </c>
      <c r="E37" s="453" t="s">
        <v>57</v>
      </c>
      <c r="F37" s="453" t="s">
        <v>3042</v>
      </c>
      <c r="G37" s="453" t="s">
        <v>63</v>
      </c>
      <c r="H37" s="453" t="s">
        <v>3043</v>
      </c>
      <c r="I37" s="519" t="s">
        <v>3044</v>
      </c>
      <c r="J37" s="510"/>
      <c r="K37" s="453" t="s">
        <v>2949</v>
      </c>
      <c r="L37" s="453" t="s">
        <v>2694</v>
      </c>
      <c r="M37" s="453" t="s">
        <v>2949</v>
      </c>
      <c r="N37" s="453" t="s">
        <v>2949</v>
      </c>
      <c r="O37" s="453" t="s">
        <v>2694</v>
      </c>
      <c r="P37" s="453" t="s">
        <v>2694</v>
      </c>
      <c r="Q37" s="453" t="s">
        <v>2694</v>
      </c>
      <c r="R37" s="453" t="s">
        <v>2694</v>
      </c>
      <c r="S37" s="453" t="s">
        <v>2694</v>
      </c>
    </row>
    <row r="38">
      <c r="A38" s="453">
        <v>2024.0</v>
      </c>
      <c r="B38" s="453" t="s">
        <v>425</v>
      </c>
      <c r="C38" s="527">
        <v>45467.0</v>
      </c>
      <c r="D38" s="453" t="s">
        <v>55</v>
      </c>
      <c r="E38" s="453" t="s">
        <v>57</v>
      </c>
      <c r="F38" s="453" t="s">
        <v>3045</v>
      </c>
      <c r="G38" s="453" t="s">
        <v>63</v>
      </c>
      <c r="H38" s="453" t="s">
        <v>3046</v>
      </c>
      <c r="I38" s="519" t="s">
        <v>3047</v>
      </c>
      <c r="J38" s="510"/>
      <c r="K38" s="453" t="s">
        <v>2949</v>
      </c>
      <c r="L38" s="453" t="s">
        <v>2694</v>
      </c>
      <c r="M38" s="453" t="s">
        <v>2949</v>
      </c>
      <c r="N38" s="453" t="s">
        <v>2949</v>
      </c>
      <c r="O38" s="453" t="s">
        <v>2694</v>
      </c>
      <c r="P38" s="453" t="s">
        <v>2694</v>
      </c>
      <c r="Q38" s="453" t="s">
        <v>2694</v>
      </c>
      <c r="R38" s="453" t="s">
        <v>2694</v>
      </c>
      <c r="S38" s="453" t="s">
        <v>2694</v>
      </c>
    </row>
    <row r="39">
      <c r="A39" s="453">
        <v>2024.0</v>
      </c>
      <c r="B39" s="453" t="s">
        <v>425</v>
      </c>
      <c r="C39" s="527">
        <v>45468.0</v>
      </c>
      <c r="D39" s="453" t="s">
        <v>82</v>
      </c>
      <c r="E39" s="453" t="s">
        <v>57</v>
      </c>
      <c r="F39" s="453" t="s">
        <v>3048</v>
      </c>
      <c r="G39" s="453" t="s">
        <v>82</v>
      </c>
      <c r="H39" s="453" t="s">
        <v>3049</v>
      </c>
      <c r="I39" s="519" t="s">
        <v>3050</v>
      </c>
      <c r="J39" s="510"/>
      <c r="K39" s="453" t="s">
        <v>2949</v>
      </c>
      <c r="L39" s="453" t="s">
        <v>2694</v>
      </c>
      <c r="M39" s="453" t="s">
        <v>2949</v>
      </c>
      <c r="N39" s="453" t="s">
        <v>2949</v>
      </c>
      <c r="O39" s="453" t="s">
        <v>2694</v>
      </c>
      <c r="P39" s="453" t="s">
        <v>2694</v>
      </c>
      <c r="Q39" s="453" t="s">
        <v>2694</v>
      </c>
      <c r="R39" s="453" t="s">
        <v>2694</v>
      </c>
      <c r="S39" s="453" t="s">
        <v>2694</v>
      </c>
    </row>
    <row r="40">
      <c r="A40" s="453">
        <v>2024.0</v>
      </c>
      <c r="B40" s="453" t="s">
        <v>480</v>
      </c>
      <c r="C40" s="527">
        <v>45504.0</v>
      </c>
      <c r="D40" s="453" t="s">
        <v>82</v>
      </c>
      <c r="E40" s="453" t="s">
        <v>57</v>
      </c>
      <c r="F40" s="453" t="s">
        <v>3051</v>
      </c>
      <c r="G40" s="453" t="s">
        <v>82</v>
      </c>
      <c r="H40" s="453" t="s">
        <v>3052</v>
      </c>
      <c r="I40" s="519" t="s">
        <v>3053</v>
      </c>
      <c r="J40" s="510"/>
      <c r="K40" s="453" t="s">
        <v>2949</v>
      </c>
      <c r="L40" s="453" t="s">
        <v>2694</v>
      </c>
      <c r="M40" s="453" t="s">
        <v>2949</v>
      </c>
      <c r="N40" s="453" t="s">
        <v>2949</v>
      </c>
      <c r="O40" s="453" t="s">
        <v>2694</v>
      </c>
      <c r="P40" s="453" t="s">
        <v>2694</v>
      </c>
      <c r="Q40" s="453" t="s">
        <v>2694</v>
      </c>
      <c r="R40" s="453" t="s">
        <v>2694</v>
      </c>
      <c r="S40" s="453" t="s">
        <v>2694</v>
      </c>
    </row>
    <row r="41">
      <c r="A41" s="453">
        <v>2024.0</v>
      </c>
      <c r="B41" s="453" t="s">
        <v>480</v>
      </c>
      <c r="C41" s="527">
        <v>45503.0</v>
      </c>
      <c r="D41" s="453" t="s">
        <v>2720</v>
      </c>
      <c r="E41" s="453" t="s">
        <v>57</v>
      </c>
      <c r="F41" s="453" t="s">
        <v>3054</v>
      </c>
      <c r="G41" s="453" t="s">
        <v>63</v>
      </c>
      <c r="H41" s="453" t="s">
        <v>3055</v>
      </c>
      <c r="I41" s="519" t="s">
        <v>3056</v>
      </c>
      <c r="J41" s="510"/>
      <c r="K41" s="453" t="s">
        <v>2949</v>
      </c>
      <c r="L41" s="453" t="s">
        <v>2694</v>
      </c>
      <c r="M41" s="453" t="s">
        <v>2949</v>
      </c>
      <c r="N41" s="453" t="s">
        <v>2949</v>
      </c>
      <c r="O41" s="453" t="s">
        <v>2694</v>
      </c>
      <c r="P41" s="453" t="s">
        <v>2694</v>
      </c>
      <c r="Q41" s="453" t="s">
        <v>2694</v>
      </c>
      <c r="R41" s="453" t="s">
        <v>2694</v>
      </c>
      <c r="S41" s="453" t="s">
        <v>2694</v>
      </c>
    </row>
    <row r="42">
      <c r="A42" s="453">
        <v>2024.0</v>
      </c>
      <c r="B42" s="453" t="s">
        <v>480</v>
      </c>
      <c r="C42" s="517">
        <v>45496.0</v>
      </c>
      <c r="D42" s="453" t="s">
        <v>259</v>
      </c>
      <c r="E42" s="453" t="s">
        <v>57</v>
      </c>
      <c r="F42" s="453" t="s">
        <v>3057</v>
      </c>
      <c r="G42" s="453" t="s">
        <v>63</v>
      </c>
      <c r="H42" s="453" t="s">
        <v>3058</v>
      </c>
      <c r="I42" s="519" t="s">
        <v>3059</v>
      </c>
      <c r="J42" s="510"/>
      <c r="K42" s="453" t="s">
        <v>2949</v>
      </c>
      <c r="L42" s="453" t="s">
        <v>2694</v>
      </c>
      <c r="M42" s="453" t="s">
        <v>2949</v>
      </c>
      <c r="N42" s="453" t="s">
        <v>2949</v>
      </c>
      <c r="O42" s="453" t="s">
        <v>2694</v>
      </c>
      <c r="P42" s="453" t="s">
        <v>2694</v>
      </c>
      <c r="Q42" s="453" t="s">
        <v>2694</v>
      </c>
      <c r="R42" s="453" t="s">
        <v>2694</v>
      </c>
      <c r="S42" s="453" t="s">
        <v>2694</v>
      </c>
    </row>
    <row r="43">
      <c r="A43" s="453">
        <v>2024.0</v>
      </c>
      <c r="B43" s="453" t="s">
        <v>480</v>
      </c>
      <c r="C43" s="517">
        <v>45495.0</v>
      </c>
      <c r="D43" s="453" t="s">
        <v>82</v>
      </c>
      <c r="E43" s="453" t="s">
        <v>57</v>
      </c>
      <c r="F43" s="453" t="s">
        <v>2983</v>
      </c>
      <c r="G43" s="453" t="s">
        <v>82</v>
      </c>
      <c r="H43" s="453" t="s">
        <v>3060</v>
      </c>
      <c r="I43" s="519" t="s">
        <v>3061</v>
      </c>
      <c r="J43" s="510"/>
      <c r="K43" s="453" t="s">
        <v>2949</v>
      </c>
      <c r="L43" s="453" t="s">
        <v>2694</v>
      </c>
      <c r="M43" s="453" t="s">
        <v>2949</v>
      </c>
      <c r="N43" s="453" t="s">
        <v>2949</v>
      </c>
      <c r="O43" s="453" t="s">
        <v>2694</v>
      </c>
      <c r="P43" s="453" t="s">
        <v>2694</v>
      </c>
      <c r="Q43" s="453" t="s">
        <v>2694</v>
      </c>
      <c r="R43" s="453" t="s">
        <v>2694</v>
      </c>
      <c r="S43" s="453" t="s">
        <v>2694</v>
      </c>
    </row>
    <row r="44">
      <c r="A44" s="453">
        <v>2024.0</v>
      </c>
      <c r="B44" s="453" t="s">
        <v>480</v>
      </c>
      <c r="C44" s="517">
        <v>45486.0</v>
      </c>
      <c r="D44" s="453" t="s">
        <v>72</v>
      </c>
      <c r="E44" s="453" t="s">
        <v>57</v>
      </c>
      <c r="F44" s="453" t="s">
        <v>132</v>
      </c>
      <c r="G44" s="453" t="s">
        <v>63</v>
      </c>
      <c r="H44" s="453" t="s">
        <v>2962</v>
      </c>
      <c r="I44" s="519" t="s">
        <v>3062</v>
      </c>
      <c r="J44" s="510"/>
      <c r="K44" s="453" t="s">
        <v>2949</v>
      </c>
      <c r="L44" s="453" t="s">
        <v>2694</v>
      </c>
      <c r="M44" s="453" t="s">
        <v>2949</v>
      </c>
      <c r="N44" s="453" t="s">
        <v>2949</v>
      </c>
      <c r="O44" s="453" t="s">
        <v>2694</v>
      </c>
      <c r="P44" s="453" t="s">
        <v>2694</v>
      </c>
      <c r="Q44" s="453" t="s">
        <v>2694</v>
      </c>
      <c r="R44" s="453" t="s">
        <v>2694</v>
      </c>
      <c r="S44" s="453" t="s">
        <v>2694</v>
      </c>
    </row>
    <row r="45">
      <c r="A45" s="453">
        <v>2024.0</v>
      </c>
      <c r="B45" s="453" t="s">
        <v>480</v>
      </c>
      <c r="C45" s="517">
        <v>45483.0</v>
      </c>
      <c r="D45" s="453" t="s">
        <v>88</v>
      </c>
      <c r="E45" s="453" t="s">
        <v>57</v>
      </c>
      <c r="F45" s="453" t="s">
        <v>3063</v>
      </c>
      <c r="G45" s="453" t="s">
        <v>63</v>
      </c>
      <c r="H45" s="453" t="s">
        <v>3026</v>
      </c>
      <c r="I45" s="519" t="s">
        <v>3064</v>
      </c>
      <c r="J45" s="510"/>
      <c r="K45" s="453" t="s">
        <v>2949</v>
      </c>
      <c r="L45" s="453" t="s">
        <v>2694</v>
      </c>
      <c r="M45" s="453" t="s">
        <v>2949</v>
      </c>
      <c r="N45" s="453" t="s">
        <v>2949</v>
      </c>
      <c r="O45" s="453" t="s">
        <v>2694</v>
      </c>
      <c r="P45" s="453" t="s">
        <v>2694</v>
      </c>
      <c r="Q45" s="453" t="s">
        <v>2694</v>
      </c>
      <c r="R45" s="453" t="s">
        <v>2694</v>
      </c>
      <c r="S45" s="453" t="s">
        <v>2694</v>
      </c>
    </row>
    <row r="46">
      <c r="A46" s="453">
        <v>2024.0</v>
      </c>
      <c r="B46" s="453" t="s">
        <v>480</v>
      </c>
      <c r="C46" s="517">
        <v>45482.0</v>
      </c>
      <c r="D46" s="453" t="s">
        <v>2474</v>
      </c>
      <c r="E46" s="453" t="s">
        <v>57</v>
      </c>
      <c r="F46" s="453" t="s">
        <v>3065</v>
      </c>
      <c r="G46" s="453" t="s">
        <v>63</v>
      </c>
      <c r="H46" s="453" t="s">
        <v>3066</v>
      </c>
      <c r="I46" s="520" t="s">
        <v>3067</v>
      </c>
      <c r="J46" s="510"/>
      <c r="K46" s="453" t="s">
        <v>2949</v>
      </c>
      <c r="L46" s="453" t="s">
        <v>2694</v>
      </c>
      <c r="M46" s="453" t="s">
        <v>2949</v>
      </c>
      <c r="N46" s="453" t="s">
        <v>2949</v>
      </c>
      <c r="O46" s="453" t="s">
        <v>2694</v>
      </c>
      <c r="P46" s="453" t="s">
        <v>2694</v>
      </c>
      <c r="Q46" s="453" t="s">
        <v>2694</v>
      </c>
      <c r="R46" s="453" t="s">
        <v>2694</v>
      </c>
      <c r="S46" s="453" t="s">
        <v>2694</v>
      </c>
    </row>
    <row r="47">
      <c r="A47" s="453">
        <v>2024.0</v>
      </c>
      <c r="B47" s="453" t="s">
        <v>528</v>
      </c>
      <c r="C47" s="527">
        <v>45524.0</v>
      </c>
      <c r="D47" s="453" t="s">
        <v>82</v>
      </c>
      <c r="E47" s="453" t="s">
        <v>57</v>
      </c>
      <c r="F47" s="453" t="s">
        <v>3048</v>
      </c>
      <c r="G47" s="453" t="s">
        <v>82</v>
      </c>
      <c r="H47" s="453" t="s">
        <v>3023</v>
      </c>
      <c r="I47" s="519" t="s">
        <v>3068</v>
      </c>
      <c r="J47" s="510"/>
      <c r="K47" s="453" t="s">
        <v>2949</v>
      </c>
      <c r="L47" s="453" t="s">
        <v>2694</v>
      </c>
      <c r="M47" s="453" t="s">
        <v>2949</v>
      </c>
      <c r="N47" s="453" t="s">
        <v>2949</v>
      </c>
      <c r="O47" s="453" t="s">
        <v>2694</v>
      </c>
      <c r="P47" s="453" t="s">
        <v>2694</v>
      </c>
      <c r="Q47" s="453" t="s">
        <v>2694</v>
      </c>
      <c r="R47" s="453" t="s">
        <v>2694</v>
      </c>
      <c r="S47" s="453" t="s">
        <v>2694</v>
      </c>
    </row>
    <row r="48">
      <c r="A48" s="453">
        <v>2024.0</v>
      </c>
      <c r="B48" s="453" t="s">
        <v>528</v>
      </c>
      <c r="C48" s="517">
        <v>45528.0</v>
      </c>
      <c r="D48" s="453" t="s">
        <v>2474</v>
      </c>
      <c r="E48" s="453" t="s">
        <v>57</v>
      </c>
      <c r="F48" s="453" t="s">
        <v>3065</v>
      </c>
      <c r="G48" s="453" t="s">
        <v>63</v>
      </c>
      <c r="H48" s="453" t="s">
        <v>3069</v>
      </c>
      <c r="I48" s="520" t="s">
        <v>3070</v>
      </c>
      <c r="J48" s="510"/>
      <c r="K48" s="453" t="s">
        <v>2949</v>
      </c>
      <c r="L48" s="453" t="s">
        <v>2694</v>
      </c>
      <c r="M48" s="453" t="s">
        <v>2949</v>
      </c>
      <c r="N48" s="453" t="s">
        <v>2949</v>
      </c>
      <c r="O48" s="453" t="s">
        <v>2694</v>
      </c>
      <c r="P48" s="453" t="s">
        <v>2694</v>
      </c>
      <c r="Q48" s="453" t="s">
        <v>2694</v>
      </c>
      <c r="R48" s="453" t="s">
        <v>2694</v>
      </c>
      <c r="S48" s="453" t="s">
        <v>2694</v>
      </c>
    </row>
    <row r="49" ht="18.75" customHeight="1">
      <c r="A49" s="453">
        <v>2024.0</v>
      </c>
      <c r="B49" s="453" t="s">
        <v>528</v>
      </c>
      <c r="C49" s="517">
        <v>45529.0</v>
      </c>
      <c r="D49" s="453" t="s">
        <v>358</v>
      </c>
      <c r="E49" s="453" t="s">
        <v>57</v>
      </c>
      <c r="F49" s="453" t="s">
        <v>3071</v>
      </c>
      <c r="G49" s="453" t="s">
        <v>63</v>
      </c>
      <c r="H49" s="453" t="s">
        <v>3072</v>
      </c>
      <c r="I49" s="519" t="s">
        <v>3073</v>
      </c>
      <c r="J49" s="510"/>
      <c r="K49" s="453" t="s">
        <v>2949</v>
      </c>
      <c r="L49" s="453" t="s">
        <v>2694</v>
      </c>
      <c r="M49" s="453" t="s">
        <v>2949</v>
      </c>
      <c r="N49" s="453" t="s">
        <v>2949</v>
      </c>
      <c r="O49" s="453" t="s">
        <v>2694</v>
      </c>
      <c r="P49" s="453" t="s">
        <v>2694</v>
      </c>
      <c r="Q49" s="453" t="s">
        <v>2694</v>
      </c>
      <c r="R49" s="453" t="s">
        <v>2694</v>
      </c>
      <c r="S49" s="453" t="s">
        <v>2694</v>
      </c>
    </row>
    <row r="50">
      <c r="A50" s="453">
        <v>2024.0</v>
      </c>
      <c r="B50" s="453" t="s">
        <v>528</v>
      </c>
      <c r="C50" s="527">
        <v>45534.0</v>
      </c>
      <c r="D50" s="453" t="s">
        <v>3074</v>
      </c>
      <c r="E50" s="453" t="s">
        <v>57</v>
      </c>
      <c r="F50" s="453" t="s">
        <v>3075</v>
      </c>
      <c r="G50" s="453" t="s">
        <v>63</v>
      </c>
      <c r="H50" s="453" t="s">
        <v>3076</v>
      </c>
      <c r="I50" s="530" t="s">
        <v>3077</v>
      </c>
      <c r="J50" s="510"/>
      <c r="K50" s="453" t="s">
        <v>2949</v>
      </c>
      <c r="L50" s="453" t="s">
        <v>2694</v>
      </c>
      <c r="M50" s="453" t="s">
        <v>2949</v>
      </c>
      <c r="N50" s="453" t="s">
        <v>2949</v>
      </c>
      <c r="O50" s="453" t="s">
        <v>2694</v>
      </c>
      <c r="P50" s="453" t="s">
        <v>2694</v>
      </c>
      <c r="Q50" s="453" t="s">
        <v>2694</v>
      </c>
      <c r="R50" s="453" t="s">
        <v>2949</v>
      </c>
      <c r="S50" s="453" t="s">
        <v>2694</v>
      </c>
    </row>
    <row r="51">
      <c r="A51" s="453">
        <v>2024.0</v>
      </c>
      <c r="B51" s="453" t="s">
        <v>625</v>
      </c>
      <c r="C51" s="531">
        <v>45541.0</v>
      </c>
      <c r="D51" s="453" t="s">
        <v>259</v>
      </c>
      <c r="E51" s="453" t="s">
        <v>57</v>
      </c>
      <c r="F51" s="453" t="s">
        <v>3078</v>
      </c>
      <c r="G51" s="453" t="s">
        <v>63</v>
      </c>
      <c r="H51" s="453" t="s">
        <v>3078</v>
      </c>
      <c r="I51" s="456" t="s">
        <v>3077</v>
      </c>
      <c r="J51" s="510"/>
      <c r="K51" s="453" t="s">
        <v>2949</v>
      </c>
      <c r="L51" s="453" t="s">
        <v>2694</v>
      </c>
      <c r="M51" s="453" t="s">
        <v>2949</v>
      </c>
      <c r="N51" s="453" t="s">
        <v>2949</v>
      </c>
      <c r="O51" s="453" t="s">
        <v>2694</v>
      </c>
      <c r="P51" s="453" t="s">
        <v>2694</v>
      </c>
      <c r="Q51" s="453" t="s">
        <v>2694</v>
      </c>
      <c r="R51" s="453" t="s">
        <v>2949</v>
      </c>
      <c r="S51" s="453" t="s">
        <v>2694</v>
      </c>
    </row>
    <row r="52">
      <c r="A52" s="453">
        <v>2024.0</v>
      </c>
      <c r="B52" s="453" t="s">
        <v>625</v>
      </c>
      <c r="C52" s="527">
        <v>337733.0</v>
      </c>
      <c r="D52" s="453" t="s">
        <v>88</v>
      </c>
      <c r="E52" s="453" t="s">
        <v>57</v>
      </c>
      <c r="F52" s="453" t="s">
        <v>3079</v>
      </c>
      <c r="G52" s="453" t="s">
        <v>63</v>
      </c>
      <c r="H52" s="453" t="s">
        <v>3080</v>
      </c>
      <c r="I52" s="519" t="s">
        <v>3081</v>
      </c>
      <c r="J52" s="510"/>
      <c r="K52" s="453" t="s">
        <v>2949</v>
      </c>
      <c r="L52" s="453" t="s">
        <v>2694</v>
      </c>
      <c r="M52" s="453" t="s">
        <v>2949</v>
      </c>
      <c r="N52" s="453" t="s">
        <v>2694</v>
      </c>
      <c r="O52" s="453" t="s">
        <v>2694</v>
      </c>
      <c r="P52" s="453" t="s">
        <v>2694</v>
      </c>
      <c r="Q52" s="453" t="s">
        <v>2694</v>
      </c>
      <c r="R52" s="453" t="s">
        <v>2694</v>
      </c>
      <c r="S52" s="453" t="s">
        <v>2694</v>
      </c>
    </row>
    <row r="53">
      <c r="A53" s="453">
        <v>2024.0</v>
      </c>
      <c r="B53" s="453" t="s">
        <v>625</v>
      </c>
      <c r="C53" s="532">
        <v>45540.0</v>
      </c>
      <c r="D53" s="453" t="s">
        <v>358</v>
      </c>
      <c r="E53" s="29" t="s">
        <v>57</v>
      </c>
      <c r="F53" s="29" t="s">
        <v>3082</v>
      </c>
      <c r="G53" s="453" t="s">
        <v>63</v>
      </c>
      <c r="H53" s="92" t="s">
        <v>3083</v>
      </c>
      <c r="I53" s="533" t="s">
        <v>3084</v>
      </c>
      <c r="J53" s="297"/>
      <c r="K53" s="453" t="s">
        <v>2949</v>
      </c>
      <c r="L53" s="453" t="s">
        <v>2694</v>
      </c>
      <c r="M53" s="453" t="s">
        <v>2949</v>
      </c>
      <c r="N53" s="453" t="s">
        <v>2694</v>
      </c>
      <c r="O53" s="453" t="s">
        <v>2694</v>
      </c>
      <c r="P53" s="453" t="s">
        <v>2694</v>
      </c>
      <c r="Q53" s="453" t="s">
        <v>2694</v>
      </c>
      <c r="R53" s="453" t="s">
        <v>2694</v>
      </c>
      <c r="S53" s="453" t="s">
        <v>2694</v>
      </c>
    </row>
    <row r="54">
      <c r="A54" s="453">
        <v>2024.0</v>
      </c>
      <c r="B54" s="453" t="s">
        <v>625</v>
      </c>
      <c r="C54" s="532">
        <v>45542.0</v>
      </c>
      <c r="D54" s="453" t="s">
        <v>2474</v>
      </c>
      <c r="E54" s="92" t="s">
        <v>57</v>
      </c>
      <c r="F54" s="92" t="s">
        <v>3085</v>
      </c>
      <c r="G54" s="453" t="s">
        <v>63</v>
      </c>
      <c r="H54" s="92" t="s">
        <v>3086</v>
      </c>
      <c r="I54" s="534" t="s">
        <v>3087</v>
      </c>
      <c r="J54" s="297"/>
      <c r="K54" s="453" t="s">
        <v>2949</v>
      </c>
      <c r="L54" s="453" t="s">
        <v>2694</v>
      </c>
      <c r="M54" s="453" t="s">
        <v>2949</v>
      </c>
      <c r="N54" s="453" t="s">
        <v>2949</v>
      </c>
      <c r="O54" s="453" t="s">
        <v>2694</v>
      </c>
      <c r="P54" s="453" t="s">
        <v>2694</v>
      </c>
      <c r="Q54" s="453" t="s">
        <v>2694</v>
      </c>
      <c r="R54" s="453" t="s">
        <v>2694</v>
      </c>
      <c r="S54" s="453" t="s">
        <v>2694</v>
      </c>
    </row>
    <row r="55">
      <c r="A55" s="453">
        <v>2024.0</v>
      </c>
      <c r="B55" s="453" t="s">
        <v>625</v>
      </c>
      <c r="C55" s="532">
        <v>45546.0</v>
      </c>
      <c r="D55" s="453" t="s">
        <v>55</v>
      </c>
      <c r="E55" s="92" t="s">
        <v>57</v>
      </c>
      <c r="F55" s="92" t="s">
        <v>3088</v>
      </c>
      <c r="G55" s="453" t="s">
        <v>63</v>
      </c>
      <c r="H55" s="92" t="s">
        <v>3089</v>
      </c>
      <c r="I55" s="534" t="s">
        <v>3090</v>
      </c>
      <c r="J55" s="297"/>
      <c r="K55" s="453" t="s">
        <v>2949</v>
      </c>
      <c r="L55" s="453" t="s">
        <v>2694</v>
      </c>
      <c r="M55" s="453" t="s">
        <v>2694</v>
      </c>
      <c r="N55" s="453" t="s">
        <v>2949</v>
      </c>
      <c r="O55" s="453" t="s">
        <v>2949</v>
      </c>
      <c r="P55" s="453" t="s">
        <v>2694</v>
      </c>
      <c r="Q55" s="453" t="s">
        <v>2694</v>
      </c>
      <c r="R55" s="453" t="s">
        <v>2694</v>
      </c>
      <c r="S55" s="453" t="s">
        <v>2694</v>
      </c>
    </row>
    <row r="56">
      <c r="A56" s="453">
        <v>2024.0</v>
      </c>
      <c r="B56" s="453" t="s">
        <v>625</v>
      </c>
      <c r="C56" s="532">
        <v>45548.0</v>
      </c>
      <c r="D56" s="453" t="s">
        <v>55</v>
      </c>
      <c r="E56" s="92" t="s">
        <v>57</v>
      </c>
      <c r="F56" s="92" t="s">
        <v>3091</v>
      </c>
      <c r="G56" s="453" t="s">
        <v>63</v>
      </c>
      <c r="H56" s="92" t="s">
        <v>3092</v>
      </c>
      <c r="I56" s="533" t="s">
        <v>3093</v>
      </c>
      <c r="J56" s="297"/>
      <c r="K56" s="453" t="s">
        <v>2949</v>
      </c>
      <c r="L56" s="453" t="s">
        <v>2694</v>
      </c>
      <c r="M56" s="453" t="s">
        <v>2949</v>
      </c>
      <c r="N56" s="453" t="s">
        <v>2949</v>
      </c>
      <c r="O56" s="453" t="s">
        <v>2694</v>
      </c>
      <c r="P56" s="453" t="s">
        <v>2694</v>
      </c>
      <c r="Q56" s="453" t="s">
        <v>2694</v>
      </c>
      <c r="R56" s="453" t="s">
        <v>2694</v>
      </c>
      <c r="S56" s="453" t="s">
        <v>2694</v>
      </c>
    </row>
    <row r="57">
      <c r="A57" s="453">
        <v>2024.0</v>
      </c>
      <c r="B57" s="453" t="s">
        <v>625</v>
      </c>
      <c r="C57" s="535">
        <v>45547.0</v>
      </c>
      <c r="D57" s="453" t="s">
        <v>55</v>
      </c>
      <c r="E57" s="92" t="s">
        <v>57</v>
      </c>
      <c r="F57" s="92" t="s">
        <v>3091</v>
      </c>
      <c r="G57" s="453" t="s">
        <v>63</v>
      </c>
      <c r="H57" s="92" t="s">
        <v>3094</v>
      </c>
      <c r="I57" s="534" t="s">
        <v>3095</v>
      </c>
      <c r="J57" s="297"/>
      <c r="K57" s="453" t="s">
        <v>2949</v>
      </c>
      <c r="L57" s="453" t="s">
        <v>2694</v>
      </c>
      <c r="M57" s="453" t="s">
        <v>2949</v>
      </c>
      <c r="N57" s="453" t="s">
        <v>2949</v>
      </c>
      <c r="O57" s="453" t="s">
        <v>2694</v>
      </c>
      <c r="P57" s="453" t="s">
        <v>2694</v>
      </c>
      <c r="Q57" s="453" t="s">
        <v>2694</v>
      </c>
      <c r="R57" s="453" t="s">
        <v>2694</v>
      </c>
      <c r="S57" s="453" t="s">
        <v>2694</v>
      </c>
    </row>
    <row r="58">
      <c r="A58" s="453">
        <v>2024.0</v>
      </c>
      <c r="B58" s="453" t="s">
        <v>625</v>
      </c>
      <c r="C58" s="535">
        <v>45551.0</v>
      </c>
      <c r="D58" s="453" t="s">
        <v>88</v>
      </c>
      <c r="E58" s="92" t="s">
        <v>57</v>
      </c>
      <c r="F58" s="92" t="s">
        <v>3096</v>
      </c>
      <c r="G58" s="453" t="s">
        <v>63</v>
      </c>
      <c r="H58" s="92" t="s">
        <v>3097</v>
      </c>
      <c r="I58" s="534" t="s">
        <v>3098</v>
      </c>
      <c r="J58" s="297"/>
      <c r="K58" s="453" t="s">
        <v>2949</v>
      </c>
      <c r="L58" s="453" t="s">
        <v>2694</v>
      </c>
      <c r="M58" s="453" t="s">
        <v>2694</v>
      </c>
      <c r="N58" s="453" t="s">
        <v>2949</v>
      </c>
      <c r="O58" s="453" t="s">
        <v>2949</v>
      </c>
      <c r="P58" s="453" t="s">
        <v>2694</v>
      </c>
      <c r="Q58" s="453" t="s">
        <v>2694</v>
      </c>
      <c r="R58" s="453" t="s">
        <v>2694</v>
      </c>
      <c r="S58" s="453" t="s">
        <v>2694</v>
      </c>
    </row>
    <row r="59">
      <c r="A59" s="453">
        <v>2024.0</v>
      </c>
      <c r="B59" s="453" t="s">
        <v>625</v>
      </c>
      <c r="C59" s="535">
        <v>45551.0</v>
      </c>
      <c r="D59" s="453" t="s">
        <v>2885</v>
      </c>
      <c r="E59" s="92" t="s">
        <v>57</v>
      </c>
      <c r="F59" s="92" t="s">
        <v>2989</v>
      </c>
      <c r="G59" s="453" t="s">
        <v>1122</v>
      </c>
      <c r="H59" s="92" t="s">
        <v>3004</v>
      </c>
      <c r="I59" s="534" t="s">
        <v>3099</v>
      </c>
      <c r="J59" s="297"/>
      <c r="K59" s="453" t="s">
        <v>2949</v>
      </c>
      <c r="L59" s="453" t="s">
        <v>2694</v>
      </c>
      <c r="M59" s="453" t="s">
        <v>2949</v>
      </c>
      <c r="N59" s="453" t="s">
        <v>2949</v>
      </c>
      <c r="O59" s="453" t="s">
        <v>2694</v>
      </c>
      <c r="P59" s="453" t="s">
        <v>2694</v>
      </c>
      <c r="Q59" s="453" t="s">
        <v>2694</v>
      </c>
      <c r="R59" s="453" t="s">
        <v>2694</v>
      </c>
      <c r="S59" s="453" t="s">
        <v>2694</v>
      </c>
    </row>
    <row r="60">
      <c r="A60" s="453">
        <v>2024.0</v>
      </c>
      <c r="B60" s="453" t="s">
        <v>625</v>
      </c>
      <c r="C60" s="535">
        <v>45552.0</v>
      </c>
      <c r="D60" s="453" t="s">
        <v>128</v>
      </c>
      <c r="E60" s="92" t="s">
        <v>57</v>
      </c>
      <c r="F60" s="92" t="s">
        <v>3100</v>
      </c>
      <c r="G60" s="453" t="s">
        <v>128</v>
      </c>
      <c r="H60" s="92" t="s">
        <v>2992</v>
      </c>
      <c r="I60" s="534" t="s">
        <v>3101</v>
      </c>
      <c r="J60" s="297"/>
      <c r="K60" s="453" t="s">
        <v>2949</v>
      </c>
      <c r="L60" s="453" t="s">
        <v>2694</v>
      </c>
      <c r="M60" s="453" t="s">
        <v>2949</v>
      </c>
      <c r="N60" s="453" t="s">
        <v>2949</v>
      </c>
      <c r="O60" s="453" t="s">
        <v>2694</v>
      </c>
      <c r="P60" s="453" t="s">
        <v>2694</v>
      </c>
      <c r="Q60" s="453" t="s">
        <v>2694</v>
      </c>
      <c r="R60" s="453" t="s">
        <v>2694</v>
      </c>
      <c r="S60" s="453" t="s">
        <v>2694</v>
      </c>
    </row>
    <row r="61">
      <c r="A61" s="453">
        <v>2024.0</v>
      </c>
      <c r="B61" s="453" t="s">
        <v>625</v>
      </c>
      <c r="C61" s="535">
        <v>45554.0</v>
      </c>
      <c r="D61" s="453" t="s">
        <v>82</v>
      </c>
      <c r="E61" s="92" t="s">
        <v>57</v>
      </c>
      <c r="F61" s="92" t="s">
        <v>3102</v>
      </c>
      <c r="G61" s="453" t="s">
        <v>82</v>
      </c>
      <c r="H61" s="92" t="s">
        <v>3103</v>
      </c>
      <c r="I61" s="533" t="s">
        <v>3104</v>
      </c>
      <c r="J61" s="297"/>
      <c r="K61" s="453" t="s">
        <v>2949</v>
      </c>
      <c r="L61" s="453" t="s">
        <v>2694</v>
      </c>
      <c r="M61" s="453" t="s">
        <v>2949</v>
      </c>
      <c r="N61" s="453" t="s">
        <v>2949</v>
      </c>
      <c r="O61" s="453" t="s">
        <v>2694</v>
      </c>
      <c r="P61" s="453" t="s">
        <v>2694</v>
      </c>
      <c r="Q61" s="453" t="s">
        <v>2694</v>
      </c>
      <c r="R61" s="453" t="s">
        <v>2694</v>
      </c>
      <c r="S61" s="453" t="s">
        <v>2694</v>
      </c>
    </row>
    <row r="62">
      <c r="A62" s="453">
        <v>2024.0</v>
      </c>
      <c r="B62" s="453" t="s">
        <v>625</v>
      </c>
      <c r="C62" s="535">
        <v>45556.0</v>
      </c>
      <c r="D62" s="453" t="s">
        <v>964</v>
      </c>
      <c r="E62" s="92" t="s">
        <v>57</v>
      </c>
      <c r="F62" s="92" t="s">
        <v>3105</v>
      </c>
      <c r="G62" s="453" t="s">
        <v>63</v>
      </c>
      <c r="H62" s="92" t="s">
        <v>3106</v>
      </c>
      <c r="I62" s="533" t="s">
        <v>3107</v>
      </c>
      <c r="J62" s="297"/>
      <c r="K62" s="453" t="s">
        <v>2949</v>
      </c>
      <c r="L62" s="453" t="s">
        <v>2694</v>
      </c>
      <c r="M62" s="453" t="s">
        <v>2949</v>
      </c>
      <c r="N62" s="453" t="s">
        <v>2949</v>
      </c>
      <c r="O62" s="453" t="s">
        <v>2694</v>
      </c>
      <c r="P62" s="453" t="s">
        <v>2694</v>
      </c>
      <c r="Q62" s="453" t="s">
        <v>2694</v>
      </c>
      <c r="R62" s="453" t="s">
        <v>2694</v>
      </c>
      <c r="S62" s="453" t="s">
        <v>2694</v>
      </c>
    </row>
    <row r="63">
      <c r="A63" s="453">
        <v>2024.0</v>
      </c>
      <c r="B63" s="453" t="s">
        <v>625</v>
      </c>
      <c r="C63" s="535">
        <v>45558.0</v>
      </c>
      <c r="D63" s="453" t="s">
        <v>72</v>
      </c>
      <c r="E63" s="92" t="s">
        <v>57</v>
      </c>
      <c r="F63" s="92" t="s">
        <v>3108</v>
      </c>
      <c r="G63" s="453" t="s">
        <v>82</v>
      </c>
      <c r="H63" s="92" t="s">
        <v>3109</v>
      </c>
      <c r="I63" s="533" t="s">
        <v>3110</v>
      </c>
      <c r="J63" s="297"/>
      <c r="K63" s="453" t="s">
        <v>2949</v>
      </c>
      <c r="L63" s="453" t="s">
        <v>2694</v>
      </c>
      <c r="M63" s="453" t="s">
        <v>2949</v>
      </c>
      <c r="N63" s="453" t="s">
        <v>2949</v>
      </c>
      <c r="O63" s="453" t="s">
        <v>2694</v>
      </c>
      <c r="P63" s="453" t="s">
        <v>2694</v>
      </c>
      <c r="Q63" s="453" t="s">
        <v>2694</v>
      </c>
      <c r="R63" s="453" t="s">
        <v>2694</v>
      </c>
      <c r="S63" s="453" t="s">
        <v>2694</v>
      </c>
    </row>
    <row r="64">
      <c r="A64" s="536">
        <v>2024.0</v>
      </c>
      <c r="B64" s="536" t="s">
        <v>625</v>
      </c>
      <c r="C64" s="537">
        <v>45559.0</v>
      </c>
      <c r="D64" s="536" t="s">
        <v>82</v>
      </c>
      <c r="E64" s="135" t="s">
        <v>57</v>
      </c>
      <c r="F64" s="135" t="s">
        <v>3111</v>
      </c>
      <c r="G64" s="536" t="s">
        <v>82</v>
      </c>
      <c r="H64" s="135" t="s">
        <v>3112</v>
      </c>
      <c r="I64" s="538" t="s">
        <v>3113</v>
      </c>
      <c r="J64" s="539"/>
      <c r="K64" s="536" t="s">
        <v>2949</v>
      </c>
      <c r="L64" s="536" t="s">
        <v>2694</v>
      </c>
      <c r="M64" s="536" t="s">
        <v>2949</v>
      </c>
      <c r="N64" s="536" t="s">
        <v>2949</v>
      </c>
      <c r="O64" s="536" t="s">
        <v>2694</v>
      </c>
      <c r="P64" s="536" t="s">
        <v>2694</v>
      </c>
      <c r="Q64" s="536" t="s">
        <v>2694</v>
      </c>
      <c r="R64" s="536" t="s">
        <v>2694</v>
      </c>
      <c r="S64" s="536" t="s">
        <v>2694</v>
      </c>
      <c r="T64" s="339"/>
      <c r="U64" s="339"/>
      <c r="V64" s="339"/>
      <c r="W64" s="339"/>
      <c r="X64" s="339"/>
      <c r="Y64" s="339"/>
      <c r="Z64" s="339"/>
    </row>
    <row r="65">
      <c r="A65" s="536">
        <v>2024.0</v>
      </c>
      <c r="B65" s="536" t="s">
        <v>625</v>
      </c>
      <c r="C65" s="537">
        <v>45559.0</v>
      </c>
      <c r="D65" s="536" t="s">
        <v>82</v>
      </c>
      <c r="E65" s="135" t="s">
        <v>57</v>
      </c>
      <c r="F65" s="135" t="s">
        <v>3114</v>
      </c>
      <c r="G65" s="536" t="s">
        <v>82</v>
      </c>
      <c r="H65" s="135" t="s">
        <v>3115</v>
      </c>
      <c r="I65" s="538" t="s">
        <v>3116</v>
      </c>
      <c r="J65" s="539"/>
      <c r="K65" s="536" t="s">
        <v>2949</v>
      </c>
      <c r="L65" s="536" t="s">
        <v>2694</v>
      </c>
      <c r="M65" s="536" t="s">
        <v>2949</v>
      </c>
      <c r="N65" s="536" t="s">
        <v>2949</v>
      </c>
      <c r="O65" s="536" t="s">
        <v>2694</v>
      </c>
      <c r="P65" s="536" t="s">
        <v>2694</v>
      </c>
      <c r="Q65" s="536" t="s">
        <v>2694</v>
      </c>
      <c r="R65" s="536" t="s">
        <v>2694</v>
      </c>
      <c r="S65" s="536" t="s">
        <v>2694</v>
      </c>
      <c r="T65" s="339"/>
      <c r="U65" s="339"/>
      <c r="V65" s="339"/>
      <c r="W65" s="339"/>
      <c r="X65" s="339"/>
      <c r="Y65" s="339"/>
      <c r="Z65" s="339"/>
    </row>
    <row r="66">
      <c r="A66" s="92">
        <v>2024.0</v>
      </c>
      <c r="B66" s="92" t="s">
        <v>625</v>
      </c>
      <c r="C66" s="540" t="s">
        <v>3117</v>
      </c>
      <c r="D66" s="453" t="s">
        <v>88</v>
      </c>
      <c r="E66" s="92" t="s">
        <v>57</v>
      </c>
      <c r="F66" s="92" t="s">
        <v>3118</v>
      </c>
      <c r="G66" s="453" t="s">
        <v>63</v>
      </c>
      <c r="H66" s="92" t="s">
        <v>3119</v>
      </c>
      <c r="I66" s="534" t="s">
        <v>3120</v>
      </c>
      <c r="J66" s="297"/>
      <c r="K66" s="453" t="s">
        <v>2949</v>
      </c>
      <c r="L66" s="453" t="s">
        <v>2694</v>
      </c>
      <c r="M66" s="453" t="s">
        <v>2949</v>
      </c>
      <c r="N66" s="453" t="s">
        <v>2949</v>
      </c>
      <c r="O66" s="453" t="s">
        <v>2694</v>
      </c>
      <c r="P66" s="453" t="s">
        <v>2694</v>
      </c>
      <c r="Q66" s="453" t="s">
        <v>2694</v>
      </c>
      <c r="R66" s="453" t="s">
        <v>2694</v>
      </c>
      <c r="S66" s="453" t="s">
        <v>2694</v>
      </c>
      <c r="U66" s="541"/>
      <c r="V66" s="541"/>
      <c r="W66" s="541"/>
      <c r="X66" s="541"/>
      <c r="Y66" s="541"/>
      <c r="Z66" s="541"/>
    </row>
    <row r="67">
      <c r="A67" s="92">
        <v>2024.0</v>
      </c>
      <c r="B67" s="92" t="s">
        <v>625</v>
      </c>
      <c r="C67" s="535">
        <v>45561.0</v>
      </c>
      <c r="D67" s="453" t="s">
        <v>3121</v>
      </c>
      <c r="E67" s="92" t="s">
        <v>57</v>
      </c>
      <c r="F67" s="92" t="s">
        <v>3122</v>
      </c>
      <c r="G67" s="453" t="s">
        <v>63</v>
      </c>
      <c r="H67" s="92" t="s">
        <v>3123</v>
      </c>
      <c r="I67" s="534" t="s">
        <v>3124</v>
      </c>
      <c r="J67" s="297"/>
      <c r="K67" s="453" t="s">
        <v>2949</v>
      </c>
      <c r="L67" s="453" t="s">
        <v>2694</v>
      </c>
      <c r="M67" s="453" t="s">
        <v>2949</v>
      </c>
      <c r="N67" s="453" t="s">
        <v>2949</v>
      </c>
      <c r="O67" s="453" t="s">
        <v>2694</v>
      </c>
      <c r="P67" s="453" t="s">
        <v>2694</v>
      </c>
      <c r="Q67" s="453" t="s">
        <v>2694</v>
      </c>
      <c r="R67" s="453" t="s">
        <v>2694</v>
      </c>
      <c r="S67" s="453" t="s">
        <v>2694</v>
      </c>
      <c r="U67" s="541"/>
      <c r="V67" s="541"/>
      <c r="W67" s="541"/>
      <c r="X67" s="541"/>
      <c r="Y67" s="541"/>
      <c r="Z67" s="541"/>
    </row>
    <row r="68">
      <c r="A68" s="92">
        <v>2024.0</v>
      </c>
      <c r="B68" s="92" t="s">
        <v>625</v>
      </c>
      <c r="C68" s="535">
        <v>45562.0</v>
      </c>
      <c r="D68" s="453" t="s">
        <v>154</v>
      </c>
      <c r="E68" s="92" t="s">
        <v>57</v>
      </c>
      <c r="F68" s="92" t="s">
        <v>3125</v>
      </c>
      <c r="G68" s="453" t="s">
        <v>154</v>
      </c>
      <c r="H68" s="92" t="s">
        <v>3126</v>
      </c>
      <c r="I68" s="534" t="s">
        <v>3127</v>
      </c>
      <c r="J68" s="297"/>
      <c r="K68" s="453" t="s">
        <v>2949</v>
      </c>
      <c r="L68" s="453" t="s">
        <v>2694</v>
      </c>
      <c r="M68" s="453" t="s">
        <v>2694</v>
      </c>
      <c r="N68" s="453" t="s">
        <v>2694</v>
      </c>
      <c r="O68" s="453" t="s">
        <v>2694</v>
      </c>
      <c r="P68" s="453" t="s">
        <v>2694</v>
      </c>
      <c r="Q68" s="453" t="s">
        <v>2694</v>
      </c>
      <c r="R68" s="453" t="s">
        <v>2694</v>
      </c>
      <c r="S68" s="453" t="s">
        <v>2694</v>
      </c>
    </row>
    <row r="69">
      <c r="A69" s="92">
        <v>2024.0</v>
      </c>
      <c r="B69" s="92" t="s">
        <v>625</v>
      </c>
      <c r="C69" s="542">
        <v>45565.0</v>
      </c>
      <c r="D69" s="453" t="s">
        <v>964</v>
      </c>
      <c r="E69" s="92" t="s">
        <v>57</v>
      </c>
      <c r="F69" s="92" t="s">
        <v>3128</v>
      </c>
      <c r="G69" s="453" t="s">
        <v>63</v>
      </c>
      <c r="H69" s="92" t="s">
        <v>3129</v>
      </c>
      <c r="I69" s="533" t="s">
        <v>3130</v>
      </c>
      <c r="J69" s="297"/>
      <c r="K69" s="453" t="s">
        <v>2949</v>
      </c>
      <c r="L69" s="453" t="s">
        <v>2694</v>
      </c>
      <c r="M69" s="453" t="s">
        <v>2694</v>
      </c>
      <c r="N69" s="453" t="s">
        <v>2694</v>
      </c>
      <c r="O69" s="453" t="s">
        <v>2694</v>
      </c>
      <c r="P69" s="453" t="s">
        <v>2694</v>
      </c>
      <c r="Q69" s="453" t="s">
        <v>2694</v>
      </c>
      <c r="R69" s="453" t="s">
        <v>2694</v>
      </c>
      <c r="S69" s="453" t="s">
        <v>2694</v>
      </c>
    </row>
    <row r="70">
      <c r="A70" s="92">
        <v>2024.0</v>
      </c>
      <c r="B70" s="92" t="s">
        <v>625</v>
      </c>
      <c r="C70" s="542">
        <v>45563.0</v>
      </c>
      <c r="D70" s="453" t="s">
        <v>964</v>
      </c>
      <c r="E70" s="92" t="s">
        <v>57</v>
      </c>
      <c r="F70" s="92" t="s">
        <v>3128</v>
      </c>
      <c r="G70" s="453" t="s">
        <v>63</v>
      </c>
      <c r="H70" s="92" t="s">
        <v>3131</v>
      </c>
      <c r="I70" s="534" t="s">
        <v>3132</v>
      </c>
      <c r="J70" s="297"/>
      <c r="K70" s="453" t="s">
        <v>2949</v>
      </c>
      <c r="L70" s="453" t="s">
        <v>2694</v>
      </c>
      <c r="M70" s="453" t="s">
        <v>2694</v>
      </c>
      <c r="N70" s="453" t="s">
        <v>2694</v>
      </c>
      <c r="O70" s="453" t="s">
        <v>2694</v>
      </c>
      <c r="P70" s="453" t="s">
        <v>2694</v>
      </c>
      <c r="Q70" s="453" t="s">
        <v>2694</v>
      </c>
      <c r="R70" s="453" t="s">
        <v>2694</v>
      </c>
      <c r="S70" s="453" t="s">
        <v>2694</v>
      </c>
    </row>
    <row r="71">
      <c r="A71" s="92">
        <v>2024.0</v>
      </c>
      <c r="B71" s="92" t="s">
        <v>625</v>
      </c>
      <c r="C71" s="542">
        <v>45563.0</v>
      </c>
      <c r="D71" s="453"/>
      <c r="E71" s="92" t="s">
        <v>57</v>
      </c>
      <c r="F71" s="92" t="s">
        <v>3128</v>
      </c>
      <c r="G71" s="453" t="s">
        <v>63</v>
      </c>
      <c r="H71" s="92" t="s">
        <v>3133</v>
      </c>
      <c r="I71" s="533" t="s">
        <v>3134</v>
      </c>
      <c r="J71" s="297"/>
      <c r="K71" s="453" t="s">
        <v>2949</v>
      </c>
      <c r="L71" s="453" t="s">
        <v>2694</v>
      </c>
      <c r="M71" s="453" t="s">
        <v>2949</v>
      </c>
      <c r="N71" s="453" t="s">
        <v>2694</v>
      </c>
      <c r="O71" s="453" t="s">
        <v>2694</v>
      </c>
      <c r="P71" s="453" t="s">
        <v>2694</v>
      </c>
      <c r="Q71" s="453" t="s">
        <v>2694</v>
      </c>
      <c r="R71" s="453" t="s">
        <v>2694</v>
      </c>
      <c r="S71" s="453" t="s">
        <v>2694</v>
      </c>
    </row>
    <row r="72">
      <c r="A72" s="92">
        <v>2024.0</v>
      </c>
      <c r="B72" s="92" t="s">
        <v>711</v>
      </c>
      <c r="C72" s="542">
        <v>45570.0</v>
      </c>
      <c r="D72" s="453" t="s">
        <v>82</v>
      </c>
      <c r="E72" s="92" t="s">
        <v>57</v>
      </c>
      <c r="F72" s="92" t="s">
        <v>3135</v>
      </c>
      <c r="G72" s="453" t="s">
        <v>82</v>
      </c>
      <c r="H72" s="92" t="s">
        <v>3136</v>
      </c>
      <c r="I72" s="533" t="s">
        <v>3137</v>
      </c>
      <c r="J72" s="297"/>
      <c r="K72" s="453" t="s">
        <v>2949</v>
      </c>
      <c r="L72" s="453" t="s">
        <v>2694</v>
      </c>
      <c r="M72" s="453" t="s">
        <v>2949</v>
      </c>
      <c r="N72" s="453" t="s">
        <v>2694</v>
      </c>
      <c r="O72" s="453" t="s">
        <v>2694</v>
      </c>
      <c r="P72" s="453" t="s">
        <v>2694</v>
      </c>
      <c r="Q72" s="453" t="s">
        <v>2694</v>
      </c>
      <c r="R72" s="453" t="s">
        <v>2694</v>
      </c>
      <c r="S72" s="453" t="s">
        <v>2694</v>
      </c>
    </row>
    <row r="73">
      <c r="A73" s="92">
        <v>2024.0</v>
      </c>
      <c r="B73" s="92" t="s">
        <v>711</v>
      </c>
      <c r="C73" s="542">
        <v>45569.0</v>
      </c>
      <c r="D73" s="453" t="s">
        <v>964</v>
      </c>
      <c r="E73" s="92" t="s">
        <v>57</v>
      </c>
      <c r="F73" s="92" t="s">
        <v>3138</v>
      </c>
      <c r="G73" s="453" t="s">
        <v>63</v>
      </c>
      <c r="H73" s="125" t="s">
        <v>3139</v>
      </c>
      <c r="I73" s="534" t="s">
        <v>3132</v>
      </c>
      <c r="J73" s="297"/>
      <c r="K73" s="453" t="s">
        <v>2949</v>
      </c>
      <c r="L73" s="453" t="s">
        <v>2694</v>
      </c>
      <c r="M73" s="453" t="s">
        <v>2694</v>
      </c>
      <c r="N73" s="453" t="s">
        <v>2694</v>
      </c>
      <c r="O73" s="453" t="s">
        <v>2694</v>
      </c>
      <c r="P73" s="453" t="s">
        <v>2694</v>
      </c>
      <c r="Q73" s="453" t="s">
        <v>2694</v>
      </c>
      <c r="R73" s="453" t="s">
        <v>2694</v>
      </c>
      <c r="S73" s="453" t="s">
        <v>2694</v>
      </c>
    </row>
    <row r="74">
      <c r="A74" s="92">
        <v>2024.0</v>
      </c>
      <c r="B74" s="92" t="s">
        <v>711</v>
      </c>
      <c r="C74" s="542">
        <v>45572.0</v>
      </c>
      <c r="D74" s="453" t="s">
        <v>88</v>
      </c>
      <c r="E74" s="92" t="s">
        <v>57</v>
      </c>
      <c r="F74" s="92" t="s">
        <v>3140</v>
      </c>
      <c r="G74" s="453" t="s">
        <v>63</v>
      </c>
      <c r="H74" s="92" t="s">
        <v>3141</v>
      </c>
      <c r="I74" s="533" t="s">
        <v>3142</v>
      </c>
      <c r="J74" s="297"/>
      <c r="K74" s="453" t="s">
        <v>2949</v>
      </c>
      <c r="L74" s="453" t="s">
        <v>2694</v>
      </c>
      <c r="M74" s="453" t="s">
        <v>2694</v>
      </c>
      <c r="N74" s="453" t="s">
        <v>2694</v>
      </c>
      <c r="O74" s="453" t="s">
        <v>2949</v>
      </c>
      <c r="P74" s="453" t="s">
        <v>2694</v>
      </c>
      <c r="Q74" s="453" t="s">
        <v>2694</v>
      </c>
      <c r="R74" s="453" t="s">
        <v>2694</v>
      </c>
      <c r="S74" s="453" t="s">
        <v>2694</v>
      </c>
    </row>
    <row r="75">
      <c r="A75" s="536">
        <v>2024.0</v>
      </c>
      <c r="B75" s="92" t="s">
        <v>711</v>
      </c>
      <c r="C75" s="535">
        <v>45573.0</v>
      </c>
      <c r="D75" s="453" t="s">
        <v>88</v>
      </c>
      <c r="E75" s="453" t="s">
        <v>57</v>
      </c>
      <c r="F75" s="92" t="s">
        <v>3143</v>
      </c>
      <c r="G75" s="453" t="s">
        <v>63</v>
      </c>
      <c r="H75" s="92" t="s">
        <v>3144</v>
      </c>
      <c r="I75" s="533" t="s">
        <v>3142</v>
      </c>
      <c r="J75" s="297"/>
      <c r="K75" s="199" t="s">
        <v>2949</v>
      </c>
      <c r="L75" s="543" t="s">
        <v>2694</v>
      </c>
      <c r="M75" s="543" t="s">
        <v>2694</v>
      </c>
      <c r="N75" s="543" t="s">
        <v>2694</v>
      </c>
      <c r="O75" s="543" t="s">
        <v>2694</v>
      </c>
      <c r="P75" s="543" t="s">
        <v>2694</v>
      </c>
      <c r="Q75" s="543" t="s">
        <v>2694</v>
      </c>
      <c r="R75" s="543" t="s">
        <v>2694</v>
      </c>
      <c r="S75" s="543" t="s">
        <v>2694</v>
      </c>
    </row>
    <row r="76">
      <c r="A76" s="536">
        <v>2024.0</v>
      </c>
      <c r="B76" s="92" t="s">
        <v>711</v>
      </c>
      <c r="C76" s="535">
        <v>45574.0</v>
      </c>
      <c r="D76" s="453" t="s">
        <v>88</v>
      </c>
      <c r="E76" s="453" t="s">
        <v>57</v>
      </c>
      <c r="F76" s="92" t="s">
        <v>3145</v>
      </c>
      <c r="G76" s="453" t="s">
        <v>63</v>
      </c>
      <c r="H76" s="92" t="s">
        <v>3146</v>
      </c>
      <c r="I76" s="533" t="s">
        <v>3147</v>
      </c>
      <c r="J76" s="297"/>
      <c r="K76" s="199" t="s">
        <v>2949</v>
      </c>
      <c r="L76" s="544" t="s">
        <v>2694</v>
      </c>
      <c r="M76" s="199" t="s">
        <v>2949</v>
      </c>
      <c r="N76" s="544" t="s">
        <v>2694</v>
      </c>
      <c r="O76" s="199" t="s">
        <v>2949</v>
      </c>
      <c r="P76" s="544" t="s">
        <v>2694</v>
      </c>
      <c r="Q76" s="544" t="s">
        <v>2694</v>
      </c>
      <c r="R76" s="544" t="s">
        <v>2694</v>
      </c>
      <c r="S76" s="544" t="s">
        <v>2694</v>
      </c>
    </row>
    <row r="77">
      <c r="A77" s="92">
        <v>2024.0</v>
      </c>
      <c r="B77" s="92" t="s">
        <v>711</v>
      </c>
      <c r="C77" s="535">
        <v>45575.0</v>
      </c>
      <c r="D77" s="453" t="s">
        <v>88</v>
      </c>
      <c r="E77" s="453" t="s">
        <v>57</v>
      </c>
      <c r="F77" s="92" t="s">
        <v>3148</v>
      </c>
      <c r="G77" s="453" t="s">
        <v>63</v>
      </c>
      <c r="H77" s="92" t="s">
        <v>3149</v>
      </c>
      <c r="I77" s="533" t="s">
        <v>3150</v>
      </c>
      <c r="J77" s="297"/>
      <c r="K77" s="199" t="s">
        <v>2949</v>
      </c>
      <c r="L77" s="544" t="s">
        <v>2694</v>
      </c>
      <c r="M77" s="199" t="s">
        <v>2949</v>
      </c>
      <c r="N77" s="544" t="s">
        <v>2694</v>
      </c>
      <c r="O77" s="544" t="s">
        <v>2694</v>
      </c>
      <c r="P77" s="544" t="s">
        <v>2694</v>
      </c>
      <c r="Q77" s="544" t="s">
        <v>2694</v>
      </c>
      <c r="R77" s="544" t="s">
        <v>2694</v>
      </c>
      <c r="S77" s="544" t="s">
        <v>2694</v>
      </c>
    </row>
    <row r="78">
      <c r="A78" s="92">
        <v>2024.0</v>
      </c>
      <c r="B78" s="92" t="s">
        <v>711</v>
      </c>
      <c r="C78" s="535">
        <v>45576.0</v>
      </c>
      <c r="D78" s="453" t="s">
        <v>82</v>
      </c>
      <c r="E78" s="453" t="s">
        <v>57</v>
      </c>
      <c r="F78" s="92" t="s">
        <v>3151</v>
      </c>
      <c r="G78" s="453" t="s">
        <v>82</v>
      </c>
      <c r="H78" s="92" t="s">
        <v>3152</v>
      </c>
      <c r="I78" s="533" t="s">
        <v>3153</v>
      </c>
      <c r="J78" s="297"/>
      <c r="K78" s="199" t="s">
        <v>2694</v>
      </c>
      <c r="L78" s="544" t="s">
        <v>2694</v>
      </c>
      <c r="M78" s="544" t="s">
        <v>2694</v>
      </c>
      <c r="N78" s="544" t="s">
        <v>2694</v>
      </c>
      <c r="O78" s="544" t="s">
        <v>2694</v>
      </c>
      <c r="P78" s="544" t="s">
        <v>2694</v>
      </c>
      <c r="Q78" s="544" t="s">
        <v>2694</v>
      </c>
      <c r="R78" s="544" t="s">
        <v>2694</v>
      </c>
      <c r="S78" s="544" t="s">
        <v>2694</v>
      </c>
    </row>
    <row r="79">
      <c r="A79" s="92">
        <v>2024.0</v>
      </c>
      <c r="B79" s="453" t="s">
        <v>711</v>
      </c>
      <c r="C79" s="535">
        <v>45579.0</v>
      </c>
      <c r="D79" s="453" t="s">
        <v>2885</v>
      </c>
      <c r="E79" s="453" t="s">
        <v>57</v>
      </c>
      <c r="F79" s="92" t="s">
        <v>3154</v>
      </c>
      <c r="G79" s="453" t="s">
        <v>1122</v>
      </c>
      <c r="H79" s="92" t="s">
        <v>3155</v>
      </c>
      <c r="I79" s="533" t="s">
        <v>3156</v>
      </c>
      <c r="J79" s="297"/>
      <c r="K79" s="199" t="s">
        <v>2694</v>
      </c>
      <c r="L79" s="544" t="s">
        <v>2694</v>
      </c>
      <c r="M79" s="544" t="s">
        <v>2694</v>
      </c>
      <c r="N79" s="544" t="s">
        <v>2694</v>
      </c>
      <c r="O79" s="544" t="s">
        <v>2694</v>
      </c>
      <c r="P79" s="544" t="s">
        <v>2694</v>
      </c>
      <c r="Q79" s="544" t="s">
        <v>2694</v>
      </c>
      <c r="R79" s="544" t="s">
        <v>2694</v>
      </c>
      <c r="S79" s="544" t="s">
        <v>2694</v>
      </c>
    </row>
    <row r="80">
      <c r="A80" s="92">
        <v>2024.0</v>
      </c>
      <c r="B80" s="453" t="s">
        <v>711</v>
      </c>
      <c r="C80" s="535">
        <v>45581.0</v>
      </c>
      <c r="D80" s="453" t="s">
        <v>2885</v>
      </c>
      <c r="E80" s="453" t="s">
        <v>57</v>
      </c>
      <c r="F80" s="92" t="s">
        <v>3157</v>
      </c>
      <c r="G80" s="453" t="s">
        <v>1122</v>
      </c>
      <c r="H80" s="92" t="s">
        <v>3158</v>
      </c>
      <c r="I80" s="533" t="s">
        <v>3159</v>
      </c>
      <c r="J80" s="297"/>
      <c r="K80" s="199" t="s">
        <v>2694</v>
      </c>
      <c r="L80" s="544" t="s">
        <v>2694</v>
      </c>
      <c r="M80" s="544" t="s">
        <v>2694</v>
      </c>
      <c r="N80" s="544" t="s">
        <v>2694</v>
      </c>
      <c r="O80" s="544" t="s">
        <v>2694</v>
      </c>
      <c r="P80" s="544" t="s">
        <v>2694</v>
      </c>
      <c r="Q80" s="544" t="s">
        <v>2694</v>
      </c>
      <c r="R80" s="544" t="s">
        <v>2694</v>
      </c>
      <c r="S80" s="544" t="s">
        <v>2694</v>
      </c>
    </row>
    <row r="81">
      <c r="A81" s="92">
        <v>2024.0</v>
      </c>
      <c r="B81" s="536" t="s">
        <v>711</v>
      </c>
      <c r="C81" s="535">
        <v>45584.0</v>
      </c>
      <c r="D81" s="453" t="s">
        <v>128</v>
      </c>
      <c r="E81" s="453" t="s">
        <v>57</v>
      </c>
      <c r="F81" s="92" t="s">
        <v>3160</v>
      </c>
      <c r="G81" s="453" t="s">
        <v>63</v>
      </c>
      <c r="H81" s="92" t="s">
        <v>3161</v>
      </c>
      <c r="I81" s="533" t="s">
        <v>3162</v>
      </c>
      <c r="J81" s="297"/>
      <c r="K81" s="199" t="s">
        <v>2694</v>
      </c>
      <c r="L81" s="544" t="s">
        <v>2694</v>
      </c>
      <c r="M81" s="544" t="s">
        <v>2694</v>
      </c>
      <c r="N81" s="544" t="s">
        <v>2694</v>
      </c>
      <c r="O81" s="544" t="s">
        <v>2694</v>
      </c>
      <c r="P81" s="544" t="s">
        <v>2694</v>
      </c>
      <c r="Q81" s="544" t="s">
        <v>2694</v>
      </c>
      <c r="R81" s="544" t="s">
        <v>2694</v>
      </c>
      <c r="S81" s="544" t="s">
        <v>2694</v>
      </c>
    </row>
    <row r="82">
      <c r="A82" s="92">
        <v>2024.0</v>
      </c>
      <c r="B82" s="536" t="s">
        <v>711</v>
      </c>
      <c r="C82" s="535">
        <v>45587.0</v>
      </c>
      <c r="D82" s="453" t="s">
        <v>3163</v>
      </c>
      <c r="E82" s="453" t="s">
        <v>57</v>
      </c>
      <c r="F82" s="92" t="s">
        <v>3023</v>
      </c>
      <c r="G82" s="453" t="s">
        <v>63</v>
      </c>
      <c r="H82" s="92" t="s">
        <v>3164</v>
      </c>
      <c r="I82" s="533" t="s">
        <v>3137</v>
      </c>
      <c r="J82" s="297"/>
      <c r="K82" s="199" t="s">
        <v>2949</v>
      </c>
      <c r="L82" s="544" t="s">
        <v>2694</v>
      </c>
      <c r="M82" s="544" t="s">
        <v>2694</v>
      </c>
      <c r="N82" s="199" t="s">
        <v>2949</v>
      </c>
      <c r="O82" s="544" t="s">
        <v>2694</v>
      </c>
      <c r="P82" s="544" t="s">
        <v>2694</v>
      </c>
      <c r="Q82" s="544" t="s">
        <v>2694</v>
      </c>
      <c r="R82" s="544" t="s">
        <v>2694</v>
      </c>
      <c r="S82" s="544" t="s">
        <v>2694</v>
      </c>
    </row>
    <row r="83">
      <c r="A83" s="92">
        <v>2024.0</v>
      </c>
      <c r="B83" s="92" t="s">
        <v>711</v>
      </c>
      <c r="C83" s="535">
        <v>45587.0</v>
      </c>
      <c r="D83" s="453" t="s">
        <v>154</v>
      </c>
      <c r="E83" s="453" t="s">
        <v>57</v>
      </c>
      <c r="F83" s="92" t="s">
        <v>3165</v>
      </c>
      <c r="G83" s="453" t="s">
        <v>154</v>
      </c>
      <c r="H83" s="92" t="s">
        <v>3166</v>
      </c>
      <c r="I83" s="533" t="s">
        <v>3167</v>
      </c>
      <c r="J83" s="297"/>
      <c r="K83" s="199" t="s">
        <v>2949</v>
      </c>
      <c r="L83" s="544" t="s">
        <v>2694</v>
      </c>
      <c r="M83" s="544" t="s">
        <v>2694</v>
      </c>
      <c r="N83" s="199" t="s">
        <v>2949</v>
      </c>
      <c r="O83" s="544" t="s">
        <v>2694</v>
      </c>
      <c r="P83" s="544" t="s">
        <v>2694</v>
      </c>
      <c r="Q83" s="544" t="s">
        <v>2694</v>
      </c>
      <c r="R83" s="544" t="s">
        <v>2694</v>
      </c>
      <c r="S83" s="544" t="s">
        <v>2694</v>
      </c>
    </row>
    <row r="84">
      <c r="A84" s="92">
        <v>2024.0</v>
      </c>
      <c r="B84" s="92" t="s">
        <v>711</v>
      </c>
      <c r="C84" s="535">
        <v>45588.0</v>
      </c>
      <c r="D84" s="453" t="s">
        <v>82</v>
      </c>
      <c r="E84" s="453" t="s">
        <v>57</v>
      </c>
      <c r="F84" s="92" t="s">
        <v>3168</v>
      </c>
      <c r="G84" s="453" t="s">
        <v>82</v>
      </c>
      <c r="H84" s="92" t="s">
        <v>3169</v>
      </c>
      <c r="I84" s="533" t="s">
        <v>3170</v>
      </c>
      <c r="J84" s="297"/>
      <c r="K84" s="199" t="s">
        <v>2949</v>
      </c>
      <c r="L84" s="544" t="s">
        <v>2694</v>
      </c>
      <c r="M84" s="544" t="s">
        <v>2694</v>
      </c>
      <c r="N84" s="199" t="s">
        <v>2949</v>
      </c>
      <c r="O84" s="544" t="s">
        <v>2694</v>
      </c>
      <c r="P84" s="544" t="s">
        <v>2694</v>
      </c>
      <c r="Q84" s="544" t="s">
        <v>2694</v>
      </c>
      <c r="R84" s="544" t="s">
        <v>2694</v>
      </c>
      <c r="S84" s="544" t="s">
        <v>2694</v>
      </c>
    </row>
    <row r="85">
      <c r="A85" s="92">
        <v>2024.0</v>
      </c>
      <c r="B85" s="92" t="s">
        <v>711</v>
      </c>
      <c r="C85" s="535">
        <v>45590.0</v>
      </c>
      <c r="D85" s="453" t="s">
        <v>119</v>
      </c>
      <c r="E85" s="453" t="s">
        <v>57</v>
      </c>
      <c r="F85" s="92" t="s">
        <v>3171</v>
      </c>
      <c r="G85" s="453" t="s">
        <v>63</v>
      </c>
      <c r="H85" s="92" t="s">
        <v>3172</v>
      </c>
      <c r="I85" s="533" t="s">
        <v>3173</v>
      </c>
      <c r="J85" s="297"/>
      <c r="K85" s="199" t="s">
        <v>2949</v>
      </c>
      <c r="L85" s="544" t="s">
        <v>2694</v>
      </c>
      <c r="M85" s="544" t="s">
        <v>2694</v>
      </c>
      <c r="N85" s="199" t="s">
        <v>2949</v>
      </c>
      <c r="O85" s="544" t="s">
        <v>2694</v>
      </c>
      <c r="P85" s="544" t="s">
        <v>2694</v>
      </c>
      <c r="Q85" s="544" t="s">
        <v>2694</v>
      </c>
      <c r="R85" s="544" t="s">
        <v>2694</v>
      </c>
      <c r="S85" s="544" t="s">
        <v>2694</v>
      </c>
    </row>
    <row r="86">
      <c r="A86" s="92">
        <v>2024.0</v>
      </c>
      <c r="B86" s="92" t="s">
        <v>711</v>
      </c>
      <c r="C86" s="535">
        <v>45590.0</v>
      </c>
      <c r="D86" s="453" t="s">
        <v>82</v>
      </c>
      <c r="E86" s="453" t="s">
        <v>57</v>
      </c>
      <c r="F86" s="92" t="s">
        <v>3174</v>
      </c>
      <c r="G86" s="453" t="s">
        <v>82</v>
      </c>
      <c r="H86" s="92" t="s">
        <v>3175</v>
      </c>
      <c r="I86" s="533" t="s">
        <v>3176</v>
      </c>
      <c r="J86" s="297"/>
      <c r="K86" s="199" t="s">
        <v>2949</v>
      </c>
      <c r="L86" s="544" t="s">
        <v>2694</v>
      </c>
      <c r="M86" s="544" t="s">
        <v>2694</v>
      </c>
      <c r="N86" s="199" t="s">
        <v>2949</v>
      </c>
      <c r="O86" s="544" t="s">
        <v>2694</v>
      </c>
      <c r="P86" s="544" t="s">
        <v>2694</v>
      </c>
      <c r="Q86" s="544" t="s">
        <v>2694</v>
      </c>
      <c r="R86" s="544" t="s">
        <v>2694</v>
      </c>
      <c r="S86" s="544" t="s">
        <v>2694</v>
      </c>
    </row>
    <row r="87">
      <c r="A87" s="92">
        <v>2024.0</v>
      </c>
      <c r="B87" s="92" t="s">
        <v>711</v>
      </c>
      <c r="C87" s="535">
        <v>45593.0</v>
      </c>
      <c r="D87" s="453" t="s">
        <v>133</v>
      </c>
      <c r="E87" s="453" t="s">
        <v>57</v>
      </c>
      <c r="F87" s="92" t="s">
        <v>3177</v>
      </c>
      <c r="G87" s="453" t="s">
        <v>63</v>
      </c>
      <c r="H87" s="92" t="s">
        <v>3178</v>
      </c>
      <c r="I87" s="533" t="s">
        <v>3179</v>
      </c>
      <c r="J87" s="297"/>
      <c r="K87" s="199" t="s">
        <v>2949</v>
      </c>
      <c r="L87" s="544" t="s">
        <v>2694</v>
      </c>
      <c r="M87" s="199" t="s">
        <v>2694</v>
      </c>
      <c r="N87" s="199" t="s">
        <v>2949</v>
      </c>
      <c r="O87" s="199" t="s">
        <v>2694</v>
      </c>
      <c r="P87" s="544" t="s">
        <v>2694</v>
      </c>
      <c r="Q87" s="199" t="s">
        <v>2694</v>
      </c>
      <c r="R87" s="544" t="s">
        <v>2694</v>
      </c>
      <c r="S87" s="199" t="s">
        <v>2694</v>
      </c>
      <c r="T87" s="544"/>
    </row>
    <row r="88">
      <c r="A88" s="92">
        <v>2024.0</v>
      </c>
      <c r="B88" s="92" t="s">
        <v>711</v>
      </c>
      <c r="C88" s="535">
        <v>45594.0</v>
      </c>
      <c r="D88" s="453" t="s">
        <v>119</v>
      </c>
      <c r="E88" s="453" t="s">
        <v>57</v>
      </c>
      <c r="F88" s="92" t="s">
        <v>3171</v>
      </c>
      <c r="G88" s="453" t="s">
        <v>63</v>
      </c>
      <c r="H88" s="92" t="s">
        <v>3180</v>
      </c>
      <c r="I88" s="533" t="s">
        <v>3181</v>
      </c>
      <c r="J88" s="297"/>
      <c r="K88" s="199" t="s">
        <v>2694</v>
      </c>
      <c r="L88" s="544" t="s">
        <v>2694</v>
      </c>
      <c r="M88" s="199" t="s">
        <v>2694</v>
      </c>
      <c r="N88" s="199" t="s">
        <v>2949</v>
      </c>
      <c r="O88" s="199" t="s">
        <v>2694</v>
      </c>
      <c r="P88" s="544" t="s">
        <v>2694</v>
      </c>
      <c r="Q88" s="199" t="s">
        <v>2694</v>
      </c>
      <c r="R88" s="544" t="s">
        <v>2694</v>
      </c>
      <c r="S88" s="199" t="s">
        <v>2694</v>
      </c>
      <c r="T88" s="544"/>
    </row>
    <row r="89">
      <c r="A89" s="92">
        <v>2024.0</v>
      </c>
      <c r="B89" s="92" t="s">
        <v>711</v>
      </c>
      <c r="C89" s="535">
        <v>45595.0</v>
      </c>
      <c r="D89" s="453" t="s">
        <v>72</v>
      </c>
      <c r="E89" s="453" t="s">
        <v>57</v>
      </c>
      <c r="F89" s="92" t="s">
        <v>3182</v>
      </c>
      <c r="G89" s="453" t="s">
        <v>63</v>
      </c>
      <c r="H89" s="92" t="s">
        <v>3183</v>
      </c>
      <c r="I89" s="533" t="s">
        <v>3184</v>
      </c>
      <c r="J89" s="297"/>
      <c r="K89" s="199" t="s">
        <v>2949</v>
      </c>
      <c r="L89" s="544" t="s">
        <v>2694</v>
      </c>
      <c r="M89" s="199" t="s">
        <v>2694</v>
      </c>
      <c r="N89" s="199" t="s">
        <v>2949</v>
      </c>
      <c r="O89" s="199" t="s">
        <v>2694</v>
      </c>
      <c r="P89" s="544" t="s">
        <v>2694</v>
      </c>
      <c r="Q89" s="199" t="s">
        <v>2694</v>
      </c>
      <c r="R89" s="544" t="s">
        <v>2694</v>
      </c>
      <c r="S89" s="199" t="s">
        <v>2694</v>
      </c>
      <c r="T89" s="544"/>
    </row>
    <row r="90">
      <c r="A90" s="92">
        <v>2024.0</v>
      </c>
      <c r="B90" s="92" t="s">
        <v>795</v>
      </c>
      <c r="C90" s="535">
        <v>45601.0</v>
      </c>
      <c r="D90" s="453" t="s">
        <v>2474</v>
      </c>
      <c r="E90" s="453" t="s">
        <v>57</v>
      </c>
      <c r="F90" s="92" t="s">
        <v>3185</v>
      </c>
      <c r="G90" s="453" t="s">
        <v>63</v>
      </c>
      <c r="H90" s="92" t="s">
        <v>3186</v>
      </c>
      <c r="I90" s="533" t="s">
        <v>3187</v>
      </c>
      <c r="J90" s="297"/>
      <c r="K90" s="199" t="s">
        <v>2694</v>
      </c>
      <c r="L90" s="544" t="s">
        <v>2694</v>
      </c>
      <c r="M90" s="199" t="s">
        <v>2694</v>
      </c>
      <c r="N90" s="199" t="s">
        <v>2949</v>
      </c>
      <c r="O90" s="199" t="s">
        <v>2694</v>
      </c>
      <c r="P90" s="544" t="s">
        <v>2694</v>
      </c>
      <c r="Q90" s="199" t="s">
        <v>2694</v>
      </c>
      <c r="R90" s="544" t="s">
        <v>2694</v>
      </c>
      <c r="S90" s="199" t="s">
        <v>2694</v>
      </c>
      <c r="T90" s="544"/>
    </row>
    <row r="91">
      <c r="A91" s="92">
        <v>2024.0</v>
      </c>
      <c r="B91" s="92" t="s">
        <v>795</v>
      </c>
      <c r="C91" s="535">
        <v>45602.0</v>
      </c>
      <c r="D91" s="453" t="s">
        <v>358</v>
      </c>
      <c r="E91" s="453" t="s">
        <v>57</v>
      </c>
      <c r="F91" s="92" t="s">
        <v>3188</v>
      </c>
      <c r="G91" s="453" t="s">
        <v>63</v>
      </c>
      <c r="H91" s="92" t="s">
        <v>3189</v>
      </c>
      <c r="I91" s="533" t="s">
        <v>3190</v>
      </c>
      <c r="J91" s="297"/>
      <c r="K91" s="199" t="s">
        <v>2694</v>
      </c>
      <c r="L91" s="544" t="s">
        <v>2694</v>
      </c>
      <c r="M91" s="199" t="s">
        <v>2694</v>
      </c>
      <c r="N91" s="199" t="s">
        <v>2949</v>
      </c>
      <c r="O91" s="199" t="s">
        <v>2694</v>
      </c>
      <c r="P91" s="544" t="s">
        <v>2694</v>
      </c>
      <c r="Q91" s="199" t="s">
        <v>2694</v>
      </c>
      <c r="R91" s="544" t="s">
        <v>2694</v>
      </c>
      <c r="S91" s="199" t="s">
        <v>2694</v>
      </c>
      <c r="T91" s="544"/>
    </row>
    <row r="92">
      <c r="A92" s="92">
        <v>2024.0</v>
      </c>
      <c r="B92" s="92" t="s">
        <v>795</v>
      </c>
      <c r="C92" s="545">
        <v>45614.0</v>
      </c>
      <c r="D92" s="453" t="s">
        <v>133</v>
      </c>
      <c r="E92" s="453" t="s">
        <v>57</v>
      </c>
      <c r="F92" s="92" t="s">
        <v>3191</v>
      </c>
      <c r="G92" s="453" t="s">
        <v>63</v>
      </c>
      <c r="H92" s="92" t="s">
        <v>3192</v>
      </c>
      <c r="I92" s="533" t="s">
        <v>3193</v>
      </c>
      <c r="J92" s="297"/>
      <c r="K92" s="199" t="s">
        <v>2694</v>
      </c>
      <c r="L92" s="544" t="s">
        <v>2694</v>
      </c>
      <c r="M92" s="199" t="s">
        <v>2694</v>
      </c>
      <c r="N92" s="199" t="s">
        <v>2949</v>
      </c>
      <c r="O92" s="199" t="s">
        <v>2694</v>
      </c>
      <c r="P92" s="544" t="s">
        <v>2694</v>
      </c>
      <c r="Q92" s="199" t="s">
        <v>2694</v>
      </c>
      <c r="R92" s="544" t="s">
        <v>2694</v>
      </c>
      <c r="S92" s="199" t="s">
        <v>2694</v>
      </c>
      <c r="T92" s="544"/>
    </row>
    <row r="93">
      <c r="A93" s="92">
        <v>2024.0</v>
      </c>
      <c r="B93" s="92" t="s">
        <v>795</v>
      </c>
      <c r="C93" s="545">
        <v>45615.0</v>
      </c>
      <c r="D93" s="453" t="s">
        <v>128</v>
      </c>
      <c r="E93" s="453" t="s">
        <v>57</v>
      </c>
      <c r="F93" s="92" t="s">
        <v>3194</v>
      </c>
      <c r="G93" s="453" t="s">
        <v>128</v>
      </c>
      <c r="H93" s="92" t="s">
        <v>3195</v>
      </c>
      <c r="I93" s="533" t="s">
        <v>3196</v>
      </c>
      <c r="J93" s="297"/>
      <c r="K93" s="199" t="s">
        <v>2694</v>
      </c>
      <c r="L93" s="544" t="s">
        <v>2694</v>
      </c>
      <c r="M93" s="199" t="s">
        <v>2694</v>
      </c>
      <c r="N93" s="199" t="s">
        <v>2949</v>
      </c>
      <c r="O93" s="199" t="s">
        <v>2694</v>
      </c>
      <c r="P93" s="544" t="s">
        <v>2694</v>
      </c>
      <c r="Q93" s="199" t="s">
        <v>2694</v>
      </c>
      <c r="R93" s="544" t="s">
        <v>2694</v>
      </c>
      <c r="S93" s="199" t="s">
        <v>2694</v>
      </c>
      <c r="T93" s="544"/>
    </row>
    <row r="94">
      <c r="A94" s="92">
        <v>2024.0</v>
      </c>
      <c r="B94" s="92" t="s">
        <v>795</v>
      </c>
      <c r="C94" s="545">
        <v>45622.0</v>
      </c>
      <c r="D94" s="453" t="s">
        <v>128</v>
      </c>
      <c r="E94" s="453" t="s">
        <v>57</v>
      </c>
      <c r="F94" s="92" t="s">
        <v>3197</v>
      </c>
      <c r="G94" s="453" t="s">
        <v>128</v>
      </c>
      <c r="H94" s="92" t="s">
        <v>3198</v>
      </c>
      <c r="I94" s="534" t="s">
        <v>3199</v>
      </c>
      <c r="J94" s="297"/>
      <c r="K94" s="199" t="s">
        <v>2949</v>
      </c>
      <c r="L94" s="199" t="s">
        <v>2694</v>
      </c>
      <c r="M94" s="199" t="s">
        <v>2949</v>
      </c>
      <c r="N94" s="199" t="s">
        <v>2949</v>
      </c>
      <c r="O94" s="199" t="s">
        <v>2694</v>
      </c>
      <c r="P94" s="199" t="s">
        <v>2694</v>
      </c>
      <c r="Q94" s="199" t="s">
        <v>2694</v>
      </c>
      <c r="R94" s="199" t="s">
        <v>2694</v>
      </c>
      <c r="S94" s="199" t="s">
        <v>2694</v>
      </c>
      <c r="T94" s="544"/>
    </row>
    <row r="95">
      <c r="A95" s="92">
        <v>2024.0</v>
      </c>
      <c r="B95" s="92" t="s">
        <v>795</v>
      </c>
      <c r="C95" s="545">
        <v>45624.0</v>
      </c>
      <c r="D95" s="453" t="s">
        <v>3200</v>
      </c>
      <c r="E95" s="453" t="s">
        <v>57</v>
      </c>
      <c r="F95" s="92" t="s">
        <v>3201</v>
      </c>
      <c r="G95" s="453" t="s">
        <v>63</v>
      </c>
      <c r="H95" s="92" t="s">
        <v>3202</v>
      </c>
      <c r="I95" s="534" t="s">
        <v>3203</v>
      </c>
      <c r="J95" s="297"/>
      <c r="K95" s="199" t="s">
        <v>2949</v>
      </c>
      <c r="L95" s="199" t="s">
        <v>2694</v>
      </c>
      <c r="M95" s="199" t="s">
        <v>2949</v>
      </c>
      <c r="N95" s="199" t="s">
        <v>2949</v>
      </c>
      <c r="O95" s="199" t="s">
        <v>2694</v>
      </c>
      <c r="P95" s="544" t="s">
        <v>2694</v>
      </c>
      <c r="Q95" s="199" t="s">
        <v>2694</v>
      </c>
      <c r="R95" s="544" t="s">
        <v>2694</v>
      </c>
      <c r="S95" s="199" t="s">
        <v>2694</v>
      </c>
      <c r="T95" s="544"/>
    </row>
    <row r="96">
      <c r="A96" s="92">
        <v>2024.0</v>
      </c>
      <c r="B96" s="92" t="s">
        <v>910</v>
      </c>
      <c r="C96" s="545">
        <v>45628.0</v>
      </c>
      <c r="D96" s="453" t="s">
        <v>2474</v>
      </c>
      <c r="E96" s="453" t="s">
        <v>57</v>
      </c>
      <c r="F96" s="92" t="s">
        <v>3185</v>
      </c>
      <c r="G96" s="453" t="s">
        <v>63</v>
      </c>
      <c r="H96" s="92" t="s">
        <v>3065</v>
      </c>
      <c r="I96" s="533" t="s">
        <v>3204</v>
      </c>
      <c r="J96" s="297"/>
      <c r="K96" s="199" t="s">
        <v>2949</v>
      </c>
      <c r="L96" s="199" t="s">
        <v>2694</v>
      </c>
      <c r="M96" s="199" t="s">
        <v>2949</v>
      </c>
      <c r="N96" s="199" t="s">
        <v>2949</v>
      </c>
      <c r="O96" s="199" t="s">
        <v>2694</v>
      </c>
      <c r="P96" s="544" t="s">
        <v>2694</v>
      </c>
      <c r="Q96" s="199" t="s">
        <v>2694</v>
      </c>
      <c r="R96" s="544" t="s">
        <v>2694</v>
      </c>
      <c r="S96" s="199" t="s">
        <v>2694</v>
      </c>
      <c r="T96" s="544"/>
    </row>
    <row r="97">
      <c r="A97" s="92">
        <v>2024.0</v>
      </c>
      <c r="B97" s="92" t="s">
        <v>910</v>
      </c>
      <c r="C97" s="545">
        <v>45637.0</v>
      </c>
      <c r="D97" s="453" t="s">
        <v>6</v>
      </c>
      <c r="E97" s="453" t="s">
        <v>57</v>
      </c>
      <c r="F97" s="92" t="s">
        <v>3205</v>
      </c>
      <c r="G97" s="453" t="s">
        <v>63</v>
      </c>
      <c r="H97" s="92" t="s">
        <v>3182</v>
      </c>
      <c r="I97" s="533" t="s">
        <v>3206</v>
      </c>
      <c r="J97" s="297"/>
      <c r="K97" s="199" t="s">
        <v>2949</v>
      </c>
      <c r="L97" s="199" t="s">
        <v>2694</v>
      </c>
      <c r="M97" s="199" t="s">
        <v>2949</v>
      </c>
      <c r="N97" s="199" t="s">
        <v>2949</v>
      </c>
      <c r="O97" s="199" t="s">
        <v>2694</v>
      </c>
      <c r="P97" s="544" t="s">
        <v>2694</v>
      </c>
      <c r="Q97" s="199" t="s">
        <v>2694</v>
      </c>
      <c r="R97" s="544" t="s">
        <v>2694</v>
      </c>
      <c r="S97" s="199" t="s">
        <v>2694</v>
      </c>
      <c r="T97" s="544"/>
    </row>
    <row r="98">
      <c r="A98" s="92">
        <v>2024.0</v>
      </c>
      <c r="B98" s="92" t="s">
        <v>910</v>
      </c>
      <c r="C98" s="545">
        <v>45638.0</v>
      </c>
      <c r="D98" s="453" t="s">
        <v>3200</v>
      </c>
      <c r="E98" s="453" t="s">
        <v>57</v>
      </c>
      <c r="F98" s="92" t="s">
        <v>3207</v>
      </c>
      <c r="G98" s="453" t="s">
        <v>63</v>
      </c>
      <c r="H98" s="92" t="s">
        <v>3208</v>
      </c>
      <c r="I98" s="533" t="s">
        <v>3209</v>
      </c>
      <c r="J98" s="297"/>
      <c r="K98" s="199" t="s">
        <v>2949</v>
      </c>
      <c r="L98" s="199" t="s">
        <v>2694</v>
      </c>
      <c r="M98" s="199" t="s">
        <v>2949</v>
      </c>
      <c r="N98" s="199" t="s">
        <v>2949</v>
      </c>
      <c r="O98" s="199" t="s">
        <v>2694</v>
      </c>
      <c r="P98" s="544" t="s">
        <v>2694</v>
      </c>
      <c r="Q98" s="199" t="s">
        <v>2694</v>
      </c>
      <c r="R98" s="544" t="s">
        <v>2694</v>
      </c>
      <c r="S98" s="199" t="s">
        <v>2694</v>
      </c>
      <c r="T98" s="544"/>
    </row>
    <row r="99">
      <c r="A99" s="92">
        <v>2024.0</v>
      </c>
      <c r="B99" s="92" t="s">
        <v>910</v>
      </c>
      <c r="C99" s="545">
        <v>45638.0</v>
      </c>
      <c r="D99" s="453" t="s">
        <v>82</v>
      </c>
      <c r="E99" s="453" t="s">
        <v>57</v>
      </c>
      <c r="F99" s="92" t="s">
        <v>3210</v>
      </c>
      <c r="G99" s="453" t="s">
        <v>82</v>
      </c>
      <c r="H99" s="92" t="s">
        <v>3211</v>
      </c>
      <c r="I99" s="533" t="s">
        <v>3212</v>
      </c>
      <c r="J99" s="297"/>
      <c r="K99" s="199" t="s">
        <v>2949</v>
      </c>
      <c r="L99" s="199" t="s">
        <v>2694</v>
      </c>
      <c r="M99" s="199" t="s">
        <v>2949</v>
      </c>
      <c r="N99" s="199" t="s">
        <v>2949</v>
      </c>
      <c r="O99" s="199" t="s">
        <v>2694</v>
      </c>
      <c r="P99" s="544" t="s">
        <v>2694</v>
      </c>
      <c r="Q99" s="199" t="s">
        <v>2694</v>
      </c>
      <c r="R99" s="544" t="s">
        <v>2694</v>
      </c>
      <c r="S99" s="199" t="s">
        <v>2694</v>
      </c>
      <c r="T99" s="544"/>
    </row>
    <row r="100">
      <c r="A100" s="92">
        <v>2024.0</v>
      </c>
      <c r="B100" s="92" t="s">
        <v>910</v>
      </c>
      <c r="C100" s="545">
        <v>45642.0</v>
      </c>
      <c r="D100" s="453" t="s">
        <v>55</v>
      </c>
      <c r="E100" s="453" t="s">
        <v>57</v>
      </c>
      <c r="F100" s="92" t="s">
        <v>3213</v>
      </c>
      <c r="G100" s="453" t="s">
        <v>63</v>
      </c>
      <c r="H100" s="92" t="s">
        <v>3214</v>
      </c>
      <c r="I100" s="533" t="s">
        <v>3215</v>
      </c>
      <c r="J100" s="297"/>
      <c r="K100" s="199" t="s">
        <v>2949</v>
      </c>
      <c r="L100" s="199" t="s">
        <v>2694</v>
      </c>
      <c r="M100" s="199" t="s">
        <v>2949</v>
      </c>
      <c r="N100" s="199" t="s">
        <v>2949</v>
      </c>
      <c r="O100" s="199" t="s">
        <v>2694</v>
      </c>
      <c r="P100" s="199" t="s">
        <v>2694</v>
      </c>
      <c r="Q100" s="199" t="s">
        <v>2694</v>
      </c>
      <c r="R100" s="199" t="s">
        <v>2694</v>
      </c>
      <c r="S100" s="199" t="s">
        <v>2694</v>
      </c>
      <c r="T100" s="544"/>
    </row>
    <row r="101">
      <c r="A101" s="92">
        <v>2024.0</v>
      </c>
      <c r="B101" s="92" t="s">
        <v>910</v>
      </c>
      <c r="C101" s="545">
        <v>45638.0</v>
      </c>
      <c r="D101" s="453" t="s">
        <v>3200</v>
      </c>
      <c r="E101" s="453" t="s">
        <v>57</v>
      </c>
      <c r="F101" s="92" t="s">
        <v>3216</v>
      </c>
      <c r="G101" s="453" t="s">
        <v>63</v>
      </c>
      <c r="H101" s="92" t="s">
        <v>3217</v>
      </c>
      <c r="I101" s="533" t="s">
        <v>3218</v>
      </c>
      <c r="J101" s="297"/>
      <c r="K101" s="199" t="s">
        <v>2694</v>
      </c>
      <c r="L101" s="199" t="s">
        <v>2949</v>
      </c>
      <c r="M101" s="199" t="s">
        <v>2694</v>
      </c>
      <c r="N101" s="199" t="s">
        <v>2694</v>
      </c>
      <c r="O101" s="199" t="s">
        <v>2694</v>
      </c>
      <c r="P101" s="199" t="s">
        <v>2694</v>
      </c>
      <c r="Q101" s="199" t="s">
        <v>2694</v>
      </c>
      <c r="R101" s="199" t="s">
        <v>2694</v>
      </c>
      <c r="S101" s="199" t="s">
        <v>2694</v>
      </c>
      <c r="T101" s="544"/>
    </row>
    <row r="102">
      <c r="A102" s="546">
        <v>2024.0</v>
      </c>
      <c r="B102" s="546" t="s">
        <v>910</v>
      </c>
      <c r="C102" s="547">
        <v>45647.0</v>
      </c>
      <c r="D102" s="548" t="s">
        <v>2978</v>
      </c>
      <c r="E102" s="548" t="s">
        <v>57</v>
      </c>
      <c r="F102" s="546" t="s">
        <v>3219</v>
      </c>
      <c r="G102" s="548" t="s">
        <v>63</v>
      </c>
      <c r="H102" s="546" t="s">
        <v>3220</v>
      </c>
      <c r="I102" s="549" t="s">
        <v>3221</v>
      </c>
      <c r="J102" s="550"/>
      <c r="K102" s="551" t="s">
        <v>2949</v>
      </c>
      <c r="L102" s="551" t="s">
        <v>2694</v>
      </c>
      <c r="M102" s="551" t="s">
        <v>2694</v>
      </c>
      <c r="N102" s="551" t="s">
        <v>2949</v>
      </c>
      <c r="O102" s="551" t="s">
        <v>2694</v>
      </c>
      <c r="P102" s="551" t="s">
        <v>2694</v>
      </c>
      <c r="Q102" s="551" t="s">
        <v>2694</v>
      </c>
      <c r="R102" s="551" t="s">
        <v>2694</v>
      </c>
      <c r="S102" s="551" t="s">
        <v>2694</v>
      </c>
      <c r="T102" s="552"/>
      <c r="U102" s="553"/>
      <c r="V102" s="553"/>
      <c r="W102" s="553"/>
      <c r="X102" s="553"/>
      <c r="Y102" s="553"/>
      <c r="Z102" s="553"/>
    </row>
    <row r="103">
      <c r="A103" s="92">
        <v>2025.0</v>
      </c>
      <c r="B103" s="92" t="s">
        <v>54</v>
      </c>
      <c r="C103" s="545">
        <v>45666.0</v>
      </c>
      <c r="D103" s="453" t="s">
        <v>259</v>
      </c>
      <c r="E103" s="453" t="s">
        <v>57</v>
      </c>
      <c r="F103" s="92" t="s">
        <v>3222</v>
      </c>
      <c r="G103" s="453" t="s">
        <v>63</v>
      </c>
      <c r="H103" s="92" t="s">
        <v>3223</v>
      </c>
      <c r="I103" s="534" t="s">
        <v>3224</v>
      </c>
      <c r="J103" s="297"/>
      <c r="K103" s="199" t="s">
        <v>2949</v>
      </c>
      <c r="L103" s="199" t="s">
        <v>2694</v>
      </c>
      <c r="M103" s="199" t="s">
        <v>2694</v>
      </c>
      <c r="N103" s="199" t="s">
        <v>2949</v>
      </c>
      <c r="O103" s="199" t="s">
        <v>2694</v>
      </c>
      <c r="P103" s="199" t="s">
        <v>2694</v>
      </c>
      <c r="Q103" s="199" t="s">
        <v>2694</v>
      </c>
      <c r="R103" s="199" t="s">
        <v>2694</v>
      </c>
      <c r="S103" s="199" t="s">
        <v>2694</v>
      </c>
      <c r="T103" s="544"/>
    </row>
    <row r="104">
      <c r="A104" s="92">
        <v>2025.0</v>
      </c>
      <c r="B104" s="92" t="s">
        <v>54</v>
      </c>
      <c r="C104" s="545">
        <v>45666.0</v>
      </c>
      <c r="D104" s="453" t="s">
        <v>55</v>
      </c>
      <c r="E104" s="453" t="s">
        <v>57</v>
      </c>
      <c r="F104" s="92" t="s">
        <v>3225</v>
      </c>
      <c r="G104" s="453" t="s">
        <v>63</v>
      </c>
      <c r="H104" s="92" t="s">
        <v>3226</v>
      </c>
      <c r="I104" s="534" t="s">
        <v>3227</v>
      </c>
      <c r="J104" s="297"/>
      <c r="K104" s="199" t="s">
        <v>2694</v>
      </c>
      <c r="L104" s="199" t="s">
        <v>2949</v>
      </c>
      <c r="M104" s="199" t="s">
        <v>2694</v>
      </c>
      <c r="N104" s="199" t="s">
        <v>2694</v>
      </c>
      <c r="O104" s="199" t="s">
        <v>2694</v>
      </c>
      <c r="P104" s="199" t="s">
        <v>2694</v>
      </c>
      <c r="Q104" s="199" t="s">
        <v>2694</v>
      </c>
      <c r="R104" s="199" t="s">
        <v>2694</v>
      </c>
      <c r="S104" s="199" t="s">
        <v>2694</v>
      </c>
      <c r="T104" s="544"/>
    </row>
    <row r="105">
      <c r="A105" s="92">
        <v>2025.0</v>
      </c>
      <c r="B105" s="92" t="s">
        <v>54</v>
      </c>
      <c r="C105" s="545">
        <v>45678.0</v>
      </c>
      <c r="D105" s="453" t="s">
        <v>1018</v>
      </c>
      <c r="E105" s="453" t="s">
        <v>57</v>
      </c>
      <c r="F105" s="92" t="s">
        <v>3228</v>
      </c>
      <c r="G105" s="453" t="s">
        <v>63</v>
      </c>
      <c r="H105" s="92" t="s">
        <v>3229</v>
      </c>
      <c r="I105" s="533" t="s">
        <v>3230</v>
      </c>
      <c r="J105" s="297"/>
      <c r="K105" s="199" t="s">
        <v>2949</v>
      </c>
      <c r="L105" s="199" t="s">
        <v>2694</v>
      </c>
      <c r="M105" s="199" t="s">
        <v>2949</v>
      </c>
      <c r="N105" s="199" t="s">
        <v>2949</v>
      </c>
      <c r="O105" s="199" t="s">
        <v>2694</v>
      </c>
      <c r="P105" s="199" t="s">
        <v>2694</v>
      </c>
      <c r="Q105" s="199" t="s">
        <v>2694</v>
      </c>
      <c r="R105" s="199" t="s">
        <v>2694</v>
      </c>
      <c r="S105" s="199" t="s">
        <v>2694</v>
      </c>
      <c r="T105" s="544"/>
    </row>
    <row r="106">
      <c r="A106" s="92">
        <v>2025.0</v>
      </c>
      <c r="B106" s="92" t="s">
        <v>54</v>
      </c>
      <c r="C106" s="545">
        <v>45679.0</v>
      </c>
      <c r="D106" s="453" t="s">
        <v>128</v>
      </c>
      <c r="E106" s="453" t="s">
        <v>57</v>
      </c>
      <c r="F106" s="92" t="s">
        <v>3231</v>
      </c>
      <c r="G106" s="453" t="s">
        <v>63</v>
      </c>
      <c r="H106" s="92" t="s">
        <v>3232</v>
      </c>
      <c r="I106" s="533" t="s">
        <v>3233</v>
      </c>
      <c r="J106" s="297"/>
      <c r="K106" s="199" t="s">
        <v>2694</v>
      </c>
      <c r="L106" s="199" t="s">
        <v>2949</v>
      </c>
      <c r="M106" s="199" t="s">
        <v>2694</v>
      </c>
      <c r="N106" s="199" t="s">
        <v>2694</v>
      </c>
      <c r="O106" s="199" t="s">
        <v>2694</v>
      </c>
      <c r="P106" s="199" t="s">
        <v>2694</v>
      </c>
      <c r="Q106" s="199" t="s">
        <v>2694</v>
      </c>
      <c r="R106" s="199" t="s">
        <v>2694</v>
      </c>
      <c r="S106" s="199" t="s">
        <v>2694</v>
      </c>
      <c r="T106" s="544"/>
    </row>
    <row r="107">
      <c r="A107" s="92">
        <v>2025.0</v>
      </c>
      <c r="B107" s="92" t="s">
        <v>54</v>
      </c>
      <c r="C107" s="545">
        <v>45684.0</v>
      </c>
      <c r="D107" s="453" t="s">
        <v>128</v>
      </c>
      <c r="E107" s="453" t="s">
        <v>57</v>
      </c>
      <c r="F107" s="92" t="s">
        <v>3234</v>
      </c>
      <c r="G107" s="453" t="s">
        <v>63</v>
      </c>
      <c r="H107" s="92" t="s">
        <v>3038</v>
      </c>
      <c r="I107" s="533" t="s">
        <v>3235</v>
      </c>
      <c r="J107" s="297"/>
      <c r="K107" s="199" t="s">
        <v>2949</v>
      </c>
      <c r="L107" s="199" t="s">
        <v>2694</v>
      </c>
      <c r="M107" s="199" t="s">
        <v>2694</v>
      </c>
      <c r="N107" s="199" t="s">
        <v>2949</v>
      </c>
      <c r="O107" s="199" t="s">
        <v>2694</v>
      </c>
      <c r="P107" s="199" t="s">
        <v>2694</v>
      </c>
      <c r="Q107" s="199" t="s">
        <v>2694</v>
      </c>
      <c r="R107" s="199" t="s">
        <v>2694</v>
      </c>
      <c r="S107" s="199" t="s">
        <v>2694</v>
      </c>
      <c r="T107" s="544"/>
    </row>
    <row r="108">
      <c r="A108" s="92">
        <v>2025.0</v>
      </c>
      <c r="B108" s="92" t="s">
        <v>54</v>
      </c>
      <c r="C108" s="545">
        <v>45688.0</v>
      </c>
      <c r="D108" s="453" t="s">
        <v>119</v>
      </c>
      <c r="E108" s="453" t="s">
        <v>57</v>
      </c>
      <c r="F108" s="92" t="s">
        <v>3236</v>
      </c>
      <c r="G108" s="453" t="s">
        <v>63</v>
      </c>
      <c r="H108" s="92" t="s">
        <v>3237</v>
      </c>
      <c r="I108" s="119" t="s">
        <v>3238</v>
      </c>
      <c r="J108" s="297"/>
      <c r="K108" s="199" t="s">
        <v>2694</v>
      </c>
      <c r="L108" s="199" t="s">
        <v>2694</v>
      </c>
      <c r="M108" s="199" t="s">
        <v>2694</v>
      </c>
      <c r="N108" s="199" t="s">
        <v>2694</v>
      </c>
      <c r="O108" s="199" t="s">
        <v>2694</v>
      </c>
      <c r="P108" s="199" t="s">
        <v>2694</v>
      </c>
      <c r="Q108" s="199" t="s">
        <v>2694</v>
      </c>
      <c r="R108" s="199" t="s">
        <v>2949</v>
      </c>
      <c r="S108" s="199" t="s">
        <v>2694</v>
      </c>
      <c r="T108" s="544"/>
    </row>
    <row r="109">
      <c r="A109" s="92">
        <v>2025.0</v>
      </c>
      <c r="B109" s="92" t="s">
        <v>54</v>
      </c>
      <c r="C109" s="545">
        <v>45684.0</v>
      </c>
      <c r="D109" s="453" t="s">
        <v>128</v>
      </c>
      <c r="E109" s="453" t="s">
        <v>57</v>
      </c>
      <c r="F109" s="92" t="s">
        <v>3239</v>
      </c>
      <c r="G109" s="453" t="s">
        <v>128</v>
      </c>
      <c r="H109" s="92" t="s">
        <v>3240</v>
      </c>
      <c r="I109" s="534" t="s">
        <v>3241</v>
      </c>
      <c r="J109" s="297"/>
      <c r="K109" s="199" t="s">
        <v>2694</v>
      </c>
      <c r="L109" s="199" t="s">
        <v>2949</v>
      </c>
      <c r="M109" s="199" t="s">
        <v>2694</v>
      </c>
      <c r="N109" s="199" t="s">
        <v>2694</v>
      </c>
      <c r="O109" s="199" t="s">
        <v>2694</v>
      </c>
      <c r="P109" s="199" t="s">
        <v>2694</v>
      </c>
      <c r="Q109" s="199" t="s">
        <v>2694</v>
      </c>
      <c r="R109" s="199" t="s">
        <v>2694</v>
      </c>
      <c r="S109" s="199" t="s">
        <v>2694</v>
      </c>
      <c r="T109" s="544"/>
    </row>
    <row r="110">
      <c r="A110" s="92">
        <v>2025.0</v>
      </c>
      <c r="B110" s="92" t="s">
        <v>143</v>
      </c>
      <c r="C110" s="545"/>
      <c r="D110" s="453"/>
      <c r="E110" s="453"/>
      <c r="F110" s="92"/>
      <c r="G110" s="453"/>
      <c r="H110" s="92"/>
      <c r="I110" s="119"/>
      <c r="J110" s="297"/>
      <c r="K110" s="199"/>
      <c r="L110" s="544"/>
      <c r="M110" s="199"/>
      <c r="N110" s="199"/>
      <c r="O110" s="199"/>
      <c r="P110" s="544"/>
      <c r="Q110" s="199"/>
      <c r="R110" s="544"/>
      <c r="S110" s="199"/>
      <c r="T110" s="544"/>
    </row>
    <row r="111">
      <c r="A111" s="92"/>
      <c r="B111" s="92"/>
      <c r="C111" s="545"/>
      <c r="D111" s="453"/>
      <c r="E111" s="453"/>
      <c r="F111" s="92"/>
      <c r="G111" s="453"/>
      <c r="H111" s="92"/>
      <c r="I111" s="119"/>
      <c r="J111" s="297"/>
      <c r="K111" s="199"/>
      <c r="L111" s="544"/>
      <c r="M111" s="199"/>
      <c r="N111" s="199"/>
      <c r="O111" s="199"/>
      <c r="P111" s="544"/>
      <c r="Q111" s="199"/>
      <c r="R111" s="544"/>
      <c r="S111" s="199"/>
      <c r="T111" s="544"/>
    </row>
    <row r="112">
      <c r="A112" s="92"/>
      <c r="B112" s="92"/>
      <c r="C112" s="545"/>
      <c r="D112" s="453"/>
      <c r="E112" s="453"/>
      <c r="F112" s="92"/>
      <c r="G112" s="453"/>
      <c r="H112" s="92"/>
      <c r="I112" s="119"/>
      <c r="J112" s="297"/>
      <c r="K112" s="199"/>
      <c r="L112" s="544"/>
      <c r="M112" s="199"/>
      <c r="N112" s="199"/>
      <c r="O112" s="199"/>
      <c r="P112" s="544"/>
      <c r="Q112" s="199"/>
      <c r="R112" s="544"/>
      <c r="S112" s="199"/>
      <c r="T112" s="544"/>
    </row>
    <row r="113">
      <c r="A113" s="92"/>
      <c r="B113" s="92"/>
      <c r="C113" s="545"/>
      <c r="D113" s="453"/>
      <c r="E113" s="453"/>
      <c r="F113" s="92"/>
      <c r="G113" s="453"/>
      <c r="H113" s="92"/>
      <c r="I113" s="119"/>
      <c r="J113" s="297"/>
      <c r="K113" s="199"/>
      <c r="L113" s="544"/>
      <c r="M113" s="199"/>
      <c r="N113" s="199"/>
      <c r="O113" s="199"/>
      <c r="P113" s="544"/>
      <c r="Q113" s="199"/>
      <c r="R113" s="544"/>
      <c r="S113" s="199"/>
      <c r="T113" s="544"/>
    </row>
    <row r="114">
      <c r="A114" s="92"/>
      <c r="B114" s="92"/>
      <c r="C114" s="545"/>
      <c r="D114" s="453"/>
      <c r="E114" s="453"/>
      <c r="F114" s="92"/>
      <c r="G114" s="453"/>
      <c r="H114" s="92"/>
      <c r="I114" s="119"/>
      <c r="J114" s="297"/>
      <c r="K114" s="199"/>
      <c r="L114" s="544"/>
      <c r="M114" s="199"/>
      <c r="N114" s="199"/>
      <c r="O114" s="199"/>
      <c r="P114" s="544"/>
      <c r="Q114" s="199"/>
      <c r="R114" s="544"/>
      <c r="S114" s="199"/>
      <c r="T114" s="544"/>
    </row>
    <row r="115">
      <c r="A115" s="92"/>
      <c r="B115" s="92"/>
      <c r="C115" s="545"/>
      <c r="D115" s="453"/>
      <c r="E115" s="453"/>
      <c r="F115" s="92"/>
      <c r="G115" s="453"/>
      <c r="H115" s="92"/>
      <c r="I115" s="119"/>
      <c r="J115" s="297"/>
      <c r="K115" s="199"/>
      <c r="L115" s="544"/>
      <c r="M115" s="199"/>
      <c r="N115" s="199"/>
      <c r="O115" s="199"/>
      <c r="P115" s="544"/>
      <c r="Q115" s="199"/>
      <c r="R115" s="544"/>
      <c r="S115" s="199"/>
      <c r="T115" s="544"/>
    </row>
    <row r="116">
      <c r="A116" s="92"/>
      <c r="B116" s="92"/>
      <c r="C116" s="545"/>
      <c r="D116" s="453"/>
      <c r="E116" s="453"/>
      <c r="F116" s="92"/>
      <c r="G116" s="453"/>
      <c r="H116" s="92"/>
      <c r="I116" s="119"/>
      <c r="J116" s="297"/>
      <c r="K116" s="199"/>
      <c r="L116" s="544"/>
      <c r="M116" s="199"/>
      <c r="N116" s="199"/>
      <c r="O116" s="199"/>
      <c r="P116" s="544"/>
      <c r="Q116" s="199"/>
      <c r="R116" s="544"/>
      <c r="S116" s="199"/>
      <c r="T116" s="544"/>
    </row>
    <row r="117">
      <c r="A117" s="92"/>
      <c r="B117" s="92"/>
      <c r="C117" s="545"/>
      <c r="D117" s="453"/>
      <c r="E117" s="453"/>
      <c r="F117" s="92"/>
      <c r="G117" s="453"/>
      <c r="H117" s="92"/>
      <c r="I117" s="119"/>
      <c r="J117" s="297"/>
      <c r="K117" s="199"/>
      <c r="L117" s="544"/>
      <c r="M117" s="199"/>
      <c r="N117" s="199"/>
      <c r="O117" s="199"/>
      <c r="P117" s="544"/>
      <c r="Q117" s="199"/>
      <c r="R117" s="544"/>
      <c r="S117" s="199"/>
      <c r="T117" s="544"/>
    </row>
    <row r="118">
      <c r="A118" s="92"/>
      <c r="B118" s="92"/>
      <c r="C118" s="545"/>
      <c r="D118" s="453"/>
      <c r="E118" s="453"/>
      <c r="F118" s="92"/>
      <c r="G118" s="453"/>
      <c r="H118" s="92"/>
      <c r="I118" s="119"/>
      <c r="J118" s="297"/>
      <c r="K118" s="199"/>
      <c r="L118" s="544"/>
      <c r="M118" s="199"/>
      <c r="N118" s="199"/>
      <c r="O118" s="199"/>
      <c r="P118" s="544"/>
      <c r="Q118" s="199"/>
      <c r="R118" s="544"/>
      <c r="S118" s="199"/>
      <c r="T118" s="544"/>
    </row>
    <row r="119">
      <c r="A119" s="92"/>
      <c r="B119" s="92"/>
      <c r="C119" s="545"/>
      <c r="D119" s="453"/>
      <c r="E119" s="453"/>
      <c r="F119" s="92"/>
      <c r="G119" s="453"/>
      <c r="H119" s="92"/>
      <c r="I119" s="119"/>
      <c r="J119" s="297"/>
      <c r="K119" s="199"/>
      <c r="L119" s="544"/>
      <c r="M119" s="199"/>
      <c r="N119" s="199"/>
      <c r="O119" s="199"/>
      <c r="P119" s="544"/>
      <c r="Q119" s="199"/>
      <c r="R119" s="544"/>
      <c r="S119" s="199"/>
      <c r="T119" s="544"/>
    </row>
    <row r="120">
      <c r="A120" s="92"/>
      <c r="B120" s="92"/>
      <c r="C120" s="545"/>
      <c r="D120" s="453"/>
      <c r="E120" s="453"/>
      <c r="F120" s="92"/>
      <c r="G120" s="453"/>
      <c r="H120" s="92"/>
      <c r="I120" s="119"/>
      <c r="J120" s="297"/>
      <c r="K120" s="199"/>
      <c r="L120" s="544"/>
      <c r="M120" s="199"/>
      <c r="N120" s="199"/>
      <c r="O120" s="199"/>
      <c r="P120" s="544"/>
      <c r="Q120" s="199"/>
      <c r="R120" s="544"/>
      <c r="S120" s="199"/>
      <c r="T120" s="544"/>
    </row>
    <row r="121">
      <c r="A121" s="92"/>
      <c r="B121" s="92"/>
      <c r="C121" s="545"/>
      <c r="D121" s="453"/>
      <c r="E121" s="453"/>
      <c r="F121" s="92"/>
      <c r="G121" s="453"/>
      <c r="H121" s="92"/>
      <c r="I121" s="119"/>
      <c r="J121" s="297"/>
      <c r="K121" s="199"/>
      <c r="L121" s="544"/>
      <c r="M121" s="199"/>
      <c r="N121" s="199"/>
      <c r="O121" s="199"/>
      <c r="P121" s="544"/>
      <c r="Q121" s="199"/>
      <c r="R121" s="544"/>
      <c r="S121" s="199"/>
      <c r="T121" s="544"/>
    </row>
    <row r="122">
      <c r="A122" s="92"/>
      <c r="B122" s="92"/>
      <c r="C122" s="545"/>
      <c r="D122" s="453"/>
      <c r="E122" s="453"/>
      <c r="F122" s="92"/>
      <c r="G122" s="453"/>
      <c r="H122" s="92"/>
      <c r="I122" s="119"/>
      <c r="J122" s="297"/>
      <c r="K122" s="199"/>
      <c r="L122" s="544"/>
      <c r="M122" s="199"/>
      <c r="N122" s="199"/>
      <c r="O122" s="199"/>
      <c r="P122" s="544"/>
      <c r="Q122" s="199"/>
      <c r="R122" s="544"/>
      <c r="S122" s="199"/>
      <c r="T122" s="544"/>
    </row>
    <row r="123">
      <c r="A123" s="92"/>
      <c r="B123" s="92"/>
      <c r="C123" s="545"/>
      <c r="D123" s="453"/>
      <c r="E123" s="453"/>
      <c r="F123" s="92"/>
      <c r="G123" s="453"/>
      <c r="H123" s="92"/>
      <c r="I123" s="119"/>
      <c r="J123" s="297"/>
      <c r="K123" s="199"/>
      <c r="L123" s="544"/>
      <c r="M123" s="199"/>
      <c r="N123" s="199"/>
      <c r="O123" s="199"/>
      <c r="P123" s="544"/>
      <c r="Q123" s="199"/>
      <c r="R123" s="544"/>
      <c r="S123" s="199"/>
      <c r="T123" s="544"/>
    </row>
    <row r="124">
      <c r="A124" s="92"/>
      <c r="B124" s="92"/>
      <c r="C124" s="545"/>
      <c r="D124" s="453"/>
      <c r="E124" s="453"/>
      <c r="F124" s="92"/>
      <c r="G124" s="453"/>
      <c r="H124" s="92"/>
      <c r="I124" s="119"/>
      <c r="J124" s="297"/>
      <c r="K124" s="199"/>
      <c r="L124" s="544"/>
      <c r="M124" s="199"/>
      <c r="N124" s="199"/>
      <c r="O124" s="199"/>
      <c r="P124" s="544"/>
      <c r="Q124" s="199"/>
      <c r="R124" s="544"/>
      <c r="S124" s="199"/>
      <c r="T124" s="544"/>
    </row>
    <row r="125">
      <c r="A125" s="92"/>
      <c r="B125" s="92"/>
      <c r="C125" s="545"/>
      <c r="D125" s="453"/>
      <c r="E125" s="453"/>
      <c r="F125" s="92"/>
      <c r="G125" s="453"/>
      <c r="H125" s="92"/>
      <c r="I125" s="119"/>
      <c r="J125" s="297"/>
      <c r="K125" s="199"/>
      <c r="L125" s="544"/>
      <c r="M125" s="199"/>
      <c r="N125" s="199"/>
      <c r="O125" s="199"/>
      <c r="P125" s="544"/>
      <c r="Q125" s="199"/>
      <c r="R125" s="544"/>
      <c r="S125" s="199"/>
      <c r="T125" s="544"/>
    </row>
    <row r="126">
      <c r="A126" s="92"/>
      <c r="B126" s="92"/>
      <c r="C126" s="545"/>
      <c r="D126" s="453"/>
      <c r="E126" s="453"/>
      <c r="F126" s="92"/>
      <c r="G126" s="453"/>
      <c r="H126" s="92"/>
      <c r="I126" s="119"/>
      <c r="J126" s="297"/>
      <c r="K126" s="199"/>
      <c r="L126" s="544"/>
      <c r="M126" s="199"/>
      <c r="N126" s="199"/>
      <c r="O126" s="199"/>
      <c r="P126" s="544"/>
      <c r="Q126" s="199"/>
      <c r="R126" s="544"/>
      <c r="S126" s="199"/>
      <c r="T126" s="544"/>
    </row>
    <row r="127">
      <c r="A127" s="92"/>
      <c r="B127" s="92"/>
      <c r="C127" s="545"/>
      <c r="D127" s="453"/>
      <c r="E127" s="453"/>
      <c r="F127" s="92"/>
      <c r="G127" s="453"/>
      <c r="H127" s="92"/>
      <c r="I127" s="119"/>
      <c r="J127" s="297"/>
      <c r="K127" s="199"/>
      <c r="L127" s="544"/>
      <c r="M127" s="199"/>
      <c r="N127" s="199"/>
      <c r="O127" s="199"/>
      <c r="P127" s="544"/>
      <c r="Q127" s="199"/>
      <c r="R127" s="544"/>
      <c r="S127" s="199"/>
      <c r="T127" s="544"/>
    </row>
    <row r="128">
      <c r="A128" s="92"/>
      <c r="B128" s="92"/>
      <c r="C128" s="545"/>
      <c r="D128" s="453"/>
      <c r="E128" s="453"/>
      <c r="F128" s="92"/>
      <c r="G128" s="453"/>
      <c r="H128" s="92"/>
      <c r="I128" s="119"/>
      <c r="J128" s="297"/>
      <c r="K128" s="199"/>
      <c r="L128" s="544"/>
      <c r="M128" s="199"/>
      <c r="N128" s="199"/>
      <c r="O128" s="199"/>
      <c r="P128" s="544"/>
      <c r="Q128" s="199"/>
      <c r="R128" s="544"/>
      <c r="S128" s="199"/>
      <c r="T128" s="544"/>
    </row>
    <row r="129">
      <c r="A129" s="92"/>
      <c r="B129" s="92"/>
      <c r="C129" s="545"/>
      <c r="D129" s="453"/>
      <c r="E129" s="453"/>
      <c r="F129" s="92"/>
      <c r="G129" s="453"/>
      <c r="H129" s="92"/>
      <c r="I129" s="119"/>
      <c r="J129" s="297"/>
      <c r="K129" s="199"/>
      <c r="L129" s="544"/>
      <c r="M129" s="199"/>
      <c r="N129" s="199"/>
      <c r="O129" s="199"/>
      <c r="P129" s="544"/>
      <c r="Q129" s="199"/>
      <c r="R129" s="544"/>
      <c r="S129" s="199"/>
      <c r="T129" s="544"/>
    </row>
    <row r="130">
      <c r="A130" s="92"/>
      <c r="B130" s="92"/>
      <c r="C130" s="545"/>
      <c r="D130" s="453"/>
      <c r="E130" s="453"/>
      <c r="F130" s="92"/>
      <c r="G130" s="453"/>
      <c r="H130" s="92"/>
      <c r="I130" s="119"/>
      <c r="J130" s="297"/>
      <c r="K130" s="199"/>
      <c r="L130" s="544"/>
      <c r="M130" s="199"/>
      <c r="N130" s="199"/>
      <c r="O130" s="199"/>
      <c r="P130" s="544"/>
      <c r="Q130" s="199"/>
      <c r="R130" s="544"/>
      <c r="S130" s="199"/>
      <c r="T130" s="544"/>
    </row>
    <row r="131">
      <c r="A131" s="92"/>
      <c r="B131" s="92"/>
      <c r="C131" s="545"/>
      <c r="D131" s="453"/>
      <c r="E131" s="453"/>
      <c r="F131" s="92"/>
      <c r="G131" s="453"/>
      <c r="H131" s="92"/>
      <c r="I131" s="119"/>
      <c r="J131" s="297"/>
      <c r="K131" s="199"/>
      <c r="L131" s="544"/>
      <c r="M131" s="199"/>
      <c r="N131" s="199"/>
      <c r="O131" s="199"/>
      <c r="P131" s="544"/>
      <c r="Q131" s="199"/>
      <c r="R131" s="544"/>
      <c r="S131" s="199"/>
      <c r="T131" s="544"/>
    </row>
    <row r="132">
      <c r="A132" s="92"/>
      <c r="B132" s="92"/>
      <c r="C132" s="545"/>
      <c r="D132" s="453"/>
      <c r="E132" s="453"/>
      <c r="F132" s="92"/>
      <c r="G132" s="453"/>
      <c r="H132" s="92"/>
      <c r="I132" s="119"/>
      <c r="J132" s="297"/>
      <c r="K132" s="199"/>
      <c r="L132" s="544"/>
      <c r="M132" s="199"/>
      <c r="N132" s="199"/>
      <c r="O132" s="199"/>
      <c r="P132" s="544"/>
      <c r="Q132" s="199"/>
      <c r="R132" s="544"/>
      <c r="S132" s="199"/>
      <c r="T132" s="544"/>
    </row>
    <row r="133">
      <c r="A133" s="92"/>
      <c r="B133" s="92"/>
      <c r="C133" s="545"/>
      <c r="D133" s="453"/>
      <c r="E133" s="453"/>
      <c r="F133" s="92"/>
      <c r="G133" s="453"/>
      <c r="H133" s="92"/>
      <c r="I133" s="119"/>
      <c r="J133" s="297"/>
      <c r="K133" s="199"/>
      <c r="L133" s="544"/>
      <c r="M133" s="199"/>
      <c r="N133" s="199"/>
      <c r="O133" s="199"/>
      <c r="P133" s="544"/>
      <c r="Q133" s="199"/>
      <c r="R133" s="544"/>
      <c r="S133" s="199"/>
      <c r="T133" s="544"/>
    </row>
    <row r="134">
      <c r="A134" s="92"/>
      <c r="B134" s="92"/>
      <c r="C134" s="545"/>
      <c r="D134" s="453"/>
      <c r="E134" s="453"/>
      <c r="F134" s="92"/>
      <c r="G134" s="453"/>
      <c r="H134" s="92"/>
      <c r="I134" s="119"/>
      <c r="J134" s="297"/>
      <c r="K134" s="199"/>
      <c r="L134" s="544"/>
      <c r="M134" s="199"/>
      <c r="N134" s="199"/>
      <c r="O134" s="199"/>
      <c r="P134" s="544"/>
      <c r="Q134" s="199"/>
      <c r="R134" s="544"/>
      <c r="S134" s="199"/>
      <c r="T134" s="544"/>
    </row>
    <row r="135">
      <c r="A135" s="92"/>
      <c r="B135" s="92"/>
      <c r="C135" s="545"/>
      <c r="D135" s="453"/>
      <c r="E135" s="453"/>
      <c r="F135" s="92"/>
      <c r="G135" s="453"/>
      <c r="H135" s="92"/>
      <c r="I135" s="119"/>
      <c r="J135" s="297"/>
      <c r="K135" s="199"/>
      <c r="L135" s="544"/>
      <c r="M135" s="199"/>
      <c r="N135" s="199"/>
      <c r="O135" s="199"/>
      <c r="P135" s="544"/>
      <c r="Q135" s="199"/>
      <c r="R135" s="544"/>
      <c r="S135" s="199"/>
      <c r="T135" s="544"/>
    </row>
    <row r="136">
      <c r="A136" s="92"/>
      <c r="B136" s="92"/>
      <c r="C136" s="545"/>
      <c r="D136" s="453"/>
      <c r="E136" s="453"/>
      <c r="F136" s="92"/>
      <c r="G136" s="453"/>
      <c r="H136" s="92"/>
      <c r="I136" s="119"/>
      <c r="J136" s="297"/>
      <c r="K136" s="199"/>
      <c r="L136" s="544"/>
      <c r="M136" s="199"/>
      <c r="N136" s="199"/>
      <c r="O136" s="199"/>
      <c r="P136" s="544"/>
      <c r="Q136" s="199"/>
      <c r="R136" s="544"/>
      <c r="S136" s="199"/>
      <c r="T136" s="544"/>
    </row>
    <row r="137">
      <c r="A137" s="92"/>
      <c r="B137" s="92"/>
      <c r="C137" s="545"/>
      <c r="D137" s="453"/>
      <c r="E137" s="453"/>
      <c r="F137" s="92"/>
      <c r="G137" s="453"/>
      <c r="H137" s="92"/>
      <c r="I137" s="119"/>
      <c r="J137" s="297"/>
      <c r="K137" s="199"/>
      <c r="L137" s="544"/>
      <c r="M137" s="199"/>
      <c r="N137" s="199"/>
      <c r="O137" s="199"/>
      <c r="P137" s="544"/>
      <c r="Q137" s="199"/>
      <c r="R137" s="544"/>
      <c r="S137" s="199"/>
      <c r="T137" s="544"/>
    </row>
    <row r="138">
      <c r="A138" s="92"/>
      <c r="B138" s="92"/>
      <c r="C138" s="545"/>
      <c r="D138" s="453"/>
      <c r="E138" s="453"/>
      <c r="F138" s="92"/>
      <c r="G138" s="453"/>
      <c r="H138" s="92"/>
      <c r="I138" s="119"/>
      <c r="J138" s="297"/>
      <c r="K138" s="199"/>
      <c r="L138" s="544"/>
      <c r="M138" s="199"/>
      <c r="N138" s="199"/>
      <c r="O138" s="199"/>
      <c r="P138" s="544"/>
      <c r="Q138" s="199"/>
      <c r="R138" s="544"/>
      <c r="S138" s="199"/>
      <c r="T138" s="544"/>
    </row>
    <row r="139">
      <c r="A139" s="92"/>
      <c r="B139" s="92"/>
      <c r="C139" s="545"/>
      <c r="D139" s="453"/>
      <c r="E139" s="453"/>
      <c r="F139" s="92"/>
      <c r="G139" s="453"/>
      <c r="H139" s="92"/>
      <c r="I139" s="119"/>
      <c r="J139" s="297"/>
      <c r="K139" s="199"/>
      <c r="L139" s="544"/>
      <c r="M139" s="199"/>
      <c r="N139" s="199"/>
      <c r="O139" s="199"/>
      <c r="P139" s="544"/>
      <c r="Q139" s="199"/>
      <c r="R139" s="544"/>
      <c r="S139" s="199"/>
      <c r="T139" s="544"/>
    </row>
    <row r="140">
      <c r="A140" s="92"/>
      <c r="B140" s="92"/>
      <c r="C140" s="545"/>
      <c r="D140" s="453"/>
      <c r="E140" s="453"/>
      <c r="F140" s="92"/>
      <c r="G140" s="453"/>
      <c r="H140" s="92"/>
      <c r="I140" s="119"/>
      <c r="J140" s="297"/>
      <c r="K140" s="199"/>
      <c r="L140" s="544"/>
      <c r="M140" s="199"/>
      <c r="N140" s="199"/>
      <c r="O140" s="199"/>
      <c r="P140" s="544"/>
      <c r="Q140" s="199"/>
      <c r="R140" s="544"/>
      <c r="S140" s="199"/>
      <c r="T140" s="544"/>
    </row>
    <row r="141">
      <c r="A141" s="92"/>
      <c r="B141" s="92"/>
      <c r="C141" s="545"/>
      <c r="D141" s="453"/>
      <c r="E141" s="453"/>
      <c r="F141" s="92"/>
      <c r="G141" s="453"/>
      <c r="H141" s="92"/>
      <c r="I141" s="119"/>
      <c r="J141" s="297"/>
      <c r="K141" s="199"/>
      <c r="L141" s="544"/>
      <c r="M141" s="199"/>
      <c r="N141" s="199"/>
      <c r="O141" s="199"/>
      <c r="P141" s="544"/>
      <c r="Q141" s="199"/>
      <c r="R141" s="544"/>
      <c r="S141" s="199"/>
      <c r="T141" s="544"/>
    </row>
    <row r="142">
      <c r="A142" s="92"/>
      <c r="B142" s="92"/>
      <c r="C142" s="545"/>
      <c r="D142" s="453"/>
      <c r="E142" s="453"/>
      <c r="F142" s="92"/>
      <c r="G142" s="453"/>
      <c r="H142" s="92"/>
      <c r="I142" s="119"/>
      <c r="J142" s="297"/>
      <c r="K142" s="199"/>
      <c r="L142" s="544"/>
      <c r="M142" s="199"/>
      <c r="N142" s="199"/>
      <c r="O142" s="199"/>
      <c r="P142" s="544"/>
      <c r="Q142" s="199"/>
      <c r="R142" s="544"/>
      <c r="S142" s="199"/>
      <c r="T142" s="544"/>
    </row>
    <row r="143">
      <c r="A143" s="92"/>
      <c r="B143" s="92"/>
      <c r="C143" s="545"/>
      <c r="D143" s="453"/>
      <c r="E143" s="453"/>
      <c r="F143" s="92"/>
      <c r="G143" s="453"/>
      <c r="H143" s="92"/>
      <c r="I143" s="119"/>
      <c r="J143" s="297"/>
      <c r="K143" s="199"/>
      <c r="L143" s="544"/>
      <c r="M143" s="199"/>
      <c r="N143" s="199"/>
      <c r="O143" s="199"/>
      <c r="P143" s="544"/>
      <c r="Q143" s="199"/>
      <c r="R143" s="544"/>
      <c r="S143" s="199"/>
      <c r="T143" s="544"/>
    </row>
    <row r="144">
      <c r="A144" s="92"/>
      <c r="B144" s="92"/>
      <c r="C144" s="545"/>
      <c r="D144" s="453"/>
      <c r="E144" s="453"/>
      <c r="F144" s="92"/>
      <c r="G144" s="453"/>
      <c r="H144" s="92"/>
      <c r="I144" s="119"/>
      <c r="J144" s="297"/>
      <c r="K144" s="199"/>
      <c r="L144" s="544"/>
      <c r="M144" s="199"/>
      <c r="N144" s="199"/>
      <c r="O144" s="199"/>
      <c r="P144" s="544"/>
      <c r="Q144" s="199"/>
      <c r="R144" s="544"/>
      <c r="S144" s="199"/>
      <c r="T144" s="544"/>
    </row>
    <row r="145">
      <c r="A145" s="92"/>
      <c r="B145" s="92"/>
      <c r="C145" s="545"/>
      <c r="D145" s="453"/>
      <c r="E145" s="453"/>
      <c r="F145" s="92"/>
      <c r="G145" s="453"/>
      <c r="H145" s="92"/>
      <c r="I145" s="119"/>
      <c r="J145" s="297"/>
      <c r="K145" s="199"/>
      <c r="L145" s="544"/>
      <c r="M145" s="199"/>
      <c r="N145" s="199"/>
      <c r="O145" s="199"/>
      <c r="P145" s="544"/>
      <c r="Q145" s="199"/>
      <c r="R145" s="544"/>
      <c r="S145" s="199"/>
      <c r="T145" s="544"/>
    </row>
    <row r="146">
      <c r="A146" s="92"/>
      <c r="B146" s="92"/>
      <c r="C146" s="545"/>
      <c r="D146" s="453"/>
      <c r="E146" s="453"/>
      <c r="F146" s="92"/>
      <c r="G146" s="453"/>
      <c r="H146" s="92"/>
      <c r="I146" s="119"/>
      <c r="J146" s="297"/>
      <c r="K146" s="199"/>
      <c r="L146" s="544"/>
      <c r="M146" s="199"/>
      <c r="N146" s="199"/>
      <c r="O146" s="199"/>
      <c r="P146" s="544"/>
      <c r="Q146" s="199"/>
      <c r="R146" s="544"/>
      <c r="S146" s="199"/>
      <c r="T146" s="544"/>
    </row>
    <row r="147">
      <c r="A147" s="92"/>
      <c r="B147" s="92"/>
      <c r="C147" s="545"/>
      <c r="D147" s="453"/>
      <c r="E147" s="453"/>
      <c r="F147" s="92"/>
      <c r="G147" s="453"/>
      <c r="H147" s="92"/>
      <c r="I147" s="119"/>
      <c r="J147" s="297"/>
      <c r="K147" s="199"/>
      <c r="L147" s="544"/>
      <c r="M147" s="199"/>
      <c r="N147" s="199"/>
      <c r="O147" s="199"/>
      <c r="P147" s="544"/>
      <c r="Q147" s="199"/>
      <c r="R147" s="544"/>
      <c r="S147" s="199"/>
      <c r="T147" s="544"/>
    </row>
    <row r="148">
      <c r="A148" s="92"/>
      <c r="B148" s="92"/>
      <c r="C148" s="545"/>
      <c r="D148" s="453"/>
      <c r="E148" s="453"/>
      <c r="F148" s="92"/>
      <c r="G148" s="453"/>
      <c r="H148" s="92"/>
      <c r="I148" s="119"/>
      <c r="J148" s="297"/>
      <c r="K148" s="199"/>
      <c r="L148" s="544"/>
      <c r="M148" s="199"/>
      <c r="N148" s="199"/>
      <c r="O148" s="199"/>
      <c r="P148" s="544"/>
      <c r="Q148" s="199"/>
      <c r="R148" s="544"/>
      <c r="S148" s="199"/>
      <c r="T148" s="544"/>
    </row>
    <row r="149">
      <c r="A149" s="92"/>
      <c r="B149" s="92"/>
      <c r="C149" s="545"/>
      <c r="D149" s="453"/>
      <c r="E149" s="453"/>
      <c r="F149" s="92"/>
      <c r="G149" s="453"/>
      <c r="H149" s="92"/>
      <c r="I149" s="119"/>
      <c r="J149" s="297"/>
      <c r="K149" s="199"/>
      <c r="L149" s="544"/>
      <c r="M149" s="199"/>
      <c r="N149" s="199"/>
      <c r="O149" s="199"/>
      <c r="P149" s="544"/>
      <c r="Q149" s="199"/>
      <c r="R149" s="544"/>
      <c r="S149" s="199"/>
      <c r="T149" s="544"/>
    </row>
    <row r="150">
      <c r="A150" s="92"/>
      <c r="B150" s="92"/>
      <c r="C150" s="545"/>
      <c r="D150" s="453"/>
      <c r="E150" s="453"/>
      <c r="F150" s="92"/>
      <c r="G150" s="453"/>
      <c r="H150" s="92"/>
      <c r="I150" s="119"/>
      <c r="J150" s="297"/>
      <c r="K150" s="199"/>
      <c r="L150" s="544"/>
      <c r="M150" s="199"/>
      <c r="N150" s="199"/>
      <c r="O150" s="199"/>
      <c r="P150" s="544"/>
      <c r="Q150" s="199"/>
      <c r="R150" s="544"/>
      <c r="S150" s="199"/>
      <c r="T150" s="544"/>
    </row>
    <row r="151">
      <c r="A151" s="92"/>
      <c r="B151" s="92"/>
      <c r="C151" s="545"/>
      <c r="D151" s="453"/>
      <c r="E151" s="453"/>
      <c r="F151" s="92"/>
      <c r="G151" s="453"/>
      <c r="H151" s="92"/>
      <c r="I151" s="119"/>
      <c r="J151" s="297"/>
      <c r="K151" s="199"/>
      <c r="L151" s="544"/>
      <c r="M151" s="199"/>
      <c r="N151" s="199"/>
      <c r="O151" s="199"/>
      <c r="P151" s="544"/>
      <c r="Q151" s="199"/>
      <c r="R151" s="544"/>
      <c r="S151" s="199"/>
      <c r="T151" s="544"/>
    </row>
    <row r="152">
      <c r="A152" s="92"/>
      <c r="B152" s="92"/>
      <c r="C152" s="545"/>
      <c r="D152" s="453"/>
      <c r="E152" s="453"/>
      <c r="F152" s="92"/>
      <c r="G152" s="453"/>
      <c r="H152" s="92"/>
      <c r="I152" s="119"/>
      <c r="J152" s="297"/>
      <c r="K152" s="199"/>
      <c r="L152" s="544"/>
      <c r="M152" s="199"/>
      <c r="N152" s="199"/>
      <c r="O152" s="199"/>
      <c r="P152" s="544"/>
      <c r="Q152" s="199"/>
      <c r="R152" s="544"/>
      <c r="S152" s="199"/>
      <c r="T152" s="544"/>
    </row>
    <row r="153">
      <c r="A153" s="92"/>
      <c r="B153" s="92"/>
      <c r="C153" s="545"/>
      <c r="D153" s="453"/>
      <c r="E153" s="453"/>
      <c r="F153" s="92"/>
      <c r="G153" s="453"/>
      <c r="H153" s="92"/>
      <c r="I153" s="119"/>
      <c r="J153" s="297"/>
      <c r="K153" s="199"/>
      <c r="L153" s="544"/>
      <c r="M153" s="199"/>
      <c r="N153" s="199"/>
      <c r="O153" s="199"/>
      <c r="P153" s="544"/>
      <c r="Q153" s="199"/>
      <c r="R153" s="544"/>
      <c r="S153" s="199"/>
      <c r="T153" s="544"/>
    </row>
    <row r="154">
      <c r="A154" s="92"/>
      <c r="B154" s="92"/>
      <c r="C154" s="545"/>
      <c r="D154" s="453"/>
      <c r="E154" s="453"/>
      <c r="F154" s="92"/>
      <c r="G154" s="453"/>
      <c r="H154" s="92"/>
      <c r="I154" s="119"/>
      <c r="J154" s="297"/>
      <c r="K154" s="199"/>
      <c r="L154" s="544"/>
      <c r="M154" s="199"/>
      <c r="N154" s="199"/>
      <c r="O154" s="199"/>
      <c r="P154" s="544"/>
      <c r="Q154" s="199"/>
      <c r="R154" s="544"/>
      <c r="S154" s="199"/>
      <c r="T154" s="544"/>
    </row>
    <row r="155">
      <c r="A155" s="92"/>
      <c r="B155" s="92"/>
      <c r="C155" s="545"/>
      <c r="D155" s="453"/>
      <c r="E155" s="453"/>
      <c r="F155" s="92"/>
      <c r="G155" s="453"/>
      <c r="H155" s="92"/>
      <c r="I155" s="119"/>
      <c r="J155" s="297"/>
      <c r="K155" s="199"/>
      <c r="L155" s="544"/>
      <c r="M155" s="199"/>
      <c r="N155" s="199"/>
      <c r="O155" s="199"/>
      <c r="P155" s="544"/>
      <c r="Q155" s="199"/>
      <c r="R155" s="544"/>
      <c r="S155" s="199"/>
      <c r="T155" s="544"/>
    </row>
    <row r="156">
      <c r="A156" s="45"/>
      <c r="B156" s="45"/>
      <c r="C156" s="554"/>
      <c r="D156" s="555"/>
      <c r="E156" s="555"/>
      <c r="F156" s="45"/>
      <c r="G156" s="555"/>
      <c r="H156" s="45"/>
      <c r="I156" s="122"/>
      <c r="K156" s="556"/>
      <c r="L156" s="557"/>
      <c r="M156" s="556"/>
      <c r="N156" s="556"/>
      <c r="O156" s="556"/>
      <c r="P156" s="557"/>
      <c r="Q156" s="556"/>
      <c r="R156" s="557"/>
      <c r="S156" s="556"/>
      <c r="T156" s="557"/>
    </row>
    <row r="157">
      <c r="A157" s="45"/>
      <c r="B157" s="45"/>
      <c r="C157" s="554"/>
      <c r="D157" s="555"/>
      <c r="E157" s="555"/>
      <c r="F157" s="45"/>
      <c r="G157" s="555"/>
      <c r="H157" s="45"/>
      <c r="I157" s="122"/>
      <c r="K157" s="556"/>
      <c r="L157" s="557"/>
      <c r="M157" s="556"/>
      <c r="N157" s="556"/>
      <c r="O157" s="556"/>
      <c r="P157" s="557"/>
      <c r="Q157" s="556"/>
      <c r="R157" s="557"/>
      <c r="S157" s="556"/>
      <c r="T157" s="557"/>
    </row>
    <row r="158">
      <c r="A158" s="45"/>
      <c r="B158" s="45"/>
      <c r="C158" s="554"/>
      <c r="D158" s="555"/>
      <c r="E158" s="555"/>
      <c r="F158" s="45"/>
      <c r="G158" s="555"/>
      <c r="H158" s="45"/>
      <c r="I158" s="122"/>
      <c r="K158" s="556"/>
      <c r="L158" s="557"/>
      <c r="M158" s="556"/>
      <c r="N158" s="556"/>
      <c r="O158" s="556"/>
      <c r="P158" s="557"/>
      <c r="Q158" s="556"/>
      <c r="R158" s="557"/>
      <c r="S158" s="556"/>
      <c r="T158" s="557"/>
    </row>
    <row r="159">
      <c r="A159" s="45"/>
      <c r="B159" s="45"/>
      <c r="C159" s="554"/>
      <c r="D159" s="555"/>
      <c r="E159" s="555"/>
      <c r="F159" s="45"/>
      <c r="G159" s="555"/>
      <c r="H159" s="45"/>
      <c r="I159" s="122"/>
      <c r="K159" s="556"/>
      <c r="L159" s="557"/>
      <c r="M159" s="556"/>
      <c r="N159" s="556"/>
      <c r="O159" s="556"/>
      <c r="P159" s="557"/>
      <c r="Q159" s="556"/>
      <c r="R159" s="557"/>
      <c r="S159" s="556"/>
      <c r="T159" s="557"/>
    </row>
    <row r="160">
      <c r="A160" s="45"/>
      <c r="B160" s="45"/>
      <c r="C160" s="554"/>
      <c r="D160" s="555"/>
      <c r="E160" s="555"/>
      <c r="F160" s="45"/>
      <c r="G160" s="555"/>
      <c r="H160" s="45"/>
      <c r="I160" s="122"/>
      <c r="K160" s="556"/>
      <c r="L160" s="557"/>
      <c r="M160" s="556"/>
      <c r="N160" s="556"/>
      <c r="O160" s="556"/>
      <c r="P160" s="557"/>
      <c r="Q160" s="556"/>
      <c r="R160" s="557"/>
      <c r="S160" s="556"/>
      <c r="T160" s="557"/>
    </row>
    <row r="161">
      <c r="A161" s="45"/>
      <c r="B161" s="45"/>
      <c r="C161" s="554"/>
      <c r="D161" s="555"/>
      <c r="E161" s="555"/>
      <c r="F161" s="45"/>
      <c r="G161" s="555"/>
      <c r="H161" s="45"/>
      <c r="I161" s="122"/>
      <c r="K161" s="556"/>
      <c r="L161" s="557"/>
      <c r="M161" s="556"/>
      <c r="N161" s="556"/>
      <c r="O161" s="556"/>
      <c r="P161" s="557"/>
      <c r="Q161" s="556"/>
      <c r="R161" s="557"/>
      <c r="S161" s="556"/>
      <c r="T161" s="557"/>
    </row>
    <row r="162">
      <c r="A162" s="45"/>
      <c r="B162" s="45"/>
      <c r="C162" s="554"/>
      <c r="D162" s="555"/>
      <c r="E162" s="555"/>
      <c r="F162" s="45"/>
      <c r="G162" s="555"/>
      <c r="H162" s="45"/>
      <c r="I162" s="122"/>
      <c r="K162" s="556"/>
      <c r="L162" s="557"/>
      <c r="M162" s="556"/>
      <c r="N162" s="556"/>
      <c r="O162" s="556"/>
      <c r="P162" s="557"/>
      <c r="Q162" s="556"/>
      <c r="R162" s="557"/>
      <c r="S162" s="556"/>
      <c r="T162" s="557"/>
    </row>
    <row r="163">
      <c r="A163" s="45"/>
      <c r="B163" s="45"/>
      <c r="C163" s="554"/>
      <c r="D163" s="555"/>
      <c r="E163" s="555"/>
      <c r="F163" s="45"/>
      <c r="G163" s="555"/>
      <c r="H163" s="45"/>
      <c r="I163" s="122"/>
      <c r="K163" s="556"/>
      <c r="L163" s="557"/>
      <c r="M163" s="556"/>
      <c r="N163" s="556"/>
      <c r="O163" s="556"/>
      <c r="P163" s="557"/>
      <c r="Q163" s="556"/>
      <c r="R163" s="557"/>
      <c r="S163" s="556"/>
      <c r="T163" s="557"/>
    </row>
    <row r="164">
      <c r="A164" s="45"/>
      <c r="B164" s="45"/>
      <c r="C164" s="554"/>
      <c r="D164" s="555"/>
      <c r="E164" s="555"/>
      <c r="F164" s="45"/>
      <c r="G164" s="555"/>
      <c r="H164" s="45"/>
      <c r="I164" s="122"/>
      <c r="K164" s="556"/>
      <c r="L164" s="557"/>
      <c r="M164" s="556"/>
      <c r="N164" s="556"/>
      <c r="O164" s="556"/>
      <c r="P164" s="557"/>
      <c r="Q164" s="556"/>
      <c r="R164" s="557"/>
      <c r="S164" s="556"/>
      <c r="T164" s="557"/>
    </row>
    <row r="165">
      <c r="A165" s="45"/>
      <c r="B165" s="45"/>
      <c r="C165" s="554"/>
      <c r="D165" s="555"/>
      <c r="E165" s="555"/>
      <c r="F165" s="45"/>
      <c r="G165" s="555"/>
      <c r="H165" s="45"/>
      <c r="I165" s="122"/>
      <c r="K165" s="556"/>
      <c r="L165" s="557"/>
      <c r="M165" s="556"/>
      <c r="N165" s="556"/>
      <c r="O165" s="556"/>
      <c r="P165" s="557"/>
      <c r="Q165" s="556"/>
      <c r="R165" s="557"/>
      <c r="S165" s="556"/>
      <c r="T165" s="557"/>
    </row>
    <row r="166">
      <c r="A166" s="45"/>
      <c r="B166" s="45"/>
      <c r="C166" s="554"/>
      <c r="D166" s="555"/>
      <c r="E166" s="555"/>
      <c r="F166" s="45"/>
      <c r="G166" s="555"/>
      <c r="H166" s="45"/>
      <c r="I166" s="122"/>
      <c r="K166" s="556"/>
      <c r="L166" s="557"/>
      <c r="M166" s="556"/>
      <c r="N166" s="556"/>
      <c r="O166" s="556"/>
      <c r="P166" s="557"/>
      <c r="Q166" s="556"/>
      <c r="R166" s="557"/>
      <c r="S166" s="556"/>
      <c r="T166" s="557"/>
    </row>
    <row r="167">
      <c r="A167" s="45"/>
      <c r="B167" s="45"/>
      <c r="C167" s="554"/>
      <c r="D167" s="555"/>
      <c r="E167" s="555"/>
      <c r="F167" s="45"/>
      <c r="G167" s="555"/>
      <c r="H167" s="45"/>
      <c r="I167" s="122"/>
      <c r="K167" s="556"/>
      <c r="L167" s="557"/>
      <c r="M167" s="556"/>
      <c r="N167" s="556"/>
      <c r="O167" s="556"/>
      <c r="P167" s="557"/>
      <c r="Q167" s="556"/>
      <c r="R167" s="557"/>
      <c r="S167" s="556"/>
      <c r="T167" s="557"/>
    </row>
    <row r="168">
      <c r="A168" s="45"/>
      <c r="B168" s="45"/>
      <c r="C168" s="554"/>
      <c r="D168" s="555"/>
      <c r="E168" s="555"/>
      <c r="F168" s="45"/>
      <c r="G168" s="555"/>
      <c r="H168" s="45"/>
      <c r="I168" s="122"/>
      <c r="K168" s="556"/>
      <c r="L168" s="557"/>
      <c r="M168" s="556"/>
      <c r="N168" s="556"/>
      <c r="O168" s="556"/>
      <c r="P168" s="557"/>
      <c r="Q168" s="556"/>
      <c r="R168" s="557"/>
      <c r="S168" s="556"/>
      <c r="T168" s="557"/>
    </row>
    <row r="169">
      <c r="A169" s="45"/>
      <c r="B169" s="45"/>
      <c r="C169" s="554"/>
      <c r="D169" s="555"/>
      <c r="E169" s="555"/>
      <c r="F169" s="45"/>
      <c r="G169" s="555"/>
      <c r="H169" s="45"/>
      <c r="I169" s="122"/>
      <c r="K169" s="556"/>
      <c r="L169" s="557"/>
      <c r="M169" s="556"/>
      <c r="N169" s="556"/>
      <c r="O169" s="556"/>
      <c r="P169" s="557"/>
      <c r="Q169" s="556"/>
      <c r="R169" s="557"/>
      <c r="S169" s="556"/>
      <c r="T169" s="557"/>
    </row>
    <row r="170">
      <c r="A170" s="45"/>
      <c r="B170" s="45"/>
      <c r="C170" s="554"/>
      <c r="D170" s="555"/>
      <c r="E170" s="555"/>
      <c r="F170" s="45"/>
      <c r="G170" s="555"/>
      <c r="H170" s="45"/>
      <c r="I170" s="122"/>
      <c r="K170" s="556"/>
      <c r="L170" s="557"/>
      <c r="M170" s="556"/>
      <c r="N170" s="556"/>
      <c r="O170" s="556"/>
      <c r="P170" s="557"/>
      <c r="Q170" s="556"/>
      <c r="R170" s="557"/>
      <c r="S170" s="556"/>
      <c r="T170" s="557"/>
    </row>
    <row r="171">
      <c r="A171" s="45"/>
      <c r="B171" s="45"/>
      <c r="C171" s="554"/>
      <c r="D171" s="555"/>
      <c r="E171" s="555"/>
      <c r="F171" s="45"/>
      <c r="G171" s="555"/>
      <c r="H171" s="45"/>
      <c r="I171" s="122"/>
      <c r="K171" s="556"/>
      <c r="L171" s="557"/>
      <c r="M171" s="556"/>
      <c r="N171" s="556"/>
      <c r="O171" s="556"/>
      <c r="P171" s="557"/>
      <c r="Q171" s="556"/>
      <c r="R171" s="557"/>
      <c r="S171" s="556"/>
      <c r="T171" s="557"/>
    </row>
    <row r="172">
      <c r="A172" s="45"/>
      <c r="B172" s="45"/>
      <c r="C172" s="554"/>
      <c r="D172" s="555"/>
      <c r="E172" s="555"/>
      <c r="F172" s="45"/>
      <c r="G172" s="555"/>
      <c r="H172" s="45"/>
      <c r="I172" s="122"/>
      <c r="K172" s="556"/>
      <c r="L172" s="557"/>
      <c r="M172" s="556"/>
      <c r="N172" s="556"/>
      <c r="O172" s="556"/>
      <c r="P172" s="557"/>
      <c r="Q172" s="556"/>
      <c r="R172" s="557"/>
      <c r="S172" s="556"/>
      <c r="T172" s="557"/>
    </row>
    <row r="173">
      <c r="A173" s="45"/>
      <c r="B173" s="45"/>
      <c r="C173" s="554"/>
      <c r="D173" s="555"/>
      <c r="E173" s="555"/>
      <c r="F173" s="45"/>
      <c r="G173" s="555"/>
      <c r="H173" s="45"/>
      <c r="I173" s="122"/>
      <c r="K173" s="556"/>
      <c r="L173" s="557"/>
      <c r="M173" s="556"/>
      <c r="N173" s="556"/>
      <c r="O173" s="556"/>
      <c r="P173" s="557"/>
      <c r="Q173" s="556"/>
      <c r="R173" s="557"/>
      <c r="S173" s="556"/>
      <c r="T173" s="557"/>
    </row>
    <row r="174">
      <c r="A174" s="45"/>
      <c r="B174" s="45"/>
      <c r="C174" s="554"/>
      <c r="D174" s="555"/>
      <c r="E174" s="555"/>
      <c r="F174" s="45"/>
      <c r="G174" s="555"/>
      <c r="H174" s="45"/>
      <c r="I174" s="122"/>
      <c r="K174" s="556"/>
      <c r="L174" s="557"/>
      <c r="M174" s="556"/>
      <c r="N174" s="556"/>
      <c r="O174" s="556"/>
      <c r="P174" s="557"/>
      <c r="Q174" s="556"/>
      <c r="R174" s="557"/>
      <c r="S174" s="556"/>
      <c r="T174" s="557"/>
    </row>
    <row r="175">
      <c r="A175" s="45"/>
      <c r="B175" s="45"/>
      <c r="C175" s="554"/>
      <c r="D175" s="555"/>
      <c r="E175" s="555"/>
      <c r="F175" s="45"/>
      <c r="G175" s="555"/>
      <c r="H175" s="45"/>
      <c r="I175" s="122"/>
      <c r="K175" s="556"/>
      <c r="L175" s="557"/>
      <c r="M175" s="556"/>
      <c r="N175" s="556"/>
      <c r="O175" s="556"/>
      <c r="P175" s="557"/>
      <c r="Q175" s="556"/>
      <c r="R175" s="557"/>
      <c r="S175" s="556"/>
      <c r="T175" s="557"/>
    </row>
    <row r="176">
      <c r="A176" s="45"/>
      <c r="B176" s="45"/>
      <c r="C176" s="554"/>
      <c r="D176" s="555"/>
      <c r="E176" s="555"/>
      <c r="F176" s="45"/>
      <c r="G176" s="555"/>
      <c r="H176" s="45"/>
      <c r="I176" s="122"/>
      <c r="K176" s="556"/>
      <c r="L176" s="557"/>
      <c r="M176" s="556"/>
      <c r="N176" s="556"/>
      <c r="O176" s="556"/>
      <c r="P176" s="557"/>
      <c r="Q176" s="556"/>
      <c r="R176" s="557"/>
      <c r="S176" s="556"/>
      <c r="T176" s="557"/>
    </row>
    <row r="177">
      <c r="A177" s="45"/>
      <c r="B177" s="45"/>
      <c r="C177" s="554"/>
      <c r="D177" s="555"/>
      <c r="E177" s="555"/>
      <c r="F177" s="45"/>
      <c r="G177" s="555"/>
      <c r="H177" s="45"/>
      <c r="I177" s="122"/>
      <c r="K177" s="556"/>
      <c r="L177" s="557"/>
      <c r="M177" s="556"/>
      <c r="N177" s="556"/>
      <c r="O177" s="556"/>
      <c r="P177" s="557"/>
      <c r="Q177" s="556"/>
      <c r="R177" s="557"/>
      <c r="S177" s="556"/>
      <c r="T177" s="557"/>
    </row>
    <row r="178">
      <c r="A178" s="45"/>
      <c r="B178" s="45"/>
      <c r="C178" s="554"/>
      <c r="D178" s="555"/>
      <c r="E178" s="555"/>
      <c r="F178" s="45"/>
      <c r="G178" s="555"/>
      <c r="H178" s="45"/>
      <c r="I178" s="122"/>
      <c r="K178" s="556"/>
      <c r="L178" s="557"/>
      <c r="M178" s="556"/>
      <c r="N178" s="556"/>
      <c r="O178" s="556"/>
      <c r="P178" s="557"/>
      <c r="Q178" s="556"/>
      <c r="R178" s="557"/>
      <c r="S178" s="556"/>
      <c r="T178" s="557"/>
    </row>
    <row r="179">
      <c r="A179" s="45"/>
      <c r="B179" s="45"/>
      <c r="C179" s="554"/>
      <c r="D179" s="555"/>
      <c r="E179" s="555"/>
      <c r="F179" s="45"/>
      <c r="G179" s="555"/>
      <c r="H179" s="45"/>
      <c r="I179" s="122"/>
      <c r="K179" s="556"/>
      <c r="L179" s="557"/>
      <c r="M179" s="556"/>
      <c r="N179" s="556"/>
      <c r="O179" s="556"/>
      <c r="P179" s="557"/>
      <c r="Q179" s="556"/>
      <c r="R179" s="557"/>
      <c r="S179" s="556"/>
      <c r="T179" s="557"/>
    </row>
    <row r="180">
      <c r="A180" s="45"/>
      <c r="B180" s="45"/>
      <c r="C180" s="554"/>
      <c r="D180" s="555"/>
      <c r="E180" s="555"/>
      <c r="F180" s="45"/>
      <c r="G180" s="555"/>
      <c r="H180" s="45"/>
      <c r="I180" s="122"/>
      <c r="K180" s="556"/>
      <c r="L180" s="557"/>
      <c r="M180" s="556"/>
      <c r="N180" s="556"/>
      <c r="O180" s="556"/>
      <c r="P180" s="557"/>
      <c r="Q180" s="556"/>
      <c r="R180" s="557"/>
      <c r="S180" s="556"/>
      <c r="T180" s="557"/>
    </row>
    <row r="181">
      <c r="A181" s="45"/>
      <c r="B181" s="45"/>
      <c r="C181" s="554"/>
      <c r="D181" s="555"/>
      <c r="E181" s="555"/>
      <c r="F181" s="45"/>
      <c r="G181" s="555"/>
      <c r="H181" s="45"/>
      <c r="I181" s="122"/>
      <c r="K181" s="556"/>
      <c r="L181" s="557"/>
      <c r="M181" s="556"/>
      <c r="N181" s="556"/>
      <c r="O181" s="556"/>
      <c r="P181" s="557"/>
      <c r="Q181" s="556"/>
      <c r="R181" s="557"/>
      <c r="S181" s="556"/>
      <c r="T181" s="557"/>
    </row>
    <row r="182">
      <c r="A182" s="45"/>
      <c r="B182" s="45"/>
      <c r="C182" s="554"/>
      <c r="D182" s="555"/>
      <c r="E182" s="555"/>
      <c r="F182" s="45"/>
      <c r="G182" s="555"/>
      <c r="H182" s="45"/>
      <c r="I182" s="122"/>
      <c r="K182" s="556"/>
      <c r="L182" s="557"/>
      <c r="M182" s="556"/>
      <c r="N182" s="556"/>
      <c r="O182" s="556"/>
      <c r="P182" s="557"/>
      <c r="Q182" s="556"/>
      <c r="R182" s="557"/>
      <c r="S182" s="556"/>
      <c r="T182" s="557"/>
    </row>
    <row r="183">
      <c r="A183" s="45"/>
      <c r="B183" s="45"/>
      <c r="C183" s="554"/>
      <c r="D183" s="555"/>
      <c r="E183" s="555"/>
      <c r="F183" s="45"/>
      <c r="G183" s="555"/>
      <c r="H183" s="45"/>
      <c r="I183" s="122"/>
      <c r="K183" s="556"/>
      <c r="L183" s="557"/>
      <c r="M183" s="556"/>
      <c r="N183" s="556"/>
      <c r="O183" s="556"/>
      <c r="P183" s="557"/>
      <c r="Q183" s="556"/>
      <c r="R183" s="557"/>
      <c r="S183" s="556"/>
      <c r="T183" s="557"/>
    </row>
    <row r="184">
      <c r="A184" s="45"/>
      <c r="B184" s="45"/>
      <c r="C184" s="554"/>
      <c r="D184" s="555"/>
      <c r="E184" s="555"/>
      <c r="F184" s="45"/>
      <c r="G184" s="555"/>
      <c r="H184" s="45"/>
      <c r="I184" s="122"/>
      <c r="K184" s="556"/>
      <c r="L184" s="557"/>
      <c r="M184" s="556"/>
      <c r="N184" s="556"/>
      <c r="O184" s="556"/>
      <c r="P184" s="557"/>
      <c r="Q184" s="556"/>
      <c r="R184" s="557"/>
      <c r="S184" s="556"/>
      <c r="T184" s="557"/>
    </row>
    <row r="185">
      <c r="A185" s="45"/>
      <c r="B185" s="45"/>
      <c r="C185" s="554"/>
      <c r="D185" s="555"/>
      <c r="E185" s="555"/>
      <c r="F185" s="45"/>
      <c r="G185" s="555"/>
      <c r="H185" s="45"/>
      <c r="I185" s="122"/>
      <c r="K185" s="556"/>
      <c r="L185" s="557"/>
      <c r="M185" s="556"/>
      <c r="N185" s="556"/>
      <c r="O185" s="556"/>
      <c r="P185" s="557"/>
      <c r="Q185" s="556"/>
      <c r="R185" s="557"/>
      <c r="S185" s="556"/>
      <c r="T185" s="557"/>
    </row>
    <row r="186">
      <c r="A186" s="45"/>
      <c r="B186" s="45"/>
      <c r="C186" s="554"/>
      <c r="D186" s="555"/>
      <c r="E186" s="555"/>
      <c r="F186" s="45"/>
      <c r="G186" s="555"/>
      <c r="H186" s="45"/>
      <c r="I186" s="122"/>
      <c r="K186" s="556"/>
      <c r="L186" s="557"/>
      <c r="M186" s="556"/>
      <c r="N186" s="556"/>
      <c r="O186" s="556"/>
      <c r="P186" s="557"/>
      <c r="Q186" s="556"/>
      <c r="R186" s="557"/>
      <c r="S186" s="556"/>
      <c r="T186" s="557"/>
    </row>
    <row r="187">
      <c r="A187" s="45"/>
      <c r="B187" s="45"/>
      <c r="C187" s="554"/>
      <c r="D187" s="555"/>
      <c r="E187" s="555"/>
      <c r="F187" s="45"/>
      <c r="G187" s="555"/>
      <c r="H187" s="45"/>
      <c r="I187" s="122"/>
      <c r="K187" s="556"/>
      <c r="L187" s="557"/>
      <c r="M187" s="556"/>
      <c r="N187" s="556"/>
      <c r="O187" s="556"/>
      <c r="P187" s="557"/>
      <c r="Q187" s="556"/>
      <c r="R187" s="557"/>
      <c r="S187" s="556"/>
      <c r="T187" s="557"/>
    </row>
    <row r="188">
      <c r="A188" s="45"/>
      <c r="B188" s="45"/>
      <c r="C188" s="554"/>
      <c r="D188" s="555"/>
      <c r="E188" s="555"/>
      <c r="F188" s="45"/>
      <c r="G188" s="555"/>
      <c r="H188" s="45"/>
      <c r="I188" s="122"/>
      <c r="K188" s="556"/>
      <c r="L188" s="557"/>
      <c r="M188" s="556"/>
      <c r="N188" s="556"/>
      <c r="O188" s="556"/>
      <c r="P188" s="557"/>
      <c r="Q188" s="556"/>
      <c r="R188" s="557"/>
      <c r="S188" s="556"/>
      <c r="T188" s="557"/>
    </row>
    <row r="189">
      <c r="A189" s="45"/>
      <c r="B189" s="45"/>
      <c r="C189" s="554"/>
      <c r="D189" s="555"/>
      <c r="E189" s="555"/>
      <c r="F189" s="45"/>
      <c r="G189" s="555"/>
      <c r="H189" s="45"/>
      <c r="I189" s="122"/>
      <c r="K189" s="556"/>
      <c r="L189" s="557"/>
      <c r="M189" s="556"/>
      <c r="N189" s="556"/>
      <c r="O189" s="556"/>
      <c r="P189" s="557"/>
      <c r="Q189" s="556"/>
      <c r="R189" s="557"/>
      <c r="S189" s="556"/>
      <c r="T189" s="557"/>
    </row>
    <row r="190">
      <c r="A190" s="45"/>
      <c r="B190" s="45"/>
      <c r="C190" s="554"/>
      <c r="D190" s="555"/>
      <c r="E190" s="555"/>
      <c r="F190" s="45"/>
      <c r="G190" s="555"/>
      <c r="H190" s="45"/>
      <c r="I190" s="122"/>
      <c r="K190" s="556"/>
      <c r="L190" s="557"/>
      <c r="M190" s="556"/>
      <c r="N190" s="556"/>
      <c r="O190" s="556"/>
      <c r="P190" s="557"/>
      <c r="Q190" s="556"/>
      <c r="R190" s="557"/>
      <c r="S190" s="556"/>
      <c r="T190" s="557"/>
    </row>
    <row r="191">
      <c r="A191" s="45"/>
      <c r="B191" s="45"/>
      <c r="C191" s="554"/>
      <c r="D191" s="555"/>
      <c r="E191" s="555"/>
      <c r="F191" s="45"/>
      <c r="G191" s="555"/>
      <c r="H191" s="45"/>
      <c r="I191" s="122"/>
      <c r="K191" s="556"/>
      <c r="L191" s="557"/>
      <c r="M191" s="556"/>
      <c r="N191" s="556"/>
      <c r="O191" s="556"/>
      <c r="P191" s="557"/>
      <c r="Q191" s="556"/>
      <c r="R191" s="557"/>
      <c r="S191" s="556"/>
      <c r="T191" s="557"/>
    </row>
    <row r="192">
      <c r="A192" s="45"/>
      <c r="B192" s="45"/>
      <c r="C192" s="554"/>
      <c r="D192" s="555"/>
      <c r="E192" s="555"/>
      <c r="F192" s="45"/>
      <c r="G192" s="555"/>
      <c r="H192" s="45"/>
      <c r="I192" s="122"/>
      <c r="K192" s="556"/>
      <c r="L192" s="557"/>
      <c r="M192" s="556"/>
      <c r="N192" s="556"/>
      <c r="O192" s="556"/>
      <c r="P192" s="557"/>
      <c r="Q192" s="556"/>
      <c r="R192" s="557"/>
      <c r="S192" s="556"/>
      <c r="T192" s="557"/>
    </row>
    <row r="193">
      <c r="A193" s="45"/>
      <c r="B193" s="45"/>
      <c r="C193" s="554"/>
      <c r="D193" s="555"/>
      <c r="E193" s="555"/>
      <c r="F193" s="45"/>
      <c r="G193" s="555"/>
      <c r="H193" s="45"/>
      <c r="I193" s="122"/>
      <c r="K193" s="556"/>
      <c r="L193" s="557"/>
      <c r="M193" s="556"/>
      <c r="N193" s="556"/>
      <c r="O193" s="556"/>
      <c r="P193" s="557"/>
      <c r="Q193" s="556"/>
      <c r="R193" s="557"/>
      <c r="S193" s="556"/>
      <c r="T193" s="557"/>
    </row>
    <row r="194">
      <c r="A194" s="45"/>
      <c r="B194" s="45"/>
      <c r="C194" s="554"/>
      <c r="D194" s="555"/>
      <c r="E194" s="555"/>
      <c r="F194" s="45"/>
      <c r="G194" s="555"/>
      <c r="H194" s="45"/>
      <c r="I194" s="122"/>
      <c r="K194" s="556"/>
      <c r="L194" s="557"/>
      <c r="M194" s="556"/>
      <c r="N194" s="556"/>
      <c r="O194" s="556"/>
      <c r="P194" s="557"/>
      <c r="Q194" s="556"/>
      <c r="R194" s="557"/>
      <c r="S194" s="556"/>
      <c r="T194" s="557"/>
    </row>
    <row r="195">
      <c r="A195" s="45"/>
      <c r="B195" s="45"/>
      <c r="C195" s="554"/>
      <c r="D195" s="555"/>
      <c r="E195" s="555"/>
      <c r="F195" s="45"/>
      <c r="G195" s="555"/>
      <c r="H195" s="45"/>
      <c r="I195" s="122"/>
      <c r="K195" s="556"/>
      <c r="L195" s="557"/>
      <c r="M195" s="556"/>
      <c r="N195" s="556"/>
      <c r="O195" s="556"/>
      <c r="P195" s="557"/>
      <c r="Q195" s="556"/>
      <c r="R195" s="557"/>
      <c r="S195" s="556"/>
      <c r="T195" s="557"/>
    </row>
    <row r="196">
      <c r="A196" s="45"/>
      <c r="B196" s="45"/>
      <c r="C196" s="554"/>
      <c r="D196" s="555"/>
      <c r="E196" s="555"/>
      <c r="F196" s="45"/>
      <c r="G196" s="555"/>
      <c r="H196" s="45"/>
      <c r="I196" s="122"/>
      <c r="K196" s="556"/>
      <c r="L196" s="557"/>
      <c r="M196" s="556"/>
      <c r="N196" s="556"/>
      <c r="O196" s="556"/>
      <c r="P196" s="557"/>
      <c r="Q196" s="556"/>
      <c r="R196" s="557"/>
      <c r="S196" s="556"/>
      <c r="T196" s="557"/>
    </row>
    <row r="197">
      <c r="A197" s="45"/>
      <c r="B197" s="45"/>
      <c r="C197" s="554"/>
      <c r="D197" s="555"/>
      <c r="E197" s="555"/>
      <c r="F197" s="45"/>
      <c r="G197" s="555"/>
      <c r="H197" s="45"/>
      <c r="I197" s="122"/>
      <c r="K197" s="556"/>
      <c r="L197" s="557"/>
      <c r="M197" s="556"/>
      <c r="N197" s="556"/>
      <c r="O197" s="556"/>
      <c r="P197" s="557"/>
      <c r="Q197" s="556"/>
      <c r="R197" s="557"/>
      <c r="S197" s="556"/>
      <c r="T197" s="557"/>
    </row>
    <row r="198">
      <c r="A198" s="45"/>
      <c r="B198" s="45"/>
      <c r="C198" s="554"/>
      <c r="D198" s="555"/>
      <c r="E198" s="555"/>
      <c r="F198" s="45"/>
      <c r="G198" s="555"/>
      <c r="H198" s="45"/>
      <c r="I198" s="122"/>
      <c r="K198" s="556"/>
      <c r="L198" s="557"/>
      <c r="M198" s="556"/>
      <c r="N198" s="556"/>
      <c r="O198" s="556"/>
      <c r="P198" s="557"/>
      <c r="Q198" s="556"/>
      <c r="R198" s="557"/>
      <c r="S198" s="556"/>
      <c r="T198" s="557"/>
    </row>
    <row r="199">
      <c r="A199" s="45"/>
      <c r="B199" s="45"/>
      <c r="C199" s="554"/>
      <c r="D199" s="555"/>
      <c r="E199" s="555"/>
      <c r="F199" s="45"/>
      <c r="G199" s="555"/>
      <c r="H199" s="45"/>
      <c r="I199" s="122"/>
      <c r="K199" s="556"/>
      <c r="L199" s="557"/>
      <c r="M199" s="556"/>
      <c r="N199" s="556"/>
      <c r="O199" s="556"/>
      <c r="P199" s="557"/>
      <c r="Q199" s="556"/>
      <c r="R199" s="557"/>
      <c r="S199" s="556"/>
      <c r="T199" s="557"/>
    </row>
    <row r="200">
      <c r="A200" s="45"/>
      <c r="B200" s="45"/>
      <c r="C200" s="554"/>
      <c r="D200" s="555"/>
      <c r="E200" s="555"/>
      <c r="F200" s="45"/>
      <c r="G200" s="555"/>
      <c r="H200" s="45"/>
      <c r="I200" s="122"/>
      <c r="K200" s="556"/>
      <c r="L200" s="557"/>
      <c r="M200" s="556"/>
      <c r="N200" s="556"/>
      <c r="O200" s="556"/>
      <c r="P200" s="557"/>
      <c r="Q200" s="556"/>
      <c r="R200" s="557"/>
      <c r="S200" s="556"/>
      <c r="T200" s="557"/>
    </row>
    <row r="201">
      <c r="A201" s="45"/>
      <c r="B201" s="45"/>
      <c r="C201" s="554"/>
      <c r="D201" s="555"/>
      <c r="E201" s="555"/>
      <c r="F201" s="45"/>
      <c r="G201" s="555"/>
      <c r="H201" s="45"/>
      <c r="I201" s="122"/>
      <c r="K201" s="556"/>
      <c r="L201" s="557"/>
      <c r="M201" s="556"/>
      <c r="N201" s="556"/>
      <c r="O201" s="556"/>
      <c r="P201" s="557"/>
      <c r="Q201" s="556"/>
      <c r="R201" s="557"/>
      <c r="S201" s="556"/>
      <c r="T201" s="557"/>
    </row>
    <row r="202">
      <c r="A202" s="45"/>
      <c r="B202" s="45"/>
      <c r="C202" s="554"/>
      <c r="D202" s="555"/>
      <c r="E202" s="555"/>
      <c r="F202" s="45"/>
      <c r="G202" s="555"/>
      <c r="H202" s="45"/>
      <c r="I202" s="122"/>
      <c r="K202" s="556"/>
      <c r="L202" s="557"/>
      <c r="M202" s="556"/>
      <c r="N202" s="556"/>
      <c r="O202" s="556"/>
      <c r="P202" s="557"/>
      <c r="Q202" s="556"/>
      <c r="R202" s="557"/>
      <c r="S202" s="556"/>
      <c r="T202" s="557"/>
    </row>
    <row r="203">
      <c r="A203" s="45"/>
      <c r="B203" s="45"/>
      <c r="C203" s="554"/>
      <c r="D203" s="555"/>
      <c r="E203" s="555"/>
      <c r="F203" s="45"/>
      <c r="G203" s="555"/>
      <c r="H203" s="45"/>
      <c r="I203" s="122"/>
      <c r="K203" s="556"/>
      <c r="L203" s="557"/>
      <c r="M203" s="556"/>
      <c r="N203" s="556"/>
      <c r="O203" s="556"/>
      <c r="P203" s="557"/>
      <c r="Q203" s="556"/>
      <c r="R203" s="557"/>
      <c r="S203" s="556"/>
      <c r="T203" s="557"/>
    </row>
    <row r="204">
      <c r="A204" s="45"/>
      <c r="B204" s="45"/>
      <c r="C204" s="554"/>
      <c r="D204" s="555"/>
      <c r="E204" s="555"/>
      <c r="F204" s="45"/>
      <c r="G204" s="555"/>
      <c r="H204" s="45"/>
      <c r="I204" s="122"/>
      <c r="K204" s="556"/>
      <c r="L204" s="557"/>
      <c r="M204" s="556"/>
      <c r="N204" s="556"/>
      <c r="O204" s="556"/>
      <c r="P204" s="557"/>
      <c r="Q204" s="556"/>
      <c r="R204" s="557"/>
      <c r="S204" s="556"/>
      <c r="T204" s="557"/>
    </row>
    <row r="205">
      <c r="A205" s="45"/>
      <c r="B205" s="45"/>
      <c r="C205" s="554"/>
      <c r="D205" s="555"/>
      <c r="E205" s="555"/>
      <c r="F205" s="45"/>
      <c r="G205" s="555"/>
      <c r="H205" s="45"/>
      <c r="I205" s="122"/>
      <c r="K205" s="556"/>
      <c r="L205" s="557"/>
      <c r="M205" s="556"/>
      <c r="N205" s="556"/>
      <c r="O205" s="556"/>
      <c r="P205" s="557"/>
      <c r="Q205" s="556"/>
      <c r="R205" s="557"/>
      <c r="S205" s="556"/>
      <c r="T205" s="557"/>
    </row>
    <row r="206">
      <c r="A206" s="45"/>
      <c r="B206" s="45"/>
      <c r="C206" s="554"/>
      <c r="D206" s="555"/>
      <c r="E206" s="555"/>
      <c r="F206" s="45"/>
      <c r="G206" s="555"/>
      <c r="H206" s="45"/>
      <c r="I206" s="122"/>
      <c r="K206" s="556"/>
      <c r="L206" s="557"/>
      <c r="M206" s="556"/>
      <c r="N206" s="556"/>
      <c r="O206" s="556"/>
      <c r="P206" s="557"/>
      <c r="Q206" s="556"/>
      <c r="R206" s="557"/>
      <c r="S206" s="556"/>
      <c r="T206" s="557"/>
    </row>
    <row r="207">
      <c r="A207" s="45"/>
      <c r="B207" s="45"/>
      <c r="C207" s="554"/>
      <c r="D207" s="555"/>
      <c r="E207" s="555"/>
      <c r="F207" s="45"/>
      <c r="G207" s="555"/>
      <c r="H207" s="45"/>
      <c r="I207" s="122"/>
      <c r="K207" s="556"/>
      <c r="L207" s="557"/>
      <c r="M207" s="556"/>
      <c r="N207" s="556"/>
      <c r="O207" s="556"/>
      <c r="P207" s="557"/>
      <c r="Q207" s="556"/>
      <c r="R207" s="557"/>
      <c r="S207" s="556"/>
      <c r="T207" s="557"/>
    </row>
    <row r="208">
      <c r="A208" s="45"/>
      <c r="B208" s="45"/>
      <c r="C208" s="554"/>
      <c r="D208" s="555"/>
      <c r="E208" s="555"/>
      <c r="F208" s="45"/>
      <c r="G208" s="555"/>
      <c r="H208" s="45"/>
      <c r="I208" s="122"/>
      <c r="K208" s="556"/>
      <c r="L208" s="557"/>
      <c r="M208" s="556"/>
      <c r="N208" s="556"/>
      <c r="O208" s="556"/>
      <c r="P208" s="557"/>
      <c r="Q208" s="556"/>
      <c r="R208" s="557"/>
      <c r="S208" s="556"/>
      <c r="T208" s="557"/>
    </row>
    <row r="209">
      <c r="A209" s="45"/>
      <c r="B209" s="45"/>
      <c r="C209" s="554"/>
      <c r="D209" s="555"/>
      <c r="E209" s="555"/>
      <c r="F209" s="45"/>
      <c r="G209" s="555"/>
      <c r="H209" s="45"/>
      <c r="I209" s="122"/>
      <c r="K209" s="556"/>
      <c r="L209" s="557"/>
      <c r="M209" s="556"/>
      <c r="N209" s="556"/>
      <c r="O209" s="556"/>
      <c r="P209" s="557"/>
      <c r="Q209" s="556"/>
      <c r="R209" s="557"/>
      <c r="S209" s="556"/>
      <c r="T209" s="557"/>
    </row>
    <row r="210">
      <c r="A210" s="45"/>
      <c r="B210" s="45"/>
      <c r="C210" s="554"/>
      <c r="D210" s="555"/>
      <c r="E210" s="555"/>
      <c r="F210" s="45"/>
      <c r="G210" s="555"/>
      <c r="H210" s="45"/>
      <c r="I210" s="122"/>
      <c r="K210" s="556"/>
      <c r="L210" s="557"/>
      <c r="M210" s="556"/>
      <c r="N210" s="556"/>
      <c r="O210" s="556"/>
      <c r="P210" s="557"/>
      <c r="Q210" s="556"/>
      <c r="R210" s="557"/>
      <c r="S210" s="556"/>
      <c r="T210" s="557"/>
    </row>
    <row r="211">
      <c r="A211" s="45"/>
      <c r="B211" s="45"/>
      <c r="C211" s="554"/>
      <c r="D211" s="555"/>
      <c r="E211" s="555"/>
      <c r="F211" s="45"/>
      <c r="G211" s="555"/>
      <c r="H211" s="45"/>
      <c r="I211" s="122"/>
      <c r="K211" s="556"/>
      <c r="L211" s="557"/>
      <c r="M211" s="556"/>
      <c r="N211" s="556"/>
      <c r="O211" s="556"/>
      <c r="P211" s="557"/>
      <c r="Q211" s="556"/>
      <c r="R211" s="557"/>
      <c r="S211" s="556"/>
      <c r="T211" s="557"/>
    </row>
    <row r="212">
      <c r="A212" s="45"/>
      <c r="B212" s="45"/>
      <c r="C212" s="554"/>
      <c r="D212" s="555"/>
      <c r="E212" s="555"/>
      <c r="F212" s="45"/>
      <c r="G212" s="555"/>
      <c r="H212" s="45"/>
      <c r="I212" s="122"/>
      <c r="K212" s="556"/>
      <c r="L212" s="557"/>
      <c r="M212" s="556"/>
      <c r="N212" s="556"/>
      <c r="O212" s="556"/>
      <c r="P212" s="557"/>
      <c r="Q212" s="556"/>
      <c r="R212" s="557"/>
      <c r="S212" s="556"/>
      <c r="T212" s="557"/>
    </row>
    <row r="213">
      <c r="A213" s="45"/>
      <c r="B213" s="45"/>
      <c r="C213" s="554"/>
      <c r="D213" s="555"/>
      <c r="E213" s="555"/>
      <c r="F213" s="45"/>
      <c r="G213" s="555"/>
      <c r="H213" s="45"/>
      <c r="I213" s="122"/>
      <c r="K213" s="556"/>
      <c r="L213" s="557"/>
      <c r="M213" s="556"/>
      <c r="N213" s="556"/>
      <c r="O213" s="556"/>
      <c r="P213" s="557"/>
      <c r="Q213" s="556"/>
      <c r="R213" s="557"/>
      <c r="S213" s="556"/>
      <c r="T213" s="557"/>
    </row>
    <row r="214">
      <c r="A214" s="45"/>
      <c r="B214" s="45"/>
      <c r="C214" s="554"/>
      <c r="D214" s="555"/>
      <c r="E214" s="555"/>
      <c r="F214" s="45"/>
      <c r="G214" s="555"/>
      <c r="H214" s="45"/>
      <c r="I214" s="122"/>
      <c r="K214" s="556"/>
      <c r="L214" s="557"/>
      <c r="M214" s="556"/>
      <c r="N214" s="556"/>
      <c r="O214" s="556"/>
      <c r="P214" s="557"/>
      <c r="Q214" s="556"/>
      <c r="R214" s="557"/>
      <c r="S214" s="556"/>
      <c r="T214" s="557"/>
    </row>
    <row r="215">
      <c r="A215" s="45"/>
      <c r="B215" s="45"/>
      <c r="C215" s="554"/>
      <c r="D215" s="555"/>
      <c r="E215" s="555"/>
      <c r="F215" s="45"/>
      <c r="G215" s="555"/>
      <c r="H215" s="45"/>
      <c r="I215" s="122"/>
      <c r="K215" s="556"/>
      <c r="L215" s="557"/>
      <c r="M215" s="556"/>
      <c r="N215" s="556"/>
      <c r="O215" s="556"/>
      <c r="P215" s="557"/>
      <c r="Q215" s="556"/>
      <c r="R215" s="557"/>
      <c r="S215" s="556"/>
      <c r="T215" s="557"/>
    </row>
    <row r="216">
      <c r="A216" s="45"/>
      <c r="B216" s="45"/>
      <c r="C216" s="554"/>
      <c r="D216" s="555"/>
      <c r="E216" s="555"/>
      <c r="F216" s="45"/>
      <c r="G216" s="555"/>
      <c r="H216" s="45"/>
      <c r="I216" s="122"/>
      <c r="K216" s="556"/>
      <c r="L216" s="557"/>
      <c r="M216" s="556"/>
      <c r="N216" s="556"/>
      <c r="O216" s="556"/>
      <c r="P216" s="557"/>
      <c r="Q216" s="556"/>
      <c r="R216" s="557"/>
      <c r="S216" s="556"/>
      <c r="T216" s="557"/>
    </row>
    <row r="217">
      <c r="A217" s="45"/>
      <c r="B217" s="45"/>
      <c r="C217" s="554"/>
      <c r="D217" s="555"/>
      <c r="E217" s="555"/>
      <c r="F217" s="45"/>
      <c r="G217" s="555"/>
      <c r="H217" s="45"/>
      <c r="I217" s="122"/>
      <c r="K217" s="556"/>
      <c r="L217" s="557"/>
      <c r="M217" s="556"/>
      <c r="N217" s="556"/>
      <c r="O217" s="556"/>
      <c r="P217" s="557"/>
      <c r="Q217" s="556"/>
      <c r="R217" s="557"/>
      <c r="S217" s="556"/>
      <c r="T217" s="557"/>
    </row>
    <row r="218">
      <c r="A218" s="45"/>
      <c r="B218" s="45"/>
      <c r="C218" s="554"/>
      <c r="D218" s="555"/>
      <c r="E218" s="555"/>
      <c r="F218" s="45"/>
      <c r="G218" s="555"/>
      <c r="H218" s="45"/>
      <c r="I218" s="122"/>
      <c r="K218" s="556"/>
      <c r="L218" s="557"/>
      <c r="M218" s="556"/>
      <c r="N218" s="556"/>
      <c r="O218" s="556"/>
      <c r="P218" s="557"/>
      <c r="Q218" s="556"/>
      <c r="R218" s="557"/>
      <c r="S218" s="556"/>
      <c r="T218" s="557"/>
    </row>
    <row r="219">
      <c r="A219" s="45"/>
      <c r="B219" s="45"/>
      <c r="C219" s="554"/>
      <c r="D219" s="555"/>
      <c r="E219" s="555"/>
      <c r="F219" s="45"/>
      <c r="G219" s="555"/>
      <c r="H219" s="45"/>
      <c r="I219" s="122"/>
      <c r="K219" s="556"/>
      <c r="L219" s="557"/>
      <c r="M219" s="556"/>
      <c r="N219" s="556"/>
      <c r="O219" s="556"/>
      <c r="P219" s="557"/>
      <c r="Q219" s="556"/>
      <c r="R219" s="557"/>
      <c r="S219" s="556"/>
      <c r="T219" s="557"/>
    </row>
    <row r="220">
      <c r="A220" s="45"/>
      <c r="B220" s="45"/>
      <c r="C220" s="554"/>
      <c r="D220" s="555"/>
      <c r="E220" s="555"/>
      <c r="F220" s="45"/>
      <c r="G220" s="555"/>
      <c r="H220" s="45"/>
      <c r="I220" s="122"/>
      <c r="K220" s="556"/>
      <c r="L220" s="557"/>
      <c r="M220" s="556"/>
      <c r="N220" s="556"/>
      <c r="O220" s="556"/>
      <c r="P220" s="557"/>
      <c r="Q220" s="556"/>
      <c r="R220" s="557"/>
      <c r="S220" s="556"/>
      <c r="T220" s="557"/>
    </row>
    <row r="221">
      <c r="A221" s="45"/>
      <c r="B221" s="45"/>
      <c r="C221" s="554"/>
      <c r="D221" s="555"/>
      <c r="E221" s="555"/>
      <c r="F221" s="45"/>
      <c r="G221" s="555"/>
      <c r="H221" s="45"/>
      <c r="I221" s="122"/>
      <c r="K221" s="556"/>
      <c r="L221" s="557"/>
      <c r="M221" s="556"/>
      <c r="N221" s="556"/>
      <c r="O221" s="556"/>
      <c r="P221" s="557"/>
      <c r="Q221" s="556"/>
      <c r="R221" s="557"/>
      <c r="S221" s="556"/>
      <c r="T221" s="557"/>
    </row>
    <row r="222">
      <c r="A222" s="45"/>
      <c r="B222" s="45"/>
      <c r="C222" s="554"/>
      <c r="D222" s="555"/>
      <c r="E222" s="555"/>
      <c r="F222" s="45"/>
      <c r="G222" s="555"/>
      <c r="H222" s="45"/>
      <c r="I222" s="122"/>
      <c r="K222" s="556"/>
      <c r="L222" s="557"/>
      <c r="M222" s="556"/>
      <c r="N222" s="556"/>
      <c r="O222" s="556"/>
      <c r="P222" s="557"/>
      <c r="Q222" s="556"/>
      <c r="R222" s="557"/>
      <c r="S222" s="556"/>
      <c r="T222" s="557"/>
    </row>
    <row r="223">
      <c r="A223" s="45"/>
      <c r="B223" s="45"/>
      <c r="C223" s="554"/>
      <c r="D223" s="555"/>
      <c r="E223" s="555"/>
      <c r="F223" s="45"/>
      <c r="G223" s="555"/>
      <c r="H223" s="45"/>
      <c r="I223" s="122"/>
      <c r="K223" s="556"/>
      <c r="L223" s="557"/>
      <c r="M223" s="556"/>
      <c r="N223" s="556"/>
      <c r="O223" s="556"/>
      <c r="P223" s="557"/>
      <c r="Q223" s="556"/>
      <c r="R223" s="557"/>
      <c r="S223" s="556"/>
      <c r="T223" s="557"/>
    </row>
    <row r="224">
      <c r="A224" s="45"/>
      <c r="B224" s="45"/>
      <c r="C224" s="554"/>
      <c r="D224" s="555"/>
      <c r="E224" s="555"/>
      <c r="F224" s="45"/>
      <c r="G224" s="555"/>
      <c r="H224" s="45"/>
      <c r="I224" s="122"/>
      <c r="K224" s="556"/>
      <c r="L224" s="557"/>
      <c r="M224" s="556"/>
      <c r="N224" s="556"/>
      <c r="O224" s="556"/>
      <c r="P224" s="557"/>
      <c r="Q224" s="556"/>
      <c r="R224" s="557"/>
      <c r="S224" s="556"/>
      <c r="T224" s="557"/>
    </row>
    <row r="225">
      <c r="A225" s="45"/>
      <c r="B225" s="45"/>
      <c r="C225" s="554"/>
      <c r="D225" s="555"/>
      <c r="E225" s="555"/>
      <c r="F225" s="45"/>
      <c r="G225" s="555"/>
      <c r="H225" s="45"/>
      <c r="I225" s="122"/>
      <c r="K225" s="556"/>
      <c r="L225" s="557"/>
      <c r="M225" s="556"/>
      <c r="N225" s="556"/>
      <c r="O225" s="556"/>
      <c r="P225" s="557"/>
      <c r="Q225" s="556"/>
      <c r="R225" s="557"/>
      <c r="S225" s="556"/>
      <c r="T225" s="557"/>
    </row>
    <row r="226">
      <c r="A226" s="45"/>
      <c r="B226" s="45"/>
      <c r="C226" s="554"/>
      <c r="D226" s="555"/>
      <c r="E226" s="555"/>
      <c r="F226" s="45"/>
      <c r="G226" s="555"/>
      <c r="H226" s="45"/>
      <c r="I226" s="122"/>
      <c r="K226" s="556"/>
      <c r="L226" s="557"/>
      <c r="M226" s="556"/>
      <c r="N226" s="556"/>
      <c r="O226" s="556"/>
      <c r="P226" s="557"/>
      <c r="Q226" s="556"/>
      <c r="R226" s="557"/>
      <c r="S226" s="556"/>
      <c r="T226" s="557"/>
    </row>
    <row r="227">
      <c r="A227" s="45"/>
      <c r="B227" s="45"/>
      <c r="C227" s="554"/>
      <c r="D227" s="555"/>
      <c r="E227" s="555"/>
      <c r="F227" s="45"/>
      <c r="G227" s="555"/>
      <c r="H227" s="45"/>
      <c r="I227" s="122"/>
      <c r="K227" s="556"/>
      <c r="L227" s="557"/>
      <c r="M227" s="556"/>
      <c r="N227" s="556"/>
      <c r="O227" s="556"/>
      <c r="P227" s="557"/>
      <c r="Q227" s="556"/>
      <c r="R227" s="557"/>
      <c r="S227" s="556"/>
      <c r="T227" s="557"/>
    </row>
    <row r="228">
      <c r="A228" s="45"/>
      <c r="B228" s="45"/>
      <c r="C228" s="554"/>
      <c r="D228" s="555"/>
      <c r="E228" s="555"/>
      <c r="F228" s="45"/>
      <c r="G228" s="555"/>
      <c r="H228" s="45"/>
      <c r="I228" s="122"/>
      <c r="K228" s="556"/>
      <c r="L228" s="557"/>
      <c r="M228" s="556"/>
      <c r="N228" s="556"/>
      <c r="O228" s="556"/>
      <c r="P228" s="557"/>
      <c r="Q228" s="556"/>
      <c r="R228" s="557"/>
      <c r="S228" s="556"/>
      <c r="T228" s="557"/>
    </row>
    <row r="229">
      <c r="A229" s="45"/>
      <c r="B229" s="45"/>
      <c r="C229" s="554"/>
      <c r="D229" s="555"/>
      <c r="E229" s="555"/>
      <c r="F229" s="45"/>
      <c r="G229" s="555"/>
      <c r="H229" s="45"/>
      <c r="I229" s="122"/>
      <c r="K229" s="556"/>
      <c r="L229" s="557"/>
      <c r="M229" s="556"/>
      <c r="N229" s="556"/>
      <c r="O229" s="556"/>
      <c r="P229" s="557"/>
      <c r="Q229" s="556"/>
      <c r="R229" s="557"/>
      <c r="S229" s="556"/>
      <c r="T229" s="557"/>
    </row>
    <row r="230">
      <c r="A230" s="45"/>
      <c r="B230" s="45"/>
      <c r="C230" s="554"/>
      <c r="D230" s="555"/>
      <c r="E230" s="555"/>
      <c r="F230" s="45"/>
      <c r="G230" s="555"/>
      <c r="H230" s="45"/>
      <c r="I230" s="122"/>
      <c r="K230" s="556"/>
      <c r="L230" s="557"/>
      <c r="M230" s="556"/>
      <c r="N230" s="556"/>
      <c r="O230" s="556"/>
      <c r="P230" s="557"/>
      <c r="Q230" s="556"/>
      <c r="R230" s="557"/>
      <c r="S230" s="556"/>
      <c r="T230" s="557"/>
    </row>
    <row r="231">
      <c r="A231" s="45"/>
      <c r="B231" s="45"/>
      <c r="C231" s="554"/>
      <c r="D231" s="555"/>
      <c r="E231" s="555"/>
      <c r="F231" s="45"/>
      <c r="G231" s="555"/>
      <c r="H231" s="45"/>
      <c r="I231" s="122"/>
      <c r="K231" s="556"/>
      <c r="L231" s="557"/>
      <c r="M231" s="556"/>
      <c r="N231" s="556"/>
      <c r="O231" s="556"/>
      <c r="P231" s="557"/>
      <c r="Q231" s="556"/>
      <c r="R231" s="557"/>
      <c r="S231" s="556"/>
      <c r="T231" s="557"/>
    </row>
    <row r="232">
      <c r="A232" s="45"/>
      <c r="B232" s="45"/>
      <c r="C232" s="554"/>
      <c r="D232" s="555"/>
      <c r="E232" s="555"/>
      <c r="F232" s="45"/>
      <c r="G232" s="555"/>
      <c r="H232" s="45"/>
      <c r="I232" s="122"/>
      <c r="K232" s="556"/>
      <c r="L232" s="557"/>
      <c r="M232" s="556"/>
      <c r="N232" s="556"/>
      <c r="O232" s="556"/>
      <c r="P232" s="557"/>
      <c r="Q232" s="556"/>
      <c r="R232" s="557"/>
      <c r="S232" s="556"/>
      <c r="T232" s="557"/>
    </row>
    <row r="233">
      <c r="A233" s="45"/>
      <c r="B233" s="45"/>
      <c r="C233" s="554"/>
      <c r="D233" s="555"/>
      <c r="E233" s="555"/>
      <c r="F233" s="45"/>
      <c r="G233" s="555"/>
      <c r="H233" s="45"/>
      <c r="I233" s="122"/>
      <c r="K233" s="556"/>
      <c r="L233" s="557"/>
      <c r="M233" s="556"/>
      <c r="N233" s="556"/>
      <c r="O233" s="556"/>
      <c r="P233" s="557"/>
      <c r="Q233" s="556"/>
      <c r="R233" s="557"/>
      <c r="S233" s="556"/>
      <c r="T233" s="557"/>
    </row>
    <row r="234">
      <c r="A234" s="45"/>
      <c r="B234" s="45"/>
      <c r="C234" s="554"/>
      <c r="D234" s="555"/>
      <c r="E234" s="555"/>
      <c r="F234" s="45"/>
      <c r="G234" s="555"/>
      <c r="H234" s="45"/>
      <c r="I234" s="122"/>
      <c r="K234" s="556"/>
      <c r="L234" s="557"/>
      <c r="M234" s="556"/>
      <c r="N234" s="556"/>
      <c r="O234" s="556"/>
      <c r="P234" s="557"/>
      <c r="Q234" s="556"/>
      <c r="R234" s="557"/>
      <c r="S234" s="556"/>
      <c r="T234" s="557"/>
    </row>
    <row r="235">
      <c r="A235" s="45"/>
      <c r="B235" s="45"/>
      <c r="C235" s="554"/>
      <c r="D235" s="555"/>
      <c r="E235" s="555"/>
      <c r="F235" s="45"/>
      <c r="G235" s="555"/>
      <c r="H235" s="45"/>
      <c r="I235" s="122"/>
      <c r="K235" s="556"/>
      <c r="L235" s="557"/>
      <c r="M235" s="556"/>
      <c r="N235" s="556"/>
      <c r="O235" s="556"/>
      <c r="P235" s="557"/>
      <c r="Q235" s="556"/>
      <c r="R235" s="557"/>
      <c r="S235" s="556"/>
      <c r="T235" s="557"/>
    </row>
    <row r="236">
      <c r="A236" s="45"/>
      <c r="B236" s="45"/>
      <c r="C236" s="554"/>
      <c r="D236" s="555"/>
      <c r="E236" s="555"/>
      <c r="F236" s="45"/>
      <c r="G236" s="555"/>
      <c r="H236" s="45"/>
      <c r="I236" s="122"/>
      <c r="K236" s="556"/>
      <c r="L236" s="557"/>
      <c r="M236" s="556"/>
      <c r="N236" s="556"/>
      <c r="O236" s="556"/>
      <c r="P236" s="557"/>
      <c r="Q236" s="556"/>
      <c r="R236" s="557"/>
      <c r="S236" s="556"/>
      <c r="T236" s="557"/>
    </row>
    <row r="237">
      <c r="A237" s="45"/>
      <c r="B237" s="45"/>
      <c r="C237" s="554"/>
      <c r="D237" s="555"/>
      <c r="E237" s="555"/>
      <c r="F237" s="45"/>
      <c r="G237" s="555"/>
      <c r="H237" s="45"/>
      <c r="I237" s="122"/>
      <c r="K237" s="556"/>
      <c r="L237" s="557"/>
      <c r="M237" s="556"/>
      <c r="N237" s="556"/>
      <c r="O237" s="556"/>
      <c r="P237" s="557"/>
      <c r="Q237" s="556"/>
      <c r="R237" s="557"/>
      <c r="S237" s="556"/>
      <c r="T237" s="557"/>
    </row>
    <row r="238">
      <c r="A238" s="45"/>
      <c r="B238" s="45"/>
      <c r="C238" s="554"/>
      <c r="D238" s="555"/>
      <c r="E238" s="555"/>
      <c r="F238" s="45"/>
      <c r="G238" s="555"/>
      <c r="H238" s="45"/>
      <c r="I238" s="122"/>
      <c r="K238" s="556"/>
      <c r="L238" s="557"/>
      <c r="M238" s="556"/>
      <c r="N238" s="556"/>
      <c r="O238" s="556"/>
      <c r="P238" s="557"/>
      <c r="Q238" s="556"/>
      <c r="R238" s="557"/>
      <c r="S238" s="556"/>
      <c r="T238" s="557"/>
    </row>
    <row r="239">
      <c r="A239" s="45"/>
      <c r="B239" s="45"/>
      <c r="C239" s="554"/>
      <c r="D239" s="555"/>
      <c r="E239" s="555"/>
      <c r="F239" s="45"/>
      <c r="G239" s="555"/>
      <c r="H239" s="45"/>
      <c r="I239" s="122"/>
      <c r="K239" s="556"/>
      <c r="L239" s="557"/>
      <c r="M239" s="556"/>
      <c r="N239" s="556"/>
      <c r="O239" s="556"/>
      <c r="P239" s="557"/>
      <c r="Q239" s="556"/>
      <c r="R239" s="557"/>
      <c r="S239" s="556"/>
      <c r="T239" s="557"/>
    </row>
    <row r="240">
      <c r="A240" s="45"/>
      <c r="B240" s="45"/>
      <c r="C240" s="554"/>
      <c r="D240" s="555"/>
      <c r="E240" s="555"/>
      <c r="F240" s="45"/>
      <c r="G240" s="555"/>
      <c r="H240" s="45"/>
      <c r="I240" s="122"/>
      <c r="K240" s="556"/>
      <c r="L240" s="557"/>
      <c r="M240" s="556"/>
      <c r="N240" s="556"/>
      <c r="O240" s="556"/>
      <c r="P240" s="557"/>
      <c r="Q240" s="556"/>
      <c r="R240" s="557"/>
      <c r="S240" s="556"/>
      <c r="T240" s="557"/>
    </row>
    <row r="241">
      <c r="A241" s="45"/>
      <c r="B241" s="45"/>
      <c r="C241" s="554"/>
      <c r="D241" s="555"/>
      <c r="E241" s="555"/>
      <c r="F241" s="45"/>
      <c r="G241" s="555"/>
      <c r="H241" s="45"/>
      <c r="I241" s="122"/>
      <c r="K241" s="556"/>
      <c r="L241" s="557"/>
      <c r="M241" s="556"/>
      <c r="N241" s="556"/>
      <c r="O241" s="556"/>
      <c r="P241" s="557"/>
      <c r="Q241" s="556"/>
      <c r="R241" s="557"/>
      <c r="S241" s="556"/>
      <c r="T241" s="557"/>
    </row>
    <row r="242">
      <c r="A242" s="45"/>
      <c r="B242" s="45"/>
      <c r="C242" s="554"/>
      <c r="D242" s="555"/>
      <c r="E242" s="555"/>
      <c r="F242" s="45"/>
      <c r="G242" s="555"/>
      <c r="H242" s="45"/>
      <c r="I242" s="122"/>
      <c r="K242" s="556"/>
      <c r="L242" s="557"/>
      <c r="M242" s="556"/>
      <c r="N242" s="556"/>
      <c r="O242" s="556"/>
      <c r="P242" s="557"/>
      <c r="Q242" s="556"/>
      <c r="R242" s="557"/>
      <c r="S242" s="556"/>
      <c r="T242" s="557"/>
    </row>
    <row r="243">
      <c r="A243" s="45"/>
      <c r="B243" s="45"/>
      <c r="C243" s="554"/>
      <c r="D243" s="555"/>
      <c r="E243" s="555"/>
      <c r="F243" s="45"/>
      <c r="G243" s="555"/>
      <c r="H243" s="45"/>
      <c r="I243" s="122"/>
      <c r="K243" s="556"/>
      <c r="L243" s="557"/>
      <c r="M243" s="556"/>
      <c r="N243" s="556"/>
      <c r="O243" s="556"/>
      <c r="P243" s="557"/>
      <c r="Q243" s="556"/>
      <c r="R243" s="557"/>
      <c r="S243" s="556"/>
      <c r="T243" s="557"/>
    </row>
    <row r="244">
      <c r="A244" s="45"/>
      <c r="B244" s="45"/>
      <c r="C244" s="554"/>
      <c r="D244" s="555"/>
      <c r="E244" s="555"/>
      <c r="F244" s="45"/>
      <c r="G244" s="555"/>
      <c r="H244" s="45"/>
      <c r="I244" s="122"/>
      <c r="K244" s="556"/>
      <c r="L244" s="557"/>
      <c r="M244" s="556"/>
      <c r="N244" s="556"/>
      <c r="O244" s="556"/>
      <c r="P244" s="557"/>
      <c r="Q244" s="556"/>
      <c r="R244" s="557"/>
      <c r="S244" s="556"/>
      <c r="T244" s="557"/>
    </row>
    <row r="245">
      <c r="A245" s="45"/>
      <c r="B245" s="45"/>
      <c r="C245" s="554"/>
      <c r="D245" s="555"/>
      <c r="E245" s="555"/>
      <c r="F245" s="45"/>
      <c r="G245" s="555"/>
      <c r="H245" s="45"/>
      <c r="I245" s="122"/>
      <c r="K245" s="556"/>
      <c r="L245" s="557"/>
      <c r="M245" s="556"/>
      <c r="N245" s="556"/>
      <c r="O245" s="556"/>
      <c r="P245" s="557"/>
      <c r="Q245" s="556"/>
      <c r="R245" s="557"/>
      <c r="S245" s="556"/>
      <c r="T245" s="557"/>
    </row>
    <row r="246">
      <c r="A246" s="45"/>
      <c r="B246" s="45"/>
      <c r="C246" s="554"/>
      <c r="D246" s="555"/>
      <c r="E246" s="555"/>
      <c r="F246" s="45"/>
      <c r="G246" s="555"/>
      <c r="H246" s="45"/>
      <c r="I246" s="122"/>
      <c r="K246" s="556"/>
      <c r="L246" s="557"/>
      <c r="M246" s="556"/>
      <c r="N246" s="556"/>
      <c r="O246" s="556"/>
      <c r="P246" s="557"/>
      <c r="Q246" s="556"/>
      <c r="R246" s="557"/>
      <c r="S246" s="556"/>
      <c r="T246" s="557"/>
    </row>
    <row r="247">
      <c r="A247" s="45"/>
      <c r="B247" s="45"/>
      <c r="C247" s="554"/>
      <c r="D247" s="555"/>
      <c r="E247" s="555"/>
      <c r="F247" s="45"/>
      <c r="G247" s="555"/>
      <c r="H247" s="45"/>
      <c r="I247" s="122"/>
      <c r="K247" s="556"/>
      <c r="L247" s="557"/>
      <c r="M247" s="556"/>
      <c r="N247" s="556"/>
      <c r="O247" s="556"/>
      <c r="P247" s="557"/>
      <c r="Q247" s="556"/>
      <c r="R247" s="557"/>
      <c r="S247" s="556"/>
      <c r="T247" s="557"/>
    </row>
    <row r="248">
      <c r="A248" s="45"/>
      <c r="B248" s="45"/>
      <c r="C248" s="554"/>
      <c r="D248" s="555"/>
      <c r="E248" s="555"/>
      <c r="F248" s="45"/>
      <c r="G248" s="555"/>
      <c r="H248" s="45"/>
      <c r="I248" s="122"/>
      <c r="K248" s="556"/>
      <c r="L248" s="557"/>
      <c r="M248" s="556"/>
      <c r="N248" s="556"/>
      <c r="O248" s="556"/>
      <c r="P248" s="557"/>
      <c r="Q248" s="556"/>
      <c r="R248" s="557"/>
      <c r="S248" s="556"/>
      <c r="T248" s="557"/>
    </row>
    <row r="249">
      <c r="A249" s="45"/>
      <c r="B249" s="45"/>
      <c r="C249" s="554"/>
      <c r="D249" s="555"/>
      <c r="E249" s="555"/>
      <c r="F249" s="45"/>
      <c r="G249" s="555"/>
      <c r="H249" s="45"/>
      <c r="I249" s="122"/>
      <c r="K249" s="556"/>
      <c r="L249" s="557"/>
      <c r="M249" s="556"/>
      <c r="N249" s="556"/>
      <c r="O249" s="556"/>
      <c r="P249" s="557"/>
      <c r="Q249" s="556"/>
      <c r="R249" s="557"/>
      <c r="S249" s="556"/>
      <c r="T249" s="557"/>
    </row>
    <row r="250">
      <c r="A250" s="45"/>
      <c r="B250" s="45"/>
      <c r="C250" s="554"/>
      <c r="D250" s="555"/>
      <c r="E250" s="555"/>
      <c r="F250" s="45"/>
      <c r="G250" s="555"/>
      <c r="H250" s="45"/>
      <c r="I250" s="122"/>
      <c r="K250" s="556"/>
      <c r="L250" s="557"/>
      <c r="M250" s="556"/>
      <c r="N250" s="556"/>
      <c r="O250" s="556"/>
      <c r="P250" s="557"/>
      <c r="Q250" s="556"/>
      <c r="R250" s="557"/>
      <c r="S250" s="556"/>
      <c r="T250" s="557"/>
    </row>
    <row r="251">
      <c r="A251" s="45"/>
      <c r="B251" s="45"/>
      <c r="C251" s="554"/>
      <c r="D251" s="555"/>
      <c r="E251" s="555"/>
      <c r="F251" s="45"/>
      <c r="G251" s="555"/>
      <c r="H251" s="45"/>
      <c r="I251" s="122"/>
      <c r="K251" s="556"/>
      <c r="L251" s="557"/>
      <c r="M251" s="556"/>
      <c r="N251" s="556"/>
      <c r="O251" s="556"/>
      <c r="P251" s="557"/>
      <c r="Q251" s="556"/>
      <c r="R251" s="557"/>
      <c r="S251" s="556"/>
      <c r="T251" s="557"/>
    </row>
    <row r="252">
      <c r="A252" s="45"/>
      <c r="B252" s="45"/>
      <c r="C252" s="554"/>
      <c r="D252" s="555"/>
      <c r="E252" s="555"/>
      <c r="F252" s="45"/>
      <c r="G252" s="555"/>
      <c r="H252" s="45"/>
      <c r="I252" s="122"/>
      <c r="K252" s="556"/>
      <c r="L252" s="557"/>
      <c r="M252" s="556"/>
      <c r="N252" s="556"/>
      <c r="O252" s="556"/>
      <c r="P252" s="557"/>
      <c r="Q252" s="556"/>
      <c r="R252" s="557"/>
      <c r="S252" s="556"/>
      <c r="T252" s="557"/>
    </row>
    <row r="253">
      <c r="A253" s="45"/>
      <c r="B253" s="45"/>
      <c r="C253" s="554"/>
      <c r="D253" s="555"/>
      <c r="E253" s="555"/>
      <c r="F253" s="45"/>
      <c r="G253" s="555"/>
      <c r="H253" s="45"/>
      <c r="I253" s="122"/>
      <c r="K253" s="556"/>
      <c r="L253" s="557"/>
      <c r="M253" s="556"/>
      <c r="N253" s="556"/>
      <c r="O253" s="556"/>
      <c r="P253" s="557"/>
      <c r="Q253" s="556"/>
      <c r="R253" s="557"/>
      <c r="S253" s="556"/>
      <c r="T253" s="557"/>
    </row>
    <row r="254">
      <c r="A254" s="45"/>
      <c r="B254" s="45"/>
      <c r="C254" s="554"/>
      <c r="D254" s="555"/>
      <c r="E254" s="555"/>
      <c r="F254" s="45"/>
      <c r="G254" s="555"/>
      <c r="H254" s="45"/>
      <c r="I254" s="122"/>
      <c r="K254" s="556"/>
      <c r="L254" s="557"/>
      <c r="M254" s="556"/>
      <c r="N254" s="556"/>
      <c r="O254" s="556"/>
      <c r="P254" s="557"/>
      <c r="Q254" s="556"/>
      <c r="R254" s="557"/>
      <c r="S254" s="556"/>
      <c r="T254" s="557"/>
    </row>
    <row r="255">
      <c r="A255" s="45"/>
      <c r="B255" s="45"/>
      <c r="C255" s="554"/>
      <c r="D255" s="555"/>
      <c r="E255" s="555"/>
      <c r="F255" s="45"/>
      <c r="G255" s="555"/>
      <c r="H255" s="45"/>
      <c r="I255" s="122"/>
      <c r="K255" s="556"/>
      <c r="L255" s="557"/>
      <c r="M255" s="556"/>
      <c r="N255" s="556"/>
      <c r="O255" s="556"/>
      <c r="P255" s="557"/>
      <c r="Q255" s="556"/>
      <c r="R255" s="557"/>
      <c r="S255" s="556"/>
      <c r="T255" s="557"/>
    </row>
    <row r="256">
      <c r="A256" s="45"/>
      <c r="B256" s="45"/>
      <c r="C256" s="554"/>
      <c r="D256" s="555"/>
      <c r="E256" s="555"/>
      <c r="F256" s="45"/>
      <c r="G256" s="555"/>
      <c r="H256" s="45"/>
      <c r="I256" s="122"/>
      <c r="K256" s="556"/>
      <c r="L256" s="557"/>
      <c r="M256" s="556"/>
      <c r="N256" s="556"/>
      <c r="O256" s="556"/>
      <c r="P256" s="557"/>
      <c r="Q256" s="556"/>
      <c r="R256" s="557"/>
      <c r="S256" s="556"/>
      <c r="T256" s="557"/>
    </row>
    <row r="257">
      <c r="A257" s="45"/>
      <c r="B257" s="45"/>
      <c r="C257" s="554"/>
      <c r="D257" s="555"/>
      <c r="E257" s="555"/>
      <c r="F257" s="45"/>
      <c r="G257" s="555"/>
      <c r="H257" s="45"/>
      <c r="I257" s="122"/>
      <c r="K257" s="556"/>
      <c r="L257" s="557"/>
      <c r="M257" s="556"/>
      <c r="N257" s="556"/>
      <c r="O257" s="556"/>
      <c r="P257" s="557"/>
      <c r="Q257" s="556"/>
      <c r="R257" s="557"/>
      <c r="S257" s="556"/>
      <c r="T257" s="557"/>
    </row>
    <row r="258">
      <c r="A258" s="45"/>
      <c r="B258" s="45"/>
      <c r="C258" s="554"/>
      <c r="D258" s="555"/>
      <c r="E258" s="555"/>
      <c r="F258" s="45"/>
      <c r="G258" s="555"/>
      <c r="H258" s="45"/>
      <c r="I258" s="122"/>
      <c r="K258" s="556"/>
      <c r="L258" s="557"/>
      <c r="M258" s="556"/>
      <c r="N258" s="556"/>
      <c r="O258" s="556"/>
      <c r="P258" s="557"/>
      <c r="Q258" s="556"/>
      <c r="R258" s="557"/>
      <c r="S258" s="556"/>
      <c r="T258" s="557"/>
    </row>
    <row r="259">
      <c r="A259" s="45"/>
      <c r="B259" s="45"/>
      <c r="C259" s="554"/>
      <c r="D259" s="555"/>
      <c r="E259" s="555"/>
      <c r="F259" s="45"/>
      <c r="G259" s="555"/>
      <c r="H259" s="45"/>
      <c r="I259" s="122"/>
      <c r="K259" s="556"/>
      <c r="L259" s="557"/>
      <c r="M259" s="556"/>
      <c r="N259" s="556"/>
      <c r="O259" s="556"/>
      <c r="P259" s="557"/>
      <c r="Q259" s="556"/>
      <c r="R259" s="557"/>
      <c r="S259" s="556"/>
      <c r="T259" s="557"/>
    </row>
    <row r="260">
      <c r="A260" s="45"/>
      <c r="B260" s="45"/>
      <c r="C260" s="554"/>
      <c r="D260" s="555"/>
      <c r="E260" s="555"/>
      <c r="F260" s="45"/>
      <c r="G260" s="555"/>
      <c r="H260" s="45"/>
      <c r="I260" s="122"/>
      <c r="K260" s="556"/>
      <c r="L260" s="557"/>
      <c r="M260" s="556"/>
      <c r="N260" s="556"/>
      <c r="O260" s="556"/>
      <c r="P260" s="557"/>
      <c r="Q260" s="556"/>
      <c r="R260" s="557"/>
      <c r="S260" s="556"/>
      <c r="T260" s="557"/>
    </row>
    <row r="261">
      <c r="A261" s="45"/>
      <c r="B261" s="45"/>
      <c r="C261" s="554"/>
      <c r="D261" s="555"/>
      <c r="E261" s="555"/>
      <c r="F261" s="45"/>
      <c r="G261" s="555"/>
      <c r="H261" s="45"/>
      <c r="I261" s="122"/>
      <c r="K261" s="556"/>
      <c r="L261" s="557"/>
      <c r="M261" s="556"/>
      <c r="N261" s="556"/>
      <c r="O261" s="556"/>
      <c r="P261" s="557"/>
      <c r="Q261" s="556"/>
      <c r="R261" s="557"/>
      <c r="S261" s="556"/>
      <c r="T261" s="557"/>
    </row>
    <row r="262">
      <c r="A262" s="45"/>
      <c r="B262" s="45"/>
      <c r="C262" s="554"/>
      <c r="D262" s="555"/>
      <c r="E262" s="555"/>
      <c r="F262" s="45"/>
      <c r="G262" s="555"/>
      <c r="H262" s="45"/>
      <c r="I262" s="122"/>
      <c r="K262" s="556"/>
      <c r="L262" s="557"/>
      <c r="M262" s="556"/>
      <c r="N262" s="556"/>
      <c r="O262" s="556"/>
      <c r="P262" s="557"/>
      <c r="Q262" s="556"/>
      <c r="R262" s="557"/>
      <c r="S262" s="556"/>
      <c r="T262" s="557"/>
    </row>
    <row r="263">
      <c r="A263" s="45"/>
      <c r="B263" s="45"/>
      <c r="C263" s="554"/>
      <c r="D263" s="555"/>
      <c r="E263" s="555"/>
      <c r="F263" s="45"/>
      <c r="G263" s="555"/>
      <c r="H263" s="45"/>
      <c r="I263" s="122"/>
      <c r="K263" s="556"/>
      <c r="L263" s="557"/>
      <c r="M263" s="556"/>
      <c r="N263" s="556"/>
      <c r="O263" s="556"/>
      <c r="P263" s="557"/>
      <c r="Q263" s="556"/>
      <c r="R263" s="557"/>
      <c r="S263" s="556"/>
      <c r="T263" s="557"/>
    </row>
    <row r="264">
      <c r="A264" s="45"/>
      <c r="B264" s="45"/>
      <c r="C264" s="554"/>
      <c r="D264" s="555"/>
      <c r="E264" s="555"/>
      <c r="F264" s="45"/>
      <c r="G264" s="555"/>
      <c r="H264" s="45"/>
      <c r="I264" s="122"/>
      <c r="K264" s="556"/>
      <c r="L264" s="557"/>
      <c r="M264" s="556"/>
      <c r="N264" s="556"/>
      <c r="O264" s="556"/>
      <c r="P264" s="557"/>
      <c r="Q264" s="556"/>
      <c r="R264" s="557"/>
      <c r="S264" s="556"/>
      <c r="T264" s="557"/>
    </row>
    <row r="265">
      <c r="A265" s="45"/>
      <c r="B265" s="45"/>
      <c r="C265" s="554"/>
      <c r="D265" s="555"/>
      <c r="E265" s="555"/>
      <c r="F265" s="45"/>
      <c r="G265" s="555"/>
      <c r="H265" s="45"/>
      <c r="I265" s="122"/>
      <c r="K265" s="556"/>
      <c r="L265" s="557"/>
      <c r="M265" s="556"/>
      <c r="N265" s="556"/>
      <c r="O265" s="556"/>
      <c r="P265" s="557"/>
      <c r="Q265" s="556"/>
      <c r="R265" s="557"/>
      <c r="S265" s="556"/>
      <c r="T265" s="557"/>
    </row>
    <row r="266">
      <c r="A266" s="45"/>
      <c r="B266" s="45"/>
      <c r="C266" s="554"/>
      <c r="D266" s="555"/>
      <c r="E266" s="555"/>
      <c r="F266" s="45"/>
      <c r="G266" s="555"/>
      <c r="H266" s="45"/>
      <c r="I266" s="122"/>
      <c r="K266" s="556"/>
      <c r="L266" s="557"/>
      <c r="M266" s="556"/>
      <c r="N266" s="556"/>
      <c r="O266" s="556"/>
      <c r="P266" s="557"/>
      <c r="Q266" s="556"/>
      <c r="R266" s="557"/>
      <c r="S266" s="556"/>
      <c r="T266" s="557"/>
    </row>
    <row r="267">
      <c r="A267" s="45"/>
      <c r="B267" s="45"/>
      <c r="C267" s="554"/>
      <c r="D267" s="555"/>
      <c r="E267" s="555"/>
      <c r="F267" s="45"/>
      <c r="G267" s="555"/>
      <c r="H267" s="45"/>
      <c r="I267" s="122"/>
      <c r="K267" s="556"/>
      <c r="L267" s="557"/>
      <c r="M267" s="556"/>
      <c r="N267" s="556"/>
      <c r="O267" s="556"/>
      <c r="P267" s="557"/>
      <c r="Q267" s="556"/>
      <c r="R267" s="557"/>
      <c r="S267" s="556"/>
      <c r="T267" s="557"/>
    </row>
    <row r="268">
      <c r="A268" s="45"/>
      <c r="B268" s="45"/>
      <c r="C268" s="554"/>
      <c r="D268" s="555"/>
      <c r="E268" s="555"/>
      <c r="F268" s="45"/>
      <c r="G268" s="555"/>
      <c r="H268" s="45"/>
      <c r="I268" s="122"/>
      <c r="K268" s="556"/>
      <c r="L268" s="557"/>
      <c r="M268" s="556"/>
      <c r="N268" s="556"/>
      <c r="O268" s="556"/>
      <c r="P268" s="557"/>
      <c r="Q268" s="556"/>
      <c r="R268" s="557"/>
      <c r="S268" s="556"/>
      <c r="T268" s="557"/>
    </row>
    <row r="269">
      <c r="A269" s="45"/>
      <c r="B269" s="45"/>
      <c r="C269" s="554"/>
      <c r="D269" s="555"/>
      <c r="E269" s="555"/>
      <c r="F269" s="45"/>
      <c r="G269" s="555"/>
      <c r="H269" s="45"/>
      <c r="I269" s="122"/>
      <c r="K269" s="556"/>
      <c r="L269" s="557"/>
      <c r="M269" s="556"/>
      <c r="N269" s="556"/>
      <c r="O269" s="556"/>
      <c r="P269" s="557"/>
      <c r="Q269" s="556"/>
      <c r="R269" s="557"/>
      <c r="S269" s="556"/>
      <c r="T269" s="557"/>
    </row>
    <row r="270">
      <c r="A270" s="45"/>
      <c r="B270" s="45"/>
      <c r="C270" s="554"/>
      <c r="D270" s="555"/>
      <c r="E270" s="555"/>
      <c r="F270" s="45"/>
      <c r="G270" s="555"/>
      <c r="H270" s="45"/>
      <c r="I270" s="122"/>
      <c r="K270" s="556"/>
      <c r="L270" s="557"/>
      <c r="M270" s="556"/>
      <c r="N270" s="556"/>
      <c r="O270" s="556"/>
      <c r="P270" s="557"/>
      <c r="Q270" s="556"/>
      <c r="R270" s="557"/>
      <c r="S270" s="556"/>
      <c r="T270" s="557"/>
    </row>
    <row r="271">
      <c r="A271" s="45"/>
      <c r="B271" s="45"/>
      <c r="C271" s="554"/>
      <c r="D271" s="555"/>
      <c r="E271" s="555"/>
      <c r="F271" s="45"/>
      <c r="G271" s="555"/>
      <c r="H271" s="45"/>
      <c r="I271" s="122"/>
      <c r="K271" s="556"/>
      <c r="L271" s="557"/>
      <c r="M271" s="556"/>
      <c r="N271" s="556"/>
      <c r="O271" s="556"/>
      <c r="P271" s="557"/>
      <c r="Q271" s="556"/>
      <c r="R271" s="557"/>
      <c r="S271" s="556"/>
      <c r="T271" s="557"/>
    </row>
    <row r="272">
      <c r="A272" s="45"/>
      <c r="B272" s="45"/>
      <c r="C272" s="554"/>
      <c r="D272" s="555"/>
      <c r="E272" s="555"/>
      <c r="F272" s="45"/>
      <c r="G272" s="555"/>
      <c r="H272" s="45"/>
      <c r="I272" s="122"/>
      <c r="K272" s="556"/>
      <c r="L272" s="557"/>
      <c r="M272" s="556"/>
      <c r="N272" s="556"/>
      <c r="O272" s="556"/>
      <c r="P272" s="557"/>
      <c r="Q272" s="556"/>
      <c r="R272" s="557"/>
      <c r="S272" s="556"/>
      <c r="T272" s="557"/>
    </row>
    <row r="273">
      <c r="A273" s="45"/>
      <c r="B273" s="45"/>
      <c r="C273" s="554"/>
      <c r="D273" s="555"/>
      <c r="E273" s="555"/>
      <c r="F273" s="45"/>
      <c r="G273" s="555"/>
      <c r="H273" s="45"/>
      <c r="I273" s="122"/>
      <c r="K273" s="556"/>
      <c r="L273" s="557"/>
      <c r="M273" s="556"/>
      <c r="N273" s="556"/>
      <c r="O273" s="556"/>
      <c r="P273" s="557"/>
      <c r="Q273" s="556"/>
      <c r="R273" s="557"/>
      <c r="S273" s="556"/>
      <c r="T273" s="557"/>
    </row>
    <row r="274">
      <c r="A274" s="45"/>
      <c r="B274" s="45"/>
      <c r="C274" s="554"/>
      <c r="D274" s="555"/>
      <c r="E274" s="555"/>
      <c r="F274" s="45"/>
      <c r="G274" s="555"/>
      <c r="H274" s="45"/>
      <c r="I274" s="122"/>
      <c r="K274" s="556"/>
      <c r="L274" s="557"/>
      <c r="M274" s="556"/>
      <c r="N274" s="556"/>
      <c r="O274" s="556"/>
      <c r="P274" s="557"/>
      <c r="Q274" s="556"/>
      <c r="R274" s="557"/>
      <c r="S274" s="556"/>
      <c r="T274" s="557"/>
    </row>
    <row r="275">
      <c r="A275" s="45"/>
      <c r="B275" s="45"/>
      <c r="C275" s="554"/>
      <c r="D275" s="555"/>
      <c r="E275" s="555"/>
      <c r="F275" s="45"/>
      <c r="G275" s="555"/>
      <c r="H275" s="45"/>
      <c r="I275" s="122"/>
      <c r="K275" s="556"/>
      <c r="L275" s="557"/>
      <c r="M275" s="556"/>
      <c r="N275" s="556"/>
      <c r="O275" s="556"/>
      <c r="P275" s="557"/>
      <c r="Q275" s="556"/>
      <c r="R275" s="557"/>
      <c r="S275" s="556"/>
      <c r="T275" s="557"/>
    </row>
    <row r="276">
      <c r="A276" s="45"/>
      <c r="B276" s="45"/>
      <c r="C276" s="554"/>
      <c r="D276" s="555"/>
      <c r="E276" s="555"/>
      <c r="F276" s="45"/>
      <c r="G276" s="555"/>
      <c r="H276" s="45"/>
      <c r="I276" s="122"/>
      <c r="K276" s="556"/>
      <c r="L276" s="557"/>
      <c r="M276" s="556"/>
      <c r="N276" s="556"/>
      <c r="O276" s="556"/>
      <c r="P276" s="557"/>
      <c r="Q276" s="556"/>
      <c r="R276" s="557"/>
      <c r="S276" s="556"/>
      <c r="T276" s="557"/>
    </row>
    <row r="277">
      <c r="A277" s="45"/>
      <c r="B277" s="45"/>
      <c r="C277" s="554"/>
      <c r="D277" s="555"/>
      <c r="E277" s="555"/>
      <c r="F277" s="45"/>
      <c r="G277" s="555"/>
      <c r="H277" s="45"/>
      <c r="I277" s="122"/>
      <c r="K277" s="556"/>
      <c r="L277" s="557"/>
      <c r="M277" s="556"/>
      <c r="N277" s="556"/>
      <c r="O277" s="556"/>
      <c r="P277" s="557"/>
      <c r="Q277" s="556"/>
      <c r="R277" s="557"/>
      <c r="S277" s="556"/>
      <c r="T277" s="557"/>
    </row>
    <row r="278">
      <c r="A278" s="45"/>
      <c r="B278" s="45"/>
      <c r="C278" s="554"/>
      <c r="D278" s="555"/>
      <c r="E278" s="555"/>
      <c r="F278" s="45"/>
      <c r="G278" s="555"/>
      <c r="H278" s="45"/>
      <c r="I278" s="122"/>
      <c r="K278" s="556"/>
      <c r="L278" s="557"/>
      <c r="M278" s="556"/>
      <c r="N278" s="556"/>
      <c r="O278" s="556"/>
      <c r="P278" s="557"/>
      <c r="Q278" s="556"/>
      <c r="R278" s="557"/>
      <c r="S278" s="556"/>
      <c r="T278" s="557"/>
    </row>
    <row r="279">
      <c r="A279" s="45"/>
      <c r="B279" s="45"/>
      <c r="C279" s="554"/>
      <c r="D279" s="555"/>
      <c r="E279" s="555"/>
      <c r="F279" s="45"/>
      <c r="G279" s="555"/>
      <c r="H279" s="45"/>
      <c r="I279" s="122"/>
      <c r="K279" s="556"/>
      <c r="L279" s="557"/>
      <c r="M279" s="556"/>
      <c r="N279" s="556"/>
      <c r="O279" s="556"/>
      <c r="P279" s="557"/>
      <c r="Q279" s="556"/>
      <c r="R279" s="557"/>
      <c r="S279" s="556"/>
      <c r="T279" s="557"/>
    </row>
    <row r="280">
      <c r="A280" s="45"/>
      <c r="B280" s="45"/>
      <c r="C280" s="554"/>
      <c r="D280" s="555"/>
      <c r="E280" s="555"/>
      <c r="F280" s="45"/>
      <c r="G280" s="555"/>
      <c r="H280" s="45"/>
      <c r="I280" s="122"/>
      <c r="K280" s="556"/>
      <c r="L280" s="557"/>
      <c r="M280" s="556"/>
      <c r="N280" s="556"/>
      <c r="O280" s="556"/>
      <c r="P280" s="557"/>
      <c r="Q280" s="556"/>
      <c r="R280" s="557"/>
      <c r="S280" s="556"/>
      <c r="T280" s="557"/>
    </row>
    <row r="281">
      <c r="A281" s="45"/>
      <c r="B281" s="45"/>
      <c r="C281" s="554"/>
      <c r="D281" s="555"/>
      <c r="E281" s="555"/>
      <c r="F281" s="45"/>
      <c r="G281" s="555"/>
      <c r="H281" s="45"/>
      <c r="I281" s="122"/>
      <c r="K281" s="556"/>
      <c r="L281" s="557"/>
      <c r="M281" s="556"/>
      <c r="N281" s="556"/>
      <c r="O281" s="556"/>
      <c r="P281" s="557"/>
      <c r="Q281" s="556"/>
      <c r="R281" s="557"/>
      <c r="S281" s="556"/>
      <c r="T281" s="557"/>
    </row>
    <row r="282">
      <c r="A282" s="45"/>
      <c r="B282" s="45"/>
      <c r="C282" s="554"/>
      <c r="D282" s="555"/>
      <c r="E282" s="555"/>
      <c r="F282" s="45"/>
      <c r="G282" s="555"/>
      <c r="H282" s="45"/>
      <c r="I282" s="122"/>
      <c r="K282" s="556"/>
      <c r="L282" s="557"/>
      <c r="M282" s="556"/>
      <c r="N282" s="556"/>
      <c r="O282" s="556"/>
      <c r="P282" s="557"/>
      <c r="Q282" s="556"/>
      <c r="R282" s="557"/>
      <c r="S282" s="556"/>
      <c r="T282" s="557"/>
    </row>
    <row r="283">
      <c r="A283" s="45"/>
      <c r="B283" s="45"/>
      <c r="C283" s="554"/>
      <c r="D283" s="555"/>
      <c r="E283" s="555"/>
      <c r="F283" s="45"/>
      <c r="G283" s="555"/>
      <c r="H283" s="45"/>
      <c r="I283" s="122"/>
      <c r="K283" s="556"/>
      <c r="L283" s="557"/>
      <c r="M283" s="556"/>
      <c r="N283" s="556"/>
      <c r="O283" s="556"/>
      <c r="P283" s="557"/>
      <c r="Q283" s="556"/>
      <c r="R283" s="557"/>
      <c r="S283" s="556"/>
      <c r="T283" s="557"/>
    </row>
    <row r="284">
      <c r="A284" s="45"/>
      <c r="B284" s="45"/>
      <c r="C284" s="554"/>
      <c r="D284" s="555"/>
      <c r="E284" s="555"/>
      <c r="F284" s="45"/>
      <c r="G284" s="555"/>
      <c r="H284" s="45"/>
      <c r="I284" s="122"/>
      <c r="K284" s="556"/>
      <c r="L284" s="557"/>
      <c r="M284" s="556"/>
      <c r="N284" s="556"/>
      <c r="O284" s="556"/>
      <c r="P284" s="557"/>
      <c r="Q284" s="556"/>
      <c r="R284" s="557"/>
      <c r="S284" s="556"/>
      <c r="T284" s="557"/>
    </row>
    <row r="285">
      <c r="A285" s="45"/>
      <c r="B285" s="45"/>
      <c r="C285" s="554"/>
      <c r="D285" s="555"/>
      <c r="E285" s="555"/>
      <c r="F285" s="45"/>
      <c r="G285" s="555"/>
      <c r="H285" s="45"/>
      <c r="I285" s="122"/>
      <c r="K285" s="556"/>
      <c r="L285" s="557"/>
      <c r="M285" s="556"/>
      <c r="N285" s="556"/>
      <c r="O285" s="556"/>
      <c r="P285" s="557"/>
      <c r="Q285" s="556"/>
      <c r="R285" s="557"/>
      <c r="S285" s="556"/>
      <c r="T285" s="557"/>
    </row>
    <row r="286">
      <c r="A286" s="45"/>
      <c r="B286" s="45"/>
      <c r="C286" s="554"/>
      <c r="D286" s="555"/>
      <c r="E286" s="555"/>
      <c r="F286" s="45"/>
      <c r="G286" s="555"/>
      <c r="H286" s="45"/>
      <c r="I286" s="122"/>
      <c r="K286" s="556"/>
      <c r="L286" s="557"/>
      <c r="M286" s="556"/>
      <c r="N286" s="556"/>
      <c r="O286" s="556"/>
      <c r="P286" s="557"/>
      <c r="Q286" s="556"/>
      <c r="R286" s="557"/>
      <c r="S286" s="556"/>
      <c r="T286" s="557"/>
    </row>
    <row r="287">
      <c r="A287" s="45"/>
      <c r="B287" s="45"/>
      <c r="C287" s="554"/>
      <c r="D287" s="555"/>
      <c r="E287" s="555"/>
      <c r="F287" s="45"/>
      <c r="G287" s="555"/>
      <c r="H287" s="45"/>
      <c r="I287" s="122"/>
      <c r="K287" s="556"/>
      <c r="L287" s="557"/>
      <c r="M287" s="556"/>
      <c r="N287" s="556"/>
      <c r="O287" s="556"/>
      <c r="P287" s="557"/>
      <c r="Q287" s="556"/>
      <c r="R287" s="557"/>
      <c r="S287" s="556"/>
      <c r="T287" s="557"/>
    </row>
    <row r="288">
      <c r="A288" s="45"/>
      <c r="B288" s="45"/>
      <c r="C288" s="554"/>
      <c r="D288" s="555"/>
      <c r="E288" s="555"/>
      <c r="F288" s="45"/>
      <c r="G288" s="555"/>
      <c r="H288" s="45"/>
      <c r="I288" s="122"/>
      <c r="K288" s="556"/>
      <c r="L288" s="557"/>
      <c r="M288" s="556"/>
      <c r="N288" s="556"/>
      <c r="O288" s="556"/>
      <c r="P288" s="557"/>
      <c r="Q288" s="556"/>
      <c r="R288" s="557"/>
      <c r="S288" s="556"/>
      <c r="T288" s="557"/>
    </row>
    <row r="289">
      <c r="A289" s="45"/>
      <c r="B289" s="45"/>
      <c r="C289" s="554"/>
      <c r="D289" s="555"/>
      <c r="E289" s="555"/>
      <c r="F289" s="45"/>
      <c r="G289" s="555"/>
      <c r="H289" s="45"/>
      <c r="I289" s="122"/>
      <c r="K289" s="556"/>
      <c r="L289" s="557"/>
      <c r="M289" s="556"/>
      <c r="N289" s="556"/>
      <c r="O289" s="556"/>
      <c r="P289" s="557"/>
      <c r="Q289" s="556"/>
      <c r="R289" s="557"/>
      <c r="S289" s="556"/>
      <c r="T289" s="557"/>
    </row>
    <row r="290">
      <c r="A290" s="45"/>
      <c r="B290" s="45"/>
      <c r="C290" s="554"/>
      <c r="D290" s="555"/>
      <c r="E290" s="555"/>
      <c r="F290" s="45"/>
      <c r="G290" s="555"/>
      <c r="H290" s="45"/>
      <c r="I290" s="122"/>
      <c r="K290" s="556"/>
      <c r="L290" s="557"/>
      <c r="M290" s="556"/>
      <c r="N290" s="556"/>
      <c r="O290" s="556"/>
      <c r="P290" s="557"/>
      <c r="Q290" s="556"/>
      <c r="R290" s="557"/>
      <c r="S290" s="556"/>
      <c r="T290" s="557"/>
    </row>
    <row r="291">
      <c r="A291" s="45"/>
      <c r="B291" s="45"/>
      <c r="C291" s="554"/>
      <c r="D291" s="555"/>
      <c r="E291" s="555"/>
      <c r="F291" s="45"/>
      <c r="G291" s="555"/>
      <c r="H291" s="45"/>
      <c r="I291" s="122"/>
      <c r="K291" s="556"/>
      <c r="L291" s="557"/>
      <c r="M291" s="556"/>
      <c r="N291" s="556"/>
      <c r="O291" s="556"/>
      <c r="P291" s="557"/>
      <c r="Q291" s="556"/>
      <c r="R291" s="557"/>
      <c r="S291" s="556"/>
      <c r="T291" s="557"/>
    </row>
    <row r="292">
      <c r="A292" s="45"/>
      <c r="B292" s="45"/>
      <c r="C292" s="554"/>
      <c r="D292" s="555"/>
      <c r="E292" s="555"/>
      <c r="F292" s="45"/>
      <c r="G292" s="555"/>
      <c r="H292" s="45"/>
      <c r="I292" s="122"/>
      <c r="K292" s="556"/>
      <c r="L292" s="557"/>
      <c r="M292" s="556"/>
      <c r="N292" s="556"/>
      <c r="O292" s="556"/>
      <c r="P292" s="557"/>
      <c r="Q292" s="556"/>
      <c r="R292" s="557"/>
      <c r="S292" s="556"/>
      <c r="T292" s="557"/>
    </row>
    <row r="293">
      <c r="A293" s="45"/>
      <c r="B293" s="45"/>
      <c r="C293" s="554"/>
      <c r="D293" s="555"/>
      <c r="E293" s="555"/>
      <c r="F293" s="45"/>
      <c r="G293" s="555"/>
      <c r="H293" s="45"/>
      <c r="I293" s="122"/>
      <c r="K293" s="556"/>
      <c r="L293" s="557"/>
      <c r="M293" s="556"/>
      <c r="N293" s="556"/>
      <c r="O293" s="556"/>
      <c r="P293" s="557"/>
      <c r="Q293" s="556"/>
      <c r="R293" s="557"/>
      <c r="S293" s="556"/>
      <c r="T293" s="557"/>
    </row>
    <row r="294">
      <c r="A294" s="45"/>
      <c r="B294" s="45"/>
      <c r="C294" s="554"/>
      <c r="D294" s="555"/>
      <c r="E294" s="555"/>
      <c r="F294" s="45"/>
      <c r="G294" s="555"/>
      <c r="H294" s="45"/>
      <c r="I294" s="122"/>
      <c r="K294" s="556"/>
      <c r="L294" s="557"/>
      <c r="M294" s="556"/>
      <c r="N294" s="556"/>
      <c r="O294" s="556"/>
      <c r="P294" s="557"/>
      <c r="Q294" s="556"/>
      <c r="R294" s="557"/>
      <c r="S294" s="556"/>
      <c r="T294" s="557"/>
    </row>
    <row r="295">
      <c r="A295" s="45"/>
      <c r="B295" s="45"/>
      <c r="C295" s="554"/>
      <c r="D295" s="555"/>
      <c r="E295" s="555"/>
      <c r="F295" s="45"/>
      <c r="G295" s="555"/>
      <c r="H295" s="45"/>
      <c r="I295" s="122"/>
      <c r="K295" s="556"/>
      <c r="L295" s="557"/>
      <c r="M295" s="556"/>
      <c r="N295" s="556"/>
      <c r="O295" s="556"/>
      <c r="P295" s="557"/>
      <c r="Q295" s="556"/>
      <c r="R295" s="557"/>
      <c r="S295" s="556"/>
      <c r="T295" s="557"/>
    </row>
    <row r="296">
      <c r="A296" s="45"/>
      <c r="B296" s="45"/>
      <c r="C296" s="554"/>
      <c r="D296" s="555"/>
      <c r="E296" s="555"/>
      <c r="F296" s="45"/>
      <c r="G296" s="555"/>
      <c r="H296" s="45"/>
      <c r="I296" s="122"/>
      <c r="K296" s="556"/>
      <c r="L296" s="557"/>
      <c r="M296" s="556"/>
      <c r="N296" s="556"/>
      <c r="O296" s="556"/>
      <c r="P296" s="557"/>
      <c r="Q296" s="556"/>
      <c r="R296" s="557"/>
      <c r="S296" s="556"/>
      <c r="T296" s="557"/>
    </row>
    <row r="297">
      <c r="A297" s="45"/>
      <c r="B297" s="45"/>
      <c r="C297" s="554"/>
      <c r="D297" s="555"/>
      <c r="E297" s="555"/>
      <c r="F297" s="45"/>
      <c r="G297" s="555"/>
      <c r="H297" s="45"/>
      <c r="I297" s="122"/>
      <c r="K297" s="556"/>
      <c r="L297" s="557"/>
      <c r="M297" s="556"/>
      <c r="N297" s="556"/>
      <c r="O297" s="556"/>
      <c r="P297" s="557"/>
      <c r="Q297" s="556"/>
      <c r="R297" s="557"/>
      <c r="S297" s="556"/>
      <c r="T297" s="557"/>
    </row>
    <row r="298">
      <c r="A298" s="45"/>
      <c r="B298" s="45"/>
      <c r="C298" s="554"/>
      <c r="D298" s="555"/>
      <c r="E298" s="555"/>
      <c r="F298" s="45"/>
      <c r="G298" s="555"/>
      <c r="H298" s="45"/>
      <c r="I298" s="122"/>
      <c r="K298" s="556"/>
      <c r="L298" s="557"/>
      <c r="M298" s="556"/>
      <c r="N298" s="556"/>
      <c r="O298" s="556"/>
      <c r="P298" s="557"/>
      <c r="Q298" s="556"/>
      <c r="R298" s="557"/>
      <c r="S298" s="556"/>
      <c r="T298" s="557"/>
    </row>
    <row r="299">
      <c r="A299" s="45"/>
      <c r="B299" s="45"/>
      <c r="C299" s="554"/>
      <c r="D299" s="555"/>
      <c r="E299" s="555"/>
      <c r="F299" s="45"/>
      <c r="G299" s="555"/>
      <c r="H299" s="45"/>
      <c r="I299" s="122"/>
      <c r="K299" s="556"/>
      <c r="L299" s="557"/>
      <c r="M299" s="556"/>
      <c r="N299" s="556"/>
      <c r="O299" s="556"/>
      <c r="P299" s="557"/>
      <c r="Q299" s="556"/>
      <c r="R299" s="557"/>
      <c r="S299" s="556"/>
      <c r="T299" s="557"/>
    </row>
    <row r="300">
      <c r="A300" s="45"/>
      <c r="B300" s="45"/>
      <c r="C300" s="554"/>
      <c r="D300" s="555"/>
      <c r="E300" s="555"/>
      <c r="F300" s="45"/>
      <c r="G300" s="555"/>
      <c r="H300" s="45"/>
      <c r="I300" s="122"/>
      <c r="K300" s="556"/>
      <c r="L300" s="557"/>
      <c r="M300" s="556"/>
      <c r="N300" s="556"/>
      <c r="O300" s="556"/>
      <c r="P300" s="557"/>
      <c r="Q300" s="556"/>
      <c r="R300" s="557"/>
      <c r="S300" s="556"/>
      <c r="T300" s="557"/>
    </row>
    <row r="301">
      <c r="A301" s="45"/>
      <c r="B301" s="45"/>
      <c r="C301" s="554"/>
      <c r="D301" s="555"/>
      <c r="E301" s="555"/>
      <c r="F301" s="45"/>
      <c r="G301" s="555"/>
      <c r="H301" s="45"/>
      <c r="I301" s="122"/>
      <c r="K301" s="556"/>
      <c r="L301" s="557"/>
      <c r="M301" s="556"/>
      <c r="N301" s="556"/>
      <c r="O301" s="556"/>
      <c r="P301" s="557"/>
      <c r="Q301" s="556"/>
      <c r="R301" s="557"/>
      <c r="S301" s="556"/>
      <c r="T301" s="557"/>
    </row>
    <row r="302">
      <c r="A302" s="45"/>
      <c r="B302" s="45"/>
      <c r="C302" s="554"/>
      <c r="D302" s="555"/>
      <c r="E302" s="555"/>
      <c r="F302" s="45"/>
      <c r="G302" s="555"/>
      <c r="H302" s="45"/>
      <c r="I302" s="122"/>
      <c r="K302" s="556"/>
      <c r="L302" s="557"/>
      <c r="M302" s="556"/>
      <c r="N302" s="556"/>
      <c r="O302" s="556"/>
      <c r="P302" s="557"/>
      <c r="Q302" s="556"/>
      <c r="R302" s="557"/>
      <c r="S302" s="556"/>
      <c r="T302" s="557"/>
    </row>
    <row r="303">
      <c r="A303" s="45"/>
      <c r="B303" s="45"/>
      <c r="C303" s="554"/>
      <c r="D303" s="555"/>
      <c r="E303" s="555"/>
      <c r="F303" s="45"/>
      <c r="G303" s="555"/>
      <c r="H303" s="45"/>
      <c r="I303" s="122"/>
      <c r="K303" s="556"/>
      <c r="L303" s="557"/>
      <c r="M303" s="556"/>
      <c r="N303" s="556"/>
      <c r="O303" s="556"/>
      <c r="P303" s="557"/>
      <c r="Q303" s="556"/>
      <c r="R303" s="557"/>
      <c r="S303" s="556"/>
      <c r="T303" s="557"/>
    </row>
    <row r="304">
      <c r="A304" s="45"/>
      <c r="B304" s="45"/>
      <c r="C304" s="554"/>
      <c r="D304" s="555"/>
      <c r="E304" s="555"/>
      <c r="F304" s="45"/>
      <c r="G304" s="555"/>
      <c r="H304" s="45"/>
      <c r="I304" s="122"/>
      <c r="K304" s="556"/>
      <c r="L304" s="557"/>
      <c r="M304" s="556"/>
      <c r="N304" s="556"/>
      <c r="O304" s="556"/>
      <c r="P304" s="557"/>
      <c r="Q304" s="556"/>
      <c r="R304" s="557"/>
      <c r="S304" s="556"/>
      <c r="T304" s="557"/>
    </row>
    <row r="305">
      <c r="A305" s="45"/>
      <c r="B305" s="45"/>
      <c r="C305" s="554"/>
      <c r="D305" s="555"/>
      <c r="E305" s="555"/>
      <c r="F305" s="45"/>
      <c r="G305" s="555"/>
      <c r="H305" s="45"/>
      <c r="I305" s="122"/>
      <c r="K305" s="556"/>
      <c r="L305" s="557"/>
      <c r="M305" s="556"/>
      <c r="N305" s="556"/>
      <c r="O305" s="556"/>
      <c r="P305" s="557"/>
      <c r="Q305" s="556"/>
      <c r="R305" s="557"/>
      <c r="S305" s="556"/>
      <c r="T305" s="557"/>
    </row>
    <row r="306">
      <c r="A306" s="45"/>
      <c r="B306" s="45"/>
      <c r="C306" s="554"/>
      <c r="D306" s="555"/>
      <c r="E306" s="555"/>
      <c r="F306" s="45"/>
      <c r="G306" s="555"/>
      <c r="H306" s="45"/>
      <c r="I306" s="122"/>
      <c r="K306" s="556"/>
      <c r="L306" s="557"/>
      <c r="M306" s="556"/>
      <c r="N306" s="556"/>
      <c r="O306" s="556"/>
      <c r="P306" s="557"/>
      <c r="Q306" s="556"/>
      <c r="R306" s="557"/>
      <c r="S306" s="556"/>
      <c r="T306" s="557"/>
    </row>
    <row r="307">
      <c r="A307" s="45"/>
      <c r="B307" s="45"/>
      <c r="C307" s="554"/>
      <c r="D307" s="555"/>
      <c r="E307" s="555"/>
      <c r="F307" s="45"/>
      <c r="G307" s="555"/>
      <c r="H307" s="45"/>
      <c r="I307" s="122"/>
      <c r="K307" s="556"/>
      <c r="L307" s="557"/>
      <c r="M307" s="556"/>
      <c r="N307" s="556"/>
      <c r="O307" s="556"/>
      <c r="P307" s="557"/>
      <c r="Q307" s="556"/>
      <c r="R307" s="557"/>
      <c r="S307" s="556"/>
      <c r="T307" s="557"/>
    </row>
    <row r="308">
      <c r="A308" s="45"/>
      <c r="B308" s="45"/>
      <c r="C308" s="554"/>
      <c r="D308" s="555"/>
      <c r="E308" s="555"/>
      <c r="F308" s="45"/>
      <c r="G308" s="555"/>
      <c r="H308" s="45"/>
      <c r="I308" s="122"/>
      <c r="K308" s="556"/>
      <c r="L308" s="557"/>
      <c r="M308" s="556"/>
      <c r="N308" s="556"/>
      <c r="O308" s="556"/>
      <c r="P308" s="557"/>
      <c r="Q308" s="556"/>
      <c r="R308" s="557"/>
      <c r="S308" s="556"/>
      <c r="T308" s="557"/>
    </row>
    <row r="309">
      <c r="A309" s="45"/>
      <c r="B309" s="45"/>
      <c r="C309" s="554"/>
      <c r="D309" s="555"/>
      <c r="E309" s="555"/>
      <c r="F309" s="45"/>
      <c r="G309" s="555"/>
      <c r="H309" s="45"/>
      <c r="I309" s="122"/>
      <c r="K309" s="556"/>
      <c r="L309" s="557"/>
      <c r="M309" s="556"/>
      <c r="N309" s="556"/>
      <c r="O309" s="556"/>
      <c r="P309" s="557"/>
      <c r="Q309" s="556"/>
      <c r="R309" s="557"/>
      <c r="S309" s="556"/>
      <c r="T309" s="557"/>
    </row>
    <row r="310">
      <c r="A310" s="45"/>
      <c r="B310" s="45"/>
      <c r="C310" s="554"/>
      <c r="D310" s="555"/>
      <c r="E310" s="555"/>
      <c r="F310" s="45"/>
      <c r="G310" s="555"/>
      <c r="H310" s="45"/>
      <c r="I310" s="122"/>
      <c r="K310" s="556"/>
      <c r="L310" s="557"/>
      <c r="M310" s="556"/>
      <c r="N310" s="556"/>
      <c r="O310" s="556"/>
      <c r="P310" s="557"/>
      <c r="Q310" s="556"/>
      <c r="R310" s="557"/>
      <c r="S310" s="556"/>
      <c r="T310" s="557"/>
    </row>
    <row r="311">
      <c r="A311" s="45"/>
      <c r="B311" s="45"/>
      <c r="C311" s="554"/>
      <c r="D311" s="555"/>
      <c r="E311" s="555"/>
      <c r="F311" s="45"/>
      <c r="G311" s="555"/>
      <c r="H311" s="45"/>
      <c r="I311" s="122"/>
      <c r="K311" s="556"/>
      <c r="L311" s="557"/>
      <c r="M311" s="556"/>
      <c r="N311" s="556"/>
      <c r="O311" s="556"/>
      <c r="P311" s="557"/>
      <c r="Q311" s="556"/>
      <c r="R311" s="557"/>
      <c r="S311" s="556"/>
      <c r="T311" s="557"/>
    </row>
    <row r="312">
      <c r="A312" s="45"/>
      <c r="B312" s="45"/>
      <c r="C312" s="554"/>
      <c r="D312" s="555"/>
      <c r="E312" s="555"/>
      <c r="F312" s="45"/>
      <c r="G312" s="555"/>
      <c r="H312" s="45"/>
      <c r="I312" s="122"/>
      <c r="K312" s="556"/>
      <c r="L312" s="557"/>
      <c r="M312" s="556"/>
      <c r="N312" s="556"/>
      <c r="O312" s="556"/>
      <c r="P312" s="557"/>
      <c r="Q312" s="556"/>
      <c r="R312" s="557"/>
      <c r="S312" s="556"/>
      <c r="T312" s="557"/>
    </row>
    <row r="313">
      <c r="A313" s="45"/>
      <c r="B313" s="45"/>
      <c r="C313" s="554"/>
      <c r="D313" s="555"/>
      <c r="E313" s="555"/>
      <c r="F313" s="45"/>
      <c r="G313" s="555"/>
      <c r="H313" s="45"/>
      <c r="I313" s="122"/>
      <c r="K313" s="556"/>
      <c r="L313" s="557"/>
      <c r="M313" s="556"/>
      <c r="N313" s="556"/>
      <c r="O313" s="556"/>
      <c r="P313" s="557"/>
      <c r="Q313" s="556"/>
      <c r="R313" s="557"/>
      <c r="S313" s="556"/>
      <c r="T313" s="557"/>
    </row>
    <row r="314">
      <c r="A314" s="45"/>
      <c r="B314" s="45"/>
      <c r="C314" s="554"/>
      <c r="D314" s="555"/>
      <c r="E314" s="555"/>
      <c r="F314" s="45"/>
      <c r="G314" s="555"/>
      <c r="H314" s="45"/>
      <c r="I314" s="122"/>
      <c r="K314" s="556"/>
      <c r="L314" s="557"/>
      <c r="M314" s="556"/>
      <c r="N314" s="556"/>
      <c r="O314" s="556"/>
      <c r="P314" s="557"/>
      <c r="Q314" s="556"/>
      <c r="R314" s="557"/>
      <c r="S314" s="556"/>
      <c r="T314" s="557"/>
    </row>
    <row r="315">
      <c r="A315" s="45"/>
      <c r="B315" s="45"/>
      <c r="C315" s="554"/>
      <c r="D315" s="555"/>
      <c r="E315" s="555"/>
      <c r="F315" s="45"/>
      <c r="G315" s="555"/>
      <c r="H315" s="45"/>
      <c r="I315" s="122"/>
      <c r="K315" s="556"/>
      <c r="L315" s="557"/>
      <c r="M315" s="556"/>
      <c r="N315" s="556"/>
      <c r="O315" s="556"/>
      <c r="P315" s="557"/>
      <c r="Q315" s="556"/>
      <c r="R315" s="557"/>
      <c r="S315" s="556"/>
      <c r="T315" s="557"/>
    </row>
    <row r="316">
      <c r="A316" s="45"/>
      <c r="B316" s="45"/>
      <c r="C316" s="554"/>
      <c r="D316" s="555"/>
      <c r="E316" s="555"/>
      <c r="F316" s="45"/>
      <c r="G316" s="555"/>
      <c r="H316" s="45"/>
      <c r="I316" s="122"/>
      <c r="K316" s="556"/>
      <c r="L316" s="557"/>
      <c r="M316" s="556"/>
      <c r="N316" s="556"/>
      <c r="O316" s="556"/>
      <c r="P316" s="557"/>
      <c r="Q316" s="556"/>
      <c r="R316" s="557"/>
      <c r="S316" s="556"/>
      <c r="T316" s="557"/>
    </row>
    <row r="317">
      <c r="A317" s="45"/>
      <c r="B317" s="45"/>
      <c r="C317" s="554"/>
      <c r="D317" s="555"/>
      <c r="E317" s="555"/>
      <c r="F317" s="45"/>
      <c r="G317" s="555"/>
      <c r="H317" s="45"/>
      <c r="I317" s="122"/>
      <c r="K317" s="556"/>
      <c r="L317" s="557"/>
      <c r="M317" s="556"/>
      <c r="N317" s="556"/>
      <c r="O317" s="556"/>
      <c r="P317" s="557"/>
      <c r="Q317" s="556"/>
      <c r="R317" s="557"/>
      <c r="S317" s="556"/>
      <c r="T317" s="557"/>
    </row>
    <row r="318">
      <c r="A318" s="45"/>
      <c r="B318" s="45"/>
      <c r="C318" s="554"/>
      <c r="D318" s="555"/>
      <c r="E318" s="555"/>
      <c r="F318" s="45"/>
      <c r="G318" s="555"/>
      <c r="H318" s="45"/>
      <c r="I318" s="122"/>
      <c r="K318" s="556"/>
      <c r="L318" s="557"/>
      <c r="M318" s="556"/>
      <c r="N318" s="556"/>
      <c r="O318" s="556"/>
      <c r="P318" s="557"/>
      <c r="Q318" s="556"/>
      <c r="R318" s="557"/>
      <c r="S318" s="556"/>
      <c r="T318" s="557"/>
    </row>
    <row r="319">
      <c r="A319" s="45"/>
      <c r="B319" s="45"/>
      <c r="C319" s="554"/>
      <c r="D319" s="555"/>
      <c r="E319" s="555"/>
      <c r="F319" s="45"/>
      <c r="G319" s="555"/>
      <c r="H319" s="45"/>
      <c r="I319" s="122"/>
      <c r="K319" s="556"/>
      <c r="L319" s="557"/>
      <c r="M319" s="556"/>
      <c r="N319" s="556"/>
      <c r="O319" s="556"/>
      <c r="P319" s="557"/>
      <c r="Q319" s="556"/>
      <c r="R319" s="557"/>
      <c r="S319" s="556"/>
      <c r="T319" s="557"/>
    </row>
    <row r="320">
      <c r="A320" s="45"/>
      <c r="B320" s="45"/>
      <c r="C320" s="554"/>
      <c r="D320" s="555"/>
      <c r="E320" s="555"/>
      <c r="F320" s="45"/>
      <c r="G320" s="555"/>
      <c r="H320" s="45"/>
      <c r="I320" s="122"/>
      <c r="K320" s="556"/>
      <c r="L320" s="557"/>
      <c r="M320" s="556"/>
      <c r="N320" s="556"/>
      <c r="O320" s="556"/>
      <c r="P320" s="557"/>
      <c r="Q320" s="556"/>
      <c r="R320" s="557"/>
      <c r="S320" s="556"/>
      <c r="T320" s="557"/>
    </row>
    <row r="321">
      <c r="A321" s="45"/>
      <c r="B321" s="45"/>
      <c r="C321" s="554"/>
      <c r="D321" s="555"/>
      <c r="E321" s="555"/>
      <c r="F321" s="45"/>
      <c r="G321" s="555"/>
      <c r="H321" s="45"/>
      <c r="I321" s="122"/>
      <c r="K321" s="556"/>
      <c r="L321" s="557"/>
      <c r="M321" s="556"/>
      <c r="N321" s="556"/>
      <c r="O321" s="556"/>
      <c r="P321" s="557"/>
      <c r="Q321" s="556"/>
      <c r="R321" s="557"/>
      <c r="S321" s="556"/>
      <c r="T321" s="557"/>
    </row>
    <row r="322">
      <c r="A322" s="45"/>
      <c r="B322" s="45"/>
      <c r="C322" s="554"/>
      <c r="D322" s="555"/>
      <c r="E322" s="555"/>
      <c r="F322" s="45"/>
      <c r="G322" s="555"/>
      <c r="H322" s="45"/>
      <c r="I322" s="122"/>
      <c r="K322" s="556"/>
      <c r="L322" s="557"/>
      <c r="M322" s="556"/>
      <c r="N322" s="556"/>
      <c r="O322" s="556"/>
      <c r="P322" s="557"/>
      <c r="Q322" s="556"/>
      <c r="R322" s="557"/>
      <c r="S322" s="556"/>
      <c r="T322" s="557"/>
    </row>
    <row r="323">
      <c r="A323" s="45"/>
      <c r="B323" s="45"/>
      <c r="C323" s="554"/>
      <c r="D323" s="555"/>
      <c r="E323" s="555"/>
      <c r="F323" s="45"/>
      <c r="G323" s="555"/>
      <c r="H323" s="45"/>
      <c r="I323" s="122"/>
      <c r="K323" s="556"/>
      <c r="L323" s="557"/>
      <c r="M323" s="556"/>
      <c r="N323" s="556"/>
      <c r="O323" s="556"/>
      <c r="P323" s="557"/>
      <c r="Q323" s="556"/>
      <c r="R323" s="557"/>
      <c r="S323" s="556"/>
      <c r="T323" s="557"/>
    </row>
    <row r="324">
      <c r="A324" s="45"/>
      <c r="B324" s="45"/>
      <c r="C324" s="554"/>
      <c r="D324" s="555"/>
      <c r="E324" s="555"/>
      <c r="F324" s="45"/>
      <c r="G324" s="555"/>
      <c r="H324" s="45"/>
      <c r="I324" s="122"/>
      <c r="K324" s="556"/>
      <c r="L324" s="557"/>
      <c r="M324" s="556"/>
      <c r="N324" s="556"/>
      <c r="O324" s="556"/>
      <c r="P324" s="557"/>
      <c r="Q324" s="556"/>
      <c r="R324" s="557"/>
      <c r="S324" s="556"/>
      <c r="T324" s="557"/>
    </row>
    <row r="325">
      <c r="A325" s="45"/>
      <c r="B325" s="45"/>
      <c r="C325" s="554"/>
      <c r="D325" s="555"/>
      <c r="E325" s="555"/>
      <c r="F325" s="45"/>
      <c r="G325" s="555"/>
      <c r="H325" s="45"/>
      <c r="I325" s="122"/>
      <c r="K325" s="556"/>
      <c r="L325" s="557"/>
      <c r="M325" s="556"/>
      <c r="N325" s="556"/>
      <c r="O325" s="556"/>
      <c r="P325" s="557"/>
      <c r="Q325" s="556"/>
      <c r="R325" s="557"/>
      <c r="S325" s="556"/>
      <c r="T325" s="557"/>
    </row>
    <row r="326">
      <c r="A326" s="45"/>
      <c r="B326" s="45"/>
      <c r="C326" s="554"/>
      <c r="D326" s="555"/>
      <c r="E326" s="555"/>
      <c r="F326" s="45"/>
      <c r="G326" s="555"/>
      <c r="H326" s="45"/>
      <c r="I326" s="122"/>
      <c r="K326" s="556"/>
      <c r="L326" s="557"/>
      <c r="M326" s="556"/>
      <c r="N326" s="556"/>
      <c r="O326" s="556"/>
      <c r="P326" s="557"/>
      <c r="Q326" s="556"/>
      <c r="R326" s="557"/>
      <c r="S326" s="556"/>
      <c r="T326" s="557"/>
    </row>
    <row r="327">
      <c r="A327" s="45"/>
      <c r="B327" s="45"/>
      <c r="C327" s="554"/>
      <c r="D327" s="555"/>
      <c r="E327" s="555"/>
      <c r="F327" s="45"/>
      <c r="G327" s="555"/>
      <c r="H327" s="45"/>
      <c r="I327" s="122"/>
      <c r="K327" s="556"/>
      <c r="L327" s="557"/>
      <c r="M327" s="556"/>
      <c r="N327" s="556"/>
      <c r="O327" s="556"/>
      <c r="P327" s="557"/>
      <c r="Q327" s="556"/>
      <c r="R327" s="557"/>
      <c r="S327" s="556"/>
      <c r="T327" s="557"/>
    </row>
    <row r="328">
      <c r="A328" s="45"/>
      <c r="B328" s="45"/>
      <c r="C328" s="554"/>
      <c r="D328" s="555"/>
      <c r="E328" s="555"/>
      <c r="F328" s="45"/>
      <c r="G328" s="555"/>
      <c r="H328" s="45"/>
      <c r="I328" s="122"/>
      <c r="K328" s="556"/>
      <c r="L328" s="557"/>
      <c r="M328" s="556"/>
      <c r="N328" s="556"/>
      <c r="O328" s="556"/>
      <c r="P328" s="557"/>
      <c r="Q328" s="556"/>
      <c r="R328" s="557"/>
      <c r="S328" s="556"/>
      <c r="T328" s="557"/>
    </row>
    <row r="329">
      <c r="A329" s="45"/>
      <c r="B329" s="45"/>
      <c r="C329" s="554"/>
      <c r="D329" s="555"/>
      <c r="E329" s="555"/>
      <c r="F329" s="45"/>
      <c r="G329" s="555"/>
      <c r="H329" s="45"/>
      <c r="I329" s="122"/>
      <c r="K329" s="556"/>
      <c r="L329" s="557"/>
      <c r="M329" s="556"/>
      <c r="N329" s="556"/>
      <c r="O329" s="556"/>
      <c r="P329" s="557"/>
      <c r="Q329" s="556"/>
      <c r="R329" s="557"/>
      <c r="S329" s="556"/>
      <c r="T329" s="557"/>
    </row>
    <row r="330">
      <c r="A330" s="45"/>
      <c r="B330" s="45"/>
      <c r="C330" s="554"/>
      <c r="D330" s="555"/>
      <c r="E330" s="555"/>
      <c r="F330" s="45"/>
      <c r="G330" s="555"/>
      <c r="H330" s="45"/>
      <c r="I330" s="122"/>
      <c r="K330" s="556"/>
      <c r="L330" s="557"/>
      <c r="M330" s="556"/>
      <c r="N330" s="556"/>
      <c r="O330" s="556"/>
      <c r="P330" s="557"/>
      <c r="Q330" s="556"/>
      <c r="R330" s="557"/>
      <c r="S330" s="556"/>
      <c r="T330" s="557"/>
    </row>
    <row r="331">
      <c r="A331" s="45"/>
      <c r="B331" s="45"/>
      <c r="C331" s="554"/>
      <c r="D331" s="555"/>
      <c r="E331" s="555"/>
      <c r="F331" s="45"/>
      <c r="G331" s="555"/>
      <c r="H331" s="45"/>
      <c r="I331" s="122"/>
      <c r="K331" s="556"/>
      <c r="L331" s="557"/>
      <c r="M331" s="556"/>
      <c r="N331" s="556"/>
      <c r="O331" s="556"/>
      <c r="P331" s="557"/>
      <c r="Q331" s="556"/>
      <c r="R331" s="557"/>
      <c r="S331" s="556"/>
      <c r="T331" s="557"/>
    </row>
    <row r="332">
      <c r="A332" s="45"/>
      <c r="B332" s="45"/>
      <c r="C332" s="554"/>
      <c r="D332" s="555"/>
      <c r="E332" s="555"/>
      <c r="F332" s="45"/>
      <c r="G332" s="555"/>
      <c r="H332" s="45"/>
      <c r="I332" s="122"/>
      <c r="K332" s="556"/>
      <c r="L332" s="557"/>
      <c r="M332" s="556"/>
      <c r="N332" s="556"/>
      <c r="O332" s="556"/>
      <c r="P332" s="557"/>
      <c r="Q332" s="556"/>
      <c r="R332" s="557"/>
      <c r="S332" s="556"/>
      <c r="T332" s="557"/>
    </row>
    <row r="333">
      <c r="A333" s="45"/>
      <c r="B333" s="45"/>
      <c r="C333" s="554"/>
      <c r="D333" s="555"/>
      <c r="E333" s="555"/>
      <c r="F333" s="45"/>
      <c r="G333" s="555"/>
      <c r="H333" s="45"/>
      <c r="I333" s="122"/>
      <c r="K333" s="556"/>
      <c r="L333" s="557"/>
      <c r="M333" s="556"/>
      <c r="N333" s="556"/>
      <c r="O333" s="556"/>
      <c r="P333" s="557"/>
      <c r="Q333" s="556"/>
      <c r="R333" s="557"/>
      <c r="S333" s="556"/>
      <c r="T333" s="557"/>
    </row>
    <row r="334">
      <c r="A334" s="45"/>
      <c r="B334" s="45"/>
      <c r="C334" s="554"/>
      <c r="D334" s="555"/>
      <c r="E334" s="555"/>
      <c r="F334" s="45"/>
      <c r="G334" s="555"/>
      <c r="H334" s="45"/>
      <c r="I334" s="122"/>
      <c r="K334" s="556"/>
      <c r="L334" s="557"/>
      <c r="M334" s="556"/>
      <c r="N334" s="556"/>
      <c r="O334" s="556"/>
      <c r="P334" s="557"/>
      <c r="Q334" s="556"/>
      <c r="R334" s="557"/>
      <c r="S334" s="556"/>
      <c r="T334" s="557"/>
    </row>
    <row r="335">
      <c r="A335" s="45"/>
      <c r="B335" s="45"/>
      <c r="C335" s="554"/>
      <c r="D335" s="555"/>
      <c r="E335" s="555"/>
      <c r="F335" s="45"/>
      <c r="G335" s="555"/>
      <c r="H335" s="45"/>
      <c r="I335" s="122"/>
      <c r="K335" s="556"/>
      <c r="L335" s="557"/>
      <c r="M335" s="556"/>
      <c r="N335" s="556"/>
      <c r="O335" s="556"/>
      <c r="P335" s="557"/>
      <c r="Q335" s="556"/>
      <c r="R335" s="557"/>
      <c r="S335" s="556"/>
      <c r="T335" s="557"/>
    </row>
    <row r="336">
      <c r="A336" s="45"/>
      <c r="B336" s="45"/>
      <c r="C336" s="554"/>
      <c r="D336" s="555"/>
      <c r="E336" s="555"/>
      <c r="F336" s="45"/>
      <c r="G336" s="555"/>
      <c r="H336" s="45"/>
      <c r="I336" s="122"/>
      <c r="K336" s="556"/>
      <c r="L336" s="557"/>
      <c r="M336" s="556"/>
      <c r="N336" s="556"/>
      <c r="O336" s="556"/>
      <c r="P336" s="557"/>
      <c r="Q336" s="556"/>
      <c r="R336" s="557"/>
      <c r="S336" s="556"/>
      <c r="T336" s="557"/>
    </row>
    <row r="337">
      <c r="A337" s="45"/>
      <c r="B337" s="45"/>
      <c r="C337" s="554"/>
      <c r="D337" s="555"/>
      <c r="E337" s="555"/>
      <c r="F337" s="45"/>
      <c r="G337" s="555"/>
      <c r="H337" s="45"/>
      <c r="I337" s="122"/>
      <c r="K337" s="556"/>
      <c r="L337" s="557"/>
      <c r="M337" s="556"/>
      <c r="N337" s="556"/>
      <c r="O337" s="556"/>
      <c r="P337" s="557"/>
      <c r="Q337" s="556"/>
      <c r="R337" s="557"/>
      <c r="S337" s="556"/>
      <c r="T337" s="557"/>
    </row>
    <row r="338">
      <c r="A338" s="45"/>
      <c r="B338" s="45"/>
      <c r="C338" s="554"/>
      <c r="D338" s="555"/>
      <c r="E338" s="555"/>
      <c r="F338" s="45"/>
      <c r="G338" s="555"/>
      <c r="H338" s="45"/>
      <c r="I338" s="122"/>
      <c r="K338" s="556"/>
      <c r="L338" s="557"/>
      <c r="M338" s="556"/>
      <c r="N338" s="556"/>
      <c r="O338" s="556"/>
      <c r="P338" s="557"/>
      <c r="Q338" s="556"/>
      <c r="R338" s="557"/>
      <c r="S338" s="556"/>
      <c r="T338" s="557"/>
    </row>
    <row r="339">
      <c r="A339" s="45"/>
      <c r="B339" s="45"/>
      <c r="C339" s="554"/>
      <c r="D339" s="555"/>
      <c r="E339" s="555"/>
      <c r="F339" s="45"/>
      <c r="G339" s="555"/>
      <c r="H339" s="45"/>
      <c r="I339" s="122"/>
      <c r="K339" s="556"/>
      <c r="L339" s="557"/>
      <c r="M339" s="556"/>
      <c r="N339" s="556"/>
      <c r="O339" s="556"/>
      <c r="P339" s="557"/>
      <c r="Q339" s="556"/>
      <c r="R339" s="557"/>
      <c r="S339" s="556"/>
      <c r="T339" s="557"/>
    </row>
    <row r="340">
      <c r="A340" s="45"/>
      <c r="B340" s="45"/>
      <c r="C340" s="554"/>
      <c r="D340" s="555"/>
      <c r="E340" s="555"/>
      <c r="F340" s="45"/>
      <c r="G340" s="555"/>
      <c r="H340" s="45"/>
      <c r="I340" s="122"/>
      <c r="K340" s="556"/>
      <c r="L340" s="557"/>
      <c r="M340" s="556"/>
      <c r="N340" s="556"/>
      <c r="O340" s="556"/>
      <c r="P340" s="557"/>
      <c r="Q340" s="556"/>
      <c r="R340" s="557"/>
      <c r="S340" s="556"/>
      <c r="T340" s="557"/>
    </row>
    <row r="341">
      <c r="A341" s="45"/>
      <c r="B341" s="45"/>
      <c r="C341" s="554"/>
      <c r="D341" s="555"/>
      <c r="E341" s="555"/>
      <c r="F341" s="45"/>
      <c r="G341" s="555"/>
      <c r="H341" s="45"/>
      <c r="I341" s="122"/>
      <c r="K341" s="556"/>
      <c r="L341" s="557"/>
      <c r="M341" s="556"/>
      <c r="N341" s="556"/>
      <c r="O341" s="556"/>
      <c r="P341" s="557"/>
      <c r="Q341" s="556"/>
      <c r="R341" s="557"/>
      <c r="S341" s="556"/>
      <c r="T341" s="557"/>
    </row>
    <row r="342">
      <c r="A342" s="45"/>
      <c r="B342" s="45"/>
      <c r="C342" s="554"/>
      <c r="D342" s="555"/>
      <c r="E342" s="555"/>
      <c r="F342" s="45"/>
      <c r="G342" s="555"/>
      <c r="H342" s="45"/>
      <c r="I342" s="122"/>
      <c r="K342" s="556"/>
      <c r="L342" s="557"/>
      <c r="M342" s="556"/>
      <c r="N342" s="556"/>
      <c r="O342" s="556"/>
      <c r="P342" s="557"/>
      <c r="Q342" s="556"/>
      <c r="R342" s="557"/>
      <c r="S342" s="556"/>
      <c r="T342" s="557"/>
    </row>
    <row r="343">
      <c r="A343" s="45"/>
      <c r="B343" s="45"/>
      <c r="C343" s="554"/>
      <c r="D343" s="555"/>
      <c r="E343" s="555"/>
      <c r="F343" s="45"/>
      <c r="G343" s="555"/>
      <c r="H343" s="45"/>
      <c r="I343" s="122"/>
      <c r="K343" s="556"/>
      <c r="L343" s="557"/>
      <c r="M343" s="556"/>
      <c r="N343" s="556"/>
      <c r="O343" s="556"/>
      <c r="P343" s="557"/>
      <c r="Q343" s="556"/>
      <c r="R343" s="557"/>
      <c r="S343" s="556"/>
      <c r="T343" s="557"/>
    </row>
    <row r="344">
      <c r="A344" s="45"/>
      <c r="B344" s="45"/>
      <c r="C344" s="554"/>
      <c r="D344" s="555"/>
      <c r="E344" s="555"/>
      <c r="F344" s="45"/>
      <c r="G344" s="555"/>
      <c r="H344" s="45"/>
      <c r="I344" s="122"/>
      <c r="K344" s="556"/>
      <c r="L344" s="557"/>
      <c r="M344" s="556"/>
      <c r="N344" s="556"/>
      <c r="O344" s="556"/>
      <c r="P344" s="557"/>
      <c r="Q344" s="556"/>
      <c r="R344" s="557"/>
      <c r="S344" s="556"/>
      <c r="T344" s="557"/>
    </row>
    <row r="345">
      <c r="A345" s="45"/>
      <c r="B345" s="45"/>
      <c r="C345" s="554"/>
      <c r="D345" s="555"/>
      <c r="E345" s="555"/>
      <c r="F345" s="45"/>
      <c r="G345" s="555"/>
      <c r="H345" s="45"/>
      <c r="I345" s="122"/>
      <c r="K345" s="556"/>
      <c r="L345" s="557"/>
      <c r="M345" s="556"/>
      <c r="N345" s="556"/>
      <c r="O345" s="556"/>
      <c r="P345" s="557"/>
      <c r="Q345" s="556"/>
      <c r="R345" s="557"/>
      <c r="S345" s="556"/>
      <c r="T345" s="557"/>
    </row>
    <row r="346">
      <c r="A346" s="45"/>
      <c r="B346" s="45"/>
      <c r="C346" s="554"/>
      <c r="D346" s="555"/>
      <c r="E346" s="555"/>
      <c r="F346" s="45"/>
      <c r="G346" s="555"/>
      <c r="H346" s="45"/>
      <c r="I346" s="122"/>
      <c r="K346" s="556"/>
      <c r="L346" s="557"/>
      <c r="M346" s="556"/>
      <c r="N346" s="556"/>
      <c r="O346" s="556"/>
      <c r="P346" s="557"/>
      <c r="Q346" s="556"/>
      <c r="R346" s="557"/>
      <c r="S346" s="556"/>
      <c r="T346" s="557"/>
    </row>
    <row r="347">
      <c r="A347" s="45"/>
      <c r="B347" s="45"/>
      <c r="C347" s="554"/>
      <c r="D347" s="555"/>
      <c r="E347" s="555"/>
      <c r="F347" s="45"/>
      <c r="G347" s="555"/>
      <c r="H347" s="45"/>
      <c r="I347" s="122"/>
      <c r="K347" s="556"/>
      <c r="L347" s="557"/>
      <c r="M347" s="556"/>
      <c r="N347" s="556"/>
      <c r="O347" s="556"/>
      <c r="P347" s="557"/>
      <c r="Q347" s="556"/>
      <c r="R347" s="557"/>
      <c r="S347" s="556"/>
      <c r="T347" s="557"/>
    </row>
    <row r="348">
      <c r="A348" s="45"/>
      <c r="B348" s="45"/>
      <c r="C348" s="554"/>
      <c r="D348" s="555"/>
      <c r="E348" s="555"/>
      <c r="F348" s="45"/>
      <c r="G348" s="555"/>
      <c r="H348" s="45"/>
      <c r="I348" s="122"/>
      <c r="K348" s="556"/>
      <c r="L348" s="557"/>
      <c r="M348" s="556"/>
      <c r="N348" s="556"/>
      <c r="O348" s="556"/>
      <c r="P348" s="557"/>
      <c r="Q348" s="556"/>
      <c r="R348" s="557"/>
      <c r="S348" s="556"/>
      <c r="T348" s="557"/>
    </row>
    <row r="349">
      <c r="A349" s="45"/>
      <c r="B349" s="45"/>
      <c r="C349" s="554"/>
      <c r="D349" s="555"/>
      <c r="E349" s="555"/>
      <c r="F349" s="45"/>
      <c r="G349" s="555"/>
      <c r="H349" s="45"/>
      <c r="I349" s="122"/>
      <c r="K349" s="556"/>
      <c r="L349" s="557"/>
      <c r="M349" s="556"/>
      <c r="N349" s="556"/>
      <c r="O349" s="556"/>
      <c r="P349" s="557"/>
      <c r="Q349" s="556"/>
      <c r="R349" s="557"/>
      <c r="S349" s="556"/>
      <c r="T349" s="557"/>
    </row>
    <row r="350">
      <c r="A350" s="45"/>
      <c r="B350" s="45"/>
      <c r="C350" s="554"/>
      <c r="D350" s="555"/>
      <c r="E350" s="555"/>
      <c r="F350" s="45"/>
      <c r="G350" s="555"/>
      <c r="H350" s="45"/>
      <c r="I350" s="122"/>
      <c r="K350" s="556"/>
      <c r="L350" s="557"/>
      <c r="M350" s="556"/>
      <c r="N350" s="556"/>
      <c r="O350" s="556"/>
      <c r="P350" s="557"/>
      <c r="Q350" s="556"/>
      <c r="R350" s="557"/>
      <c r="S350" s="556"/>
      <c r="T350" s="557"/>
    </row>
    <row r="351">
      <c r="A351" s="45"/>
      <c r="B351" s="45"/>
      <c r="C351" s="554"/>
      <c r="D351" s="555"/>
      <c r="E351" s="555"/>
      <c r="F351" s="45"/>
      <c r="G351" s="555"/>
      <c r="H351" s="45"/>
      <c r="I351" s="122"/>
      <c r="K351" s="556"/>
      <c r="L351" s="557"/>
      <c r="M351" s="556"/>
      <c r="N351" s="556"/>
      <c r="O351" s="556"/>
      <c r="P351" s="557"/>
      <c r="Q351" s="556"/>
      <c r="R351" s="557"/>
      <c r="S351" s="556"/>
      <c r="T351" s="557"/>
    </row>
    <row r="352">
      <c r="A352" s="45"/>
      <c r="B352" s="45"/>
      <c r="C352" s="554"/>
      <c r="D352" s="555"/>
      <c r="E352" s="555"/>
      <c r="F352" s="45"/>
      <c r="G352" s="555"/>
      <c r="H352" s="45"/>
      <c r="I352" s="122"/>
      <c r="K352" s="556"/>
      <c r="L352" s="557"/>
      <c r="M352" s="556"/>
      <c r="N352" s="556"/>
      <c r="O352" s="556"/>
      <c r="P352" s="557"/>
      <c r="Q352" s="556"/>
      <c r="R352" s="557"/>
      <c r="S352" s="556"/>
      <c r="T352" s="557"/>
    </row>
    <row r="353">
      <c r="A353" s="45"/>
      <c r="B353" s="45"/>
      <c r="C353" s="554"/>
      <c r="D353" s="555"/>
      <c r="E353" s="555"/>
      <c r="F353" s="45"/>
      <c r="G353" s="555"/>
      <c r="H353" s="45"/>
      <c r="I353" s="122"/>
      <c r="K353" s="556"/>
      <c r="L353" s="557"/>
      <c r="M353" s="556"/>
      <c r="N353" s="556"/>
      <c r="O353" s="556"/>
      <c r="P353" s="557"/>
      <c r="Q353" s="556"/>
      <c r="R353" s="557"/>
      <c r="S353" s="556"/>
      <c r="T353" s="557"/>
    </row>
    <row r="354">
      <c r="A354" s="45"/>
      <c r="B354" s="45"/>
      <c r="C354" s="554"/>
      <c r="D354" s="555"/>
      <c r="E354" s="555"/>
      <c r="F354" s="45"/>
      <c r="G354" s="555"/>
      <c r="H354" s="45"/>
      <c r="I354" s="122"/>
      <c r="K354" s="556"/>
      <c r="L354" s="557"/>
      <c r="M354" s="556"/>
      <c r="N354" s="556"/>
      <c r="O354" s="556"/>
      <c r="P354" s="557"/>
      <c r="Q354" s="556"/>
      <c r="R354" s="557"/>
      <c r="S354" s="556"/>
      <c r="T354" s="557"/>
    </row>
    <row r="355">
      <c r="A355" s="45"/>
      <c r="B355" s="45"/>
      <c r="C355" s="554"/>
      <c r="D355" s="555"/>
      <c r="E355" s="555"/>
      <c r="F355" s="45"/>
      <c r="G355" s="555"/>
      <c r="H355" s="45"/>
      <c r="I355" s="122"/>
      <c r="K355" s="556"/>
      <c r="L355" s="557"/>
      <c r="M355" s="556"/>
      <c r="N355" s="556"/>
      <c r="O355" s="556"/>
      <c r="P355" s="557"/>
      <c r="Q355" s="556"/>
      <c r="R355" s="557"/>
      <c r="S355" s="556"/>
      <c r="T355" s="557"/>
    </row>
    <row r="356">
      <c r="A356" s="45"/>
      <c r="B356" s="45"/>
      <c r="C356" s="554"/>
      <c r="D356" s="555"/>
      <c r="E356" s="555"/>
      <c r="F356" s="45"/>
      <c r="G356" s="555"/>
      <c r="H356" s="45"/>
      <c r="I356" s="122"/>
      <c r="K356" s="556"/>
      <c r="L356" s="557"/>
      <c r="M356" s="556"/>
      <c r="N356" s="556"/>
      <c r="O356" s="556"/>
      <c r="P356" s="557"/>
      <c r="Q356" s="556"/>
      <c r="R356" s="557"/>
      <c r="S356" s="556"/>
      <c r="T356" s="557"/>
    </row>
    <row r="357">
      <c r="A357" s="45"/>
      <c r="B357" s="45"/>
      <c r="C357" s="554"/>
      <c r="D357" s="555"/>
      <c r="E357" s="555"/>
      <c r="F357" s="45"/>
      <c r="G357" s="555"/>
      <c r="H357" s="45"/>
      <c r="I357" s="122"/>
      <c r="K357" s="556"/>
      <c r="L357" s="557"/>
      <c r="M357" s="556"/>
      <c r="N357" s="556"/>
      <c r="O357" s="556"/>
      <c r="P357" s="557"/>
      <c r="Q357" s="556"/>
      <c r="R357" s="557"/>
      <c r="S357" s="556"/>
      <c r="T357" s="557"/>
    </row>
    <row r="358">
      <c r="A358" s="45"/>
      <c r="B358" s="45"/>
      <c r="C358" s="554"/>
      <c r="D358" s="555"/>
      <c r="E358" s="555"/>
      <c r="F358" s="45"/>
      <c r="G358" s="555"/>
      <c r="H358" s="45"/>
      <c r="I358" s="122"/>
      <c r="K358" s="556"/>
      <c r="L358" s="557"/>
      <c r="M358" s="556"/>
      <c r="N358" s="556"/>
      <c r="O358" s="556"/>
      <c r="P358" s="557"/>
      <c r="Q358" s="556"/>
      <c r="R358" s="557"/>
      <c r="S358" s="556"/>
      <c r="T358" s="557"/>
    </row>
    <row r="359">
      <c r="A359" s="45"/>
      <c r="B359" s="45"/>
      <c r="C359" s="554"/>
      <c r="D359" s="555"/>
      <c r="E359" s="555"/>
      <c r="F359" s="45"/>
      <c r="G359" s="555"/>
      <c r="H359" s="45"/>
      <c r="I359" s="122"/>
      <c r="K359" s="556"/>
      <c r="L359" s="557"/>
      <c r="M359" s="556"/>
      <c r="N359" s="556"/>
      <c r="O359" s="556"/>
      <c r="P359" s="557"/>
      <c r="Q359" s="556"/>
      <c r="R359" s="557"/>
      <c r="S359" s="556"/>
      <c r="T359" s="557"/>
    </row>
    <row r="360">
      <c r="A360" s="45"/>
      <c r="B360" s="45"/>
      <c r="C360" s="554"/>
      <c r="D360" s="555"/>
      <c r="E360" s="555"/>
      <c r="F360" s="45"/>
      <c r="G360" s="555"/>
      <c r="H360" s="45"/>
      <c r="I360" s="122"/>
      <c r="K360" s="556"/>
      <c r="L360" s="557"/>
      <c r="M360" s="556"/>
      <c r="N360" s="556"/>
      <c r="O360" s="556"/>
      <c r="P360" s="557"/>
      <c r="Q360" s="556"/>
      <c r="R360" s="557"/>
      <c r="S360" s="556"/>
      <c r="T360" s="557"/>
    </row>
    <row r="361">
      <c r="A361" s="45"/>
      <c r="B361" s="45"/>
      <c r="C361" s="554"/>
      <c r="D361" s="555"/>
      <c r="E361" s="555"/>
      <c r="F361" s="45"/>
      <c r="G361" s="555"/>
      <c r="H361" s="45"/>
      <c r="I361" s="122"/>
      <c r="K361" s="556"/>
      <c r="L361" s="557"/>
      <c r="M361" s="556"/>
      <c r="N361" s="556"/>
      <c r="O361" s="556"/>
      <c r="P361" s="557"/>
      <c r="Q361" s="556"/>
      <c r="R361" s="557"/>
      <c r="S361" s="556"/>
      <c r="T361" s="557"/>
    </row>
    <row r="362">
      <c r="A362" s="45"/>
      <c r="B362" s="45"/>
      <c r="C362" s="554"/>
      <c r="D362" s="555"/>
      <c r="E362" s="555"/>
      <c r="F362" s="45"/>
      <c r="G362" s="555"/>
      <c r="H362" s="45"/>
      <c r="I362" s="122"/>
      <c r="K362" s="556"/>
      <c r="L362" s="557"/>
      <c r="M362" s="556"/>
      <c r="N362" s="556"/>
      <c r="O362" s="556"/>
      <c r="P362" s="557"/>
      <c r="Q362" s="556"/>
      <c r="R362" s="557"/>
      <c r="S362" s="556"/>
      <c r="T362" s="557"/>
    </row>
    <row r="363">
      <c r="A363" s="45"/>
      <c r="B363" s="45"/>
      <c r="C363" s="554"/>
      <c r="D363" s="555"/>
      <c r="E363" s="555"/>
      <c r="F363" s="45"/>
      <c r="G363" s="555"/>
      <c r="H363" s="45"/>
      <c r="I363" s="122"/>
      <c r="K363" s="556"/>
      <c r="L363" s="557"/>
      <c r="M363" s="556"/>
      <c r="N363" s="556"/>
      <c r="O363" s="556"/>
      <c r="P363" s="557"/>
      <c r="Q363" s="556"/>
      <c r="R363" s="557"/>
      <c r="S363" s="556"/>
      <c r="T363" s="557"/>
    </row>
    <row r="364">
      <c r="A364" s="45"/>
      <c r="B364" s="45"/>
      <c r="C364" s="554"/>
      <c r="D364" s="555"/>
      <c r="E364" s="555"/>
      <c r="F364" s="45"/>
      <c r="G364" s="555"/>
      <c r="H364" s="45"/>
      <c r="I364" s="122"/>
      <c r="K364" s="556"/>
      <c r="L364" s="557"/>
      <c r="M364" s="556"/>
      <c r="N364" s="556"/>
      <c r="O364" s="556"/>
      <c r="P364" s="557"/>
      <c r="Q364" s="556"/>
      <c r="R364" s="557"/>
      <c r="S364" s="556"/>
      <c r="T364" s="557"/>
    </row>
    <row r="365">
      <c r="A365" s="45"/>
      <c r="B365" s="45"/>
      <c r="C365" s="554"/>
      <c r="D365" s="555"/>
      <c r="E365" s="555"/>
      <c r="F365" s="45"/>
      <c r="G365" s="555"/>
      <c r="H365" s="45"/>
      <c r="I365" s="122"/>
      <c r="K365" s="556"/>
      <c r="L365" s="557"/>
      <c r="M365" s="556"/>
      <c r="N365" s="556"/>
      <c r="O365" s="556"/>
      <c r="P365" s="557"/>
      <c r="Q365" s="556"/>
      <c r="R365" s="557"/>
      <c r="S365" s="556"/>
      <c r="T365" s="557"/>
    </row>
    <row r="366">
      <c r="A366" s="45"/>
      <c r="B366" s="45"/>
      <c r="C366" s="554"/>
      <c r="D366" s="555"/>
      <c r="E366" s="555"/>
      <c r="F366" s="45"/>
      <c r="G366" s="555"/>
      <c r="H366" s="45"/>
      <c r="I366" s="122"/>
      <c r="K366" s="556"/>
      <c r="L366" s="557"/>
      <c r="M366" s="556"/>
      <c r="N366" s="556"/>
      <c r="O366" s="556"/>
      <c r="P366" s="557"/>
      <c r="Q366" s="556"/>
      <c r="R366" s="557"/>
      <c r="S366" s="556"/>
      <c r="T366" s="557"/>
    </row>
    <row r="367">
      <c r="A367" s="45"/>
      <c r="B367" s="45"/>
      <c r="C367" s="554"/>
      <c r="D367" s="555"/>
      <c r="E367" s="555"/>
      <c r="F367" s="45"/>
      <c r="G367" s="555"/>
      <c r="H367" s="45"/>
      <c r="I367" s="122"/>
      <c r="K367" s="556"/>
      <c r="L367" s="557"/>
      <c r="M367" s="556"/>
      <c r="N367" s="556"/>
      <c r="O367" s="556"/>
      <c r="P367" s="557"/>
      <c r="Q367" s="556"/>
      <c r="R367" s="557"/>
      <c r="S367" s="556"/>
      <c r="T367" s="557"/>
    </row>
    <row r="368">
      <c r="A368" s="45"/>
      <c r="B368" s="45"/>
      <c r="C368" s="554"/>
      <c r="D368" s="555"/>
      <c r="E368" s="555"/>
      <c r="F368" s="45"/>
      <c r="G368" s="555"/>
      <c r="H368" s="45"/>
      <c r="I368" s="122"/>
      <c r="K368" s="556"/>
      <c r="L368" s="557"/>
      <c r="M368" s="556"/>
      <c r="N368" s="556"/>
      <c r="O368" s="556"/>
      <c r="P368" s="557"/>
      <c r="Q368" s="556"/>
      <c r="R368" s="557"/>
      <c r="S368" s="556"/>
      <c r="T368" s="557"/>
    </row>
    <row r="369">
      <c r="A369" s="45"/>
      <c r="B369" s="45"/>
      <c r="C369" s="554"/>
      <c r="D369" s="555"/>
      <c r="E369" s="555"/>
      <c r="F369" s="45"/>
      <c r="G369" s="555"/>
      <c r="H369" s="45"/>
      <c r="I369" s="122"/>
      <c r="K369" s="556"/>
      <c r="L369" s="557"/>
      <c r="M369" s="556"/>
      <c r="N369" s="556"/>
      <c r="O369" s="556"/>
      <c r="P369" s="557"/>
      <c r="Q369" s="556"/>
      <c r="R369" s="557"/>
      <c r="S369" s="556"/>
      <c r="T369" s="557"/>
    </row>
    <row r="370">
      <c r="A370" s="45"/>
      <c r="B370" s="45"/>
      <c r="C370" s="554"/>
      <c r="D370" s="555"/>
      <c r="E370" s="555"/>
      <c r="F370" s="45"/>
      <c r="G370" s="555"/>
      <c r="H370" s="45"/>
      <c r="I370" s="122"/>
      <c r="K370" s="556"/>
      <c r="L370" s="557"/>
      <c r="M370" s="556"/>
      <c r="N370" s="556"/>
      <c r="O370" s="556"/>
      <c r="P370" s="557"/>
      <c r="Q370" s="556"/>
      <c r="R370" s="557"/>
      <c r="S370" s="556"/>
      <c r="T370" s="557"/>
    </row>
    <row r="371">
      <c r="A371" s="45"/>
      <c r="B371" s="45"/>
      <c r="C371" s="554"/>
      <c r="D371" s="555"/>
      <c r="E371" s="555"/>
      <c r="F371" s="45"/>
      <c r="G371" s="555"/>
      <c r="H371" s="45"/>
      <c r="I371" s="122"/>
      <c r="K371" s="556"/>
      <c r="L371" s="557"/>
      <c r="M371" s="556"/>
      <c r="N371" s="556"/>
      <c r="O371" s="556"/>
      <c r="P371" s="557"/>
      <c r="Q371" s="556"/>
      <c r="R371" s="557"/>
      <c r="S371" s="556"/>
      <c r="T371" s="557"/>
    </row>
    <row r="372">
      <c r="A372" s="45"/>
      <c r="B372" s="45"/>
      <c r="C372" s="554"/>
      <c r="D372" s="555"/>
      <c r="E372" s="555"/>
      <c r="F372" s="45"/>
      <c r="G372" s="555"/>
      <c r="H372" s="45"/>
      <c r="I372" s="122"/>
      <c r="K372" s="556"/>
      <c r="L372" s="557"/>
      <c r="M372" s="556"/>
      <c r="N372" s="556"/>
      <c r="O372" s="556"/>
      <c r="P372" s="557"/>
      <c r="Q372" s="556"/>
      <c r="R372" s="557"/>
      <c r="S372" s="556"/>
      <c r="T372" s="557"/>
    </row>
    <row r="373">
      <c r="A373" s="45"/>
      <c r="B373" s="45"/>
      <c r="C373" s="554"/>
      <c r="D373" s="555"/>
      <c r="E373" s="555"/>
      <c r="F373" s="45"/>
      <c r="G373" s="555"/>
      <c r="H373" s="45"/>
      <c r="I373" s="122"/>
      <c r="K373" s="556"/>
      <c r="L373" s="557"/>
      <c r="M373" s="556"/>
      <c r="N373" s="556"/>
      <c r="O373" s="556"/>
      <c r="P373" s="557"/>
      <c r="Q373" s="556"/>
      <c r="R373" s="557"/>
      <c r="S373" s="556"/>
      <c r="T373" s="557"/>
    </row>
    <row r="374">
      <c r="A374" s="45"/>
      <c r="B374" s="45"/>
      <c r="C374" s="554"/>
      <c r="D374" s="555"/>
      <c r="E374" s="555"/>
      <c r="F374" s="45"/>
      <c r="G374" s="555"/>
      <c r="H374" s="45"/>
      <c r="I374" s="122"/>
      <c r="K374" s="556"/>
      <c r="L374" s="557"/>
      <c r="M374" s="556"/>
      <c r="N374" s="556"/>
      <c r="O374" s="556"/>
      <c r="P374" s="557"/>
      <c r="Q374" s="556"/>
      <c r="R374" s="557"/>
      <c r="S374" s="556"/>
      <c r="T374" s="557"/>
    </row>
    <row r="375">
      <c r="A375" s="45"/>
      <c r="B375" s="45"/>
      <c r="C375" s="554"/>
      <c r="D375" s="555"/>
      <c r="E375" s="555"/>
      <c r="F375" s="45"/>
      <c r="G375" s="555"/>
      <c r="H375" s="45"/>
      <c r="I375" s="122"/>
      <c r="K375" s="556"/>
      <c r="L375" s="557"/>
      <c r="M375" s="556"/>
      <c r="N375" s="556"/>
      <c r="O375" s="556"/>
      <c r="P375" s="557"/>
      <c r="Q375" s="556"/>
      <c r="R375" s="557"/>
      <c r="S375" s="556"/>
      <c r="T375" s="557"/>
    </row>
    <row r="376">
      <c r="A376" s="45"/>
      <c r="B376" s="45"/>
      <c r="C376" s="554"/>
      <c r="D376" s="555"/>
      <c r="E376" s="555"/>
      <c r="F376" s="45"/>
      <c r="G376" s="555"/>
      <c r="H376" s="45"/>
      <c r="I376" s="122"/>
      <c r="K376" s="556"/>
      <c r="L376" s="557"/>
      <c r="M376" s="556"/>
      <c r="N376" s="556"/>
      <c r="O376" s="556"/>
      <c r="P376" s="557"/>
      <c r="Q376" s="556"/>
      <c r="R376" s="557"/>
      <c r="S376" s="556"/>
      <c r="T376" s="557"/>
    </row>
    <row r="377">
      <c r="A377" s="45"/>
      <c r="B377" s="45"/>
      <c r="C377" s="554"/>
      <c r="D377" s="555"/>
      <c r="E377" s="555"/>
      <c r="F377" s="45"/>
      <c r="G377" s="555"/>
      <c r="H377" s="45"/>
      <c r="I377" s="122"/>
      <c r="K377" s="556"/>
      <c r="L377" s="557"/>
      <c r="M377" s="556"/>
      <c r="N377" s="556"/>
      <c r="O377" s="556"/>
      <c r="P377" s="557"/>
      <c r="Q377" s="556"/>
      <c r="R377" s="557"/>
      <c r="S377" s="556"/>
      <c r="T377" s="557"/>
    </row>
    <row r="378">
      <c r="A378" s="45"/>
      <c r="B378" s="45"/>
      <c r="C378" s="554"/>
      <c r="D378" s="555"/>
      <c r="E378" s="555"/>
      <c r="F378" s="45"/>
      <c r="G378" s="555"/>
      <c r="H378" s="45"/>
      <c r="I378" s="122"/>
      <c r="K378" s="556"/>
      <c r="L378" s="557"/>
      <c r="M378" s="556"/>
      <c r="N378" s="556"/>
      <c r="O378" s="556"/>
      <c r="P378" s="557"/>
      <c r="Q378" s="556"/>
      <c r="R378" s="557"/>
      <c r="S378" s="556"/>
      <c r="T378" s="557"/>
    </row>
    <row r="379">
      <c r="A379" s="45"/>
      <c r="B379" s="45"/>
      <c r="C379" s="554"/>
      <c r="D379" s="555"/>
      <c r="E379" s="555"/>
      <c r="F379" s="45"/>
      <c r="G379" s="555"/>
      <c r="H379" s="45"/>
      <c r="I379" s="122"/>
      <c r="K379" s="556"/>
      <c r="L379" s="557"/>
      <c r="M379" s="556"/>
      <c r="N379" s="556"/>
      <c r="O379" s="556"/>
      <c r="P379" s="557"/>
      <c r="Q379" s="556"/>
      <c r="R379" s="557"/>
      <c r="S379" s="556"/>
      <c r="T379" s="557"/>
    </row>
    <row r="380">
      <c r="A380" s="45"/>
      <c r="B380" s="45"/>
      <c r="C380" s="554"/>
      <c r="D380" s="555"/>
      <c r="E380" s="555"/>
      <c r="F380" s="45"/>
      <c r="G380" s="555"/>
      <c r="H380" s="45"/>
      <c r="I380" s="122"/>
      <c r="K380" s="556"/>
      <c r="L380" s="557"/>
      <c r="M380" s="556"/>
      <c r="N380" s="556"/>
      <c r="O380" s="556"/>
      <c r="P380" s="557"/>
      <c r="Q380" s="556"/>
      <c r="R380" s="557"/>
      <c r="S380" s="556"/>
      <c r="T380" s="557"/>
    </row>
    <row r="381">
      <c r="A381" s="45"/>
      <c r="B381" s="45"/>
      <c r="C381" s="554"/>
      <c r="D381" s="555"/>
      <c r="E381" s="555"/>
      <c r="F381" s="45"/>
      <c r="G381" s="555"/>
      <c r="H381" s="45"/>
      <c r="I381" s="122"/>
      <c r="K381" s="556"/>
      <c r="L381" s="557"/>
      <c r="M381" s="556"/>
      <c r="N381" s="556"/>
      <c r="O381" s="556"/>
      <c r="P381" s="557"/>
      <c r="Q381" s="556"/>
      <c r="R381" s="557"/>
      <c r="S381" s="556"/>
      <c r="T381" s="557"/>
    </row>
    <row r="382">
      <c r="A382" s="45"/>
      <c r="B382" s="45"/>
      <c r="C382" s="554"/>
      <c r="D382" s="555"/>
      <c r="E382" s="555"/>
      <c r="F382" s="45"/>
      <c r="G382" s="555"/>
      <c r="H382" s="45"/>
      <c r="I382" s="122"/>
      <c r="K382" s="556"/>
      <c r="L382" s="557"/>
      <c r="M382" s="556"/>
      <c r="N382" s="556"/>
      <c r="O382" s="556"/>
      <c r="P382" s="557"/>
      <c r="Q382" s="556"/>
      <c r="R382" s="557"/>
      <c r="S382" s="556"/>
      <c r="T382" s="557"/>
    </row>
    <row r="383">
      <c r="A383" s="45"/>
      <c r="B383" s="45"/>
      <c r="C383" s="554"/>
      <c r="D383" s="555"/>
      <c r="E383" s="555"/>
      <c r="F383" s="45"/>
      <c r="G383" s="555"/>
      <c r="H383" s="45"/>
      <c r="I383" s="122"/>
      <c r="K383" s="556"/>
      <c r="L383" s="557"/>
      <c r="M383" s="556"/>
      <c r="N383" s="556"/>
      <c r="O383" s="556"/>
      <c r="P383" s="557"/>
      <c r="Q383" s="556"/>
      <c r="R383" s="557"/>
      <c r="S383" s="556"/>
      <c r="T383" s="557"/>
    </row>
    <row r="384">
      <c r="A384" s="45"/>
      <c r="B384" s="45"/>
      <c r="C384" s="554"/>
      <c r="D384" s="555"/>
      <c r="E384" s="555"/>
      <c r="F384" s="45"/>
      <c r="G384" s="555"/>
      <c r="H384" s="45"/>
      <c r="I384" s="122"/>
      <c r="K384" s="556"/>
      <c r="L384" s="557"/>
      <c r="M384" s="556"/>
      <c r="N384" s="556"/>
      <c r="O384" s="556"/>
      <c r="P384" s="557"/>
      <c r="Q384" s="556"/>
      <c r="R384" s="557"/>
      <c r="S384" s="556"/>
      <c r="T384" s="557"/>
    </row>
    <row r="385">
      <c r="A385" s="45"/>
      <c r="B385" s="45"/>
      <c r="C385" s="554"/>
      <c r="D385" s="555"/>
      <c r="E385" s="555"/>
      <c r="F385" s="45"/>
      <c r="G385" s="555"/>
      <c r="H385" s="45"/>
      <c r="I385" s="122"/>
      <c r="K385" s="556"/>
      <c r="L385" s="557"/>
      <c r="M385" s="556"/>
      <c r="N385" s="556"/>
      <c r="O385" s="556"/>
      <c r="P385" s="557"/>
      <c r="Q385" s="556"/>
      <c r="R385" s="557"/>
      <c r="S385" s="556"/>
      <c r="T385" s="557"/>
    </row>
    <row r="386">
      <c r="A386" s="45"/>
      <c r="B386" s="45"/>
      <c r="C386" s="554"/>
      <c r="D386" s="555"/>
      <c r="E386" s="555"/>
      <c r="F386" s="45"/>
      <c r="G386" s="555"/>
      <c r="H386" s="45"/>
      <c r="I386" s="122"/>
      <c r="K386" s="556"/>
      <c r="L386" s="557"/>
      <c r="M386" s="556"/>
      <c r="N386" s="556"/>
      <c r="O386" s="556"/>
      <c r="P386" s="557"/>
      <c r="Q386" s="556"/>
      <c r="R386" s="557"/>
      <c r="S386" s="556"/>
      <c r="T386" s="557"/>
    </row>
    <row r="387">
      <c r="A387" s="45"/>
      <c r="B387" s="45"/>
      <c r="C387" s="554"/>
      <c r="D387" s="555"/>
      <c r="E387" s="555"/>
      <c r="F387" s="45"/>
      <c r="G387" s="555"/>
      <c r="H387" s="45"/>
      <c r="I387" s="122"/>
      <c r="K387" s="556"/>
      <c r="L387" s="557"/>
      <c r="M387" s="556"/>
      <c r="N387" s="556"/>
      <c r="O387" s="556"/>
      <c r="P387" s="557"/>
      <c r="Q387" s="556"/>
      <c r="R387" s="557"/>
      <c r="S387" s="556"/>
      <c r="T387" s="557"/>
    </row>
    <row r="388">
      <c r="A388" s="45"/>
      <c r="B388" s="45"/>
      <c r="C388" s="554"/>
      <c r="D388" s="555"/>
      <c r="E388" s="555"/>
      <c r="F388" s="45"/>
      <c r="G388" s="555"/>
      <c r="H388" s="45"/>
      <c r="I388" s="122"/>
      <c r="K388" s="556"/>
      <c r="L388" s="557"/>
      <c r="M388" s="556"/>
      <c r="N388" s="556"/>
      <c r="O388" s="556"/>
      <c r="P388" s="557"/>
      <c r="Q388" s="556"/>
      <c r="R388" s="557"/>
      <c r="S388" s="556"/>
      <c r="T388" s="557"/>
    </row>
    <row r="389">
      <c r="A389" s="45"/>
      <c r="B389" s="45"/>
      <c r="C389" s="554"/>
      <c r="D389" s="555"/>
      <c r="E389" s="555"/>
      <c r="F389" s="45"/>
      <c r="G389" s="555"/>
      <c r="H389" s="45"/>
      <c r="I389" s="122"/>
      <c r="K389" s="556"/>
      <c r="L389" s="557"/>
      <c r="M389" s="556"/>
      <c r="N389" s="556"/>
      <c r="O389" s="556"/>
      <c r="P389" s="557"/>
      <c r="Q389" s="556"/>
      <c r="R389" s="557"/>
      <c r="S389" s="556"/>
      <c r="T389" s="557"/>
    </row>
    <row r="390">
      <c r="A390" s="45"/>
      <c r="B390" s="45"/>
      <c r="C390" s="554"/>
      <c r="D390" s="555"/>
      <c r="E390" s="555"/>
      <c r="F390" s="45"/>
      <c r="G390" s="555"/>
      <c r="H390" s="45"/>
      <c r="I390" s="122"/>
      <c r="K390" s="556"/>
      <c r="L390" s="557"/>
      <c r="M390" s="556"/>
      <c r="N390" s="556"/>
      <c r="O390" s="556"/>
      <c r="P390" s="557"/>
      <c r="Q390" s="556"/>
      <c r="R390" s="557"/>
      <c r="S390" s="556"/>
      <c r="T390" s="557"/>
    </row>
    <row r="391">
      <c r="A391" s="45"/>
      <c r="B391" s="45"/>
      <c r="C391" s="554"/>
      <c r="D391" s="555"/>
      <c r="E391" s="555"/>
      <c r="F391" s="45"/>
      <c r="G391" s="555"/>
      <c r="H391" s="45"/>
      <c r="I391" s="122"/>
      <c r="K391" s="556"/>
      <c r="L391" s="557"/>
      <c r="M391" s="556"/>
      <c r="N391" s="556"/>
      <c r="O391" s="556"/>
      <c r="P391" s="557"/>
      <c r="Q391" s="556"/>
      <c r="R391" s="557"/>
      <c r="S391" s="556"/>
      <c r="T391" s="557"/>
    </row>
    <row r="392">
      <c r="A392" s="45"/>
      <c r="B392" s="45"/>
      <c r="C392" s="554"/>
      <c r="D392" s="555"/>
      <c r="E392" s="555"/>
      <c r="F392" s="45"/>
      <c r="G392" s="555"/>
      <c r="H392" s="45"/>
      <c r="I392" s="122"/>
      <c r="K392" s="556"/>
      <c r="L392" s="557"/>
      <c r="M392" s="556"/>
      <c r="N392" s="556"/>
      <c r="O392" s="556"/>
      <c r="P392" s="557"/>
      <c r="Q392" s="556"/>
      <c r="R392" s="557"/>
      <c r="S392" s="556"/>
      <c r="T392" s="557"/>
    </row>
    <row r="393">
      <c r="A393" s="45"/>
      <c r="B393" s="45"/>
      <c r="C393" s="554"/>
      <c r="D393" s="555"/>
      <c r="E393" s="555"/>
      <c r="F393" s="45"/>
      <c r="G393" s="555"/>
      <c r="H393" s="45"/>
      <c r="I393" s="122"/>
      <c r="K393" s="556"/>
      <c r="L393" s="557"/>
      <c r="M393" s="556"/>
      <c r="N393" s="556"/>
      <c r="O393" s="556"/>
      <c r="P393" s="557"/>
      <c r="Q393" s="556"/>
      <c r="R393" s="557"/>
      <c r="S393" s="556"/>
      <c r="T393" s="557"/>
    </row>
    <row r="394">
      <c r="A394" s="45"/>
      <c r="B394" s="45"/>
      <c r="C394" s="554"/>
      <c r="D394" s="555"/>
      <c r="E394" s="555"/>
      <c r="F394" s="45"/>
      <c r="G394" s="555"/>
      <c r="H394" s="45"/>
      <c r="I394" s="122"/>
      <c r="K394" s="556"/>
      <c r="L394" s="557"/>
      <c r="M394" s="556"/>
      <c r="N394" s="556"/>
      <c r="O394" s="556"/>
      <c r="P394" s="557"/>
      <c r="Q394" s="556"/>
      <c r="R394" s="557"/>
      <c r="S394" s="556"/>
      <c r="T394" s="557"/>
    </row>
    <row r="395">
      <c r="A395" s="45"/>
      <c r="B395" s="45"/>
      <c r="C395" s="554"/>
      <c r="D395" s="555"/>
      <c r="E395" s="555"/>
      <c r="F395" s="45"/>
      <c r="G395" s="555"/>
      <c r="H395" s="45"/>
      <c r="I395" s="122"/>
      <c r="K395" s="556"/>
      <c r="L395" s="557"/>
      <c r="M395" s="556"/>
      <c r="N395" s="556"/>
      <c r="O395" s="556"/>
      <c r="P395" s="557"/>
      <c r="Q395" s="556"/>
      <c r="R395" s="557"/>
      <c r="S395" s="556"/>
      <c r="T395" s="557"/>
    </row>
    <row r="396">
      <c r="A396" s="45"/>
      <c r="B396" s="45"/>
      <c r="C396" s="554"/>
      <c r="D396" s="555"/>
      <c r="E396" s="555"/>
      <c r="F396" s="45"/>
      <c r="G396" s="555"/>
      <c r="H396" s="45"/>
      <c r="I396" s="122"/>
      <c r="K396" s="556"/>
      <c r="L396" s="557"/>
      <c r="M396" s="556"/>
      <c r="N396" s="556"/>
      <c r="O396" s="556"/>
      <c r="P396" s="557"/>
      <c r="Q396" s="556"/>
      <c r="R396" s="557"/>
      <c r="S396" s="556"/>
      <c r="T396" s="557"/>
    </row>
    <row r="397">
      <c r="A397" s="45"/>
      <c r="B397" s="45"/>
      <c r="C397" s="554"/>
      <c r="D397" s="555"/>
      <c r="E397" s="555"/>
      <c r="F397" s="45"/>
      <c r="G397" s="555"/>
      <c r="H397" s="45"/>
      <c r="I397" s="122"/>
      <c r="K397" s="556"/>
      <c r="L397" s="557"/>
      <c r="M397" s="556"/>
      <c r="N397" s="556"/>
      <c r="O397" s="556"/>
      <c r="P397" s="557"/>
      <c r="Q397" s="556"/>
      <c r="R397" s="557"/>
      <c r="S397" s="556"/>
      <c r="T397" s="557"/>
    </row>
    <row r="398">
      <c r="A398" s="45"/>
      <c r="B398" s="45"/>
      <c r="C398" s="554"/>
      <c r="D398" s="555"/>
      <c r="E398" s="555"/>
      <c r="F398" s="45"/>
      <c r="G398" s="555"/>
      <c r="H398" s="45"/>
      <c r="I398" s="122"/>
      <c r="K398" s="556"/>
      <c r="L398" s="557"/>
      <c r="M398" s="556"/>
      <c r="N398" s="556"/>
      <c r="O398" s="556"/>
      <c r="P398" s="557"/>
      <c r="Q398" s="556"/>
      <c r="R398" s="557"/>
      <c r="S398" s="556"/>
      <c r="T398" s="557"/>
    </row>
    <row r="399">
      <c r="A399" s="45"/>
      <c r="B399" s="45"/>
      <c r="C399" s="554"/>
      <c r="D399" s="555"/>
      <c r="E399" s="555"/>
      <c r="F399" s="45"/>
      <c r="G399" s="555"/>
      <c r="H399" s="45"/>
      <c r="I399" s="122"/>
      <c r="K399" s="556"/>
      <c r="L399" s="557"/>
      <c r="M399" s="556"/>
      <c r="N399" s="556"/>
      <c r="O399" s="556"/>
      <c r="P399" s="557"/>
      <c r="Q399" s="556"/>
      <c r="R399" s="557"/>
      <c r="S399" s="556"/>
      <c r="T399" s="557"/>
    </row>
    <row r="400">
      <c r="A400" s="45"/>
      <c r="B400" s="45"/>
      <c r="C400" s="554"/>
      <c r="D400" s="555"/>
      <c r="E400" s="555"/>
      <c r="F400" s="45"/>
      <c r="G400" s="555"/>
      <c r="H400" s="45"/>
      <c r="I400" s="122"/>
      <c r="K400" s="556"/>
      <c r="L400" s="557"/>
      <c r="M400" s="556"/>
      <c r="N400" s="556"/>
      <c r="O400" s="556"/>
      <c r="P400" s="557"/>
      <c r="Q400" s="556"/>
      <c r="R400" s="557"/>
      <c r="S400" s="556"/>
      <c r="T400" s="557"/>
    </row>
    <row r="401">
      <c r="A401" s="45"/>
      <c r="B401" s="45"/>
      <c r="C401" s="554"/>
      <c r="D401" s="555"/>
      <c r="E401" s="555"/>
      <c r="F401" s="45"/>
      <c r="G401" s="555"/>
      <c r="H401" s="45"/>
      <c r="I401" s="122"/>
      <c r="K401" s="556"/>
      <c r="L401" s="557"/>
      <c r="M401" s="556"/>
      <c r="N401" s="556"/>
      <c r="O401" s="556"/>
      <c r="P401" s="557"/>
      <c r="Q401" s="556"/>
      <c r="R401" s="557"/>
      <c r="S401" s="556"/>
      <c r="T401" s="557"/>
    </row>
    <row r="402">
      <c r="A402" s="45"/>
      <c r="B402" s="45"/>
      <c r="C402" s="554"/>
      <c r="D402" s="555"/>
      <c r="E402" s="555"/>
      <c r="F402" s="45"/>
      <c r="G402" s="555"/>
      <c r="H402" s="45"/>
      <c r="I402" s="122"/>
      <c r="K402" s="556"/>
      <c r="L402" s="557"/>
      <c r="M402" s="556"/>
      <c r="N402" s="556"/>
      <c r="O402" s="556"/>
      <c r="P402" s="557"/>
      <c r="Q402" s="556"/>
      <c r="R402" s="557"/>
      <c r="S402" s="556"/>
      <c r="T402" s="557"/>
    </row>
    <row r="403">
      <c r="A403" s="45"/>
      <c r="B403" s="45"/>
      <c r="C403" s="554"/>
      <c r="D403" s="555"/>
      <c r="E403" s="555"/>
      <c r="F403" s="45"/>
      <c r="G403" s="555"/>
      <c r="H403" s="45"/>
      <c r="I403" s="122"/>
      <c r="K403" s="556"/>
      <c r="L403" s="557"/>
      <c r="M403" s="556"/>
      <c r="N403" s="556"/>
      <c r="O403" s="556"/>
      <c r="P403" s="557"/>
      <c r="Q403" s="556"/>
      <c r="R403" s="557"/>
      <c r="S403" s="556"/>
      <c r="T403" s="557"/>
    </row>
    <row r="404">
      <c r="A404" s="45"/>
      <c r="B404" s="45"/>
      <c r="C404" s="554"/>
      <c r="D404" s="555"/>
      <c r="E404" s="555"/>
      <c r="F404" s="45"/>
      <c r="G404" s="555"/>
      <c r="H404" s="45"/>
      <c r="I404" s="122"/>
      <c r="K404" s="556"/>
      <c r="L404" s="557"/>
      <c r="M404" s="556"/>
      <c r="N404" s="556"/>
      <c r="O404" s="556"/>
      <c r="P404" s="557"/>
      <c r="Q404" s="556"/>
      <c r="R404" s="557"/>
      <c r="S404" s="556"/>
      <c r="T404" s="557"/>
    </row>
    <row r="405">
      <c r="A405" s="45"/>
      <c r="B405" s="45"/>
      <c r="C405" s="554"/>
      <c r="D405" s="555"/>
      <c r="E405" s="555"/>
      <c r="F405" s="45"/>
      <c r="G405" s="555"/>
      <c r="H405" s="45"/>
      <c r="I405" s="122"/>
      <c r="K405" s="556"/>
      <c r="L405" s="557"/>
      <c r="M405" s="556"/>
      <c r="N405" s="556"/>
      <c r="O405" s="556"/>
      <c r="P405" s="557"/>
      <c r="Q405" s="556"/>
      <c r="R405" s="557"/>
      <c r="S405" s="556"/>
      <c r="T405" s="557"/>
    </row>
    <row r="406">
      <c r="A406" s="45"/>
      <c r="B406" s="45"/>
      <c r="C406" s="554"/>
      <c r="D406" s="555"/>
      <c r="E406" s="555"/>
      <c r="F406" s="45"/>
      <c r="G406" s="555"/>
      <c r="H406" s="45"/>
      <c r="I406" s="122"/>
      <c r="K406" s="556"/>
      <c r="L406" s="557"/>
      <c r="M406" s="556"/>
      <c r="N406" s="556"/>
      <c r="O406" s="556"/>
      <c r="P406" s="557"/>
      <c r="Q406" s="556"/>
      <c r="R406" s="557"/>
      <c r="S406" s="556"/>
      <c r="T406" s="557"/>
    </row>
    <row r="407">
      <c r="A407" s="45"/>
      <c r="B407" s="45"/>
      <c r="C407" s="554"/>
      <c r="D407" s="555"/>
      <c r="E407" s="555"/>
      <c r="F407" s="45"/>
      <c r="G407" s="555"/>
      <c r="H407" s="45"/>
      <c r="I407" s="122"/>
      <c r="K407" s="556"/>
      <c r="L407" s="557"/>
      <c r="M407" s="556"/>
      <c r="N407" s="556"/>
      <c r="O407" s="556"/>
      <c r="P407" s="557"/>
      <c r="Q407" s="556"/>
      <c r="R407" s="557"/>
      <c r="S407" s="556"/>
      <c r="T407" s="557"/>
    </row>
    <row r="408">
      <c r="A408" s="45"/>
      <c r="B408" s="45"/>
      <c r="C408" s="554"/>
      <c r="D408" s="555"/>
      <c r="E408" s="555"/>
      <c r="F408" s="45"/>
      <c r="G408" s="555"/>
      <c r="H408" s="45"/>
      <c r="I408" s="122"/>
      <c r="K408" s="556"/>
      <c r="L408" s="557"/>
      <c r="M408" s="556"/>
      <c r="N408" s="556"/>
      <c r="O408" s="556"/>
      <c r="P408" s="557"/>
      <c r="Q408" s="556"/>
      <c r="R408" s="557"/>
      <c r="S408" s="556"/>
      <c r="T408" s="557"/>
    </row>
    <row r="409">
      <c r="A409" s="45"/>
      <c r="B409" s="45"/>
      <c r="C409" s="554"/>
      <c r="D409" s="555"/>
      <c r="E409" s="555"/>
      <c r="F409" s="45"/>
      <c r="G409" s="555"/>
      <c r="H409" s="45"/>
      <c r="I409" s="122"/>
      <c r="K409" s="556"/>
      <c r="L409" s="557"/>
      <c r="M409" s="556"/>
      <c r="N409" s="556"/>
      <c r="O409" s="556"/>
      <c r="P409" s="557"/>
      <c r="Q409" s="556"/>
      <c r="R409" s="557"/>
      <c r="S409" s="556"/>
      <c r="T409" s="557"/>
    </row>
    <row r="410">
      <c r="A410" s="45"/>
      <c r="B410" s="45"/>
      <c r="C410" s="554"/>
      <c r="D410" s="555"/>
      <c r="E410" s="555"/>
      <c r="F410" s="45"/>
      <c r="G410" s="555"/>
      <c r="H410" s="45"/>
      <c r="I410" s="122"/>
      <c r="K410" s="556"/>
      <c r="L410" s="557"/>
      <c r="M410" s="556"/>
      <c r="N410" s="556"/>
      <c r="O410" s="556"/>
      <c r="P410" s="557"/>
      <c r="Q410" s="556"/>
      <c r="R410" s="557"/>
      <c r="S410" s="556"/>
      <c r="T410" s="557"/>
    </row>
    <row r="411">
      <c r="A411" s="45"/>
      <c r="B411" s="45"/>
      <c r="C411" s="554"/>
      <c r="D411" s="555"/>
      <c r="E411" s="555"/>
      <c r="F411" s="45"/>
      <c r="G411" s="555"/>
      <c r="H411" s="45"/>
      <c r="I411" s="122"/>
      <c r="K411" s="556"/>
      <c r="L411" s="557"/>
      <c r="M411" s="556"/>
      <c r="N411" s="556"/>
      <c r="O411" s="556"/>
      <c r="P411" s="557"/>
      <c r="Q411" s="556"/>
      <c r="R411" s="557"/>
      <c r="S411" s="556"/>
      <c r="T411" s="557"/>
    </row>
    <row r="412">
      <c r="A412" s="45"/>
      <c r="B412" s="45"/>
      <c r="C412" s="554"/>
      <c r="D412" s="555"/>
      <c r="E412" s="555"/>
      <c r="F412" s="45"/>
      <c r="G412" s="555"/>
      <c r="H412" s="45"/>
      <c r="I412" s="122"/>
      <c r="K412" s="556"/>
      <c r="L412" s="557"/>
      <c r="M412" s="556"/>
      <c r="N412" s="556"/>
      <c r="O412" s="556"/>
      <c r="P412" s="557"/>
      <c r="Q412" s="556"/>
      <c r="R412" s="557"/>
      <c r="S412" s="556"/>
      <c r="T412" s="557"/>
    </row>
    <row r="413">
      <c r="A413" s="45"/>
      <c r="B413" s="45"/>
      <c r="C413" s="554"/>
      <c r="D413" s="555"/>
      <c r="E413" s="555"/>
      <c r="F413" s="45"/>
      <c r="G413" s="555"/>
      <c r="H413" s="45"/>
      <c r="I413" s="122"/>
      <c r="K413" s="556"/>
      <c r="L413" s="557"/>
      <c r="M413" s="556"/>
      <c r="N413" s="556"/>
      <c r="O413" s="556"/>
      <c r="P413" s="557"/>
      <c r="Q413" s="556"/>
      <c r="R413" s="557"/>
      <c r="S413" s="556"/>
      <c r="T413" s="557"/>
    </row>
    <row r="414">
      <c r="A414" s="45"/>
      <c r="B414" s="45"/>
      <c r="C414" s="554"/>
      <c r="D414" s="555"/>
      <c r="E414" s="555"/>
      <c r="F414" s="45"/>
      <c r="G414" s="555"/>
      <c r="H414" s="45"/>
      <c r="I414" s="122"/>
      <c r="K414" s="556"/>
      <c r="L414" s="557"/>
      <c r="M414" s="556"/>
      <c r="N414" s="556"/>
      <c r="O414" s="556"/>
      <c r="P414" s="557"/>
      <c r="Q414" s="556"/>
      <c r="R414" s="557"/>
      <c r="S414" s="556"/>
      <c r="T414" s="557"/>
    </row>
    <row r="415">
      <c r="A415" s="45"/>
      <c r="B415" s="45"/>
      <c r="C415" s="554"/>
      <c r="D415" s="555"/>
      <c r="E415" s="555"/>
      <c r="F415" s="45"/>
      <c r="G415" s="555"/>
      <c r="H415" s="45"/>
      <c r="I415" s="122"/>
      <c r="K415" s="556"/>
      <c r="L415" s="557"/>
      <c r="M415" s="556"/>
      <c r="N415" s="556"/>
      <c r="O415" s="556"/>
      <c r="P415" s="557"/>
      <c r="Q415" s="556"/>
      <c r="R415" s="557"/>
      <c r="S415" s="556"/>
      <c r="T415" s="557"/>
    </row>
    <row r="416">
      <c r="A416" s="45"/>
      <c r="B416" s="45"/>
      <c r="C416" s="554"/>
      <c r="D416" s="555"/>
      <c r="E416" s="555"/>
      <c r="F416" s="45"/>
      <c r="G416" s="555"/>
      <c r="H416" s="45"/>
      <c r="I416" s="122"/>
      <c r="K416" s="556"/>
      <c r="L416" s="557"/>
      <c r="M416" s="556"/>
      <c r="N416" s="556"/>
      <c r="O416" s="556"/>
      <c r="P416" s="557"/>
      <c r="Q416" s="556"/>
      <c r="R416" s="557"/>
      <c r="S416" s="556"/>
      <c r="T416" s="557"/>
    </row>
    <row r="417">
      <c r="A417" s="45"/>
      <c r="B417" s="45"/>
      <c r="C417" s="554"/>
      <c r="D417" s="555"/>
      <c r="E417" s="555"/>
      <c r="F417" s="45"/>
      <c r="G417" s="555"/>
      <c r="H417" s="45"/>
      <c r="I417" s="122"/>
      <c r="K417" s="556"/>
      <c r="L417" s="557"/>
      <c r="M417" s="556"/>
      <c r="N417" s="556"/>
      <c r="O417" s="556"/>
      <c r="P417" s="557"/>
      <c r="Q417" s="556"/>
      <c r="R417" s="557"/>
      <c r="S417" s="556"/>
      <c r="T417" s="557"/>
    </row>
    <row r="418">
      <c r="A418" s="45"/>
      <c r="B418" s="45"/>
      <c r="C418" s="554"/>
      <c r="D418" s="555"/>
      <c r="E418" s="555"/>
      <c r="F418" s="45"/>
      <c r="G418" s="555"/>
      <c r="H418" s="45"/>
      <c r="I418" s="122"/>
      <c r="K418" s="556"/>
      <c r="L418" s="557"/>
      <c r="M418" s="556"/>
      <c r="N418" s="556"/>
      <c r="O418" s="556"/>
      <c r="P418" s="557"/>
      <c r="Q418" s="556"/>
      <c r="R418" s="557"/>
      <c r="S418" s="556"/>
      <c r="T418" s="557"/>
    </row>
    <row r="419">
      <c r="A419" s="45"/>
      <c r="B419" s="45"/>
      <c r="C419" s="554"/>
      <c r="D419" s="555"/>
      <c r="E419" s="555"/>
      <c r="F419" s="45"/>
      <c r="G419" s="555"/>
      <c r="H419" s="45"/>
      <c r="I419" s="122"/>
      <c r="K419" s="556"/>
      <c r="L419" s="557"/>
      <c r="M419" s="556"/>
      <c r="N419" s="556"/>
      <c r="O419" s="556"/>
      <c r="P419" s="557"/>
      <c r="Q419" s="556"/>
      <c r="R419" s="557"/>
      <c r="S419" s="556"/>
      <c r="T419" s="557"/>
    </row>
    <row r="420">
      <c r="A420" s="45"/>
      <c r="B420" s="45"/>
      <c r="C420" s="554"/>
      <c r="D420" s="555"/>
      <c r="E420" s="555"/>
      <c r="F420" s="45"/>
      <c r="G420" s="555"/>
      <c r="H420" s="45"/>
      <c r="I420" s="122"/>
      <c r="K420" s="556"/>
      <c r="L420" s="557"/>
      <c r="M420" s="556"/>
      <c r="N420" s="556"/>
      <c r="O420" s="556"/>
      <c r="P420" s="557"/>
      <c r="Q420" s="556"/>
      <c r="R420" s="557"/>
      <c r="S420" s="556"/>
      <c r="T420" s="557"/>
    </row>
    <row r="421">
      <c r="A421" s="45"/>
      <c r="B421" s="45"/>
      <c r="C421" s="554"/>
      <c r="D421" s="555"/>
      <c r="E421" s="555"/>
      <c r="F421" s="45"/>
      <c r="G421" s="555"/>
      <c r="H421" s="45"/>
      <c r="I421" s="122"/>
      <c r="K421" s="556"/>
      <c r="L421" s="557"/>
      <c r="M421" s="556"/>
      <c r="N421" s="556"/>
      <c r="O421" s="556"/>
      <c r="P421" s="557"/>
      <c r="Q421" s="556"/>
      <c r="R421" s="557"/>
      <c r="S421" s="556"/>
      <c r="T421" s="557"/>
    </row>
    <row r="422">
      <c r="A422" s="45"/>
      <c r="B422" s="45"/>
      <c r="C422" s="554"/>
      <c r="D422" s="555"/>
      <c r="E422" s="555"/>
      <c r="F422" s="45"/>
      <c r="G422" s="555"/>
      <c r="H422" s="45"/>
      <c r="I422" s="122"/>
      <c r="K422" s="556"/>
      <c r="L422" s="557"/>
      <c r="M422" s="556"/>
      <c r="N422" s="556"/>
      <c r="O422" s="556"/>
      <c r="P422" s="557"/>
      <c r="Q422" s="556"/>
      <c r="R422" s="557"/>
      <c r="S422" s="556"/>
      <c r="T422" s="557"/>
    </row>
    <row r="423">
      <c r="A423" s="45"/>
      <c r="B423" s="45"/>
      <c r="C423" s="554"/>
      <c r="D423" s="555"/>
      <c r="E423" s="555"/>
      <c r="F423" s="45"/>
      <c r="G423" s="555"/>
      <c r="H423" s="45"/>
      <c r="I423" s="122"/>
      <c r="K423" s="556"/>
      <c r="L423" s="557"/>
      <c r="M423" s="556"/>
      <c r="N423" s="556"/>
      <c r="O423" s="556"/>
      <c r="P423" s="557"/>
      <c r="Q423" s="556"/>
      <c r="R423" s="557"/>
      <c r="S423" s="556"/>
      <c r="T423" s="557"/>
    </row>
    <row r="424">
      <c r="A424" s="45"/>
      <c r="B424" s="45"/>
      <c r="C424" s="554"/>
      <c r="D424" s="555"/>
      <c r="E424" s="555"/>
      <c r="F424" s="45"/>
      <c r="G424" s="555"/>
      <c r="H424" s="45"/>
      <c r="I424" s="122"/>
      <c r="K424" s="556"/>
      <c r="L424" s="557"/>
      <c r="M424" s="556"/>
      <c r="N424" s="556"/>
      <c r="O424" s="556"/>
      <c r="P424" s="557"/>
      <c r="Q424" s="556"/>
      <c r="R424" s="557"/>
      <c r="S424" s="556"/>
      <c r="T424" s="557"/>
    </row>
    <row r="425">
      <c r="A425" s="45"/>
      <c r="B425" s="45"/>
      <c r="C425" s="554"/>
      <c r="D425" s="555"/>
      <c r="E425" s="555"/>
      <c r="F425" s="45"/>
      <c r="G425" s="555"/>
      <c r="H425" s="45"/>
      <c r="I425" s="122"/>
      <c r="K425" s="556"/>
      <c r="L425" s="557"/>
      <c r="M425" s="556"/>
      <c r="N425" s="556"/>
      <c r="O425" s="556"/>
      <c r="P425" s="557"/>
      <c r="Q425" s="556"/>
      <c r="R425" s="557"/>
      <c r="S425" s="556"/>
      <c r="T425" s="557"/>
    </row>
    <row r="426">
      <c r="A426" s="45"/>
      <c r="B426" s="45"/>
      <c r="C426" s="554"/>
      <c r="D426" s="555"/>
      <c r="E426" s="555"/>
      <c r="F426" s="45"/>
      <c r="G426" s="555"/>
      <c r="H426" s="45"/>
      <c r="I426" s="122"/>
      <c r="K426" s="556"/>
      <c r="L426" s="557"/>
      <c r="M426" s="556"/>
      <c r="N426" s="556"/>
      <c r="O426" s="556"/>
      <c r="P426" s="557"/>
      <c r="Q426" s="556"/>
      <c r="R426" s="557"/>
      <c r="S426" s="556"/>
      <c r="T426" s="557"/>
    </row>
    <row r="427">
      <c r="A427" s="45"/>
      <c r="B427" s="45"/>
      <c r="C427" s="554"/>
      <c r="D427" s="555"/>
      <c r="E427" s="555"/>
      <c r="F427" s="45"/>
      <c r="G427" s="555"/>
      <c r="H427" s="45"/>
      <c r="I427" s="122"/>
      <c r="K427" s="556"/>
      <c r="L427" s="557"/>
      <c r="M427" s="556"/>
      <c r="N427" s="556"/>
      <c r="O427" s="556"/>
      <c r="P427" s="557"/>
      <c r="Q427" s="556"/>
      <c r="R427" s="557"/>
      <c r="S427" s="556"/>
      <c r="T427" s="557"/>
    </row>
    <row r="428">
      <c r="A428" s="45"/>
      <c r="B428" s="45"/>
      <c r="C428" s="554"/>
      <c r="D428" s="555"/>
      <c r="E428" s="555"/>
      <c r="F428" s="45"/>
      <c r="G428" s="555"/>
      <c r="H428" s="45"/>
      <c r="I428" s="122"/>
      <c r="K428" s="556"/>
      <c r="L428" s="557"/>
      <c r="M428" s="556"/>
      <c r="N428" s="556"/>
      <c r="O428" s="556"/>
      <c r="P428" s="557"/>
      <c r="Q428" s="556"/>
      <c r="R428" s="557"/>
      <c r="S428" s="556"/>
      <c r="T428" s="557"/>
    </row>
    <row r="429">
      <c r="A429" s="45"/>
      <c r="B429" s="45"/>
      <c r="C429" s="554"/>
      <c r="D429" s="555"/>
      <c r="E429" s="555"/>
      <c r="F429" s="45"/>
      <c r="G429" s="555"/>
      <c r="H429" s="45"/>
      <c r="I429" s="122"/>
      <c r="K429" s="556"/>
      <c r="L429" s="557"/>
      <c r="M429" s="556"/>
      <c r="N429" s="556"/>
      <c r="O429" s="556"/>
      <c r="P429" s="557"/>
      <c r="Q429" s="556"/>
      <c r="R429" s="557"/>
      <c r="S429" s="556"/>
      <c r="T429" s="557"/>
    </row>
    <row r="430">
      <c r="A430" s="45"/>
      <c r="B430" s="45"/>
      <c r="C430" s="554"/>
      <c r="D430" s="555"/>
      <c r="E430" s="555"/>
      <c r="F430" s="45"/>
      <c r="G430" s="555"/>
      <c r="H430" s="45"/>
      <c r="I430" s="122"/>
      <c r="K430" s="556"/>
      <c r="L430" s="557"/>
      <c r="M430" s="556"/>
      <c r="N430" s="556"/>
      <c r="O430" s="556"/>
      <c r="P430" s="557"/>
      <c r="Q430" s="556"/>
      <c r="R430" s="557"/>
      <c r="S430" s="556"/>
      <c r="T430" s="557"/>
    </row>
    <row r="431">
      <c r="A431" s="45"/>
      <c r="B431" s="45"/>
      <c r="C431" s="554"/>
      <c r="D431" s="555"/>
      <c r="E431" s="555"/>
      <c r="F431" s="45"/>
      <c r="G431" s="555"/>
      <c r="H431" s="45"/>
      <c r="I431" s="122"/>
      <c r="K431" s="556"/>
      <c r="L431" s="557"/>
      <c r="M431" s="556"/>
      <c r="N431" s="556"/>
      <c r="O431" s="556"/>
      <c r="P431" s="557"/>
      <c r="Q431" s="556"/>
      <c r="R431" s="557"/>
      <c r="S431" s="556"/>
      <c r="T431" s="557"/>
    </row>
    <row r="432">
      <c r="A432" s="45"/>
      <c r="B432" s="45"/>
      <c r="C432" s="554"/>
      <c r="D432" s="555"/>
      <c r="E432" s="555"/>
      <c r="F432" s="45"/>
      <c r="G432" s="555"/>
      <c r="H432" s="45"/>
      <c r="I432" s="122"/>
      <c r="K432" s="556"/>
      <c r="L432" s="557"/>
      <c r="M432" s="556"/>
      <c r="N432" s="556"/>
      <c r="O432" s="556"/>
      <c r="P432" s="557"/>
      <c r="Q432" s="556"/>
      <c r="R432" s="557"/>
      <c r="S432" s="556"/>
      <c r="T432" s="557"/>
    </row>
    <row r="433">
      <c r="A433" s="45"/>
      <c r="B433" s="45"/>
      <c r="C433" s="554"/>
      <c r="D433" s="555"/>
      <c r="E433" s="555"/>
      <c r="F433" s="45"/>
      <c r="G433" s="555"/>
      <c r="H433" s="45"/>
      <c r="I433" s="122"/>
      <c r="K433" s="556"/>
      <c r="L433" s="557"/>
      <c r="M433" s="556"/>
      <c r="N433" s="556"/>
      <c r="O433" s="556"/>
      <c r="P433" s="557"/>
      <c r="Q433" s="556"/>
      <c r="R433" s="557"/>
      <c r="S433" s="556"/>
      <c r="T433" s="557"/>
    </row>
    <row r="434">
      <c r="A434" s="45"/>
      <c r="B434" s="45"/>
      <c r="C434" s="554"/>
      <c r="D434" s="555"/>
      <c r="E434" s="555"/>
      <c r="F434" s="45"/>
      <c r="G434" s="555"/>
      <c r="H434" s="45"/>
      <c r="I434" s="122"/>
      <c r="K434" s="556"/>
      <c r="L434" s="557"/>
      <c r="M434" s="556"/>
      <c r="N434" s="556"/>
      <c r="O434" s="556"/>
      <c r="P434" s="557"/>
      <c r="Q434" s="556"/>
      <c r="R434" s="557"/>
      <c r="S434" s="556"/>
      <c r="T434" s="557"/>
    </row>
    <row r="435">
      <c r="A435" s="45"/>
      <c r="B435" s="45"/>
      <c r="C435" s="554"/>
      <c r="D435" s="555"/>
      <c r="E435" s="555"/>
      <c r="F435" s="45"/>
      <c r="G435" s="555"/>
      <c r="H435" s="45"/>
      <c r="I435" s="122"/>
      <c r="K435" s="556"/>
      <c r="L435" s="557"/>
      <c r="M435" s="556"/>
      <c r="N435" s="556"/>
      <c r="O435" s="556"/>
      <c r="P435" s="557"/>
      <c r="Q435" s="556"/>
      <c r="R435" s="557"/>
      <c r="S435" s="556"/>
      <c r="T435" s="557"/>
    </row>
    <row r="436">
      <c r="A436" s="45"/>
      <c r="B436" s="45"/>
      <c r="C436" s="554"/>
      <c r="D436" s="555"/>
      <c r="E436" s="555"/>
      <c r="F436" s="45"/>
      <c r="G436" s="555"/>
      <c r="H436" s="45"/>
      <c r="I436" s="122"/>
      <c r="K436" s="556"/>
      <c r="L436" s="557"/>
      <c r="M436" s="556"/>
      <c r="N436" s="556"/>
      <c r="O436" s="556"/>
      <c r="P436" s="557"/>
      <c r="Q436" s="556"/>
      <c r="R436" s="557"/>
      <c r="S436" s="556"/>
      <c r="T436" s="557"/>
    </row>
    <row r="437">
      <c r="A437" s="45"/>
      <c r="B437" s="45"/>
      <c r="C437" s="554"/>
      <c r="D437" s="555"/>
      <c r="E437" s="555"/>
      <c r="F437" s="45"/>
      <c r="G437" s="555"/>
      <c r="H437" s="45"/>
      <c r="I437" s="122"/>
      <c r="K437" s="556"/>
      <c r="L437" s="557"/>
      <c r="M437" s="556"/>
      <c r="N437" s="556"/>
      <c r="O437" s="556"/>
      <c r="P437" s="557"/>
      <c r="Q437" s="556"/>
      <c r="R437" s="557"/>
      <c r="S437" s="556"/>
      <c r="T437" s="557"/>
    </row>
    <row r="438">
      <c r="A438" s="45"/>
      <c r="B438" s="45"/>
      <c r="C438" s="554"/>
      <c r="D438" s="555"/>
      <c r="E438" s="555"/>
      <c r="F438" s="45"/>
      <c r="G438" s="555"/>
      <c r="H438" s="45"/>
      <c r="I438" s="122"/>
      <c r="K438" s="556"/>
      <c r="L438" s="557"/>
      <c r="M438" s="556"/>
      <c r="N438" s="556"/>
      <c r="O438" s="556"/>
      <c r="P438" s="557"/>
      <c r="Q438" s="556"/>
      <c r="R438" s="557"/>
      <c r="S438" s="556"/>
      <c r="T438" s="557"/>
    </row>
    <row r="439">
      <c r="A439" s="45"/>
      <c r="B439" s="45"/>
      <c r="C439" s="554"/>
      <c r="D439" s="555"/>
      <c r="E439" s="555"/>
      <c r="F439" s="45"/>
      <c r="G439" s="555"/>
      <c r="H439" s="45"/>
      <c r="I439" s="122"/>
      <c r="K439" s="556"/>
      <c r="L439" s="557"/>
      <c r="M439" s="556"/>
      <c r="N439" s="556"/>
      <c r="O439" s="556"/>
      <c r="P439" s="557"/>
      <c r="Q439" s="556"/>
      <c r="R439" s="557"/>
      <c r="S439" s="556"/>
      <c r="T439" s="557"/>
    </row>
    <row r="440">
      <c r="A440" s="45"/>
      <c r="B440" s="45"/>
      <c r="C440" s="554"/>
      <c r="D440" s="555"/>
      <c r="E440" s="555"/>
      <c r="F440" s="45"/>
      <c r="G440" s="555"/>
      <c r="H440" s="45"/>
      <c r="I440" s="122"/>
      <c r="K440" s="556"/>
      <c r="L440" s="557"/>
      <c r="M440" s="556"/>
      <c r="N440" s="556"/>
      <c r="O440" s="556"/>
      <c r="P440" s="557"/>
      <c r="Q440" s="556"/>
      <c r="R440" s="557"/>
      <c r="S440" s="556"/>
      <c r="T440" s="557"/>
    </row>
    <row r="441">
      <c r="A441" s="45"/>
      <c r="B441" s="45"/>
      <c r="C441" s="554"/>
      <c r="D441" s="555"/>
      <c r="E441" s="555"/>
      <c r="F441" s="45"/>
      <c r="G441" s="555"/>
      <c r="H441" s="45"/>
      <c r="I441" s="122"/>
      <c r="K441" s="556"/>
      <c r="L441" s="557"/>
      <c r="M441" s="556"/>
      <c r="N441" s="556"/>
      <c r="O441" s="556"/>
      <c r="P441" s="557"/>
      <c r="Q441" s="556"/>
      <c r="R441" s="557"/>
      <c r="S441" s="556"/>
      <c r="T441" s="557"/>
    </row>
    <row r="442">
      <c r="A442" s="45"/>
      <c r="B442" s="45"/>
      <c r="C442" s="554"/>
      <c r="D442" s="555"/>
      <c r="E442" s="555"/>
      <c r="F442" s="45"/>
      <c r="G442" s="555"/>
      <c r="H442" s="45"/>
      <c r="I442" s="122"/>
      <c r="K442" s="556"/>
      <c r="L442" s="557"/>
      <c r="M442" s="556"/>
      <c r="N442" s="556"/>
      <c r="O442" s="556"/>
      <c r="P442" s="557"/>
      <c r="Q442" s="556"/>
      <c r="R442" s="557"/>
      <c r="S442" s="556"/>
      <c r="T442" s="557"/>
    </row>
    <row r="443">
      <c r="A443" s="45"/>
      <c r="B443" s="45"/>
      <c r="C443" s="554"/>
      <c r="D443" s="555"/>
      <c r="E443" s="555"/>
      <c r="F443" s="45"/>
      <c r="G443" s="555"/>
      <c r="H443" s="45"/>
      <c r="I443" s="122"/>
      <c r="K443" s="556"/>
      <c r="L443" s="557"/>
      <c r="M443" s="556"/>
      <c r="N443" s="556"/>
      <c r="O443" s="556"/>
      <c r="P443" s="557"/>
      <c r="Q443" s="556"/>
      <c r="R443" s="557"/>
      <c r="S443" s="556"/>
      <c r="T443" s="557"/>
    </row>
    <row r="444">
      <c r="A444" s="45"/>
      <c r="B444" s="45"/>
      <c r="C444" s="554"/>
      <c r="D444" s="555"/>
      <c r="E444" s="555"/>
      <c r="F444" s="45"/>
      <c r="G444" s="555"/>
      <c r="H444" s="45"/>
      <c r="I444" s="122"/>
      <c r="K444" s="556"/>
      <c r="L444" s="557"/>
      <c r="M444" s="556"/>
      <c r="N444" s="556"/>
      <c r="O444" s="556"/>
      <c r="P444" s="557"/>
      <c r="Q444" s="556"/>
      <c r="R444" s="557"/>
      <c r="S444" s="556"/>
      <c r="T444" s="557"/>
    </row>
    <row r="445">
      <c r="A445" s="45"/>
      <c r="B445" s="45"/>
      <c r="C445" s="554"/>
      <c r="D445" s="555"/>
      <c r="E445" s="555"/>
      <c r="F445" s="45"/>
      <c r="G445" s="555"/>
      <c r="H445" s="45"/>
      <c r="I445" s="122"/>
      <c r="K445" s="556"/>
      <c r="L445" s="557"/>
      <c r="M445" s="556"/>
      <c r="N445" s="556"/>
      <c r="O445" s="556"/>
      <c r="P445" s="557"/>
      <c r="Q445" s="556"/>
      <c r="R445" s="557"/>
      <c r="S445" s="556"/>
      <c r="T445" s="557"/>
    </row>
    <row r="446">
      <c r="A446" s="45"/>
      <c r="B446" s="45"/>
      <c r="C446" s="554"/>
      <c r="D446" s="555"/>
      <c r="E446" s="555"/>
      <c r="F446" s="45"/>
      <c r="G446" s="555"/>
      <c r="H446" s="45"/>
      <c r="I446" s="122"/>
      <c r="K446" s="556"/>
      <c r="L446" s="557"/>
      <c r="M446" s="556"/>
      <c r="N446" s="556"/>
      <c r="O446" s="556"/>
      <c r="P446" s="557"/>
      <c r="Q446" s="556"/>
      <c r="R446" s="557"/>
      <c r="S446" s="556"/>
      <c r="T446" s="557"/>
    </row>
    <row r="447">
      <c r="A447" s="45"/>
      <c r="B447" s="45"/>
      <c r="C447" s="554"/>
      <c r="D447" s="555"/>
      <c r="E447" s="555"/>
      <c r="F447" s="45"/>
      <c r="G447" s="555"/>
      <c r="H447" s="45"/>
      <c r="I447" s="122"/>
      <c r="K447" s="556"/>
      <c r="L447" s="557"/>
      <c r="M447" s="556"/>
      <c r="N447" s="556"/>
      <c r="O447" s="556"/>
      <c r="P447" s="557"/>
      <c r="Q447" s="556"/>
      <c r="R447" s="557"/>
      <c r="S447" s="556"/>
      <c r="T447" s="557"/>
    </row>
    <row r="448">
      <c r="A448" s="45"/>
      <c r="B448" s="45"/>
      <c r="C448" s="554"/>
      <c r="D448" s="555"/>
      <c r="E448" s="555"/>
      <c r="F448" s="45"/>
      <c r="G448" s="555"/>
      <c r="H448" s="45"/>
      <c r="I448" s="122"/>
      <c r="K448" s="556"/>
      <c r="L448" s="557"/>
      <c r="M448" s="556"/>
      <c r="N448" s="556"/>
      <c r="O448" s="556"/>
      <c r="P448" s="557"/>
      <c r="Q448" s="556"/>
      <c r="R448" s="557"/>
      <c r="S448" s="556"/>
      <c r="T448" s="557"/>
    </row>
    <row r="449">
      <c r="A449" s="45"/>
      <c r="B449" s="45"/>
      <c r="C449" s="554"/>
      <c r="D449" s="555"/>
      <c r="E449" s="555"/>
      <c r="F449" s="45"/>
      <c r="G449" s="555"/>
      <c r="H449" s="45"/>
      <c r="I449" s="122"/>
      <c r="K449" s="556"/>
      <c r="L449" s="557"/>
      <c r="M449" s="556"/>
      <c r="N449" s="556"/>
      <c r="O449" s="556"/>
      <c r="P449" s="557"/>
      <c r="Q449" s="556"/>
      <c r="R449" s="557"/>
      <c r="S449" s="556"/>
      <c r="T449" s="557"/>
    </row>
    <row r="450">
      <c r="A450" s="45"/>
      <c r="B450" s="45"/>
      <c r="C450" s="554"/>
      <c r="D450" s="555"/>
      <c r="E450" s="555"/>
      <c r="F450" s="45"/>
      <c r="G450" s="555"/>
      <c r="H450" s="45"/>
      <c r="I450" s="122"/>
      <c r="K450" s="556"/>
      <c r="L450" s="557"/>
      <c r="M450" s="556"/>
      <c r="N450" s="556"/>
      <c r="O450" s="556"/>
      <c r="P450" s="557"/>
      <c r="Q450" s="556"/>
      <c r="R450" s="557"/>
      <c r="S450" s="556"/>
      <c r="T450" s="557"/>
    </row>
    <row r="451">
      <c r="A451" s="45"/>
      <c r="B451" s="45"/>
      <c r="C451" s="554"/>
      <c r="D451" s="555"/>
      <c r="E451" s="555"/>
      <c r="F451" s="45"/>
      <c r="G451" s="555"/>
      <c r="H451" s="45"/>
      <c r="I451" s="122"/>
      <c r="K451" s="556"/>
      <c r="L451" s="557"/>
      <c r="M451" s="556"/>
      <c r="N451" s="556"/>
      <c r="O451" s="556"/>
      <c r="P451" s="557"/>
      <c r="Q451" s="556"/>
      <c r="R451" s="557"/>
      <c r="S451" s="556"/>
      <c r="T451" s="557"/>
    </row>
    <row r="452">
      <c r="A452" s="45"/>
      <c r="B452" s="45"/>
      <c r="C452" s="554"/>
      <c r="D452" s="555"/>
      <c r="E452" s="555"/>
      <c r="F452" s="45"/>
      <c r="G452" s="555"/>
      <c r="H452" s="45"/>
      <c r="I452" s="122"/>
      <c r="K452" s="556"/>
      <c r="L452" s="557"/>
      <c r="M452" s="556"/>
      <c r="N452" s="556"/>
      <c r="O452" s="556"/>
      <c r="P452" s="557"/>
      <c r="Q452" s="556"/>
      <c r="R452" s="557"/>
      <c r="S452" s="556"/>
      <c r="T452" s="557"/>
    </row>
    <row r="453">
      <c r="A453" s="45"/>
      <c r="B453" s="45"/>
      <c r="C453" s="554"/>
      <c r="D453" s="555"/>
      <c r="E453" s="555"/>
      <c r="F453" s="45"/>
      <c r="G453" s="555"/>
      <c r="H453" s="45"/>
      <c r="I453" s="122"/>
      <c r="K453" s="556"/>
      <c r="L453" s="557"/>
      <c r="M453" s="556"/>
      <c r="N453" s="556"/>
      <c r="O453" s="556"/>
      <c r="P453" s="557"/>
      <c r="Q453" s="556"/>
      <c r="R453" s="557"/>
      <c r="S453" s="556"/>
      <c r="T453" s="557"/>
    </row>
    <row r="454">
      <c r="A454" s="45"/>
      <c r="B454" s="45"/>
      <c r="C454" s="554"/>
      <c r="D454" s="555"/>
      <c r="E454" s="555"/>
      <c r="F454" s="45"/>
      <c r="G454" s="555"/>
      <c r="H454" s="45"/>
      <c r="I454" s="122"/>
      <c r="K454" s="556"/>
      <c r="L454" s="557"/>
      <c r="M454" s="556"/>
      <c r="N454" s="556"/>
      <c r="O454" s="556"/>
      <c r="P454" s="557"/>
      <c r="Q454" s="556"/>
      <c r="R454" s="557"/>
      <c r="S454" s="556"/>
      <c r="T454" s="557"/>
    </row>
    <row r="455">
      <c r="A455" s="45"/>
      <c r="B455" s="45"/>
      <c r="C455" s="554"/>
      <c r="D455" s="555"/>
      <c r="E455" s="555"/>
      <c r="F455" s="45"/>
      <c r="G455" s="555"/>
      <c r="H455" s="45"/>
      <c r="I455" s="122"/>
      <c r="K455" s="556"/>
      <c r="L455" s="557"/>
      <c r="M455" s="556"/>
      <c r="N455" s="556"/>
      <c r="O455" s="556"/>
      <c r="P455" s="557"/>
      <c r="Q455" s="556"/>
      <c r="R455" s="557"/>
      <c r="S455" s="556"/>
      <c r="T455" s="557"/>
    </row>
    <row r="456">
      <c r="A456" s="45"/>
      <c r="B456" s="45"/>
      <c r="C456" s="554"/>
      <c r="D456" s="555"/>
      <c r="E456" s="555"/>
      <c r="F456" s="45"/>
      <c r="G456" s="555"/>
      <c r="H456" s="45"/>
      <c r="I456" s="122"/>
      <c r="K456" s="556"/>
      <c r="L456" s="557"/>
      <c r="M456" s="556"/>
      <c r="N456" s="556"/>
      <c r="O456" s="556"/>
      <c r="P456" s="557"/>
      <c r="Q456" s="556"/>
      <c r="R456" s="557"/>
      <c r="S456" s="556"/>
      <c r="T456" s="557"/>
    </row>
    <row r="457">
      <c r="A457" s="45"/>
      <c r="B457" s="45"/>
      <c r="C457" s="554"/>
      <c r="D457" s="555"/>
      <c r="E457" s="555"/>
      <c r="F457" s="45"/>
      <c r="G457" s="555"/>
      <c r="H457" s="45"/>
      <c r="I457" s="122"/>
      <c r="K457" s="556"/>
      <c r="L457" s="557"/>
      <c r="M457" s="556"/>
      <c r="N457" s="556"/>
      <c r="O457" s="556"/>
      <c r="P457" s="557"/>
      <c r="Q457" s="556"/>
      <c r="R457" s="557"/>
      <c r="S457" s="556"/>
      <c r="T457" s="557"/>
    </row>
    <row r="458">
      <c r="A458" s="45"/>
      <c r="B458" s="45"/>
      <c r="C458" s="554"/>
      <c r="D458" s="555"/>
      <c r="E458" s="555"/>
      <c r="F458" s="45"/>
      <c r="G458" s="555"/>
      <c r="H458" s="45"/>
      <c r="I458" s="122"/>
      <c r="K458" s="556"/>
      <c r="L458" s="557"/>
      <c r="M458" s="556"/>
      <c r="N458" s="556"/>
      <c r="O458" s="556"/>
      <c r="P458" s="557"/>
      <c r="Q458" s="556"/>
      <c r="R458" s="557"/>
      <c r="S458" s="556"/>
      <c r="T458" s="557"/>
    </row>
    <row r="459">
      <c r="A459" s="45"/>
      <c r="B459" s="45"/>
      <c r="C459" s="554"/>
      <c r="D459" s="555"/>
      <c r="E459" s="555"/>
      <c r="F459" s="45"/>
      <c r="G459" s="555"/>
      <c r="H459" s="45"/>
      <c r="I459" s="122"/>
      <c r="K459" s="556"/>
      <c r="L459" s="557"/>
      <c r="M459" s="556"/>
      <c r="N459" s="556"/>
      <c r="O459" s="556"/>
      <c r="P459" s="557"/>
      <c r="Q459" s="556"/>
      <c r="R459" s="557"/>
      <c r="S459" s="556"/>
      <c r="T459" s="557"/>
    </row>
    <row r="460">
      <c r="A460" s="45"/>
      <c r="B460" s="45"/>
      <c r="C460" s="554"/>
      <c r="D460" s="555"/>
      <c r="E460" s="555"/>
      <c r="F460" s="45"/>
      <c r="G460" s="555"/>
      <c r="H460" s="45"/>
      <c r="I460" s="122"/>
      <c r="K460" s="556"/>
      <c r="L460" s="557"/>
      <c r="M460" s="556"/>
      <c r="N460" s="556"/>
      <c r="O460" s="556"/>
      <c r="P460" s="557"/>
      <c r="Q460" s="556"/>
      <c r="R460" s="557"/>
      <c r="S460" s="556"/>
      <c r="T460" s="557"/>
    </row>
    <row r="461">
      <c r="A461" s="45"/>
      <c r="B461" s="45"/>
      <c r="C461" s="554"/>
      <c r="D461" s="555"/>
      <c r="E461" s="555"/>
      <c r="F461" s="45"/>
      <c r="G461" s="555"/>
      <c r="H461" s="45"/>
      <c r="I461" s="122"/>
      <c r="K461" s="556"/>
      <c r="L461" s="557"/>
      <c r="M461" s="556"/>
      <c r="N461" s="556"/>
      <c r="O461" s="556"/>
      <c r="P461" s="557"/>
      <c r="Q461" s="556"/>
      <c r="R461" s="557"/>
      <c r="S461" s="556"/>
      <c r="T461" s="557"/>
    </row>
    <row r="462">
      <c r="A462" s="45"/>
      <c r="B462" s="45"/>
      <c r="C462" s="554"/>
      <c r="D462" s="555"/>
      <c r="E462" s="555"/>
      <c r="F462" s="45"/>
      <c r="G462" s="555"/>
      <c r="H462" s="45"/>
      <c r="I462" s="122"/>
      <c r="K462" s="556"/>
      <c r="L462" s="557"/>
      <c r="M462" s="556"/>
      <c r="N462" s="556"/>
      <c r="O462" s="556"/>
      <c r="P462" s="557"/>
      <c r="Q462" s="556"/>
      <c r="R462" s="557"/>
      <c r="S462" s="556"/>
      <c r="T462" s="557"/>
    </row>
    <row r="463">
      <c r="A463" s="45"/>
      <c r="B463" s="45"/>
      <c r="C463" s="554"/>
      <c r="D463" s="555"/>
      <c r="E463" s="555"/>
      <c r="F463" s="45"/>
      <c r="G463" s="555"/>
      <c r="H463" s="45"/>
      <c r="I463" s="122"/>
      <c r="K463" s="556"/>
      <c r="L463" s="557"/>
      <c r="M463" s="556"/>
      <c r="N463" s="556"/>
      <c r="O463" s="556"/>
      <c r="P463" s="557"/>
      <c r="Q463" s="556"/>
      <c r="R463" s="557"/>
      <c r="S463" s="556"/>
      <c r="T463" s="557"/>
    </row>
    <row r="464">
      <c r="A464" s="45"/>
      <c r="B464" s="45"/>
      <c r="C464" s="554"/>
      <c r="D464" s="555"/>
      <c r="E464" s="555"/>
      <c r="F464" s="45"/>
      <c r="G464" s="555"/>
      <c r="H464" s="45"/>
      <c r="I464" s="122"/>
      <c r="K464" s="556"/>
      <c r="L464" s="557"/>
      <c r="M464" s="556"/>
      <c r="N464" s="556"/>
      <c r="O464" s="556"/>
      <c r="P464" s="557"/>
      <c r="Q464" s="556"/>
      <c r="R464" s="557"/>
      <c r="S464" s="556"/>
      <c r="T464" s="557"/>
    </row>
    <row r="465">
      <c r="A465" s="45"/>
      <c r="B465" s="45"/>
      <c r="C465" s="554"/>
      <c r="D465" s="555"/>
      <c r="E465" s="555"/>
      <c r="F465" s="45"/>
      <c r="G465" s="555"/>
      <c r="H465" s="45"/>
      <c r="I465" s="122"/>
      <c r="K465" s="556"/>
      <c r="L465" s="557"/>
      <c r="M465" s="556"/>
      <c r="N465" s="556"/>
      <c r="O465" s="556"/>
      <c r="P465" s="557"/>
      <c r="Q465" s="556"/>
      <c r="R465" s="557"/>
      <c r="S465" s="556"/>
      <c r="T465" s="557"/>
    </row>
    <row r="466">
      <c r="A466" s="45"/>
      <c r="B466" s="45"/>
      <c r="C466" s="554"/>
      <c r="D466" s="555"/>
      <c r="E466" s="555"/>
      <c r="F466" s="45"/>
      <c r="G466" s="555"/>
      <c r="H466" s="45"/>
      <c r="I466" s="122"/>
      <c r="K466" s="556"/>
      <c r="L466" s="557"/>
      <c r="M466" s="556"/>
      <c r="N466" s="556"/>
      <c r="O466" s="556"/>
      <c r="P466" s="557"/>
      <c r="Q466" s="556"/>
      <c r="R466" s="557"/>
      <c r="S466" s="556"/>
      <c r="T466" s="557"/>
    </row>
    <row r="467">
      <c r="A467" s="45"/>
      <c r="B467" s="45"/>
      <c r="C467" s="554"/>
      <c r="D467" s="555"/>
      <c r="E467" s="555"/>
      <c r="F467" s="45"/>
      <c r="G467" s="555"/>
      <c r="H467" s="45"/>
      <c r="I467" s="122"/>
      <c r="K467" s="556"/>
      <c r="L467" s="557"/>
      <c r="M467" s="556"/>
      <c r="N467" s="556"/>
      <c r="O467" s="556"/>
      <c r="P467" s="557"/>
      <c r="Q467" s="556"/>
      <c r="R467" s="557"/>
      <c r="S467" s="556"/>
      <c r="T467" s="557"/>
    </row>
    <row r="468">
      <c r="A468" s="45"/>
      <c r="B468" s="45"/>
      <c r="C468" s="554"/>
      <c r="D468" s="555"/>
      <c r="E468" s="555"/>
      <c r="F468" s="45"/>
      <c r="G468" s="555"/>
      <c r="H468" s="45"/>
      <c r="I468" s="122"/>
      <c r="K468" s="556"/>
      <c r="L468" s="557"/>
      <c r="M468" s="556"/>
      <c r="N468" s="556"/>
      <c r="O468" s="556"/>
      <c r="P468" s="557"/>
      <c r="Q468" s="556"/>
      <c r="R468" s="557"/>
      <c r="S468" s="556"/>
      <c r="T468" s="557"/>
    </row>
    <row r="469">
      <c r="A469" s="45"/>
      <c r="B469" s="45"/>
      <c r="C469" s="554"/>
      <c r="D469" s="555"/>
      <c r="E469" s="555"/>
      <c r="F469" s="45"/>
      <c r="G469" s="555"/>
      <c r="H469" s="45"/>
      <c r="I469" s="122"/>
      <c r="K469" s="556"/>
      <c r="L469" s="557"/>
      <c r="M469" s="556"/>
      <c r="N469" s="556"/>
      <c r="O469" s="556"/>
      <c r="P469" s="557"/>
      <c r="Q469" s="556"/>
      <c r="R469" s="557"/>
      <c r="S469" s="556"/>
      <c r="T469" s="557"/>
    </row>
    <row r="470">
      <c r="A470" s="45"/>
      <c r="B470" s="45"/>
      <c r="C470" s="554"/>
      <c r="D470" s="555"/>
      <c r="E470" s="555"/>
      <c r="F470" s="45"/>
      <c r="G470" s="555"/>
      <c r="H470" s="45"/>
      <c r="I470" s="122"/>
      <c r="K470" s="556"/>
      <c r="L470" s="557"/>
      <c r="M470" s="556"/>
      <c r="N470" s="556"/>
      <c r="O470" s="556"/>
      <c r="P470" s="557"/>
      <c r="Q470" s="556"/>
      <c r="R470" s="557"/>
      <c r="S470" s="556"/>
      <c r="T470" s="557"/>
    </row>
    <row r="471">
      <c r="A471" s="45"/>
      <c r="B471" s="45"/>
      <c r="C471" s="554"/>
      <c r="D471" s="555"/>
      <c r="E471" s="555"/>
      <c r="F471" s="45"/>
      <c r="G471" s="555"/>
      <c r="H471" s="45"/>
      <c r="I471" s="122"/>
      <c r="K471" s="556"/>
      <c r="L471" s="557"/>
      <c r="M471" s="556"/>
      <c r="N471" s="556"/>
      <c r="O471" s="556"/>
      <c r="P471" s="557"/>
      <c r="Q471" s="556"/>
      <c r="R471" s="557"/>
      <c r="S471" s="556"/>
      <c r="T471" s="557"/>
    </row>
    <row r="472">
      <c r="A472" s="45"/>
      <c r="B472" s="45"/>
      <c r="C472" s="554"/>
      <c r="D472" s="555"/>
      <c r="E472" s="555"/>
      <c r="F472" s="45"/>
      <c r="G472" s="555"/>
      <c r="H472" s="45"/>
      <c r="I472" s="122"/>
      <c r="K472" s="556"/>
      <c r="L472" s="557"/>
      <c r="M472" s="556"/>
      <c r="N472" s="556"/>
      <c r="O472" s="556"/>
      <c r="P472" s="557"/>
      <c r="Q472" s="556"/>
      <c r="R472" s="557"/>
      <c r="S472" s="556"/>
      <c r="T472" s="557"/>
    </row>
    <row r="473">
      <c r="A473" s="45"/>
      <c r="B473" s="45"/>
      <c r="C473" s="554"/>
      <c r="D473" s="555"/>
      <c r="E473" s="555"/>
      <c r="F473" s="45"/>
      <c r="G473" s="555"/>
      <c r="H473" s="45"/>
      <c r="I473" s="122"/>
      <c r="K473" s="556"/>
      <c r="L473" s="557"/>
      <c r="M473" s="556"/>
      <c r="N473" s="556"/>
      <c r="O473" s="556"/>
      <c r="P473" s="557"/>
      <c r="Q473" s="556"/>
      <c r="R473" s="557"/>
      <c r="S473" s="556"/>
      <c r="T473" s="557"/>
    </row>
    <row r="474">
      <c r="A474" s="45"/>
      <c r="B474" s="45"/>
      <c r="C474" s="554"/>
      <c r="D474" s="555"/>
      <c r="E474" s="555"/>
      <c r="F474" s="45"/>
      <c r="G474" s="555"/>
      <c r="H474" s="45"/>
      <c r="I474" s="122"/>
      <c r="K474" s="556"/>
      <c r="L474" s="557"/>
      <c r="M474" s="556"/>
      <c r="N474" s="556"/>
      <c r="O474" s="556"/>
      <c r="P474" s="557"/>
      <c r="Q474" s="556"/>
      <c r="R474" s="557"/>
      <c r="S474" s="556"/>
      <c r="T474" s="557"/>
    </row>
    <row r="475">
      <c r="A475" s="45"/>
      <c r="B475" s="45"/>
      <c r="C475" s="554"/>
      <c r="D475" s="555"/>
      <c r="E475" s="555"/>
      <c r="F475" s="45"/>
      <c r="G475" s="555"/>
      <c r="H475" s="45"/>
      <c r="I475" s="122"/>
      <c r="K475" s="556"/>
      <c r="L475" s="557"/>
      <c r="M475" s="556"/>
      <c r="N475" s="556"/>
      <c r="O475" s="556"/>
      <c r="P475" s="557"/>
      <c r="Q475" s="556"/>
      <c r="R475" s="557"/>
      <c r="S475" s="556"/>
      <c r="T475" s="557"/>
    </row>
    <row r="476">
      <c r="A476" s="45"/>
      <c r="B476" s="45"/>
      <c r="C476" s="554"/>
      <c r="D476" s="555"/>
      <c r="E476" s="555"/>
      <c r="F476" s="45"/>
      <c r="G476" s="555"/>
      <c r="H476" s="45"/>
      <c r="I476" s="122"/>
      <c r="K476" s="556"/>
      <c r="L476" s="557"/>
      <c r="M476" s="556"/>
      <c r="N476" s="556"/>
      <c r="O476" s="556"/>
      <c r="P476" s="557"/>
      <c r="Q476" s="556"/>
      <c r="R476" s="557"/>
      <c r="S476" s="556"/>
      <c r="T476" s="557"/>
    </row>
    <row r="477">
      <c r="A477" s="45"/>
      <c r="B477" s="45"/>
      <c r="C477" s="554"/>
      <c r="D477" s="555"/>
      <c r="E477" s="555"/>
      <c r="F477" s="45"/>
      <c r="G477" s="555"/>
      <c r="H477" s="45"/>
      <c r="I477" s="122"/>
      <c r="K477" s="556"/>
      <c r="L477" s="557"/>
      <c r="M477" s="556"/>
      <c r="N477" s="556"/>
      <c r="O477" s="556"/>
      <c r="P477" s="557"/>
      <c r="Q477" s="556"/>
      <c r="R477" s="557"/>
      <c r="S477" s="556"/>
      <c r="T477" s="557"/>
    </row>
    <row r="478">
      <c r="A478" s="45"/>
      <c r="B478" s="45"/>
      <c r="C478" s="554"/>
      <c r="D478" s="555"/>
      <c r="E478" s="555"/>
      <c r="F478" s="45"/>
      <c r="G478" s="555"/>
      <c r="H478" s="45"/>
      <c r="I478" s="122"/>
      <c r="K478" s="556"/>
      <c r="L478" s="557"/>
      <c r="M478" s="556"/>
      <c r="N478" s="556"/>
      <c r="O478" s="556"/>
      <c r="P478" s="557"/>
      <c r="Q478" s="556"/>
      <c r="R478" s="557"/>
      <c r="S478" s="556"/>
      <c r="T478" s="557"/>
    </row>
    <row r="479">
      <c r="A479" s="45"/>
      <c r="B479" s="45"/>
      <c r="C479" s="554"/>
      <c r="D479" s="555"/>
      <c r="E479" s="555"/>
      <c r="F479" s="45"/>
      <c r="G479" s="555"/>
      <c r="H479" s="45"/>
      <c r="I479" s="122"/>
      <c r="K479" s="556"/>
      <c r="L479" s="557"/>
      <c r="M479" s="556"/>
      <c r="N479" s="556"/>
      <c r="O479" s="556"/>
      <c r="P479" s="557"/>
      <c r="Q479" s="556"/>
      <c r="R479" s="557"/>
      <c r="S479" s="556"/>
      <c r="T479" s="557"/>
    </row>
    <row r="480">
      <c r="A480" s="45"/>
      <c r="B480" s="45"/>
      <c r="C480" s="554"/>
      <c r="D480" s="555"/>
      <c r="E480" s="555"/>
      <c r="F480" s="45"/>
      <c r="G480" s="555"/>
      <c r="H480" s="45"/>
      <c r="I480" s="122"/>
      <c r="K480" s="556"/>
      <c r="L480" s="557"/>
      <c r="M480" s="556"/>
      <c r="N480" s="556"/>
      <c r="O480" s="556"/>
      <c r="P480" s="557"/>
      <c r="Q480" s="556"/>
      <c r="R480" s="557"/>
      <c r="S480" s="556"/>
      <c r="T480" s="557"/>
    </row>
    <row r="481">
      <c r="A481" s="45"/>
      <c r="B481" s="45"/>
      <c r="C481" s="554"/>
      <c r="D481" s="555"/>
      <c r="E481" s="555"/>
      <c r="F481" s="45"/>
      <c r="G481" s="555"/>
      <c r="H481" s="45"/>
      <c r="I481" s="122"/>
      <c r="K481" s="556"/>
      <c r="L481" s="557"/>
      <c r="M481" s="556"/>
      <c r="N481" s="556"/>
      <c r="O481" s="556"/>
      <c r="P481" s="557"/>
      <c r="Q481" s="556"/>
      <c r="R481" s="557"/>
      <c r="S481" s="556"/>
      <c r="T481" s="557"/>
    </row>
    <row r="482">
      <c r="A482" s="45"/>
      <c r="B482" s="45"/>
      <c r="C482" s="554"/>
      <c r="D482" s="555"/>
      <c r="E482" s="555"/>
      <c r="F482" s="45"/>
      <c r="G482" s="555"/>
      <c r="H482" s="45"/>
      <c r="I482" s="122"/>
      <c r="K482" s="556"/>
      <c r="L482" s="557"/>
      <c r="M482" s="556"/>
      <c r="N482" s="556"/>
      <c r="O482" s="556"/>
      <c r="P482" s="557"/>
      <c r="Q482" s="556"/>
      <c r="R482" s="557"/>
      <c r="S482" s="556"/>
      <c r="T482" s="557"/>
    </row>
    <row r="483">
      <c r="A483" s="45"/>
      <c r="B483" s="45"/>
      <c r="C483" s="554"/>
      <c r="D483" s="555"/>
      <c r="E483" s="555"/>
      <c r="F483" s="45"/>
      <c r="G483" s="555"/>
      <c r="H483" s="45"/>
      <c r="I483" s="122"/>
      <c r="K483" s="556"/>
      <c r="L483" s="557"/>
      <c r="M483" s="556"/>
      <c r="N483" s="556"/>
      <c r="O483" s="556"/>
      <c r="P483" s="557"/>
      <c r="Q483" s="556"/>
      <c r="R483" s="557"/>
      <c r="S483" s="556"/>
      <c r="T483" s="557"/>
    </row>
    <row r="484">
      <c r="A484" s="45"/>
      <c r="B484" s="45"/>
      <c r="C484" s="554"/>
      <c r="D484" s="555"/>
      <c r="E484" s="555"/>
      <c r="F484" s="45"/>
      <c r="G484" s="555"/>
      <c r="H484" s="45"/>
      <c r="I484" s="122"/>
      <c r="K484" s="556"/>
      <c r="L484" s="557"/>
      <c r="M484" s="556"/>
      <c r="N484" s="556"/>
      <c r="O484" s="556"/>
      <c r="P484" s="557"/>
      <c r="Q484" s="556"/>
      <c r="R484" s="557"/>
      <c r="S484" s="556"/>
      <c r="T484" s="557"/>
    </row>
    <row r="485">
      <c r="A485" s="45"/>
      <c r="B485" s="45"/>
      <c r="C485" s="554"/>
      <c r="D485" s="555"/>
      <c r="E485" s="555"/>
      <c r="F485" s="45"/>
      <c r="G485" s="555"/>
      <c r="H485" s="45"/>
      <c r="I485" s="122"/>
      <c r="K485" s="556"/>
      <c r="L485" s="557"/>
      <c r="M485" s="556"/>
      <c r="N485" s="556"/>
      <c r="O485" s="556"/>
      <c r="P485" s="557"/>
      <c r="Q485" s="556"/>
      <c r="R485" s="557"/>
      <c r="S485" s="556"/>
      <c r="T485" s="557"/>
    </row>
    <row r="486">
      <c r="A486" s="45"/>
      <c r="B486" s="45"/>
      <c r="C486" s="554"/>
      <c r="D486" s="555"/>
      <c r="E486" s="555"/>
      <c r="F486" s="45"/>
      <c r="G486" s="555"/>
      <c r="H486" s="45"/>
      <c r="I486" s="122"/>
      <c r="K486" s="556"/>
      <c r="L486" s="557"/>
      <c r="M486" s="556"/>
      <c r="N486" s="556"/>
      <c r="O486" s="556"/>
      <c r="P486" s="557"/>
      <c r="Q486" s="556"/>
      <c r="R486" s="557"/>
      <c r="S486" s="556"/>
      <c r="T486" s="557"/>
    </row>
    <row r="487">
      <c r="A487" s="45"/>
      <c r="B487" s="45"/>
      <c r="C487" s="554"/>
      <c r="D487" s="555"/>
      <c r="E487" s="555"/>
      <c r="F487" s="45"/>
      <c r="G487" s="555"/>
      <c r="H487" s="45"/>
      <c r="I487" s="122"/>
      <c r="K487" s="556"/>
      <c r="L487" s="557"/>
      <c r="M487" s="556"/>
      <c r="N487" s="556"/>
      <c r="O487" s="556"/>
      <c r="P487" s="557"/>
      <c r="Q487" s="556"/>
      <c r="R487" s="557"/>
      <c r="S487" s="556"/>
      <c r="T487" s="557"/>
    </row>
    <row r="488">
      <c r="A488" s="45"/>
      <c r="B488" s="45"/>
      <c r="C488" s="554"/>
      <c r="D488" s="555"/>
      <c r="E488" s="555"/>
      <c r="F488" s="45"/>
      <c r="G488" s="555"/>
      <c r="H488" s="45"/>
      <c r="I488" s="122"/>
      <c r="K488" s="556"/>
      <c r="L488" s="557"/>
      <c r="M488" s="556"/>
      <c r="N488" s="556"/>
      <c r="O488" s="556"/>
      <c r="P488" s="557"/>
      <c r="Q488" s="556"/>
      <c r="R488" s="557"/>
      <c r="S488" s="556"/>
      <c r="T488" s="557"/>
    </row>
    <row r="489">
      <c r="A489" s="45"/>
      <c r="B489" s="45"/>
      <c r="C489" s="554"/>
      <c r="D489" s="555"/>
      <c r="E489" s="555"/>
      <c r="F489" s="45"/>
      <c r="G489" s="555"/>
      <c r="H489" s="45"/>
      <c r="I489" s="122"/>
      <c r="K489" s="556"/>
      <c r="L489" s="557"/>
      <c r="M489" s="556"/>
      <c r="N489" s="556"/>
      <c r="O489" s="556"/>
      <c r="P489" s="557"/>
      <c r="Q489" s="556"/>
      <c r="R489" s="557"/>
      <c r="S489" s="556"/>
      <c r="T489" s="557"/>
    </row>
    <row r="490">
      <c r="A490" s="45"/>
      <c r="B490" s="45"/>
      <c r="C490" s="554"/>
      <c r="D490" s="555"/>
      <c r="E490" s="555"/>
      <c r="F490" s="45"/>
      <c r="G490" s="555"/>
      <c r="H490" s="45"/>
      <c r="I490" s="122"/>
      <c r="K490" s="556"/>
      <c r="L490" s="557"/>
      <c r="M490" s="556"/>
      <c r="N490" s="556"/>
      <c r="O490" s="556"/>
      <c r="P490" s="557"/>
      <c r="Q490" s="556"/>
      <c r="R490" s="557"/>
      <c r="S490" s="556"/>
      <c r="T490" s="557"/>
    </row>
    <row r="491">
      <c r="A491" s="45"/>
      <c r="B491" s="45"/>
      <c r="C491" s="554"/>
      <c r="D491" s="555"/>
      <c r="E491" s="555"/>
      <c r="F491" s="45"/>
      <c r="G491" s="555"/>
      <c r="H491" s="45"/>
      <c r="I491" s="122"/>
      <c r="K491" s="556"/>
      <c r="L491" s="557"/>
      <c r="M491" s="556"/>
      <c r="N491" s="556"/>
      <c r="O491" s="556"/>
      <c r="P491" s="557"/>
      <c r="Q491" s="556"/>
      <c r="R491" s="557"/>
      <c r="S491" s="556"/>
      <c r="T491" s="557"/>
    </row>
    <row r="492">
      <c r="A492" s="45"/>
      <c r="B492" s="45"/>
      <c r="C492" s="554"/>
      <c r="D492" s="555"/>
      <c r="E492" s="555"/>
      <c r="F492" s="45"/>
      <c r="G492" s="555"/>
      <c r="H492" s="45"/>
      <c r="I492" s="122"/>
      <c r="K492" s="556"/>
      <c r="L492" s="557"/>
      <c r="M492" s="556"/>
      <c r="N492" s="556"/>
      <c r="O492" s="556"/>
      <c r="P492" s="557"/>
      <c r="Q492" s="556"/>
      <c r="R492" s="557"/>
      <c r="S492" s="556"/>
      <c r="T492" s="557"/>
    </row>
    <row r="493">
      <c r="A493" s="45"/>
      <c r="B493" s="45"/>
      <c r="C493" s="554"/>
      <c r="D493" s="555"/>
      <c r="E493" s="555"/>
      <c r="F493" s="45"/>
      <c r="G493" s="555"/>
      <c r="H493" s="45"/>
      <c r="I493" s="122"/>
      <c r="K493" s="556"/>
      <c r="L493" s="557"/>
      <c r="M493" s="556"/>
      <c r="N493" s="556"/>
      <c r="O493" s="556"/>
      <c r="P493" s="557"/>
      <c r="Q493" s="556"/>
      <c r="R493" s="557"/>
      <c r="S493" s="556"/>
      <c r="T493" s="557"/>
    </row>
    <row r="494">
      <c r="A494" s="45"/>
      <c r="B494" s="45"/>
      <c r="C494" s="554"/>
      <c r="D494" s="555"/>
      <c r="E494" s="555"/>
      <c r="F494" s="45"/>
      <c r="G494" s="555"/>
      <c r="H494" s="45"/>
      <c r="I494" s="122"/>
      <c r="K494" s="556"/>
      <c r="L494" s="557"/>
      <c r="M494" s="556"/>
      <c r="N494" s="556"/>
      <c r="O494" s="556"/>
      <c r="P494" s="557"/>
      <c r="Q494" s="556"/>
      <c r="R494" s="557"/>
      <c r="S494" s="556"/>
      <c r="T494" s="557"/>
    </row>
    <row r="495">
      <c r="A495" s="45"/>
      <c r="B495" s="45"/>
      <c r="C495" s="554"/>
      <c r="D495" s="555"/>
      <c r="E495" s="555"/>
      <c r="F495" s="45"/>
      <c r="G495" s="555"/>
      <c r="H495" s="45"/>
      <c r="I495" s="122"/>
      <c r="K495" s="556"/>
      <c r="L495" s="557"/>
      <c r="M495" s="556"/>
      <c r="N495" s="556"/>
      <c r="O495" s="556"/>
      <c r="P495" s="557"/>
      <c r="Q495" s="556"/>
      <c r="R495" s="557"/>
      <c r="S495" s="556"/>
      <c r="T495" s="557"/>
    </row>
    <row r="496">
      <c r="A496" s="45"/>
      <c r="B496" s="45"/>
      <c r="C496" s="554"/>
      <c r="D496" s="555"/>
      <c r="E496" s="555"/>
      <c r="F496" s="45"/>
      <c r="G496" s="555"/>
      <c r="H496" s="45"/>
      <c r="I496" s="122"/>
      <c r="K496" s="556"/>
      <c r="L496" s="557"/>
      <c r="M496" s="556"/>
      <c r="N496" s="556"/>
      <c r="O496" s="556"/>
      <c r="P496" s="557"/>
      <c r="Q496" s="556"/>
      <c r="R496" s="557"/>
      <c r="S496" s="556"/>
      <c r="T496" s="557"/>
    </row>
    <row r="497">
      <c r="A497" s="45"/>
      <c r="B497" s="45"/>
      <c r="C497" s="554"/>
      <c r="D497" s="555"/>
      <c r="E497" s="555"/>
      <c r="F497" s="45"/>
      <c r="G497" s="555"/>
      <c r="H497" s="45"/>
      <c r="I497" s="122"/>
      <c r="K497" s="556"/>
      <c r="L497" s="557"/>
      <c r="M497" s="556"/>
      <c r="N497" s="556"/>
      <c r="O497" s="556"/>
      <c r="P497" s="557"/>
      <c r="Q497" s="556"/>
      <c r="R497" s="557"/>
      <c r="S497" s="556"/>
      <c r="T497" s="557"/>
    </row>
    <row r="498">
      <c r="A498" s="45"/>
      <c r="B498" s="45"/>
      <c r="C498" s="554"/>
      <c r="D498" s="555"/>
      <c r="E498" s="555"/>
      <c r="F498" s="45"/>
      <c r="G498" s="555"/>
      <c r="H498" s="45"/>
      <c r="I498" s="122"/>
      <c r="K498" s="556"/>
      <c r="L498" s="557"/>
      <c r="M498" s="556"/>
      <c r="N498" s="556"/>
      <c r="O498" s="556"/>
      <c r="P498" s="557"/>
      <c r="Q498" s="556"/>
      <c r="R498" s="557"/>
      <c r="S498" s="556"/>
      <c r="T498" s="557"/>
    </row>
    <row r="499">
      <c r="A499" s="45"/>
      <c r="B499" s="45"/>
      <c r="C499" s="554"/>
      <c r="D499" s="555"/>
      <c r="E499" s="555"/>
      <c r="F499" s="45"/>
      <c r="G499" s="555"/>
      <c r="H499" s="45"/>
      <c r="I499" s="122"/>
      <c r="K499" s="556"/>
      <c r="L499" s="557"/>
      <c r="M499" s="556"/>
      <c r="N499" s="556"/>
      <c r="O499" s="556"/>
      <c r="P499" s="557"/>
      <c r="Q499" s="556"/>
      <c r="R499" s="557"/>
      <c r="S499" s="556"/>
      <c r="T499" s="557"/>
    </row>
    <row r="500">
      <c r="A500" s="45"/>
      <c r="B500" s="45"/>
      <c r="C500" s="554"/>
      <c r="D500" s="555"/>
      <c r="E500" s="555"/>
      <c r="F500" s="45"/>
      <c r="G500" s="555"/>
      <c r="H500" s="45"/>
      <c r="I500" s="122"/>
      <c r="K500" s="556"/>
      <c r="L500" s="557"/>
      <c r="M500" s="556"/>
      <c r="N500" s="556"/>
      <c r="O500" s="556"/>
      <c r="P500" s="557"/>
      <c r="Q500" s="556"/>
      <c r="R500" s="557"/>
      <c r="S500" s="556"/>
      <c r="T500" s="557"/>
    </row>
    <row r="501">
      <c r="A501" s="45"/>
      <c r="B501" s="45"/>
      <c r="C501" s="554"/>
      <c r="D501" s="555"/>
      <c r="E501" s="555"/>
      <c r="F501" s="45"/>
      <c r="G501" s="555"/>
      <c r="H501" s="45"/>
      <c r="I501" s="122"/>
      <c r="K501" s="556"/>
      <c r="L501" s="557"/>
      <c r="M501" s="556"/>
      <c r="N501" s="556"/>
      <c r="O501" s="556"/>
      <c r="P501" s="557"/>
      <c r="Q501" s="556"/>
      <c r="R501" s="557"/>
      <c r="S501" s="556"/>
      <c r="T501" s="557"/>
    </row>
    <row r="502">
      <c r="A502" s="45"/>
      <c r="B502" s="45"/>
      <c r="C502" s="554"/>
      <c r="D502" s="555"/>
      <c r="E502" s="555"/>
      <c r="F502" s="45"/>
      <c r="G502" s="555"/>
      <c r="H502" s="45"/>
      <c r="I502" s="122"/>
      <c r="K502" s="556"/>
      <c r="L502" s="557"/>
      <c r="M502" s="556"/>
      <c r="N502" s="556"/>
      <c r="O502" s="556"/>
      <c r="P502" s="557"/>
      <c r="Q502" s="556"/>
      <c r="R502" s="557"/>
      <c r="S502" s="556"/>
      <c r="T502" s="557"/>
    </row>
    <row r="503">
      <c r="A503" s="45"/>
      <c r="B503" s="45"/>
      <c r="C503" s="554"/>
      <c r="D503" s="555"/>
      <c r="E503" s="555"/>
      <c r="F503" s="45"/>
      <c r="G503" s="555"/>
      <c r="H503" s="45"/>
      <c r="I503" s="122"/>
      <c r="K503" s="556"/>
      <c r="L503" s="557"/>
      <c r="M503" s="556"/>
      <c r="N503" s="556"/>
      <c r="O503" s="556"/>
      <c r="P503" s="557"/>
      <c r="Q503" s="556"/>
      <c r="R503" s="557"/>
      <c r="S503" s="556"/>
      <c r="T503" s="557"/>
    </row>
    <row r="504">
      <c r="A504" s="45"/>
      <c r="B504" s="45"/>
      <c r="C504" s="554"/>
      <c r="D504" s="555"/>
      <c r="E504" s="555"/>
      <c r="F504" s="45"/>
      <c r="G504" s="555"/>
      <c r="H504" s="45"/>
      <c r="I504" s="122"/>
      <c r="K504" s="556"/>
      <c r="L504" s="557"/>
      <c r="M504" s="556"/>
      <c r="N504" s="556"/>
      <c r="O504" s="556"/>
      <c r="P504" s="557"/>
      <c r="Q504" s="556"/>
      <c r="R504" s="557"/>
      <c r="S504" s="556"/>
      <c r="T504" s="557"/>
    </row>
    <row r="505">
      <c r="A505" s="45"/>
      <c r="B505" s="45"/>
      <c r="C505" s="554"/>
      <c r="D505" s="555"/>
      <c r="E505" s="555"/>
      <c r="F505" s="45"/>
      <c r="G505" s="555"/>
      <c r="H505" s="45"/>
      <c r="I505" s="122"/>
      <c r="K505" s="556"/>
      <c r="L505" s="557"/>
      <c r="M505" s="556"/>
      <c r="N505" s="556"/>
      <c r="O505" s="556"/>
      <c r="P505" s="557"/>
      <c r="Q505" s="556"/>
      <c r="R505" s="557"/>
      <c r="S505" s="556"/>
      <c r="T505" s="557"/>
    </row>
    <row r="506">
      <c r="A506" s="45"/>
      <c r="B506" s="45"/>
      <c r="C506" s="554"/>
      <c r="D506" s="555"/>
      <c r="E506" s="555"/>
      <c r="F506" s="45"/>
      <c r="G506" s="555"/>
      <c r="H506" s="45"/>
      <c r="I506" s="122"/>
      <c r="K506" s="556"/>
      <c r="L506" s="557"/>
      <c r="M506" s="556"/>
      <c r="N506" s="556"/>
      <c r="O506" s="556"/>
      <c r="P506" s="557"/>
      <c r="Q506" s="556"/>
      <c r="R506" s="557"/>
      <c r="S506" s="556"/>
      <c r="T506" s="557"/>
    </row>
    <row r="507">
      <c r="A507" s="45"/>
      <c r="B507" s="45"/>
      <c r="C507" s="554"/>
      <c r="D507" s="555"/>
      <c r="E507" s="555"/>
      <c r="F507" s="45"/>
      <c r="G507" s="555"/>
      <c r="H507" s="45"/>
      <c r="I507" s="122"/>
      <c r="K507" s="556"/>
      <c r="L507" s="557"/>
      <c r="M507" s="556"/>
      <c r="N507" s="556"/>
      <c r="O507" s="556"/>
      <c r="P507" s="557"/>
      <c r="Q507" s="556"/>
      <c r="R507" s="557"/>
      <c r="S507" s="556"/>
      <c r="T507" s="557"/>
    </row>
    <row r="508">
      <c r="A508" s="45"/>
      <c r="B508" s="45"/>
      <c r="C508" s="554"/>
      <c r="D508" s="555"/>
      <c r="E508" s="555"/>
      <c r="F508" s="45"/>
      <c r="G508" s="555"/>
      <c r="H508" s="45"/>
      <c r="I508" s="122"/>
      <c r="K508" s="556"/>
      <c r="L508" s="557"/>
      <c r="M508" s="556"/>
      <c r="N508" s="556"/>
      <c r="O508" s="556"/>
      <c r="P508" s="557"/>
      <c r="Q508" s="556"/>
      <c r="R508" s="557"/>
      <c r="S508" s="556"/>
      <c r="T508" s="557"/>
    </row>
    <row r="509">
      <c r="A509" s="45"/>
      <c r="B509" s="45"/>
      <c r="C509" s="554"/>
      <c r="D509" s="555"/>
      <c r="E509" s="555"/>
      <c r="F509" s="45"/>
      <c r="G509" s="555"/>
      <c r="H509" s="45"/>
      <c r="I509" s="122"/>
      <c r="K509" s="556"/>
      <c r="L509" s="557"/>
      <c r="M509" s="556"/>
      <c r="N509" s="556"/>
      <c r="O509" s="556"/>
      <c r="P509" s="557"/>
      <c r="Q509" s="556"/>
      <c r="R509" s="557"/>
      <c r="S509" s="556"/>
      <c r="T509" s="557"/>
    </row>
    <row r="510">
      <c r="A510" s="45"/>
      <c r="B510" s="45"/>
      <c r="C510" s="554"/>
      <c r="D510" s="555"/>
      <c r="E510" s="555"/>
      <c r="F510" s="45"/>
      <c r="G510" s="555"/>
      <c r="H510" s="45"/>
      <c r="I510" s="122"/>
      <c r="K510" s="556"/>
      <c r="L510" s="557"/>
      <c r="M510" s="556"/>
      <c r="N510" s="556"/>
      <c r="O510" s="556"/>
      <c r="P510" s="557"/>
      <c r="Q510" s="556"/>
      <c r="R510" s="557"/>
      <c r="S510" s="556"/>
      <c r="T510" s="557"/>
    </row>
    <row r="511">
      <c r="A511" s="45"/>
      <c r="B511" s="45"/>
      <c r="C511" s="554"/>
      <c r="D511" s="555"/>
      <c r="E511" s="555"/>
      <c r="F511" s="45"/>
      <c r="G511" s="555"/>
      <c r="H511" s="45"/>
      <c r="I511" s="122"/>
      <c r="K511" s="556"/>
      <c r="L511" s="557"/>
      <c r="M511" s="556"/>
      <c r="N511" s="556"/>
      <c r="O511" s="556"/>
      <c r="P511" s="557"/>
      <c r="Q511" s="556"/>
      <c r="R511" s="557"/>
      <c r="S511" s="556"/>
      <c r="T511" s="557"/>
    </row>
    <row r="512">
      <c r="A512" s="45"/>
      <c r="B512" s="45"/>
      <c r="C512" s="554"/>
      <c r="D512" s="555"/>
      <c r="E512" s="555"/>
      <c r="F512" s="45"/>
      <c r="G512" s="555"/>
      <c r="H512" s="45"/>
      <c r="I512" s="122"/>
      <c r="K512" s="556"/>
      <c r="L512" s="557"/>
      <c r="M512" s="556"/>
      <c r="N512" s="556"/>
      <c r="O512" s="556"/>
      <c r="P512" s="557"/>
      <c r="Q512" s="556"/>
      <c r="R512" s="557"/>
      <c r="S512" s="556"/>
      <c r="T512" s="557"/>
    </row>
    <row r="513">
      <c r="A513" s="45"/>
      <c r="B513" s="45"/>
      <c r="C513" s="554"/>
      <c r="D513" s="555"/>
      <c r="E513" s="555"/>
      <c r="F513" s="45"/>
      <c r="G513" s="555"/>
      <c r="H513" s="45"/>
      <c r="I513" s="122"/>
      <c r="K513" s="556"/>
      <c r="L513" s="557"/>
      <c r="M513" s="556"/>
      <c r="N513" s="556"/>
      <c r="O513" s="556"/>
      <c r="P513" s="557"/>
      <c r="Q513" s="556"/>
      <c r="R513" s="557"/>
      <c r="S513" s="556"/>
      <c r="T513" s="557"/>
    </row>
    <row r="514">
      <c r="A514" s="45"/>
      <c r="B514" s="45"/>
      <c r="C514" s="554"/>
      <c r="D514" s="555"/>
      <c r="E514" s="555"/>
      <c r="F514" s="45"/>
      <c r="G514" s="555"/>
      <c r="H514" s="45"/>
      <c r="I514" s="122"/>
      <c r="K514" s="556"/>
      <c r="L514" s="557"/>
      <c r="M514" s="556"/>
      <c r="N514" s="556"/>
      <c r="O514" s="556"/>
      <c r="P514" s="557"/>
      <c r="Q514" s="556"/>
      <c r="R514" s="557"/>
      <c r="S514" s="556"/>
      <c r="T514" s="557"/>
    </row>
    <row r="515">
      <c r="A515" s="45"/>
      <c r="B515" s="45"/>
      <c r="C515" s="554"/>
      <c r="D515" s="555"/>
      <c r="E515" s="555"/>
      <c r="F515" s="45"/>
      <c r="G515" s="555"/>
      <c r="H515" s="45"/>
      <c r="I515" s="122"/>
      <c r="K515" s="556"/>
      <c r="L515" s="557"/>
      <c r="M515" s="556"/>
      <c r="N515" s="556"/>
      <c r="O515" s="556"/>
      <c r="P515" s="557"/>
      <c r="Q515" s="556"/>
      <c r="R515" s="557"/>
      <c r="S515" s="556"/>
      <c r="T515" s="557"/>
    </row>
    <row r="516">
      <c r="A516" s="45"/>
      <c r="B516" s="45"/>
      <c r="C516" s="554"/>
      <c r="D516" s="555"/>
      <c r="E516" s="555"/>
      <c r="F516" s="45"/>
      <c r="G516" s="555"/>
      <c r="H516" s="45"/>
      <c r="I516" s="122"/>
      <c r="K516" s="556"/>
      <c r="L516" s="557"/>
      <c r="M516" s="556"/>
      <c r="N516" s="556"/>
      <c r="O516" s="556"/>
      <c r="P516" s="557"/>
      <c r="Q516" s="556"/>
      <c r="R516" s="557"/>
      <c r="S516" s="556"/>
      <c r="T516" s="557"/>
    </row>
    <row r="517">
      <c r="A517" s="45"/>
      <c r="B517" s="45"/>
      <c r="C517" s="554"/>
      <c r="D517" s="555"/>
      <c r="E517" s="555"/>
      <c r="F517" s="45"/>
      <c r="G517" s="555"/>
      <c r="H517" s="45"/>
      <c r="I517" s="122"/>
      <c r="K517" s="556"/>
      <c r="L517" s="557"/>
      <c r="M517" s="556"/>
      <c r="N517" s="556"/>
      <c r="O517" s="556"/>
      <c r="P517" s="557"/>
      <c r="Q517" s="556"/>
      <c r="R517" s="557"/>
      <c r="S517" s="556"/>
      <c r="T517" s="557"/>
    </row>
    <row r="518">
      <c r="A518" s="45"/>
      <c r="B518" s="45"/>
      <c r="C518" s="554"/>
      <c r="D518" s="555"/>
      <c r="E518" s="555"/>
      <c r="F518" s="45"/>
      <c r="G518" s="555"/>
      <c r="H518" s="45"/>
      <c r="I518" s="122"/>
      <c r="K518" s="556"/>
      <c r="L518" s="557"/>
      <c r="M518" s="556"/>
      <c r="N518" s="556"/>
      <c r="O518" s="556"/>
      <c r="P518" s="557"/>
      <c r="Q518" s="556"/>
      <c r="R518" s="557"/>
      <c r="S518" s="556"/>
      <c r="T518" s="557"/>
    </row>
    <row r="519">
      <c r="A519" s="45"/>
      <c r="B519" s="45"/>
      <c r="C519" s="554"/>
      <c r="D519" s="555"/>
      <c r="E519" s="555"/>
      <c r="F519" s="45"/>
      <c r="G519" s="555"/>
      <c r="H519" s="45"/>
      <c r="I519" s="122"/>
      <c r="K519" s="556"/>
      <c r="L519" s="557"/>
      <c r="M519" s="556"/>
      <c r="N519" s="556"/>
      <c r="O519" s="556"/>
      <c r="P519" s="557"/>
      <c r="Q519" s="556"/>
      <c r="R519" s="557"/>
      <c r="S519" s="556"/>
      <c r="T519" s="557"/>
    </row>
    <row r="520">
      <c r="A520" s="45"/>
      <c r="B520" s="45"/>
      <c r="C520" s="554"/>
      <c r="D520" s="555"/>
      <c r="E520" s="555"/>
      <c r="F520" s="45"/>
      <c r="G520" s="555"/>
      <c r="H520" s="45"/>
      <c r="I520" s="122"/>
      <c r="K520" s="556"/>
      <c r="L520" s="557"/>
      <c r="M520" s="556"/>
      <c r="N520" s="556"/>
      <c r="O520" s="556"/>
      <c r="P520" s="557"/>
      <c r="Q520" s="556"/>
      <c r="R520" s="557"/>
      <c r="S520" s="556"/>
      <c r="T520" s="557"/>
    </row>
    <row r="521">
      <c r="A521" s="45"/>
      <c r="B521" s="45"/>
      <c r="C521" s="554"/>
      <c r="D521" s="555"/>
      <c r="E521" s="555"/>
      <c r="F521" s="45"/>
      <c r="G521" s="555"/>
      <c r="H521" s="45"/>
      <c r="I521" s="122"/>
      <c r="K521" s="556"/>
      <c r="L521" s="557"/>
      <c r="M521" s="556"/>
      <c r="N521" s="556"/>
      <c r="O521" s="556"/>
      <c r="P521" s="557"/>
      <c r="Q521" s="556"/>
      <c r="R521" s="557"/>
      <c r="S521" s="556"/>
      <c r="T521" s="557"/>
    </row>
    <row r="522">
      <c r="A522" s="45"/>
      <c r="B522" s="45"/>
      <c r="C522" s="554"/>
      <c r="D522" s="555"/>
      <c r="E522" s="555"/>
      <c r="F522" s="45"/>
      <c r="G522" s="555"/>
      <c r="H522" s="45"/>
      <c r="I522" s="122"/>
      <c r="K522" s="556"/>
      <c r="L522" s="557"/>
      <c r="M522" s="556"/>
      <c r="N522" s="556"/>
      <c r="O522" s="556"/>
      <c r="P522" s="557"/>
      <c r="Q522" s="556"/>
      <c r="R522" s="557"/>
      <c r="S522" s="556"/>
      <c r="T522" s="557"/>
    </row>
    <row r="523">
      <c r="A523" s="45"/>
      <c r="B523" s="45"/>
      <c r="C523" s="554"/>
      <c r="D523" s="555"/>
      <c r="E523" s="555"/>
      <c r="F523" s="45"/>
      <c r="G523" s="555"/>
      <c r="H523" s="45"/>
      <c r="I523" s="122"/>
      <c r="K523" s="556"/>
      <c r="L523" s="557"/>
      <c r="M523" s="556"/>
      <c r="N523" s="556"/>
      <c r="O523" s="556"/>
      <c r="P523" s="557"/>
      <c r="Q523" s="556"/>
      <c r="R523" s="557"/>
      <c r="S523" s="556"/>
      <c r="T523" s="557"/>
    </row>
    <row r="524">
      <c r="A524" s="45"/>
      <c r="B524" s="45"/>
      <c r="C524" s="554"/>
      <c r="D524" s="555"/>
      <c r="E524" s="555"/>
      <c r="F524" s="45"/>
      <c r="G524" s="555"/>
      <c r="H524" s="45"/>
      <c r="I524" s="122"/>
      <c r="K524" s="556"/>
      <c r="L524" s="557"/>
      <c r="M524" s="556"/>
      <c r="N524" s="556"/>
      <c r="O524" s="556"/>
      <c r="P524" s="557"/>
      <c r="Q524" s="556"/>
      <c r="R524" s="557"/>
      <c r="S524" s="556"/>
      <c r="T524" s="557"/>
    </row>
    <row r="525">
      <c r="A525" s="45"/>
      <c r="B525" s="45"/>
      <c r="C525" s="554"/>
      <c r="D525" s="555"/>
      <c r="E525" s="555"/>
      <c r="F525" s="45"/>
      <c r="G525" s="555"/>
      <c r="H525" s="45"/>
      <c r="I525" s="122"/>
      <c r="K525" s="556"/>
      <c r="L525" s="557"/>
      <c r="M525" s="556"/>
      <c r="N525" s="556"/>
      <c r="O525" s="556"/>
      <c r="P525" s="557"/>
      <c r="Q525" s="556"/>
      <c r="R525" s="557"/>
      <c r="S525" s="556"/>
      <c r="T525" s="557"/>
    </row>
    <row r="526">
      <c r="A526" s="45"/>
      <c r="B526" s="45"/>
      <c r="C526" s="554"/>
      <c r="D526" s="555"/>
      <c r="E526" s="555"/>
      <c r="F526" s="45"/>
      <c r="G526" s="555"/>
      <c r="H526" s="45"/>
      <c r="I526" s="122"/>
      <c r="K526" s="556"/>
      <c r="L526" s="557"/>
      <c r="M526" s="556"/>
      <c r="N526" s="556"/>
      <c r="O526" s="556"/>
      <c r="P526" s="557"/>
      <c r="Q526" s="556"/>
      <c r="R526" s="557"/>
      <c r="S526" s="556"/>
      <c r="T526" s="557"/>
    </row>
    <row r="527">
      <c r="A527" s="45"/>
      <c r="B527" s="45"/>
      <c r="C527" s="554"/>
      <c r="D527" s="555"/>
      <c r="E527" s="555"/>
      <c r="F527" s="45"/>
      <c r="G527" s="555"/>
      <c r="H527" s="45"/>
      <c r="I527" s="122"/>
      <c r="K527" s="556"/>
      <c r="L527" s="557"/>
      <c r="M527" s="556"/>
      <c r="N527" s="556"/>
      <c r="O527" s="556"/>
      <c r="P527" s="557"/>
      <c r="Q527" s="556"/>
      <c r="R527" s="557"/>
      <c r="S527" s="556"/>
      <c r="T527" s="557"/>
    </row>
    <row r="528">
      <c r="A528" s="45"/>
      <c r="B528" s="45"/>
      <c r="C528" s="554"/>
      <c r="D528" s="555"/>
      <c r="E528" s="555"/>
      <c r="F528" s="45"/>
      <c r="G528" s="555"/>
      <c r="H528" s="45"/>
      <c r="I528" s="122"/>
      <c r="K528" s="556"/>
      <c r="L528" s="557"/>
      <c r="M528" s="556"/>
      <c r="N528" s="556"/>
      <c r="O528" s="556"/>
      <c r="P528" s="557"/>
      <c r="Q528" s="556"/>
      <c r="R528" s="557"/>
      <c r="S528" s="556"/>
      <c r="T528" s="557"/>
    </row>
    <row r="529">
      <c r="A529" s="45"/>
      <c r="B529" s="45"/>
      <c r="C529" s="554"/>
      <c r="D529" s="555"/>
      <c r="E529" s="555"/>
      <c r="F529" s="45"/>
      <c r="G529" s="555"/>
      <c r="H529" s="45"/>
      <c r="I529" s="122"/>
      <c r="K529" s="556"/>
      <c r="L529" s="557"/>
      <c r="M529" s="556"/>
      <c r="N529" s="556"/>
      <c r="O529" s="556"/>
      <c r="P529" s="557"/>
      <c r="Q529" s="556"/>
      <c r="R529" s="557"/>
      <c r="S529" s="556"/>
      <c r="T529" s="557"/>
    </row>
    <row r="530">
      <c r="A530" s="45"/>
      <c r="B530" s="45"/>
      <c r="C530" s="554"/>
      <c r="D530" s="555"/>
      <c r="E530" s="555"/>
      <c r="F530" s="45"/>
      <c r="G530" s="555"/>
      <c r="H530" s="45"/>
      <c r="I530" s="122"/>
      <c r="K530" s="556"/>
      <c r="L530" s="557"/>
      <c r="M530" s="556"/>
      <c r="N530" s="556"/>
      <c r="O530" s="556"/>
      <c r="P530" s="557"/>
      <c r="Q530" s="556"/>
      <c r="R530" s="557"/>
      <c r="S530" s="556"/>
      <c r="T530" s="557"/>
    </row>
    <row r="531">
      <c r="A531" s="45"/>
      <c r="B531" s="45"/>
      <c r="C531" s="554"/>
      <c r="D531" s="555"/>
      <c r="E531" s="555"/>
      <c r="F531" s="45"/>
      <c r="G531" s="555"/>
      <c r="H531" s="45"/>
      <c r="I531" s="122"/>
      <c r="K531" s="556"/>
      <c r="L531" s="557"/>
      <c r="M531" s="556"/>
      <c r="N531" s="556"/>
      <c r="O531" s="556"/>
      <c r="P531" s="557"/>
      <c r="Q531" s="556"/>
      <c r="R531" s="557"/>
      <c r="S531" s="556"/>
      <c r="T531" s="557"/>
    </row>
    <row r="532">
      <c r="A532" s="45"/>
      <c r="B532" s="45"/>
      <c r="C532" s="554"/>
      <c r="D532" s="555"/>
      <c r="E532" s="555"/>
      <c r="F532" s="45"/>
      <c r="G532" s="555"/>
      <c r="H532" s="45"/>
      <c r="I532" s="122"/>
      <c r="K532" s="556"/>
      <c r="L532" s="557"/>
      <c r="M532" s="556"/>
      <c r="N532" s="556"/>
      <c r="O532" s="556"/>
      <c r="P532" s="557"/>
      <c r="Q532" s="556"/>
      <c r="R532" s="557"/>
      <c r="S532" s="556"/>
      <c r="T532" s="557"/>
    </row>
    <row r="533">
      <c r="A533" s="45"/>
      <c r="B533" s="45"/>
      <c r="C533" s="554"/>
      <c r="D533" s="555"/>
      <c r="E533" s="555"/>
      <c r="F533" s="45"/>
      <c r="G533" s="555"/>
      <c r="H533" s="45"/>
      <c r="I533" s="122"/>
      <c r="K533" s="556"/>
      <c r="L533" s="557"/>
      <c r="M533" s="556"/>
      <c r="N533" s="556"/>
      <c r="O533" s="556"/>
      <c r="P533" s="557"/>
      <c r="Q533" s="556"/>
      <c r="R533" s="557"/>
      <c r="S533" s="556"/>
      <c r="T533" s="557"/>
    </row>
    <row r="534">
      <c r="A534" s="45"/>
      <c r="B534" s="45"/>
      <c r="C534" s="554"/>
      <c r="D534" s="555"/>
      <c r="E534" s="555"/>
      <c r="F534" s="45"/>
      <c r="G534" s="555"/>
      <c r="H534" s="45"/>
      <c r="I534" s="122"/>
      <c r="K534" s="556"/>
      <c r="L534" s="557"/>
      <c r="M534" s="556"/>
      <c r="N534" s="556"/>
      <c r="O534" s="556"/>
      <c r="P534" s="557"/>
      <c r="Q534" s="556"/>
      <c r="R534" s="557"/>
      <c r="S534" s="556"/>
      <c r="T534" s="557"/>
    </row>
    <row r="535">
      <c r="A535" s="45"/>
      <c r="B535" s="45"/>
      <c r="C535" s="554"/>
      <c r="D535" s="555"/>
      <c r="E535" s="555"/>
      <c r="F535" s="45"/>
      <c r="G535" s="555"/>
      <c r="H535" s="45"/>
      <c r="I535" s="122"/>
      <c r="K535" s="556"/>
      <c r="L535" s="557"/>
      <c r="M535" s="556"/>
      <c r="N535" s="556"/>
      <c r="O535" s="556"/>
      <c r="P535" s="557"/>
      <c r="Q535" s="556"/>
      <c r="R535" s="557"/>
      <c r="S535" s="556"/>
      <c r="T535" s="557"/>
    </row>
    <row r="536">
      <c r="A536" s="45"/>
      <c r="B536" s="45"/>
      <c r="C536" s="554"/>
      <c r="D536" s="555"/>
      <c r="E536" s="555"/>
      <c r="F536" s="45"/>
      <c r="G536" s="555"/>
      <c r="H536" s="45"/>
      <c r="I536" s="122"/>
      <c r="K536" s="556"/>
      <c r="L536" s="557"/>
      <c r="M536" s="556"/>
      <c r="N536" s="556"/>
      <c r="O536" s="556"/>
      <c r="P536" s="557"/>
      <c r="Q536" s="556"/>
      <c r="R536" s="557"/>
      <c r="S536" s="556"/>
      <c r="T536" s="557"/>
    </row>
    <row r="537">
      <c r="A537" s="45"/>
      <c r="B537" s="45"/>
      <c r="C537" s="554"/>
      <c r="D537" s="555"/>
      <c r="E537" s="555"/>
      <c r="F537" s="45"/>
      <c r="G537" s="555"/>
      <c r="H537" s="45"/>
      <c r="I537" s="122"/>
      <c r="K537" s="556"/>
      <c r="L537" s="557"/>
      <c r="M537" s="556"/>
      <c r="N537" s="556"/>
      <c r="O537" s="556"/>
      <c r="P537" s="557"/>
      <c r="Q537" s="556"/>
      <c r="R537" s="557"/>
      <c r="S537" s="556"/>
      <c r="T537" s="557"/>
    </row>
    <row r="538">
      <c r="A538" s="45"/>
      <c r="B538" s="45"/>
      <c r="C538" s="554"/>
      <c r="D538" s="555"/>
      <c r="E538" s="555"/>
      <c r="F538" s="45"/>
      <c r="G538" s="555"/>
      <c r="H538" s="45"/>
      <c r="I538" s="122"/>
      <c r="K538" s="556"/>
      <c r="L538" s="557"/>
      <c r="M538" s="556"/>
      <c r="N538" s="556"/>
      <c r="O538" s="556"/>
      <c r="P538" s="557"/>
      <c r="Q538" s="556"/>
      <c r="R538" s="557"/>
      <c r="S538" s="556"/>
      <c r="T538" s="557"/>
    </row>
    <row r="539">
      <c r="A539" s="45"/>
      <c r="B539" s="45"/>
      <c r="C539" s="554"/>
      <c r="D539" s="555"/>
      <c r="E539" s="555"/>
      <c r="F539" s="45"/>
      <c r="G539" s="555"/>
      <c r="H539" s="45"/>
      <c r="I539" s="122"/>
      <c r="K539" s="556"/>
      <c r="L539" s="557"/>
      <c r="M539" s="556"/>
      <c r="N539" s="556"/>
      <c r="O539" s="556"/>
      <c r="P539" s="557"/>
      <c r="Q539" s="556"/>
      <c r="R539" s="557"/>
      <c r="S539" s="556"/>
      <c r="T539" s="557"/>
    </row>
    <row r="540">
      <c r="A540" s="45"/>
      <c r="B540" s="45"/>
      <c r="C540" s="554"/>
      <c r="D540" s="555"/>
      <c r="E540" s="555"/>
      <c r="F540" s="45"/>
      <c r="G540" s="555"/>
      <c r="H540" s="45"/>
      <c r="I540" s="122"/>
      <c r="K540" s="556"/>
      <c r="L540" s="557"/>
      <c r="M540" s="556"/>
      <c r="N540" s="556"/>
      <c r="O540" s="556"/>
      <c r="P540" s="557"/>
      <c r="Q540" s="556"/>
      <c r="R540" s="557"/>
      <c r="S540" s="556"/>
      <c r="T540" s="557"/>
    </row>
    <row r="541">
      <c r="A541" s="45"/>
      <c r="B541" s="45"/>
      <c r="C541" s="554"/>
      <c r="D541" s="555"/>
      <c r="E541" s="555"/>
      <c r="F541" s="45"/>
      <c r="G541" s="555"/>
      <c r="H541" s="45"/>
      <c r="I541" s="122"/>
      <c r="K541" s="556"/>
      <c r="L541" s="557"/>
      <c r="M541" s="556"/>
      <c r="N541" s="556"/>
      <c r="O541" s="556"/>
      <c r="P541" s="557"/>
      <c r="Q541" s="556"/>
      <c r="R541" s="557"/>
      <c r="S541" s="556"/>
      <c r="T541" s="557"/>
    </row>
    <row r="542">
      <c r="A542" s="45"/>
      <c r="B542" s="45"/>
      <c r="C542" s="554"/>
      <c r="D542" s="555"/>
      <c r="E542" s="555"/>
      <c r="F542" s="45"/>
      <c r="G542" s="555"/>
      <c r="H542" s="45"/>
      <c r="I542" s="122"/>
      <c r="K542" s="556"/>
      <c r="L542" s="557"/>
      <c r="M542" s="556"/>
      <c r="N542" s="556"/>
      <c r="O542" s="556"/>
      <c r="P542" s="557"/>
      <c r="Q542" s="556"/>
      <c r="R542" s="557"/>
      <c r="S542" s="556"/>
      <c r="T542" s="557"/>
    </row>
    <row r="543">
      <c r="A543" s="45"/>
      <c r="B543" s="45"/>
      <c r="C543" s="554"/>
      <c r="D543" s="555"/>
      <c r="E543" s="555"/>
      <c r="F543" s="45"/>
      <c r="G543" s="555"/>
      <c r="H543" s="45"/>
      <c r="I543" s="122"/>
      <c r="K543" s="556"/>
      <c r="L543" s="557"/>
      <c r="M543" s="556"/>
      <c r="N543" s="556"/>
      <c r="O543" s="556"/>
      <c r="P543" s="557"/>
      <c r="Q543" s="556"/>
      <c r="R543" s="557"/>
      <c r="S543" s="556"/>
      <c r="T543" s="557"/>
    </row>
    <row r="544">
      <c r="A544" s="45"/>
      <c r="B544" s="45"/>
      <c r="C544" s="554"/>
      <c r="D544" s="555"/>
      <c r="E544" s="555"/>
      <c r="F544" s="45"/>
      <c r="G544" s="555"/>
      <c r="H544" s="45"/>
      <c r="I544" s="122"/>
      <c r="K544" s="556"/>
      <c r="L544" s="557"/>
      <c r="M544" s="556"/>
      <c r="N544" s="556"/>
      <c r="O544" s="556"/>
      <c r="P544" s="557"/>
      <c r="Q544" s="556"/>
      <c r="R544" s="557"/>
      <c r="S544" s="556"/>
      <c r="T544" s="557"/>
    </row>
    <row r="545">
      <c r="A545" s="45"/>
      <c r="B545" s="45"/>
      <c r="C545" s="554"/>
      <c r="D545" s="555"/>
      <c r="E545" s="555"/>
      <c r="F545" s="45"/>
      <c r="G545" s="555"/>
      <c r="H545" s="45"/>
      <c r="I545" s="122"/>
      <c r="K545" s="556"/>
      <c r="L545" s="557"/>
      <c r="M545" s="556"/>
      <c r="N545" s="556"/>
      <c r="O545" s="556"/>
      <c r="P545" s="557"/>
      <c r="Q545" s="556"/>
      <c r="R545" s="557"/>
      <c r="S545" s="556"/>
      <c r="T545" s="557"/>
    </row>
    <row r="546">
      <c r="A546" s="45"/>
      <c r="B546" s="45"/>
      <c r="C546" s="554"/>
      <c r="D546" s="555"/>
      <c r="E546" s="555"/>
      <c r="F546" s="45"/>
      <c r="G546" s="555"/>
      <c r="H546" s="45"/>
      <c r="I546" s="122"/>
      <c r="K546" s="556"/>
      <c r="L546" s="557"/>
      <c r="M546" s="556"/>
      <c r="N546" s="556"/>
      <c r="O546" s="556"/>
      <c r="P546" s="557"/>
      <c r="Q546" s="556"/>
      <c r="R546" s="557"/>
      <c r="S546" s="556"/>
      <c r="T546" s="557"/>
    </row>
    <row r="547">
      <c r="A547" s="45"/>
      <c r="B547" s="45"/>
      <c r="C547" s="554"/>
      <c r="D547" s="555"/>
      <c r="E547" s="555"/>
      <c r="F547" s="45"/>
      <c r="G547" s="555"/>
      <c r="H547" s="45"/>
      <c r="I547" s="122"/>
      <c r="K547" s="556"/>
      <c r="L547" s="557"/>
      <c r="M547" s="556"/>
      <c r="N547" s="556"/>
      <c r="O547" s="556"/>
      <c r="P547" s="557"/>
      <c r="Q547" s="556"/>
      <c r="R547" s="557"/>
      <c r="S547" s="556"/>
      <c r="T547" s="557"/>
    </row>
    <row r="548">
      <c r="A548" s="45"/>
      <c r="B548" s="45"/>
      <c r="C548" s="554"/>
      <c r="D548" s="555"/>
      <c r="E548" s="555"/>
      <c r="F548" s="45"/>
      <c r="G548" s="555"/>
      <c r="H548" s="45"/>
      <c r="I548" s="122"/>
      <c r="K548" s="556"/>
      <c r="L548" s="557"/>
      <c r="M548" s="556"/>
      <c r="N548" s="556"/>
      <c r="O548" s="556"/>
      <c r="P548" s="557"/>
      <c r="Q548" s="556"/>
      <c r="R548" s="557"/>
      <c r="S548" s="556"/>
      <c r="T548" s="557"/>
    </row>
    <row r="549">
      <c r="A549" s="45"/>
      <c r="B549" s="45"/>
      <c r="C549" s="554"/>
      <c r="D549" s="555"/>
      <c r="E549" s="555"/>
      <c r="F549" s="45"/>
      <c r="G549" s="555"/>
      <c r="H549" s="45"/>
      <c r="I549" s="122"/>
      <c r="K549" s="556"/>
      <c r="L549" s="557"/>
      <c r="M549" s="556"/>
      <c r="N549" s="556"/>
      <c r="O549" s="556"/>
      <c r="P549" s="557"/>
      <c r="Q549" s="556"/>
      <c r="R549" s="557"/>
      <c r="S549" s="556"/>
      <c r="T549" s="557"/>
    </row>
    <row r="550">
      <c r="A550" s="45"/>
      <c r="B550" s="45"/>
      <c r="C550" s="554"/>
      <c r="D550" s="555"/>
      <c r="E550" s="555"/>
      <c r="F550" s="45"/>
      <c r="G550" s="555"/>
      <c r="H550" s="45"/>
      <c r="I550" s="122"/>
      <c r="K550" s="556"/>
      <c r="L550" s="557"/>
      <c r="M550" s="556"/>
      <c r="N550" s="556"/>
      <c r="O550" s="556"/>
      <c r="P550" s="557"/>
      <c r="Q550" s="556"/>
      <c r="R550" s="557"/>
      <c r="S550" s="556"/>
      <c r="T550" s="557"/>
    </row>
    <row r="551">
      <c r="A551" s="45"/>
      <c r="B551" s="45"/>
      <c r="C551" s="554"/>
      <c r="D551" s="555"/>
      <c r="E551" s="555"/>
      <c r="F551" s="45"/>
      <c r="G551" s="555"/>
      <c r="H551" s="45"/>
      <c r="I551" s="122"/>
      <c r="K551" s="556"/>
      <c r="L551" s="557"/>
      <c r="M551" s="556"/>
      <c r="N551" s="556"/>
      <c r="O551" s="556"/>
      <c r="P551" s="557"/>
      <c r="Q551" s="556"/>
      <c r="R551" s="557"/>
      <c r="S551" s="556"/>
      <c r="T551" s="557"/>
    </row>
    <row r="552">
      <c r="A552" s="45"/>
      <c r="B552" s="45"/>
      <c r="C552" s="554"/>
      <c r="D552" s="555"/>
      <c r="E552" s="555"/>
      <c r="F552" s="45"/>
      <c r="G552" s="555"/>
      <c r="H552" s="45"/>
      <c r="I552" s="122"/>
      <c r="K552" s="556"/>
      <c r="L552" s="557"/>
      <c r="M552" s="556"/>
      <c r="N552" s="556"/>
      <c r="O552" s="556"/>
      <c r="P552" s="557"/>
      <c r="Q552" s="556"/>
      <c r="R552" s="557"/>
      <c r="S552" s="556"/>
      <c r="T552" s="557"/>
    </row>
    <row r="553">
      <c r="A553" s="45"/>
      <c r="B553" s="45"/>
      <c r="C553" s="554"/>
      <c r="D553" s="555"/>
      <c r="E553" s="555"/>
      <c r="F553" s="45"/>
      <c r="G553" s="555"/>
      <c r="H553" s="45"/>
      <c r="I553" s="122"/>
      <c r="K553" s="556"/>
      <c r="L553" s="557"/>
      <c r="M553" s="556"/>
      <c r="N553" s="556"/>
      <c r="O553" s="556"/>
      <c r="P553" s="557"/>
      <c r="Q553" s="556"/>
      <c r="R553" s="557"/>
      <c r="S553" s="556"/>
      <c r="T553" s="557"/>
    </row>
    <row r="554">
      <c r="A554" s="45"/>
      <c r="B554" s="45"/>
      <c r="C554" s="554"/>
      <c r="D554" s="555"/>
      <c r="E554" s="555"/>
      <c r="F554" s="45"/>
      <c r="G554" s="555"/>
      <c r="H554" s="45"/>
      <c r="I554" s="122"/>
      <c r="K554" s="556"/>
      <c r="L554" s="557"/>
      <c r="M554" s="556"/>
      <c r="N554" s="556"/>
      <c r="O554" s="556"/>
      <c r="P554" s="557"/>
      <c r="Q554" s="556"/>
      <c r="R554" s="557"/>
      <c r="S554" s="556"/>
      <c r="T554" s="557"/>
    </row>
    <row r="555">
      <c r="A555" s="45"/>
      <c r="B555" s="45"/>
      <c r="C555" s="554"/>
      <c r="D555" s="555"/>
      <c r="E555" s="555"/>
      <c r="F555" s="45"/>
      <c r="G555" s="555"/>
      <c r="H555" s="45"/>
      <c r="I555" s="122"/>
      <c r="K555" s="556"/>
      <c r="L555" s="557"/>
      <c r="M555" s="556"/>
      <c r="N555" s="556"/>
      <c r="O555" s="556"/>
      <c r="P555" s="557"/>
      <c r="Q555" s="556"/>
      <c r="R555" s="557"/>
      <c r="S555" s="556"/>
      <c r="T555" s="557"/>
    </row>
    <row r="556">
      <c r="A556" s="45"/>
      <c r="B556" s="45"/>
      <c r="C556" s="554"/>
      <c r="D556" s="555"/>
      <c r="E556" s="555"/>
      <c r="F556" s="45"/>
      <c r="G556" s="555"/>
      <c r="H556" s="45"/>
      <c r="I556" s="122"/>
      <c r="K556" s="556"/>
      <c r="L556" s="557"/>
      <c r="M556" s="556"/>
      <c r="N556" s="556"/>
      <c r="O556" s="556"/>
      <c r="P556" s="557"/>
      <c r="Q556" s="556"/>
      <c r="R556" s="557"/>
      <c r="S556" s="556"/>
      <c r="T556" s="557"/>
    </row>
    <row r="557">
      <c r="A557" s="45"/>
      <c r="B557" s="45"/>
      <c r="C557" s="554"/>
      <c r="D557" s="555"/>
      <c r="E557" s="555"/>
      <c r="F557" s="45"/>
      <c r="G557" s="555"/>
      <c r="H557" s="45"/>
      <c r="I557" s="122"/>
      <c r="K557" s="556"/>
      <c r="L557" s="557"/>
      <c r="M557" s="556"/>
      <c r="N557" s="556"/>
      <c r="O557" s="556"/>
      <c r="P557" s="557"/>
      <c r="Q557" s="556"/>
      <c r="R557" s="557"/>
      <c r="S557" s="556"/>
      <c r="T557" s="557"/>
    </row>
    <row r="558">
      <c r="A558" s="45"/>
      <c r="B558" s="45"/>
      <c r="C558" s="554"/>
      <c r="D558" s="555"/>
      <c r="E558" s="555"/>
      <c r="F558" s="45"/>
      <c r="G558" s="555"/>
      <c r="H558" s="45"/>
      <c r="I558" s="122"/>
      <c r="K558" s="556"/>
      <c r="L558" s="557"/>
      <c r="M558" s="556"/>
      <c r="N558" s="556"/>
      <c r="O558" s="556"/>
      <c r="P558" s="557"/>
      <c r="Q558" s="556"/>
      <c r="R558" s="557"/>
      <c r="S558" s="556"/>
      <c r="T558" s="557"/>
    </row>
    <row r="559">
      <c r="A559" s="45"/>
      <c r="B559" s="45"/>
      <c r="C559" s="554"/>
      <c r="D559" s="555"/>
      <c r="E559" s="555"/>
      <c r="F559" s="45"/>
      <c r="G559" s="555"/>
      <c r="H559" s="45"/>
      <c r="I559" s="122"/>
      <c r="K559" s="556"/>
      <c r="L559" s="557"/>
      <c r="M559" s="556"/>
      <c r="N559" s="556"/>
      <c r="O559" s="556"/>
      <c r="P559" s="557"/>
      <c r="Q559" s="556"/>
      <c r="R559" s="557"/>
      <c r="S559" s="556"/>
      <c r="T559" s="557"/>
    </row>
    <row r="560">
      <c r="A560" s="45"/>
      <c r="B560" s="45"/>
      <c r="C560" s="554"/>
      <c r="D560" s="555"/>
      <c r="E560" s="555"/>
      <c r="F560" s="45"/>
      <c r="G560" s="555"/>
      <c r="H560" s="45"/>
      <c r="I560" s="122"/>
      <c r="K560" s="556"/>
      <c r="L560" s="557"/>
      <c r="M560" s="556"/>
      <c r="N560" s="556"/>
      <c r="O560" s="556"/>
      <c r="P560" s="557"/>
      <c r="Q560" s="556"/>
      <c r="R560" s="557"/>
      <c r="S560" s="556"/>
      <c r="T560" s="557"/>
    </row>
    <row r="561">
      <c r="A561" s="45"/>
      <c r="B561" s="45"/>
      <c r="C561" s="554"/>
      <c r="D561" s="555"/>
      <c r="E561" s="555"/>
      <c r="F561" s="45"/>
      <c r="G561" s="555"/>
      <c r="H561" s="45"/>
      <c r="I561" s="122"/>
      <c r="K561" s="556"/>
      <c r="L561" s="557"/>
      <c r="M561" s="556"/>
      <c r="N561" s="556"/>
      <c r="O561" s="556"/>
      <c r="P561" s="557"/>
      <c r="Q561" s="556"/>
      <c r="R561" s="557"/>
      <c r="S561" s="556"/>
      <c r="T561" s="557"/>
    </row>
    <row r="562">
      <c r="A562" s="45"/>
      <c r="B562" s="45"/>
      <c r="C562" s="554"/>
      <c r="D562" s="555"/>
      <c r="E562" s="555"/>
      <c r="F562" s="45"/>
      <c r="G562" s="555"/>
      <c r="H562" s="45"/>
      <c r="I562" s="122"/>
      <c r="K562" s="556"/>
      <c r="L562" s="557"/>
      <c r="M562" s="556"/>
      <c r="N562" s="556"/>
      <c r="O562" s="556"/>
      <c r="P562" s="557"/>
      <c r="Q562" s="556"/>
      <c r="R562" s="557"/>
      <c r="S562" s="556"/>
      <c r="T562" s="557"/>
    </row>
    <row r="563">
      <c r="A563" s="45"/>
      <c r="B563" s="45"/>
      <c r="C563" s="554"/>
      <c r="D563" s="555"/>
      <c r="E563" s="555"/>
      <c r="F563" s="45"/>
      <c r="G563" s="555"/>
      <c r="H563" s="45"/>
      <c r="I563" s="122"/>
      <c r="K563" s="556"/>
      <c r="L563" s="557"/>
      <c r="M563" s="556"/>
      <c r="N563" s="556"/>
      <c r="O563" s="556"/>
      <c r="P563" s="557"/>
      <c r="Q563" s="556"/>
      <c r="R563" s="557"/>
      <c r="S563" s="556"/>
      <c r="T563" s="557"/>
    </row>
    <row r="564">
      <c r="A564" s="45"/>
      <c r="B564" s="45"/>
      <c r="C564" s="554"/>
      <c r="D564" s="555"/>
      <c r="E564" s="555"/>
      <c r="F564" s="45"/>
      <c r="G564" s="555"/>
      <c r="H564" s="45"/>
      <c r="I564" s="122"/>
      <c r="K564" s="556"/>
      <c r="L564" s="557"/>
      <c r="M564" s="556"/>
      <c r="N564" s="556"/>
      <c r="O564" s="556"/>
      <c r="P564" s="557"/>
      <c r="Q564" s="556"/>
      <c r="R564" s="557"/>
      <c r="S564" s="556"/>
      <c r="T564" s="557"/>
    </row>
    <row r="565">
      <c r="A565" s="45"/>
      <c r="B565" s="45"/>
      <c r="C565" s="554"/>
      <c r="D565" s="555"/>
      <c r="E565" s="555"/>
      <c r="F565" s="45"/>
      <c r="G565" s="555"/>
      <c r="H565" s="45"/>
      <c r="I565" s="122"/>
      <c r="K565" s="556"/>
      <c r="L565" s="557"/>
      <c r="M565" s="556"/>
      <c r="N565" s="556"/>
      <c r="O565" s="556"/>
      <c r="P565" s="557"/>
      <c r="Q565" s="556"/>
      <c r="R565" s="557"/>
      <c r="S565" s="556"/>
      <c r="T565" s="557"/>
    </row>
    <row r="566">
      <c r="A566" s="45"/>
      <c r="B566" s="45"/>
      <c r="C566" s="554"/>
      <c r="D566" s="555"/>
      <c r="E566" s="555"/>
      <c r="F566" s="45"/>
      <c r="G566" s="555"/>
      <c r="H566" s="45"/>
      <c r="I566" s="122"/>
      <c r="K566" s="556"/>
      <c r="L566" s="557"/>
      <c r="M566" s="556"/>
      <c r="N566" s="556"/>
      <c r="O566" s="556"/>
      <c r="P566" s="557"/>
      <c r="Q566" s="556"/>
      <c r="R566" s="557"/>
      <c r="S566" s="556"/>
      <c r="T566" s="557"/>
    </row>
    <row r="567">
      <c r="A567" s="45"/>
      <c r="B567" s="45"/>
      <c r="C567" s="554"/>
      <c r="D567" s="555"/>
      <c r="E567" s="555"/>
      <c r="F567" s="45"/>
      <c r="G567" s="555"/>
      <c r="H567" s="45"/>
      <c r="I567" s="122"/>
      <c r="K567" s="556"/>
      <c r="L567" s="557"/>
      <c r="M567" s="556"/>
      <c r="N567" s="556"/>
      <c r="O567" s="556"/>
      <c r="P567" s="557"/>
      <c r="Q567" s="556"/>
      <c r="R567" s="557"/>
      <c r="S567" s="556"/>
      <c r="T567" s="557"/>
    </row>
    <row r="568">
      <c r="A568" s="45"/>
      <c r="B568" s="45"/>
      <c r="C568" s="554"/>
      <c r="D568" s="555"/>
      <c r="E568" s="555"/>
      <c r="F568" s="45"/>
      <c r="G568" s="555"/>
      <c r="H568" s="45"/>
      <c r="I568" s="122"/>
      <c r="K568" s="556"/>
      <c r="L568" s="557"/>
      <c r="M568" s="556"/>
      <c r="N568" s="556"/>
      <c r="O568" s="556"/>
      <c r="P568" s="557"/>
      <c r="Q568" s="556"/>
      <c r="R568" s="557"/>
      <c r="S568" s="556"/>
      <c r="T568" s="557"/>
    </row>
    <row r="569">
      <c r="A569" s="45"/>
      <c r="B569" s="45"/>
      <c r="C569" s="554"/>
      <c r="D569" s="555"/>
      <c r="E569" s="555"/>
      <c r="F569" s="45"/>
      <c r="G569" s="555"/>
      <c r="H569" s="45"/>
      <c r="I569" s="122"/>
      <c r="K569" s="556"/>
      <c r="L569" s="557"/>
      <c r="M569" s="556"/>
      <c r="N569" s="556"/>
      <c r="O569" s="556"/>
      <c r="P569" s="557"/>
      <c r="Q569" s="556"/>
      <c r="R569" s="557"/>
      <c r="S569" s="556"/>
      <c r="T569" s="557"/>
    </row>
    <row r="570">
      <c r="A570" s="45"/>
      <c r="B570" s="45"/>
      <c r="C570" s="554"/>
      <c r="D570" s="555"/>
      <c r="E570" s="555"/>
      <c r="F570" s="45"/>
      <c r="G570" s="555"/>
      <c r="H570" s="45"/>
      <c r="I570" s="122"/>
      <c r="K570" s="556"/>
      <c r="L570" s="557"/>
      <c r="M570" s="556"/>
      <c r="N570" s="556"/>
      <c r="O570" s="556"/>
      <c r="P570" s="557"/>
      <c r="Q570" s="556"/>
      <c r="R570" s="557"/>
      <c r="S570" s="556"/>
      <c r="T570" s="557"/>
    </row>
    <row r="571">
      <c r="A571" s="45"/>
      <c r="B571" s="45"/>
      <c r="C571" s="554"/>
      <c r="D571" s="555"/>
      <c r="E571" s="555"/>
      <c r="F571" s="45"/>
      <c r="G571" s="555"/>
      <c r="H571" s="45"/>
      <c r="I571" s="122"/>
      <c r="K571" s="556"/>
      <c r="L571" s="557"/>
      <c r="M571" s="556"/>
      <c r="N571" s="556"/>
      <c r="O571" s="556"/>
      <c r="P571" s="557"/>
      <c r="Q571" s="556"/>
      <c r="R571" s="557"/>
      <c r="S571" s="556"/>
      <c r="T571" s="557"/>
    </row>
    <row r="572">
      <c r="A572" s="45"/>
      <c r="B572" s="45"/>
      <c r="C572" s="554"/>
      <c r="D572" s="555"/>
      <c r="E572" s="555"/>
      <c r="F572" s="45"/>
      <c r="G572" s="555"/>
      <c r="H572" s="45"/>
      <c r="I572" s="122"/>
      <c r="K572" s="556"/>
      <c r="L572" s="557"/>
      <c r="M572" s="556"/>
      <c r="N572" s="556"/>
      <c r="O572" s="556"/>
      <c r="P572" s="557"/>
      <c r="Q572" s="556"/>
      <c r="R572" s="557"/>
      <c r="S572" s="556"/>
      <c r="T572" s="557"/>
    </row>
    <row r="573">
      <c r="A573" s="45"/>
      <c r="B573" s="45"/>
      <c r="C573" s="554"/>
      <c r="D573" s="555"/>
      <c r="E573" s="555"/>
      <c r="F573" s="45"/>
      <c r="G573" s="555"/>
      <c r="H573" s="45"/>
      <c r="I573" s="122"/>
      <c r="K573" s="556"/>
      <c r="L573" s="557"/>
      <c r="M573" s="556"/>
      <c r="N573" s="556"/>
      <c r="O573" s="556"/>
      <c r="P573" s="557"/>
      <c r="Q573" s="556"/>
      <c r="R573" s="557"/>
      <c r="S573" s="556"/>
      <c r="T573" s="557"/>
    </row>
    <row r="574">
      <c r="A574" s="45"/>
      <c r="B574" s="45"/>
      <c r="C574" s="554"/>
      <c r="D574" s="555"/>
      <c r="E574" s="555"/>
      <c r="F574" s="45"/>
      <c r="G574" s="555"/>
      <c r="H574" s="45"/>
      <c r="I574" s="122"/>
      <c r="K574" s="556"/>
      <c r="L574" s="557"/>
      <c r="M574" s="556"/>
      <c r="N574" s="556"/>
      <c r="O574" s="556"/>
      <c r="P574" s="557"/>
      <c r="Q574" s="556"/>
      <c r="R574" s="557"/>
      <c r="S574" s="556"/>
      <c r="T574" s="557"/>
    </row>
    <row r="575">
      <c r="A575" s="45"/>
      <c r="B575" s="45"/>
      <c r="C575" s="554"/>
      <c r="D575" s="555"/>
      <c r="E575" s="555"/>
      <c r="F575" s="45"/>
      <c r="G575" s="555"/>
      <c r="H575" s="45"/>
      <c r="I575" s="122"/>
      <c r="K575" s="556"/>
      <c r="L575" s="557"/>
      <c r="M575" s="556"/>
      <c r="N575" s="556"/>
      <c r="O575" s="556"/>
      <c r="P575" s="557"/>
      <c r="Q575" s="556"/>
      <c r="R575" s="557"/>
      <c r="S575" s="556"/>
      <c r="T575" s="557"/>
    </row>
    <row r="576">
      <c r="A576" s="45"/>
      <c r="B576" s="45"/>
      <c r="C576" s="554"/>
      <c r="D576" s="555"/>
      <c r="E576" s="555"/>
      <c r="F576" s="45"/>
      <c r="G576" s="555"/>
      <c r="H576" s="45"/>
      <c r="I576" s="122"/>
      <c r="K576" s="556"/>
      <c r="L576" s="557"/>
      <c r="M576" s="556"/>
      <c r="N576" s="556"/>
      <c r="O576" s="556"/>
      <c r="P576" s="557"/>
      <c r="Q576" s="556"/>
      <c r="R576" s="557"/>
      <c r="S576" s="556"/>
      <c r="T576" s="557"/>
    </row>
    <row r="577">
      <c r="A577" s="45"/>
      <c r="B577" s="45"/>
      <c r="C577" s="554"/>
      <c r="D577" s="555"/>
      <c r="E577" s="555"/>
      <c r="F577" s="45"/>
      <c r="G577" s="555"/>
      <c r="H577" s="45"/>
      <c r="I577" s="122"/>
      <c r="K577" s="556"/>
      <c r="L577" s="557"/>
      <c r="M577" s="556"/>
      <c r="N577" s="556"/>
      <c r="O577" s="556"/>
      <c r="P577" s="557"/>
      <c r="Q577" s="556"/>
      <c r="R577" s="557"/>
      <c r="S577" s="556"/>
      <c r="T577" s="557"/>
    </row>
    <row r="578">
      <c r="A578" s="45"/>
      <c r="B578" s="45"/>
      <c r="C578" s="554"/>
      <c r="D578" s="555"/>
      <c r="E578" s="555"/>
      <c r="F578" s="45"/>
      <c r="G578" s="555"/>
      <c r="H578" s="45"/>
      <c r="I578" s="122"/>
      <c r="K578" s="556"/>
      <c r="L578" s="557"/>
      <c r="M578" s="556"/>
      <c r="N578" s="556"/>
      <c r="O578" s="556"/>
      <c r="P578" s="557"/>
      <c r="Q578" s="556"/>
      <c r="R578" s="557"/>
      <c r="S578" s="556"/>
      <c r="T578" s="557"/>
    </row>
    <row r="579">
      <c r="A579" s="45"/>
      <c r="B579" s="45"/>
      <c r="C579" s="554"/>
      <c r="D579" s="555"/>
      <c r="E579" s="555"/>
      <c r="F579" s="45"/>
      <c r="G579" s="555"/>
      <c r="H579" s="45"/>
      <c r="I579" s="122"/>
      <c r="K579" s="556"/>
      <c r="L579" s="557"/>
      <c r="M579" s="556"/>
      <c r="N579" s="556"/>
      <c r="O579" s="556"/>
      <c r="P579" s="557"/>
      <c r="Q579" s="556"/>
      <c r="R579" s="557"/>
      <c r="S579" s="556"/>
      <c r="T579" s="557"/>
    </row>
    <row r="580">
      <c r="A580" s="45"/>
      <c r="B580" s="45"/>
      <c r="C580" s="554"/>
      <c r="D580" s="555"/>
      <c r="E580" s="555"/>
      <c r="F580" s="45"/>
      <c r="G580" s="555"/>
      <c r="H580" s="45"/>
      <c r="I580" s="122"/>
      <c r="K580" s="556"/>
      <c r="L580" s="557"/>
      <c r="M580" s="556"/>
      <c r="N580" s="556"/>
      <c r="O580" s="556"/>
      <c r="P580" s="557"/>
      <c r="Q580" s="556"/>
      <c r="R580" s="557"/>
      <c r="S580" s="556"/>
      <c r="T580" s="557"/>
    </row>
    <row r="581">
      <c r="A581" s="45"/>
      <c r="B581" s="45"/>
      <c r="C581" s="554"/>
      <c r="D581" s="555"/>
      <c r="E581" s="555"/>
      <c r="F581" s="45"/>
      <c r="G581" s="555"/>
      <c r="H581" s="45"/>
      <c r="I581" s="122"/>
      <c r="K581" s="556"/>
      <c r="L581" s="557"/>
      <c r="M581" s="556"/>
      <c r="N581" s="556"/>
      <c r="O581" s="556"/>
      <c r="P581" s="557"/>
      <c r="Q581" s="556"/>
      <c r="R581" s="557"/>
      <c r="S581" s="556"/>
      <c r="T581" s="557"/>
    </row>
    <row r="582">
      <c r="A582" s="45"/>
      <c r="B582" s="45"/>
      <c r="C582" s="554"/>
      <c r="D582" s="555"/>
      <c r="E582" s="555"/>
      <c r="F582" s="45"/>
      <c r="G582" s="555"/>
      <c r="H582" s="45"/>
      <c r="I582" s="122"/>
      <c r="K582" s="556"/>
      <c r="L582" s="557"/>
      <c r="M582" s="556"/>
      <c r="N582" s="556"/>
      <c r="O582" s="556"/>
      <c r="P582" s="557"/>
      <c r="Q582" s="556"/>
      <c r="R582" s="557"/>
      <c r="S582" s="556"/>
      <c r="T582" s="557"/>
    </row>
    <row r="583">
      <c r="A583" s="45"/>
      <c r="B583" s="45"/>
      <c r="C583" s="554"/>
      <c r="D583" s="555"/>
      <c r="E583" s="555"/>
      <c r="F583" s="45"/>
      <c r="G583" s="555"/>
      <c r="H583" s="45"/>
      <c r="I583" s="122"/>
      <c r="K583" s="556"/>
      <c r="L583" s="557"/>
      <c r="M583" s="556"/>
      <c r="N583" s="556"/>
      <c r="O583" s="556"/>
      <c r="P583" s="557"/>
      <c r="Q583" s="556"/>
      <c r="R583" s="557"/>
      <c r="S583" s="556"/>
      <c r="T583" s="557"/>
    </row>
    <row r="584">
      <c r="A584" s="45"/>
      <c r="B584" s="45"/>
      <c r="C584" s="554"/>
      <c r="D584" s="555"/>
      <c r="E584" s="555"/>
      <c r="F584" s="45"/>
      <c r="G584" s="555"/>
      <c r="H584" s="45"/>
      <c r="I584" s="122"/>
      <c r="K584" s="556"/>
      <c r="L584" s="557"/>
      <c r="M584" s="556"/>
      <c r="N584" s="556"/>
      <c r="O584" s="556"/>
      <c r="P584" s="557"/>
      <c r="Q584" s="556"/>
      <c r="R584" s="557"/>
      <c r="S584" s="556"/>
      <c r="T584" s="557"/>
    </row>
    <row r="585">
      <c r="A585" s="45"/>
      <c r="B585" s="45"/>
      <c r="C585" s="554"/>
      <c r="D585" s="555"/>
      <c r="E585" s="555"/>
      <c r="F585" s="45"/>
      <c r="G585" s="555"/>
      <c r="H585" s="45"/>
      <c r="I585" s="122"/>
      <c r="K585" s="556"/>
      <c r="L585" s="557"/>
      <c r="M585" s="556"/>
      <c r="N585" s="556"/>
      <c r="O585" s="556"/>
      <c r="P585" s="557"/>
      <c r="Q585" s="556"/>
      <c r="R585" s="557"/>
      <c r="S585" s="556"/>
      <c r="T585" s="557"/>
    </row>
    <row r="586">
      <c r="A586" s="45"/>
      <c r="B586" s="45"/>
      <c r="C586" s="554"/>
      <c r="D586" s="555"/>
      <c r="E586" s="555"/>
      <c r="F586" s="45"/>
      <c r="G586" s="555"/>
      <c r="H586" s="45"/>
      <c r="I586" s="122"/>
      <c r="K586" s="556"/>
      <c r="L586" s="557"/>
      <c r="M586" s="556"/>
      <c r="N586" s="556"/>
      <c r="O586" s="556"/>
      <c r="P586" s="557"/>
      <c r="Q586" s="556"/>
      <c r="R586" s="557"/>
      <c r="S586" s="556"/>
      <c r="T586" s="557"/>
    </row>
    <row r="587">
      <c r="A587" s="45"/>
      <c r="B587" s="45"/>
      <c r="C587" s="554"/>
      <c r="D587" s="555"/>
      <c r="E587" s="555"/>
      <c r="F587" s="45"/>
      <c r="G587" s="555"/>
      <c r="H587" s="45"/>
      <c r="I587" s="122"/>
      <c r="K587" s="556"/>
      <c r="L587" s="557"/>
      <c r="M587" s="556"/>
      <c r="N587" s="556"/>
      <c r="O587" s="556"/>
      <c r="P587" s="557"/>
      <c r="Q587" s="556"/>
      <c r="R587" s="557"/>
      <c r="S587" s="556"/>
      <c r="T587" s="557"/>
    </row>
    <row r="588">
      <c r="A588" s="45"/>
      <c r="B588" s="45"/>
      <c r="C588" s="554"/>
      <c r="D588" s="555"/>
      <c r="E588" s="555"/>
      <c r="F588" s="45"/>
      <c r="G588" s="555"/>
      <c r="H588" s="45"/>
      <c r="I588" s="122"/>
      <c r="K588" s="556"/>
      <c r="L588" s="557"/>
      <c r="M588" s="556"/>
      <c r="N588" s="556"/>
      <c r="O588" s="556"/>
      <c r="P588" s="557"/>
      <c r="Q588" s="556"/>
      <c r="R588" s="557"/>
      <c r="S588" s="556"/>
      <c r="T588" s="557"/>
    </row>
    <row r="589">
      <c r="A589" s="45"/>
      <c r="B589" s="45"/>
      <c r="C589" s="554"/>
      <c r="D589" s="555"/>
      <c r="E589" s="555"/>
      <c r="F589" s="45"/>
      <c r="G589" s="555"/>
      <c r="H589" s="45"/>
      <c r="I589" s="122"/>
      <c r="K589" s="556"/>
      <c r="L589" s="557"/>
      <c r="M589" s="556"/>
      <c r="N589" s="556"/>
      <c r="O589" s="556"/>
      <c r="P589" s="557"/>
      <c r="Q589" s="556"/>
      <c r="R589" s="557"/>
      <c r="S589" s="556"/>
      <c r="T589" s="557"/>
    </row>
    <row r="590">
      <c r="A590" s="45"/>
      <c r="B590" s="45"/>
      <c r="C590" s="554"/>
      <c r="D590" s="555"/>
      <c r="E590" s="555"/>
      <c r="F590" s="45"/>
      <c r="G590" s="555"/>
      <c r="H590" s="45"/>
      <c r="I590" s="122"/>
      <c r="K590" s="556"/>
      <c r="L590" s="557"/>
      <c r="M590" s="556"/>
      <c r="N590" s="556"/>
      <c r="O590" s="556"/>
      <c r="P590" s="557"/>
      <c r="Q590" s="556"/>
      <c r="R590" s="557"/>
      <c r="S590" s="556"/>
      <c r="T590" s="557"/>
    </row>
    <row r="591">
      <c r="A591" s="45"/>
      <c r="B591" s="45"/>
      <c r="C591" s="554"/>
      <c r="D591" s="555"/>
      <c r="E591" s="555"/>
      <c r="F591" s="45"/>
      <c r="G591" s="555"/>
      <c r="H591" s="45"/>
      <c r="I591" s="122"/>
      <c r="K591" s="556"/>
      <c r="L591" s="557"/>
      <c r="M591" s="556"/>
      <c r="N591" s="556"/>
      <c r="O591" s="556"/>
      <c r="P591" s="557"/>
      <c r="Q591" s="556"/>
      <c r="R591" s="557"/>
      <c r="S591" s="556"/>
      <c r="T591" s="557"/>
    </row>
    <row r="592">
      <c r="A592" s="45"/>
      <c r="B592" s="45"/>
      <c r="C592" s="554"/>
      <c r="D592" s="555"/>
      <c r="E592" s="555"/>
      <c r="F592" s="45"/>
      <c r="G592" s="555"/>
      <c r="H592" s="45"/>
      <c r="I592" s="122"/>
      <c r="K592" s="556"/>
      <c r="L592" s="557"/>
      <c r="M592" s="556"/>
      <c r="N592" s="556"/>
      <c r="O592" s="556"/>
      <c r="P592" s="557"/>
      <c r="Q592" s="556"/>
      <c r="R592" s="557"/>
      <c r="S592" s="556"/>
      <c r="T592" s="557"/>
    </row>
    <row r="593">
      <c r="A593" s="45"/>
      <c r="B593" s="45"/>
      <c r="C593" s="554"/>
      <c r="D593" s="555"/>
      <c r="E593" s="555"/>
      <c r="F593" s="45"/>
      <c r="G593" s="555"/>
      <c r="H593" s="45"/>
      <c r="I593" s="122"/>
      <c r="K593" s="556"/>
      <c r="L593" s="557"/>
      <c r="M593" s="556"/>
      <c r="N593" s="556"/>
      <c r="O593" s="556"/>
      <c r="P593" s="557"/>
      <c r="Q593" s="556"/>
      <c r="R593" s="557"/>
      <c r="S593" s="556"/>
      <c r="T593" s="557"/>
    </row>
    <row r="594">
      <c r="A594" s="45"/>
      <c r="B594" s="45"/>
      <c r="C594" s="554"/>
      <c r="D594" s="555"/>
      <c r="E594" s="555"/>
      <c r="F594" s="45"/>
      <c r="G594" s="555"/>
      <c r="H594" s="45"/>
      <c r="I594" s="122"/>
      <c r="K594" s="556"/>
      <c r="L594" s="557"/>
      <c r="M594" s="556"/>
      <c r="N594" s="556"/>
      <c r="O594" s="556"/>
      <c r="P594" s="557"/>
      <c r="Q594" s="556"/>
      <c r="R594" s="557"/>
      <c r="S594" s="556"/>
      <c r="T594" s="557"/>
    </row>
    <row r="595">
      <c r="A595" s="45"/>
      <c r="B595" s="45"/>
      <c r="C595" s="554"/>
      <c r="D595" s="555"/>
      <c r="E595" s="555"/>
      <c r="F595" s="45"/>
      <c r="G595" s="555"/>
      <c r="H595" s="45"/>
      <c r="I595" s="122"/>
      <c r="K595" s="556"/>
      <c r="L595" s="557"/>
      <c r="M595" s="556"/>
      <c r="N595" s="556"/>
      <c r="O595" s="556"/>
      <c r="P595" s="557"/>
      <c r="Q595" s="556"/>
      <c r="R595" s="557"/>
      <c r="S595" s="556"/>
      <c r="T595" s="557"/>
    </row>
    <row r="596">
      <c r="A596" s="45"/>
      <c r="B596" s="45"/>
      <c r="C596" s="554"/>
      <c r="D596" s="555"/>
      <c r="E596" s="555"/>
      <c r="F596" s="45"/>
      <c r="G596" s="555"/>
      <c r="H596" s="45"/>
      <c r="I596" s="122"/>
      <c r="K596" s="556"/>
      <c r="L596" s="557"/>
      <c r="M596" s="556"/>
      <c r="N596" s="556"/>
      <c r="O596" s="556"/>
      <c r="P596" s="557"/>
      <c r="Q596" s="556"/>
      <c r="R596" s="557"/>
      <c r="S596" s="556"/>
      <c r="T596" s="557"/>
    </row>
    <row r="597">
      <c r="A597" s="45"/>
      <c r="B597" s="45"/>
      <c r="C597" s="554"/>
      <c r="D597" s="555"/>
      <c r="E597" s="555"/>
      <c r="F597" s="45"/>
      <c r="G597" s="555"/>
      <c r="H597" s="45"/>
      <c r="I597" s="122"/>
      <c r="K597" s="556"/>
      <c r="L597" s="557"/>
      <c r="M597" s="556"/>
      <c r="N597" s="556"/>
      <c r="O597" s="556"/>
      <c r="P597" s="557"/>
      <c r="Q597" s="556"/>
      <c r="R597" s="557"/>
      <c r="S597" s="556"/>
      <c r="T597" s="557"/>
    </row>
    <row r="598">
      <c r="A598" s="45"/>
      <c r="B598" s="45"/>
      <c r="C598" s="554"/>
      <c r="D598" s="555"/>
      <c r="E598" s="555"/>
      <c r="F598" s="45"/>
      <c r="G598" s="555"/>
      <c r="H598" s="45"/>
      <c r="I598" s="122"/>
      <c r="K598" s="556"/>
      <c r="L598" s="557"/>
      <c r="M598" s="556"/>
      <c r="N598" s="556"/>
      <c r="O598" s="556"/>
      <c r="P598" s="557"/>
      <c r="Q598" s="556"/>
      <c r="R598" s="557"/>
      <c r="S598" s="556"/>
      <c r="T598" s="557"/>
    </row>
    <row r="599">
      <c r="A599" s="45"/>
      <c r="B599" s="45"/>
      <c r="C599" s="554"/>
      <c r="D599" s="555"/>
      <c r="E599" s="555"/>
      <c r="F599" s="45"/>
      <c r="G599" s="555"/>
      <c r="H599" s="45"/>
      <c r="I599" s="122"/>
      <c r="K599" s="556"/>
      <c r="L599" s="557"/>
      <c r="M599" s="556"/>
      <c r="N599" s="556"/>
      <c r="O599" s="556"/>
      <c r="P599" s="557"/>
      <c r="Q599" s="556"/>
      <c r="R599" s="557"/>
      <c r="S599" s="556"/>
      <c r="T599" s="557"/>
    </row>
    <row r="600">
      <c r="A600" s="45"/>
      <c r="B600" s="45"/>
      <c r="C600" s="554"/>
      <c r="D600" s="555"/>
      <c r="E600" s="555"/>
      <c r="F600" s="45"/>
      <c r="G600" s="555"/>
      <c r="H600" s="45"/>
      <c r="I600" s="122"/>
      <c r="K600" s="556"/>
      <c r="L600" s="557"/>
      <c r="M600" s="556"/>
      <c r="N600" s="556"/>
      <c r="O600" s="556"/>
      <c r="P600" s="557"/>
      <c r="Q600" s="556"/>
      <c r="R600" s="557"/>
      <c r="S600" s="556"/>
      <c r="T600" s="557"/>
    </row>
    <row r="601">
      <c r="A601" s="45"/>
      <c r="B601" s="45"/>
      <c r="C601" s="554"/>
      <c r="D601" s="555"/>
      <c r="E601" s="555"/>
      <c r="F601" s="45"/>
      <c r="G601" s="555"/>
      <c r="H601" s="45"/>
      <c r="I601" s="122"/>
      <c r="K601" s="556"/>
      <c r="L601" s="557"/>
      <c r="M601" s="556"/>
      <c r="N601" s="556"/>
      <c r="O601" s="556"/>
      <c r="P601" s="557"/>
      <c r="Q601" s="556"/>
      <c r="R601" s="557"/>
      <c r="S601" s="556"/>
      <c r="T601" s="557"/>
    </row>
    <row r="602">
      <c r="A602" s="45"/>
      <c r="B602" s="45"/>
      <c r="C602" s="554"/>
      <c r="D602" s="555"/>
      <c r="E602" s="555"/>
      <c r="F602" s="45"/>
      <c r="G602" s="555"/>
      <c r="H602" s="45"/>
      <c r="I602" s="122"/>
      <c r="K602" s="556"/>
      <c r="L602" s="557"/>
      <c r="M602" s="556"/>
      <c r="N602" s="556"/>
      <c r="O602" s="556"/>
      <c r="P602" s="557"/>
      <c r="Q602" s="556"/>
      <c r="R602" s="557"/>
      <c r="S602" s="556"/>
      <c r="T602" s="557"/>
    </row>
    <row r="603">
      <c r="A603" s="45"/>
      <c r="B603" s="45"/>
      <c r="C603" s="554"/>
      <c r="D603" s="555"/>
      <c r="E603" s="555"/>
      <c r="F603" s="45"/>
      <c r="G603" s="555"/>
      <c r="H603" s="45"/>
      <c r="I603" s="122"/>
      <c r="K603" s="556"/>
      <c r="L603" s="557"/>
      <c r="M603" s="556"/>
      <c r="N603" s="556"/>
      <c r="O603" s="556"/>
      <c r="P603" s="557"/>
      <c r="Q603" s="556"/>
      <c r="R603" s="557"/>
      <c r="S603" s="556"/>
      <c r="T603" s="557"/>
    </row>
    <row r="604">
      <c r="A604" s="45"/>
      <c r="B604" s="45"/>
      <c r="C604" s="554"/>
      <c r="D604" s="555"/>
      <c r="E604" s="555"/>
      <c r="F604" s="45"/>
      <c r="G604" s="555"/>
      <c r="H604" s="45"/>
      <c r="I604" s="122"/>
      <c r="K604" s="556"/>
      <c r="L604" s="557"/>
      <c r="M604" s="556"/>
      <c r="N604" s="556"/>
      <c r="O604" s="556"/>
      <c r="P604" s="557"/>
      <c r="Q604" s="556"/>
      <c r="R604" s="557"/>
      <c r="S604" s="556"/>
      <c r="T604" s="557"/>
    </row>
    <row r="605">
      <c r="A605" s="45"/>
      <c r="B605" s="45"/>
      <c r="C605" s="554"/>
      <c r="D605" s="555"/>
      <c r="E605" s="555"/>
      <c r="F605" s="45"/>
      <c r="G605" s="555"/>
      <c r="H605" s="45"/>
      <c r="I605" s="122"/>
      <c r="K605" s="556"/>
      <c r="L605" s="557"/>
      <c r="M605" s="556"/>
      <c r="N605" s="556"/>
      <c r="O605" s="556"/>
      <c r="P605" s="557"/>
      <c r="Q605" s="556"/>
      <c r="R605" s="557"/>
      <c r="S605" s="556"/>
      <c r="T605" s="557"/>
    </row>
    <row r="606">
      <c r="A606" s="45"/>
      <c r="B606" s="45"/>
      <c r="C606" s="554"/>
      <c r="D606" s="555"/>
      <c r="E606" s="555"/>
      <c r="F606" s="45"/>
      <c r="G606" s="555"/>
      <c r="H606" s="45"/>
      <c r="I606" s="122"/>
      <c r="K606" s="556"/>
      <c r="L606" s="557"/>
      <c r="M606" s="556"/>
      <c r="N606" s="556"/>
      <c r="O606" s="556"/>
      <c r="P606" s="557"/>
      <c r="Q606" s="556"/>
      <c r="R606" s="557"/>
      <c r="S606" s="556"/>
      <c r="T606" s="557"/>
    </row>
    <row r="607">
      <c r="A607" s="45"/>
      <c r="B607" s="45"/>
      <c r="C607" s="554"/>
      <c r="D607" s="555"/>
      <c r="E607" s="555"/>
      <c r="F607" s="45"/>
      <c r="G607" s="555"/>
      <c r="H607" s="45"/>
      <c r="I607" s="122"/>
      <c r="K607" s="556"/>
      <c r="L607" s="557"/>
      <c r="M607" s="556"/>
      <c r="N607" s="556"/>
      <c r="O607" s="556"/>
      <c r="P607" s="557"/>
      <c r="Q607" s="556"/>
      <c r="R607" s="557"/>
      <c r="S607" s="556"/>
      <c r="T607" s="557"/>
    </row>
    <row r="608">
      <c r="A608" s="45"/>
      <c r="B608" s="45"/>
      <c r="C608" s="554"/>
      <c r="D608" s="555"/>
      <c r="E608" s="555"/>
      <c r="F608" s="45"/>
      <c r="G608" s="555"/>
      <c r="H608" s="45"/>
      <c r="I608" s="122"/>
      <c r="K608" s="556"/>
      <c r="L608" s="557"/>
      <c r="M608" s="556"/>
      <c r="N608" s="556"/>
      <c r="O608" s="556"/>
      <c r="P608" s="557"/>
      <c r="Q608" s="556"/>
      <c r="R608" s="557"/>
      <c r="S608" s="556"/>
      <c r="T608" s="557"/>
    </row>
    <row r="609">
      <c r="A609" s="45"/>
      <c r="B609" s="45"/>
      <c r="C609" s="554"/>
      <c r="D609" s="555"/>
      <c r="E609" s="555"/>
      <c r="F609" s="45"/>
      <c r="G609" s="555"/>
      <c r="H609" s="45"/>
      <c r="I609" s="122"/>
      <c r="K609" s="556"/>
      <c r="L609" s="557"/>
      <c r="M609" s="556"/>
      <c r="N609" s="556"/>
      <c r="O609" s="556"/>
      <c r="P609" s="557"/>
      <c r="Q609" s="556"/>
      <c r="R609" s="557"/>
      <c r="S609" s="556"/>
      <c r="T609" s="557"/>
    </row>
    <row r="610">
      <c r="A610" s="45"/>
      <c r="B610" s="45"/>
      <c r="C610" s="554"/>
      <c r="D610" s="555"/>
      <c r="E610" s="555"/>
      <c r="F610" s="45"/>
      <c r="G610" s="555"/>
      <c r="H610" s="45"/>
      <c r="I610" s="122"/>
      <c r="K610" s="556"/>
      <c r="L610" s="557"/>
      <c r="M610" s="556"/>
      <c r="N610" s="556"/>
      <c r="O610" s="556"/>
      <c r="P610" s="557"/>
      <c r="Q610" s="556"/>
      <c r="R610" s="557"/>
      <c r="S610" s="556"/>
      <c r="T610" s="557"/>
    </row>
    <row r="611">
      <c r="A611" s="45"/>
      <c r="B611" s="45"/>
      <c r="C611" s="554"/>
      <c r="D611" s="555"/>
      <c r="E611" s="555"/>
      <c r="F611" s="45"/>
      <c r="G611" s="555"/>
      <c r="H611" s="45"/>
      <c r="I611" s="122"/>
      <c r="K611" s="556"/>
      <c r="L611" s="557"/>
      <c r="M611" s="556"/>
      <c r="N611" s="556"/>
      <c r="O611" s="556"/>
      <c r="P611" s="557"/>
      <c r="Q611" s="556"/>
      <c r="R611" s="557"/>
      <c r="S611" s="556"/>
      <c r="T611" s="557"/>
    </row>
    <row r="612">
      <c r="A612" s="45"/>
      <c r="B612" s="45"/>
      <c r="C612" s="554"/>
      <c r="D612" s="555"/>
      <c r="E612" s="555"/>
      <c r="F612" s="45"/>
      <c r="G612" s="555"/>
      <c r="H612" s="45"/>
      <c r="I612" s="122"/>
      <c r="K612" s="556"/>
      <c r="L612" s="557"/>
      <c r="M612" s="556"/>
      <c r="N612" s="556"/>
      <c r="O612" s="556"/>
      <c r="P612" s="557"/>
      <c r="Q612" s="556"/>
      <c r="R612" s="557"/>
      <c r="S612" s="556"/>
      <c r="T612" s="557"/>
    </row>
    <row r="613">
      <c r="A613" s="45"/>
      <c r="B613" s="45"/>
      <c r="C613" s="554"/>
      <c r="D613" s="555"/>
      <c r="E613" s="555"/>
      <c r="F613" s="45"/>
      <c r="G613" s="555"/>
      <c r="H613" s="45"/>
      <c r="I613" s="122"/>
      <c r="K613" s="556"/>
      <c r="L613" s="557"/>
      <c r="M613" s="556"/>
      <c r="N613" s="556"/>
      <c r="O613" s="556"/>
      <c r="P613" s="557"/>
      <c r="Q613" s="556"/>
      <c r="R613" s="557"/>
      <c r="S613" s="556"/>
      <c r="T613" s="557"/>
    </row>
    <row r="614">
      <c r="A614" s="45"/>
      <c r="B614" s="45"/>
      <c r="C614" s="554"/>
      <c r="D614" s="555"/>
      <c r="E614" s="555"/>
      <c r="F614" s="45"/>
      <c r="G614" s="555"/>
      <c r="H614" s="45"/>
      <c r="I614" s="122"/>
      <c r="K614" s="556"/>
      <c r="L614" s="557"/>
      <c r="M614" s="556"/>
      <c r="N614" s="556"/>
      <c r="O614" s="556"/>
      <c r="P614" s="557"/>
      <c r="Q614" s="556"/>
      <c r="R614" s="557"/>
      <c r="S614" s="556"/>
      <c r="T614" s="557"/>
    </row>
    <row r="615">
      <c r="A615" s="45"/>
      <c r="B615" s="45"/>
      <c r="C615" s="554"/>
      <c r="D615" s="555"/>
      <c r="E615" s="555"/>
      <c r="F615" s="45"/>
      <c r="G615" s="555"/>
      <c r="H615" s="45"/>
      <c r="I615" s="122"/>
      <c r="K615" s="556"/>
      <c r="L615" s="557"/>
      <c r="M615" s="556"/>
      <c r="N615" s="556"/>
      <c r="O615" s="556"/>
      <c r="P615" s="557"/>
      <c r="Q615" s="556"/>
      <c r="R615" s="557"/>
      <c r="S615" s="556"/>
      <c r="T615" s="557"/>
    </row>
    <row r="616">
      <c r="A616" s="45"/>
      <c r="B616" s="45"/>
      <c r="C616" s="554"/>
      <c r="D616" s="555"/>
      <c r="E616" s="555"/>
      <c r="F616" s="45"/>
      <c r="G616" s="555"/>
      <c r="H616" s="45"/>
      <c r="I616" s="122"/>
      <c r="K616" s="556"/>
      <c r="L616" s="557"/>
      <c r="M616" s="556"/>
      <c r="N616" s="556"/>
      <c r="O616" s="556"/>
      <c r="P616" s="557"/>
      <c r="Q616" s="556"/>
      <c r="R616" s="557"/>
      <c r="S616" s="556"/>
      <c r="T616" s="557"/>
    </row>
    <row r="617">
      <c r="A617" s="45"/>
      <c r="B617" s="45"/>
      <c r="C617" s="554"/>
      <c r="D617" s="555"/>
      <c r="E617" s="555"/>
      <c r="F617" s="45"/>
      <c r="G617" s="555"/>
      <c r="H617" s="45"/>
      <c r="I617" s="122"/>
      <c r="K617" s="556"/>
      <c r="L617" s="557"/>
      <c r="M617" s="556"/>
      <c r="N617" s="556"/>
      <c r="O617" s="556"/>
      <c r="P617" s="557"/>
      <c r="Q617" s="556"/>
      <c r="R617" s="557"/>
      <c r="S617" s="556"/>
      <c r="T617" s="557"/>
    </row>
    <row r="618">
      <c r="A618" s="45"/>
      <c r="B618" s="45"/>
      <c r="C618" s="554"/>
      <c r="D618" s="555"/>
      <c r="E618" s="555"/>
      <c r="F618" s="45"/>
      <c r="G618" s="555"/>
      <c r="H618" s="45"/>
      <c r="I618" s="122"/>
      <c r="K618" s="556"/>
      <c r="L618" s="557"/>
      <c r="M618" s="556"/>
      <c r="N618" s="556"/>
      <c r="O618" s="556"/>
      <c r="P618" s="557"/>
      <c r="Q618" s="556"/>
      <c r="R618" s="557"/>
      <c r="S618" s="556"/>
      <c r="T618" s="557"/>
    </row>
    <row r="619">
      <c r="A619" s="45"/>
      <c r="B619" s="45"/>
      <c r="C619" s="554"/>
      <c r="D619" s="555"/>
      <c r="E619" s="555"/>
      <c r="F619" s="45"/>
      <c r="G619" s="555"/>
      <c r="H619" s="45"/>
      <c r="I619" s="122"/>
      <c r="K619" s="556"/>
      <c r="L619" s="557"/>
      <c r="M619" s="556"/>
      <c r="N619" s="556"/>
      <c r="O619" s="556"/>
      <c r="P619" s="557"/>
      <c r="Q619" s="556"/>
      <c r="R619" s="557"/>
      <c r="S619" s="556"/>
      <c r="T619" s="557"/>
    </row>
    <row r="620">
      <c r="A620" s="45"/>
      <c r="B620" s="45"/>
      <c r="C620" s="554"/>
      <c r="D620" s="555"/>
      <c r="E620" s="555"/>
      <c r="F620" s="45"/>
      <c r="G620" s="555"/>
      <c r="H620" s="45"/>
      <c r="I620" s="122"/>
      <c r="K620" s="556"/>
      <c r="L620" s="557"/>
      <c r="M620" s="556"/>
      <c r="N620" s="556"/>
      <c r="O620" s="556"/>
      <c r="P620" s="557"/>
      <c r="Q620" s="556"/>
      <c r="R620" s="557"/>
      <c r="S620" s="556"/>
      <c r="T620" s="557"/>
    </row>
    <row r="621">
      <c r="A621" s="45"/>
      <c r="B621" s="45"/>
      <c r="C621" s="554"/>
      <c r="D621" s="555"/>
      <c r="E621" s="555"/>
      <c r="F621" s="45"/>
      <c r="G621" s="555"/>
      <c r="H621" s="45"/>
      <c r="I621" s="122"/>
      <c r="K621" s="556"/>
      <c r="L621" s="557"/>
      <c r="M621" s="556"/>
      <c r="N621" s="556"/>
      <c r="O621" s="556"/>
      <c r="P621" s="557"/>
      <c r="Q621" s="556"/>
      <c r="R621" s="557"/>
      <c r="S621" s="556"/>
      <c r="T621" s="557"/>
    </row>
    <row r="622">
      <c r="A622" s="45"/>
      <c r="B622" s="45"/>
      <c r="C622" s="554"/>
      <c r="D622" s="555"/>
      <c r="E622" s="555"/>
      <c r="F622" s="45"/>
      <c r="G622" s="555"/>
      <c r="H622" s="45"/>
      <c r="I622" s="122"/>
      <c r="K622" s="556"/>
      <c r="L622" s="557"/>
      <c r="M622" s="556"/>
      <c r="N622" s="556"/>
      <c r="O622" s="556"/>
      <c r="P622" s="557"/>
      <c r="Q622" s="556"/>
      <c r="R622" s="557"/>
      <c r="S622" s="556"/>
      <c r="T622" s="557"/>
    </row>
    <row r="623">
      <c r="A623" s="45"/>
      <c r="B623" s="45"/>
      <c r="C623" s="554"/>
      <c r="D623" s="555"/>
      <c r="E623" s="555"/>
      <c r="F623" s="45"/>
      <c r="G623" s="555"/>
      <c r="H623" s="45"/>
      <c r="I623" s="122"/>
      <c r="K623" s="556"/>
      <c r="L623" s="557"/>
      <c r="M623" s="556"/>
      <c r="N623" s="556"/>
      <c r="O623" s="556"/>
      <c r="P623" s="557"/>
      <c r="Q623" s="556"/>
      <c r="R623" s="557"/>
      <c r="S623" s="556"/>
      <c r="T623" s="557"/>
    </row>
    <row r="624">
      <c r="A624" s="45"/>
      <c r="B624" s="45"/>
      <c r="C624" s="554"/>
      <c r="D624" s="555"/>
      <c r="E624" s="555"/>
      <c r="F624" s="45"/>
      <c r="G624" s="555"/>
      <c r="H624" s="45"/>
      <c r="I624" s="122"/>
      <c r="K624" s="556"/>
      <c r="L624" s="557"/>
      <c r="M624" s="556"/>
      <c r="N624" s="556"/>
      <c r="O624" s="556"/>
      <c r="P624" s="557"/>
      <c r="Q624" s="556"/>
      <c r="R624" s="557"/>
      <c r="S624" s="556"/>
      <c r="T624" s="557"/>
    </row>
    <row r="625">
      <c r="A625" s="45"/>
      <c r="B625" s="45"/>
      <c r="C625" s="554"/>
      <c r="D625" s="555"/>
      <c r="E625" s="555"/>
      <c r="F625" s="45"/>
      <c r="G625" s="555"/>
      <c r="H625" s="45"/>
      <c r="I625" s="122"/>
      <c r="K625" s="556"/>
      <c r="L625" s="557"/>
      <c r="M625" s="556"/>
      <c r="N625" s="556"/>
      <c r="O625" s="556"/>
      <c r="P625" s="557"/>
      <c r="Q625" s="556"/>
      <c r="R625" s="557"/>
      <c r="S625" s="556"/>
      <c r="T625" s="557"/>
    </row>
    <row r="626">
      <c r="A626" s="45"/>
      <c r="B626" s="45"/>
      <c r="C626" s="554"/>
      <c r="D626" s="555"/>
      <c r="E626" s="555"/>
      <c r="F626" s="45"/>
      <c r="G626" s="555"/>
      <c r="H626" s="45"/>
      <c r="I626" s="122"/>
      <c r="K626" s="556"/>
      <c r="L626" s="557"/>
      <c r="M626" s="556"/>
      <c r="N626" s="556"/>
      <c r="O626" s="556"/>
      <c r="P626" s="557"/>
      <c r="Q626" s="556"/>
      <c r="R626" s="557"/>
      <c r="S626" s="556"/>
      <c r="T626" s="557"/>
    </row>
    <row r="627">
      <c r="A627" s="45"/>
      <c r="B627" s="45"/>
      <c r="C627" s="554"/>
      <c r="D627" s="555"/>
      <c r="E627" s="555"/>
      <c r="F627" s="45"/>
      <c r="G627" s="555"/>
      <c r="H627" s="45"/>
      <c r="I627" s="122"/>
      <c r="K627" s="556"/>
      <c r="L627" s="557"/>
      <c r="M627" s="556"/>
      <c r="N627" s="556"/>
      <c r="O627" s="556"/>
      <c r="P627" s="557"/>
      <c r="Q627" s="556"/>
      <c r="R627" s="557"/>
      <c r="S627" s="556"/>
      <c r="T627" s="557"/>
    </row>
    <row r="628">
      <c r="A628" s="45"/>
      <c r="B628" s="45"/>
      <c r="C628" s="554"/>
      <c r="D628" s="555"/>
      <c r="E628" s="555"/>
      <c r="F628" s="45"/>
      <c r="G628" s="555"/>
      <c r="H628" s="45"/>
      <c r="I628" s="122"/>
      <c r="K628" s="556"/>
      <c r="L628" s="557"/>
      <c r="M628" s="556"/>
      <c r="N628" s="556"/>
      <c r="O628" s="556"/>
      <c r="P628" s="557"/>
      <c r="Q628" s="556"/>
      <c r="R628" s="557"/>
      <c r="S628" s="556"/>
      <c r="T628" s="557"/>
    </row>
    <row r="629">
      <c r="A629" s="45"/>
      <c r="B629" s="45"/>
      <c r="C629" s="554"/>
      <c r="D629" s="555"/>
      <c r="E629" s="555"/>
      <c r="F629" s="45"/>
      <c r="G629" s="555"/>
      <c r="H629" s="45"/>
      <c r="I629" s="122"/>
      <c r="K629" s="556"/>
      <c r="L629" s="557"/>
      <c r="M629" s="556"/>
      <c r="N629" s="556"/>
      <c r="O629" s="556"/>
      <c r="P629" s="557"/>
      <c r="Q629" s="556"/>
      <c r="R629" s="557"/>
      <c r="S629" s="556"/>
      <c r="T629" s="557"/>
    </row>
    <row r="630">
      <c r="A630" s="45"/>
      <c r="B630" s="45"/>
      <c r="C630" s="554"/>
      <c r="D630" s="555"/>
      <c r="E630" s="555"/>
      <c r="F630" s="45"/>
      <c r="G630" s="555"/>
      <c r="H630" s="45"/>
      <c r="I630" s="122"/>
      <c r="K630" s="556"/>
      <c r="L630" s="557"/>
      <c r="M630" s="556"/>
      <c r="N630" s="556"/>
      <c r="O630" s="556"/>
      <c r="P630" s="557"/>
      <c r="Q630" s="556"/>
      <c r="R630" s="557"/>
      <c r="S630" s="556"/>
      <c r="T630" s="557"/>
    </row>
    <row r="631">
      <c r="A631" s="45"/>
      <c r="B631" s="45"/>
      <c r="C631" s="554"/>
      <c r="D631" s="555"/>
      <c r="E631" s="555"/>
      <c r="F631" s="45"/>
      <c r="G631" s="555"/>
      <c r="H631" s="45"/>
      <c r="I631" s="122"/>
      <c r="K631" s="556"/>
      <c r="L631" s="557"/>
      <c r="M631" s="556"/>
      <c r="N631" s="556"/>
      <c r="O631" s="556"/>
      <c r="P631" s="557"/>
      <c r="Q631" s="556"/>
      <c r="R631" s="557"/>
      <c r="S631" s="556"/>
      <c r="T631" s="557"/>
    </row>
    <row r="632">
      <c r="A632" s="45"/>
      <c r="B632" s="45"/>
      <c r="C632" s="554"/>
      <c r="D632" s="555"/>
      <c r="E632" s="555"/>
      <c r="F632" s="45"/>
      <c r="G632" s="555"/>
      <c r="H632" s="45"/>
      <c r="I632" s="122"/>
      <c r="K632" s="556"/>
      <c r="L632" s="557"/>
      <c r="M632" s="556"/>
      <c r="N632" s="556"/>
      <c r="O632" s="556"/>
      <c r="P632" s="557"/>
      <c r="Q632" s="556"/>
      <c r="R632" s="557"/>
      <c r="S632" s="556"/>
      <c r="T632" s="557"/>
    </row>
    <row r="633">
      <c r="A633" s="45"/>
      <c r="B633" s="45"/>
      <c r="C633" s="554"/>
      <c r="D633" s="555"/>
      <c r="E633" s="555"/>
      <c r="F633" s="45"/>
      <c r="G633" s="555"/>
      <c r="H633" s="45"/>
      <c r="I633" s="122"/>
      <c r="K633" s="556"/>
      <c r="L633" s="557"/>
      <c r="M633" s="556"/>
      <c r="N633" s="556"/>
      <c r="O633" s="556"/>
      <c r="P633" s="557"/>
      <c r="Q633" s="556"/>
      <c r="R633" s="557"/>
      <c r="S633" s="556"/>
      <c r="T633" s="557"/>
    </row>
    <row r="634">
      <c r="A634" s="45"/>
      <c r="B634" s="45"/>
      <c r="C634" s="554"/>
      <c r="D634" s="555"/>
      <c r="E634" s="555"/>
      <c r="F634" s="45"/>
      <c r="G634" s="555"/>
      <c r="H634" s="45"/>
      <c r="I634" s="122"/>
      <c r="K634" s="556"/>
      <c r="L634" s="557"/>
      <c r="M634" s="556"/>
      <c r="N634" s="556"/>
      <c r="O634" s="556"/>
      <c r="P634" s="557"/>
      <c r="Q634" s="556"/>
      <c r="R634" s="557"/>
      <c r="S634" s="556"/>
      <c r="T634" s="557"/>
    </row>
    <row r="635">
      <c r="A635" s="45"/>
      <c r="B635" s="45"/>
      <c r="C635" s="554"/>
      <c r="D635" s="555"/>
      <c r="E635" s="555"/>
      <c r="F635" s="45"/>
      <c r="G635" s="555"/>
      <c r="H635" s="45"/>
      <c r="I635" s="122"/>
      <c r="K635" s="556"/>
      <c r="L635" s="557"/>
      <c r="M635" s="556"/>
      <c r="N635" s="556"/>
      <c r="O635" s="556"/>
      <c r="P635" s="557"/>
      <c r="Q635" s="556"/>
      <c r="R635" s="557"/>
      <c r="S635" s="556"/>
      <c r="T635" s="557"/>
    </row>
    <row r="636">
      <c r="A636" s="45"/>
      <c r="B636" s="45"/>
      <c r="C636" s="554"/>
      <c r="D636" s="555"/>
      <c r="E636" s="555"/>
      <c r="F636" s="45"/>
      <c r="G636" s="555"/>
      <c r="H636" s="45"/>
      <c r="I636" s="122"/>
      <c r="K636" s="556"/>
      <c r="L636" s="557"/>
      <c r="M636" s="556"/>
      <c r="N636" s="556"/>
      <c r="O636" s="556"/>
      <c r="P636" s="557"/>
      <c r="Q636" s="556"/>
      <c r="R636" s="557"/>
      <c r="S636" s="556"/>
      <c r="T636" s="557"/>
    </row>
    <row r="637">
      <c r="A637" s="45"/>
      <c r="B637" s="45"/>
      <c r="C637" s="554"/>
      <c r="D637" s="555"/>
      <c r="E637" s="555"/>
      <c r="F637" s="45"/>
      <c r="G637" s="555"/>
      <c r="H637" s="45"/>
      <c r="I637" s="122"/>
      <c r="K637" s="556"/>
      <c r="L637" s="557"/>
      <c r="M637" s="556"/>
      <c r="N637" s="556"/>
      <c r="O637" s="556"/>
      <c r="P637" s="557"/>
      <c r="Q637" s="556"/>
      <c r="R637" s="557"/>
      <c r="S637" s="556"/>
      <c r="T637" s="557"/>
    </row>
    <row r="638">
      <c r="A638" s="45"/>
      <c r="B638" s="45"/>
      <c r="C638" s="554"/>
      <c r="D638" s="555"/>
      <c r="E638" s="555"/>
      <c r="F638" s="45"/>
      <c r="G638" s="555"/>
      <c r="H638" s="45"/>
      <c r="I638" s="122"/>
      <c r="K638" s="556"/>
      <c r="L638" s="557"/>
      <c r="M638" s="556"/>
      <c r="N638" s="556"/>
      <c r="O638" s="556"/>
      <c r="P638" s="557"/>
      <c r="Q638" s="556"/>
      <c r="R638" s="557"/>
      <c r="S638" s="556"/>
      <c r="T638" s="557"/>
    </row>
    <row r="639">
      <c r="A639" s="45"/>
      <c r="B639" s="45"/>
      <c r="C639" s="554"/>
      <c r="D639" s="555"/>
      <c r="E639" s="555"/>
      <c r="F639" s="45"/>
      <c r="G639" s="555"/>
      <c r="H639" s="45"/>
      <c r="I639" s="122"/>
      <c r="K639" s="556"/>
      <c r="L639" s="557"/>
      <c r="M639" s="556"/>
      <c r="N639" s="556"/>
      <c r="O639" s="556"/>
      <c r="P639" s="557"/>
      <c r="Q639" s="556"/>
      <c r="R639" s="557"/>
      <c r="S639" s="556"/>
      <c r="T639" s="557"/>
    </row>
    <row r="640">
      <c r="A640" s="45"/>
      <c r="B640" s="45"/>
      <c r="C640" s="554"/>
      <c r="D640" s="555"/>
      <c r="E640" s="555"/>
      <c r="F640" s="45"/>
      <c r="G640" s="555"/>
      <c r="H640" s="45"/>
      <c r="I640" s="122"/>
      <c r="K640" s="556"/>
      <c r="L640" s="557"/>
      <c r="M640" s="556"/>
      <c r="N640" s="556"/>
      <c r="O640" s="556"/>
      <c r="P640" s="557"/>
      <c r="Q640" s="556"/>
      <c r="R640" s="557"/>
      <c r="S640" s="556"/>
      <c r="T640" s="557"/>
    </row>
    <row r="641">
      <c r="A641" s="45"/>
      <c r="B641" s="45"/>
      <c r="C641" s="554"/>
      <c r="D641" s="555"/>
      <c r="E641" s="555"/>
      <c r="F641" s="45"/>
      <c r="G641" s="555"/>
      <c r="H641" s="45"/>
      <c r="I641" s="122"/>
      <c r="K641" s="556"/>
      <c r="L641" s="557"/>
      <c r="M641" s="556"/>
      <c r="N641" s="556"/>
      <c r="O641" s="556"/>
      <c r="P641" s="557"/>
      <c r="Q641" s="556"/>
      <c r="R641" s="557"/>
      <c r="S641" s="556"/>
      <c r="T641" s="557"/>
    </row>
    <row r="642">
      <c r="A642" s="45"/>
      <c r="B642" s="45"/>
      <c r="C642" s="554"/>
      <c r="D642" s="555"/>
      <c r="E642" s="555"/>
      <c r="F642" s="45"/>
      <c r="G642" s="555"/>
      <c r="H642" s="45"/>
      <c r="I642" s="122"/>
      <c r="K642" s="556"/>
      <c r="L642" s="557"/>
      <c r="M642" s="556"/>
      <c r="N642" s="556"/>
      <c r="O642" s="556"/>
      <c r="P642" s="557"/>
      <c r="Q642" s="556"/>
      <c r="R642" s="557"/>
      <c r="S642" s="556"/>
      <c r="T642" s="557"/>
    </row>
    <row r="643">
      <c r="A643" s="45"/>
      <c r="B643" s="45"/>
      <c r="C643" s="554"/>
      <c r="D643" s="555"/>
      <c r="E643" s="555"/>
      <c r="F643" s="45"/>
      <c r="G643" s="555"/>
      <c r="H643" s="45"/>
      <c r="I643" s="122"/>
      <c r="K643" s="556"/>
      <c r="L643" s="557"/>
      <c r="M643" s="556"/>
      <c r="N643" s="556"/>
      <c r="O643" s="556"/>
      <c r="P643" s="557"/>
      <c r="Q643" s="556"/>
      <c r="R643" s="557"/>
      <c r="S643" s="556"/>
      <c r="T643" s="557"/>
    </row>
    <row r="644">
      <c r="A644" s="45"/>
      <c r="B644" s="45"/>
      <c r="C644" s="554"/>
      <c r="D644" s="555"/>
      <c r="E644" s="555"/>
      <c r="F644" s="45"/>
      <c r="G644" s="555"/>
      <c r="H644" s="45"/>
      <c r="I644" s="122"/>
      <c r="K644" s="556"/>
      <c r="L644" s="557"/>
      <c r="M644" s="556"/>
      <c r="N644" s="556"/>
      <c r="O644" s="556"/>
      <c r="P644" s="557"/>
      <c r="Q644" s="556"/>
      <c r="R644" s="557"/>
      <c r="S644" s="556"/>
      <c r="T644" s="557"/>
    </row>
    <row r="645">
      <c r="A645" s="45"/>
      <c r="B645" s="45"/>
      <c r="C645" s="554"/>
      <c r="D645" s="555"/>
      <c r="E645" s="555"/>
      <c r="F645" s="45"/>
      <c r="G645" s="555"/>
      <c r="H645" s="45"/>
      <c r="I645" s="122"/>
      <c r="K645" s="556"/>
      <c r="L645" s="557"/>
      <c r="M645" s="556"/>
      <c r="N645" s="556"/>
      <c r="O645" s="556"/>
      <c r="P645" s="557"/>
      <c r="Q645" s="556"/>
      <c r="R645" s="557"/>
      <c r="S645" s="556"/>
      <c r="T645" s="557"/>
    </row>
    <row r="646">
      <c r="A646" s="45"/>
      <c r="B646" s="45"/>
      <c r="C646" s="554"/>
      <c r="D646" s="555"/>
      <c r="E646" s="555"/>
      <c r="F646" s="45"/>
      <c r="G646" s="555"/>
      <c r="H646" s="45"/>
      <c r="I646" s="122"/>
      <c r="K646" s="556"/>
      <c r="L646" s="557"/>
      <c r="M646" s="556"/>
      <c r="N646" s="556"/>
      <c r="O646" s="556"/>
      <c r="P646" s="557"/>
      <c r="Q646" s="556"/>
      <c r="R646" s="557"/>
      <c r="S646" s="556"/>
      <c r="T646" s="557"/>
    </row>
    <row r="647">
      <c r="A647" s="45"/>
      <c r="B647" s="45"/>
      <c r="C647" s="554"/>
      <c r="D647" s="555"/>
      <c r="E647" s="555"/>
      <c r="F647" s="45"/>
      <c r="G647" s="555"/>
      <c r="H647" s="45"/>
      <c r="I647" s="122"/>
      <c r="K647" s="556"/>
      <c r="L647" s="557"/>
      <c r="M647" s="556"/>
      <c r="N647" s="556"/>
      <c r="O647" s="556"/>
      <c r="P647" s="557"/>
      <c r="Q647" s="556"/>
      <c r="R647" s="557"/>
      <c r="S647" s="556"/>
      <c r="T647" s="557"/>
    </row>
    <row r="648">
      <c r="A648" s="45"/>
      <c r="B648" s="45"/>
      <c r="C648" s="554"/>
      <c r="D648" s="555"/>
      <c r="E648" s="555"/>
      <c r="F648" s="45"/>
      <c r="G648" s="555"/>
      <c r="H648" s="45"/>
      <c r="I648" s="122"/>
      <c r="K648" s="556"/>
      <c r="L648" s="557"/>
      <c r="M648" s="556"/>
      <c r="N648" s="556"/>
      <c r="O648" s="556"/>
      <c r="P648" s="557"/>
      <c r="Q648" s="556"/>
      <c r="R648" s="557"/>
      <c r="S648" s="556"/>
      <c r="T648" s="557"/>
    </row>
    <row r="649">
      <c r="A649" s="45"/>
      <c r="B649" s="45"/>
      <c r="C649" s="554"/>
      <c r="D649" s="555"/>
      <c r="E649" s="555"/>
      <c r="F649" s="45"/>
      <c r="G649" s="555"/>
      <c r="H649" s="45"/>
      <c r="I649" s="122"/>
      <c r="K649" s="556"/>
      <c r="L649" s="557"/>
      <c r="M649" s="556"/>
      <c r="N649" s="556"/>
      <c r="O649" s="556"/>
      <c r="P649" s="557"/>
      <c r="Q649" s="556"/>
      <c r="R649" s="557"/>
      <c r="S649" s="556"/>
      <c r="T649" s="557"/>
    </row>
    <row r="650">
      <c r="A650" s="45"/>
      <c r="B650" s="45"/>
      <c r="C650" s="554"/>
      <c r="D650" s="555"/>
      <c r="E650" s="555"/>
      <c r="F650" s="45"/>
      <c r="G650" s="555"/>
      <c r="H650" s="45"/>
      <c r="I650" s="122"/>
      <c r="K650" s="556"/>
      <c r="L650" s="557"/>
      <c r="M650" s="556"/>
      <c r="N650" s="556"/>
      <c r="O650" s="556"/>
      <c r="P650" s="557"/>
      <c r="Q650" s="556"/>
      <c r="R650" s="557"/>
      <c r="S650" s="556"/>
      <c r="T650" s="557"/>
    </row>
    <row r="651">
      <c r="A651" s="45"/>
      <c r="B651" s="45"/>
      <c r="C651" s="554"/>
      <c r="D651" s="555"/>
      <c r="E651" s="555"/>
      <c r="F651" s="45"/>
      <c r="G651" s="555"/>
      <c r="H651" s="45"/>
      <c r="I651" s="122"/>
      <c r="K651" s="556"/>
      <c r="L651" s="557"/>
      <c r="M651" s="556"/>
      <c r="N651" s="556"/>
      <c r="O651" s="556"/>
      <c r="P651" s="557"/>
      <c r="Q651" s="556"/>
      <c r="R651" s="557"/>
      <c r="S651" s="556"/>
      <c r="T651" s="557"/>
    </row>
    <row r="652">
      <c r="A652" s="45"/>
      <c r="B652" s="45"/>
      <c r="C652" s="554"/>
      <c r="D652" s="555"/>
      <c r="E652" s="555"/>
      <c r="F652" s="45"/>
      <c r="G652" s="555"/>
      <c r="H652" s="45"/>
      <c r="I652" s="122"/>
      <c r="K652" s="556"/>
      <c r="L652" s="557"/>
      <c r="M652" s="556"/>
      <c r="N652" s="556"/>
      <c r="O652" s="556"/>
      <c r="P652" s="557"/>
      <c r="Q652" s="556"/>
      <c r="R652" s="557"/>
      <c r="S652" s="556"/>
      <c r="T652" s="557"/>
    </row>
    <row r="653">
      <c r="A653" s="45"/>
      <c r="B653" s="45"/>
      <c r="C653" s="554"/>
      <c r="D653" s="555"/>
      <c r="E653" s="555"/>
      <c r="F653" s="45"/>
      <c r="G653" s="555"/>
      <c r="H653" s="45"/>
      <c r="I653" s="122"/>
      <c r="K653" s="556"/>
      <c r="L653" s="557"/>
      <c r="M653" s="556"/>
      <c r="N653" s="556"/>
      <c r="O653" s="556"/>
      <c r="P653" s="557"/>
      <c r="Q653" s="556"/>
      <c r="R653" s="557"/>
      <c r="S653" s="556"/>
      <c r="T653" s="557"/>
    </row>
    <row r="654">
      <c r="A654" s="45"/>
      <c r="B654" s="45"/>
      <c r="C654" s="554"/>
      <c r="D654" s="555"/>
      <c r="E654" s="555"/>
      <c r="F654" s="45"/>
      <c r="G654" s="555"/>
      <c r="H654" s="45"/>
      <c r="I654" s="122"/>
      <c r="K654" s="556"/>
      <c r="L654" s="557"/>
      <c r="M654" s="556"/>
      <c r="N654" s="556"/>
      <c r="O654" s="556"/>
      <c r="P654" s="557"/>
      <c r="Q654" s="556"/>
      <c r="R654" s="557"/>
      <c r="S654" s="556"/>
      <c r="T654" s="557"/>
    </row>
    <row r="655">
      <c r="A655" s="45"/>
      <c r="B655" s="45"/>
      <c r="C655" s="554"/>
      <c r="D655" s="555"/>
      <c r="E655" s="555"/>
      <c r="F655" s="45"/>
      <c r="G655" s="555"/>
      <c r="H655" s="45"/>
      <c r="I655" s="122"/>
      <c r="K655" s="556"/>
      <c r="L655" s="557"/>
      <c r="M655" s="556"/>
      <c r="N655" s="556"/>
      <c r="O655" s="556"/>
      <c r="P655" s="557"/>
      <c r="Q655" s="556"/>
      <c r="R655" s="557"/>
      <c r="S655" s="556"/>
      <c r="T655" s="557"/>
    </row>
    <row r="656">
      <c r="A656" s="45"/>
      <c r="B656" s="45"/>
      <c r="C656" s="554"/>
      <c r="D656" s="555"/>
      <c r="E656" s="555"/>
      <c r="F656" s="45"/>
      <c r="G656" s="555"/>
      <c r="H656" s="45"/>
      <c r="I656" s="122"/>
      <c r="K656" s="556"/>
      <c r="L656" s="557"/>
      <c r="M656" s="556"/>
      <c r="N656" s="556"/>
      <c r="O656" s="556"/>
      <c r="P656" s="557"/>
      <c r="Q656" s="556"/>
      <c r="R656" s="557"/>
      <c r="S656" s="556"/>
      <c r="T656" s="557"/>
    </row>
    <row r="657">
      <c r="A657" s="45"/>
      <c r="B657" s="45"/>
      <c r="C657" s="554"/>
      <c r="D657" s="555"/>
      <c r="E657" s="555"/>
      <c r="F657" s="45"/>
      <c r="G657" s="555"/>
      <c r="H657" s="45"/>
      <c r="I657" s="122"/>
      <c r="K657" s="556"/>
      <c r="L657" s="557"/>
      <c r="M657" s="556"/>
      <c r="N657" s="556"/>
      <c r="O657" s="556"/>
      <c r="P657" s="557"/>
      <c r="Q657" s="556"/>
      <c r="R657" s="557"/>
      <c r="S657" s="556"/>
      <c r="T657" s="557"/>
    </row>
    <row r="658">
      <c r="A658" s="45"/>
      <c r="B658" s="45"/>
      <c r="C658" s="554"/>
      <c r="D658" s="555"/>
      <c r="E658" s="555"/>
      <c r="F658" s="45"/>
      <c r="G658" s="555"/>
      <c r="H658" s="45"/>
      <c r="I658" s="122"/>
      <c r="K658" s="556"/>
      <c r="L658" s="557"/>
      <c r="M658" s="556"/>
      <c r="N658" s="556"/>
      <c r="O658" s="556"/>
      <c r="P658" s="557"/>
      <c r="Q658" s="556"/>
      <c r="R658" s="557"/>
      <c r="S658" s="556"/>
      <c r="T658" s="557"/>
    </row>
    <row r="659">
      <c r="A659" s="45"/>
      <c r="B659" s="45"/>
      <c r="C659" s="554"/>
      <c r="D659" s="555"/>
      <c r="E659" s="555"/>
      <c r="F659" s="45"/>
      <c r="G659" s="555"/>
      <c r="H659" s="45"/>
      <c r="I659" s="122"/>
      <c r="K659" s="556"/>
      <c r="L659" s="557"/>
      <c r="M659" s="556"/>
      <c r="N659" s="556"/>
      <c r="O659" s="556"/>
      <c r="P659" s="557"/>
      <c r="Q659" s="556"/>
      <c r="R659" s="557"/>
      <c r="S659" s="556"/>
      <c r="T659" s="557"/>
    </row>
    <row r="660">
      <c r="A660" s="45"/>
      <c r="B660" s="45"/>
      <c r="C660" s="554"/>
      <c r="D660" s="555"/>
      <c r="E660" s="555"/>
      <c r="F660" s="45"/>
      <c r="G660" s="555"/>
      <c r="H660" s="45"/>
      <c r="I660" s="122"/>
      <c r="K660" s="556"/>
      <c r="L660" s="557"/>
      <c r="M660" s="556"/>
      <c r="N660" s="556"/>
      <c r="O660" s="556"/>
      <c r="P660" s="557"/>
      <c r="Q660" s="556"/>
      <c r="R660" s="557"/>
      <c r="S660" s="556"/>
      <c r="T660" s="557"/>
    </row>
    <row r="661">
      <c r="A661" s="45"/>
      <c r="B661" s="45"/>
      <c r="C661" s="554"/>
      <c r="D661" s="555"/>
      <c r="E661" s="555"/>
      <c r="F661" s="45"/>
      <c r="G661" s="555"/>
      <c r="H661" s="45"/>
      <c r="I661" s="122"/>
      <c r="K661" s="556"/>
      <c r="L661" s="557"/>
      <c r="M661" s="556"/>
      <c r="N661" s="556"/>
      <c r="O661" s="556"/>
      <c r="P661" s="557"/>
      <c r="Q661" s="556"/>
      <c r="R661" s="557"/>
      <c r="S661" s="556"/>
      <c r="T661" s="557"/>
    </row>
    <row r="662">
      <c r="A662" s="45"/>
      <c r="B662" s="45"/>
      <c r="C662" s="554"/>
      <c r="D662" s="555"/>
      <c r="E662" s="555"/>
      <c r="F662" s="45"/>
      <c r="G662" s="555"/>
      <c r="H662" s="45"/>
      <c r="I662" s="122"/>
      <c r="K662" s="556"/>
      <c r="L662" s="557"/>
      <c r="M662" s="556"/>
      <c r="N662" s="556"/>
      <c r="O662" s="556"/>
      <c r="P662" s="557"/>
      <c r="Q662" s="556"/>
      <c r="R662" s="557"/>
      <c r="S662" s="556"/>
      <c r="T662" s="557"/>
    </row>
    <row r="663">
      <c r="A663" s="45"/>
      <c r="B663" s="45"/>
      <c r="C663" s="554"/>
      <c r="D663" s="555"/>
      <c r="E663" s="555"/>
      <c r="F663" s="45"/>
      <c r="G663" s="555"/>
      <c r="H663" s="45"/>
      <c r="I663" s="122"/>
      <c r="K663" s="556"/>
      <c r="L663" s="557"/>
      <c r="M663" s="556"/>
      <c r="N663" s="556"/>
      <c r="O663" s="556"/>
      <c r="P663" s="557"/>
      <c r="Q663" s="556"/>
      <c r="R663" s="557"/>
      <c r="S663" s="556"/>
      <c r="T663" s="557"/>
    </row>
    <row r="664">
      <c r="A664" s="45"/>
      <c r="B664" s="45"/>
      <c r="C664" s="554"/>
      <c r="D664" s="555"/>
      <c r="E664" s="555"/>
      <c r="F664" s="45"/>
      <c r="G664" s="555"/>
      <c r="H664" s="45"/>
      <c r="I664" s="122"/>
      <c r="K664" s="556"/>
      <c r="L664" s="557"/>
      <c r="M664" s="556"/>
      <c r="N664" s="556"/>
      <c r="O664" s="556"/>
      <c r="P664" s="557"/>
      <c r="Q664" s="556"/>
      <c r="R664" s="557"/>
      <c r="S664" s="556"/>
      <c r="T664" s="557"/>
    </row>
    <row r="665">
      <c r="A665" s="45"/>
      <c r="B665" s="45"/>
      <c r="C665" s="554"/>
      <c r="D665" s="555"/>
      <c r="E665" s="555"/>
      <c r="F665" s="45"/>
      <c r="G665" s="555"/>
      <c r="H665" s="45"/>
      <c r="I665" s="122"/>
      <c r="K665" s="556"/>
      <c r="L665" s="557"/>
      <c r="M665" s="556"/>
      <c r="N665" s="556"/>
      <c r="O665" s="556"/>
      <c r="P665" s="557"/>
      <c r="Q665" s="556"/>
      <c r="R665" s="557"/>
      <c r="S665" s="556"/>
      <c r="T665" s="557"/>
    </row>
    <row r="666">
      <c r="A666" s="45"/>
      <c r="B666" s="45"/>
      <c r="C666" s="554"/>
      <c r="D666" s="555"/>
      <c r="E666" s="555"/>
      <c r="F666" s="45"/>
      <c r="G666" s="555"/>
      <c r="H666" s="45"/>
      <c r="I666" s="122"/>
      <c r="K666" s="556"/>
      <c r="L666" s="557"/>
      <c r="M666" s="556"/>
      <c r="N666" s="556"/>
      <c r="O666" s="556"/>
      <c r="P666" s="557"/>
      <c r="Q666" s="556"/>
      <c r="R666" s="557"/>
      <c r="S666" s="556"/>
      <c r="T666" s="557"/>
    </row>
    <row r="667">
      <c r="A667" s="45"/>
      <c r="B667" s="45"/>
      <c r="C667" s="554"/>
      <c r="D667" s="555"/>
      <c r="E667" s="555"/>
      <c r="F667" s="45"/>
      <c r="G667" s="555"/>
      <c r="H667" s="45"/>
      <c r="I667" s="122"/>
      <c r="K667" s="556"/>
      <c r="L667" s="557"/>
      <c r="M667" s="556"/>
      <c r="N667" s="556"/>
      <c r="O667" s="556"/>
      <c r="P667" s="557"/>
      <c r="Q667" s="556"/>
      <c r="R667" s="557"/>
      <c r="S667" s="556"/>
      <c r="T667" s="557"/>
    </row>
    <row r="668">
      <c r="A668" s="45"/>
      <c r="B668" s="45"/>
      <c r="C668" s="554"/>
      <c r="D668" s="555"/>
      <c r="E668" s="555"/>
      <c r="F668" s="45"/>
      <c r="G668" s="555"/>
      <c r="H668" s="45"/>
      <c r="I668" s="122"/>
      <c r="K668" s="556"/>
      <c r="L668" s="557"/>
      <c r="M668" s="556"/>
      <c r="N668" s="556"/>
      <c r="O668" s="556"/>
      <c r="P668" s="557"/>
      <c r="Q668" s="556"/>
      <c r="R668" s="557"/>
      <c r="S668" s="556"/>
      <c r="T668" s="557"/>
    </row>
    <row r="669">
      <c r="A669" s="45"/>
      <c r="B669" s="45"/>
      <c r="C669" s="554"/>
      <c r="D669" s="555"/>
      <c r="E669" s="555"/>
      <c r="F669" s="45"/>
      <c r="G669" s="555"/>
      <c r="H669" s="45"/>
      <c r="I669" s="122"/>
      <c r="K669" s="556"/>
      <c r="L669" s="557"/>
      <c r="M669" s="556"/>
      <c r="N669" s="556"/>
      <c r="O669" s="556"/>
      <c r="P669" s="557"/>
      <c r="Q669" s="556"/>
      <c r="R669" s="557"/>
      <c r="S669" s="556"/>
      <c r="T669" s="557"/>
    </row>
    <row r="670">
      <c r="A670" s="45"/>
      <c r="B670" s="45"/>
      <c r="C670" s="554"/>
      <c r="D670" s="555"/>
      <c r="E670" s="555"/>
      <c r="F670" s="45"/>
      <c r="G670" s="555"/>
      <c r="H670" s="45"/>
      <c r="I670" s="122"/>
      <c r="K670" s="556"/>
      <c r="L670" s="557"/>
      <c r="M670" s="556"/>
      <c r="N670" s="556"/>
      <c r="O670" s="556"/>
      <c r="P670" s="557"/>
      <c r="Q670" s="556"/>
      <c r="R670" s="557"/>
      <c r="S670" s="556"/>
      <c r="T670" s="557"/>
    </row>
    <row r="671">
      <c r="A671" s="45"/>
      <c r="B671" s="45"/>
      <c r="C671" s="554"/>
      <c r="D671" s="555"/>
      <c r="E671" s="555"/>
      <c r="F671" s="45"/>
      <c r="G671" s="555"/>
      <c r="H671" s="45"/>
      <c r="I671" s="122"/>
      <c r="K671" s="556"/>
      <c r="L671" s="557"/>
      <c r="M671" s="556"/>
      <c r="N671" s="556"/>
      <c r="O671" s="556"/>
      <c r="P671" s="557"/>
      <c r="Q671" s="556"/>
      <c r="R671" s="557"/>
      <c r="S671" s="556"/>
      <c r="T671" s="557"/>
    </row>
    <row r="672">
      <c r="A672" s="45"/>
      <c r="B672" s="45"/>
      <c r="C672" s="554"/>
      <c r="D672" s="555"/>
      <c r="E672" s="555"/>
      <c r="F672" s="45"/>
      <c r="G672" s="555"/>
      <c r="H672" s="45"/>
      <c r="I672" s="122"/>
      <c r="K672" s="556"/>
      <c r="L672" s="557"/>
      <c r="M672" s="556"/>
      <c r="N672" s="556"/>
      <c r="O672" s="556"/>
      <c r="P672" s="557"/>
      <c r="Q672" s="556"/>
      <c r="R672" s="557"/>
      <c r="S672" s="556"/>
      <c r="T672" s="557"/>
    </row>
    <row r="673">
      <c r="A673" s="45"/>
      <c r="B673" s="45"/>
      <c r="C673" s="554"/>
      <c r="D673" s="555"/>
      <c r="E673" s="555"/>
      <c r="F673" s="45"/>
      <c r="G673" s="555"/>
      <c r="H673" s="45"/>
      <c r="I673" s="122"/>
      <c r="K673" s="556"/>
      <c r="L673" s="557"/>
      <c r="M673" s="556"/>
      <c r="N673" s="556"/>
      <c r="O673" s="556"/>
      <c r="P673" s="557"/>
      <c r="Q673" s="556"/>
      <c r="R673" s="557"/>
      <c r="S673" s="556"/>
      <c r="T673" s="557"/>
    </row>
    <row r="674">
      <c r="A674" s="45"/>
      <c r="B674" s="45"/>
      <c r="C674" s="554"/>
      <c r="D674" s="555"/>
      <c r="E674" s="555"/>
      <c r="F674" s="45"/>
      <c r="G674" s="555"/>
      <c r="H674" s="45"/>
      <c r="I674" s="122"/>
      <c r="K674" s="556"/>
      <c r="L674" s="557"/>
      <c r="M674" s="556"/>
      <c r="N674" s="556"/>
      <c r="O674" s="556"/>
      <c r="P674" s="557"/>
      <c r="Q674" s="556"/>
      <c r="R674" s="557"/>
      <c r="S674" s="556"/>
      <c r="T674" s="557"/>
    </row>
    <row r="675">
      <c r="A675" s="45"/>
      <c r="B675" s="45"/>
      <c r="C675" s="554"/>
      <c r="D675" s="555"/>
      <c r="E675" s="555"/>
      <c r="F675" s="45"/>
      <c r="G675" s="555"/>
      <c r="H675" s="45"/>
      <c r="I675" s="122"/>
      <c r="K675" s="556"/>
      <c r="L675" s="557"/>
      <c r="M675" s="556"/>
      <c r="N675" s="556"/>
      <c r="O675" s="556"/>
      <c r="P675" s="557"/>
      <c r="Q675" s="556"/>
      <c r="R675" s="557"/>
      <c r="S675" s="556"/>
      <c r="T675" s="557"/>
    </row>
    <row r="676">
      <c r="A676" s="45"/>
      <c r="B676" s="45"/>
      <c r="C676" s="554"/>
      <c r="D676" s="555"/>
      <c r="E676" s="555"/>
      <c r="F676" s="45"/>
      <c r="G676" s="555"/>
      <c r="H676" s="45"/>
      <c r="I676" s="122"/>
      <c r="K676" s="556"/>
      <c r="L676" s="557"/>
      <c r="M676" s="556"/>
      <c r="N676" s="556"/>
      <c r="O676" s="556"/>
      <c r="P676" s="557"/>
      <c r="Q676" s="556"/>
      <c r="R676" s="557"/>
      <c r="S676" s="556"/>
      <c r="T676" s="557"/>
    </row>
    <row r="677">
      <c r="A677" s="45"/>
      <c r="B677" s="45"/>
      <c r="C677" s="554"/>
      <c r="D677" s="555"/>
      <c r="E677" s="555"/>
      <c r="F677" s="45"/>
      <c r="G677" s="555"/>
      <c r="H677" s="45"/>
      <c r="I677" s="122"/>
      <c r="K677" s="556"/>
      <c r="L677" s="557"/>
      <c r="M677" s="556"/>
      <c r="N677" s="556"/>
      <c r="O677" s="556"/>
      <c r="P677" s="557"/>
      <c r="Q677" s="556"/>
      <c r="R677" s="557"/>
      <c r="S677" s="556"/>
      <c r="T677" s="557"/>
    </row>
    <row r="678">
      <c r="A678" s="45"/>
      <c r="B678" s="45"/>
      <c r="C678" s="554"/>
      <c r="D678" s="555"/>
      <c r="E678" s="555"/>
      <c r="F678" s="45"/>
      <c r="G678" s="555"/>
      <c r="H678" s="45"/>
      <c r="I678" s="122"/>
      <c r="K678" s="556"/>
      <c r="L678" s="557"/>
      <c r="M678" s="556"/>
      <c r="N678" s="556"/>
      <c r="O678" s="556"/>
      <c r="P678" s="557"/>
      <c r="Q678" s="556"/>
      <c r="R678" s="557"/>
      <c r="S678" s="556"/>
      <c r="T678" s="557"/>
    </row>
    <row r="679">
      <c r="A679" s="45"/>
      <c r="B679" s="45"/>
      <c r="C679" s="554"/>
      <c r="D679" s="555"/>
      <c r="E679" s="555"/>
      <c r="F679" s="45"/>
      <c r="G679" s="555"/>
      <c r="H679" s="45"/>
      <c r="I679" s="122"/>
      <c r="K679" s="556"/>
      <c r="L679" s="557"/>
      <c r="M679" s="556"/>
      <c r="N679" s="556"/>
      <c r="O679" s="556"/>
      <c r="P679" s="557"/>
      <c r="Q679" s="556"/>
      <c r="R679" s="557"/>
      <c r="S679" s="556"/>
      <c r="T679" s="557"/>
    </row>
    <row r="680">
      <c r="A680" s="45"/>
      <c r="B680" s="45"/>
      <c r="C680" s="554"/>
      <c r="D680" s="555"/>
      <c r="E680" s="555"/>
      <c r="F680" s="45"/>
      <c r="G680" s="555"/>
      <c r="H680" s="45"/>
      <c r="I680" s="122"/>
      <c r="K680" s="556"/>
      <c r="L680" s="557"/>
      <c r="M680" s="556"/>
      <c r="N680" s="556"/>
      <c r="O680" s="556"/>
      <c r="P680" s="557"/>
      <c r="Q680" s="556"/>
      <c r="R680" s="557"/>
      <c r="S680" s="556"/>
      <c r="T680" s="557"/>
    </row>
    <row r="681">
      <c r="A681" s="45"/>
      <c r="B681" s="45"/>
      <c r="C681" s="554"/>
      <c r="D681" s="555"/>
      <c r="E681" s="555"/>
      <c r="F681" s="45"/>
      <c r="G681" s="555"/>
      <c r="H681" s="45"/>
      <c r="I681" s="122"/>
      <c r="K681" s="556"/>
      <c r="L681" s="557"/>
      <c r="M681" s="556"/>
      <c r="N681" s="556"/>
      <c r="O681" s="556"/>
      <c r="P681" s="557"/>
      <c r="Q681" s="556"/>
      <c r="R681" s="557"/>
      <c r="S681" s="556"/>
      <c r="T681" s="557"/>
    </row>
    <row r="682">
      <c r="A682" s="45"/>
      <c r="B682" s="45"/>
      <c r="C682" s="554"/>
      <c r="D682" s="555"/>
      <c r="E682" s="555"/>
      <c r="F682" s="45"/>
      <c r="G682" s="555"/>
      <c r="H682" s="45"/>
      <c r="I682" s="122"/>
      <c r="K682" s="556"/>
      <c r="L682" s="557"/>
      <c r="M682" s="556"/>
      <c r="N682" s="556"/>
      <c r="O682" s="556"/>
      <c r="P682" s="557"/>
      <c r="Q682" s="556"/>
      <c r="R682" s="557"/>
      <c r="S682" s="556"/>
      <c r="T682" s="557"/>
    </row>
    <row r="683">
      <c r="A683" s="45"/>
      <c r="B683" s="45"/>
      <c r="C683" s="554"/>
      <c r="D683" s="555"/>
      <c r="E683" s="555"/>
      <c r="F683" s="45"/>
      <c r="G683" s="555"/>
      <c r="H683" s="45"/>
      <c r="I683" s="122"/>
      <c r="K683" s="556"/>
      <c r="L683" s="557"/>
      <c r="M683" s="556"/>
      <c r="N683" s="556"/>
      <c r="O683" s="556"/>
      <c r="P683" s="557"/>
      <c r="Q683" s="556"/>
      <c r="R683" s="557"/>
      <c r="S683" s="556"/>
      <c r="T683" s="557"/>
    </row>
    <row r="684">
      <c r="A684" s="45"/>
      <c r="B684" s="45"/>
      <c r="C684" s="554"/>
      <c r="D684" s="555"/>
      <c r="E684" s="555"/>
      <c r="F684" s="45"/>
      <c r="G684" s="555"/>
      <c r="H684" s="45"/>
      <c r="I684" s="122"/>
      <c r="K684" s="556"/>
      <c r="L684" s="557"/>
      <c r="M684" s="556"/>
      <c r="N684" s="556"/>
      <c r="O684" s="556"/>
      <c r="P684" s="557"/>
      <c r="Q684" s="556"/>
      <c r="R684" s="557"/>
      <c r="S684" s="556"/>
      <c r="T684" s="557"/>
    </row>
    <row r="685">
      <c r="A685" s="45"/>
      <c r="B685" s="45"/>
      <c r="C685" s="554"/>
      <c r="D685" s="555"/>
      <c r="E685" s="555"/>
      <c r="F685" s="45"/>
      <c r="G685" s="555"/>
      <c r="H685" s="45"/>
      <c r="I685" s="122"/>
      <c r="K685" s="556"/>
      <c r="L685" s="557"/>
      <c r="M685" s="556"/>
      <c r="N685" s="556"/>
      <c r="O685" s="556"/>
      <c r="P685" s="557"/>
      <c r="Q685" s="556"/>
      <c r="R685" s="557"/>
      <c r="S685" s="556"/>
      <c r="T685" s="557"/>
    </row>
    <row r="686">
      <c r="A686" s="45"/>
      <c r="B686" s="45"/>
      <c r="C686" s="554"/>
      <c r="D686" s="555"/>
      <c r="E686" s="555"/>
      <c r="F686" s="45"/>
      <c r="G686" s="555"/>
      <c r="H686" s="45"/>
      <c r="I686" s="122"/>
      <c r="K686" s="556"/>
      <c r="L686" s="557"/>
      <c r="M686" s="556"/>
      <c r="N686" s="556"/>
      <c r="O686" s="556"/>
      <c r="P686" s="557"/>
      <c r="Q686" s="556"/>
      <c r="R686" s="557"/>
      <c r="S686" s="556"/>
      <c r="T686" s="557"/>
    </row>
    <row r="687">
      <c r="A687" s="45"/>
      <c r="B687" s="45"/>
      <c r="C687" s="554"/>
      <c r="D687" s="555"/>
      <c r="E687" s="555"/>
      <c r="F687" s="45"/>
      <c r="G687" s="555"/>
      <c r="H687" s="45"/>
      <c r="I687" s="122"/>
      <c r="K687" s="556"/>
      <c r="L687" s="557"/>
      <c r="M687" s="556"/>
      <c r="N687" s="556"/>
      <c r="O687" s="556"/>
      <c r="P687" s="557"/>
      <c r="Q687" s="556"/>
      <c r="R687" s="557"/>
      <c r="S687" s="556"/>
      <c r="T687" s="557"/>
    </row>
    <row r="688">
      <c r="A688" s="45"/>
      <c r="B688" s="45"/>
      <c r="C688" s="554"/>
      <c r="D688" s="555"/>
      <c r="E688" s="555"/>
      <c r="F688" s="45"/>
      <c r="G688" s="555"/>
      <c r="H688" s="45"/>
      <c r="I688" s="122"/>
      <c r="K688" s="556"/>
      <c r="L688" s="557"/>
      <c r="M688" s="556"/>
      <c r="N688" s="556"/>
      <c r="O688" s="556"/>
      <c r="P688" s="557"/>
      <c r="Q688" s="556"/>
      <c r="R688" s="557"/>
      <c r="S688" s="556"/>
      <c r="T688" s="557"/>
    </row>
    <row r="689">
      <c r="A689" s="45"/>
      <c r="B689" s="45"/>
      <c r="C689" s="554"/>
      <c r="D689" s="555"/>
      <c r="E689" s="555"/>
      <c r="F689" s="45"/>
      <c r="G689" s="555"/>
      <c r="H689" s="45"/>
      <c r="I689" s="122"/>
      <c r="K689" s="556"/>
      <c r="L689" s="557"/>
      <c r="M689" s="556"/>
      <c r="N689" s="556"/>
      <c r="O689" s="556"/>
      <c r="P689" s="557"/>
      <c r="Q689" s="556"/>
      <c r="R689" s="557"/>
      <c r="S689" s="556"/>
      <c r="T689" s="557"/>
    </row>
    <row r="690">
      <c r="A690" s="45"/>
      <c r="B690" s="45"/>
      <c r="C690" s="554"/>
      <c r="D690" s="555"/>
      <c r="E690" s="555"/>
      <c r="F690" s="45"/>
      <c r="G690" s="555"/>
      <c r="H690" s="45"/>
      <c r="I690" s="122"/>
      <c r="K690" s="556"/>
      <c r="L690" s="557"/>
      <c r="M690" s="556"/>
      <c r="N690" s="556"/>
      <c r="O690" s="556"/>
      <c r="P690" s="557"/>
      <c r="Q690" s="556"/>
      <c r="R690" s="557"/>
      <c r="S690" s="556"/>
      <c r="T690" s="557"/>
    </row>
    <row r="691">
      <c r="A691" s="45"/>
      <c r="B691" s="45"/>
      <c r="C691" s="554"/>
      <c r="D691" s="555"/>
      <c r="E691" s="555"/>
      <c r="F691" s="45"/>
      <c r="G691" s="555"/>
      <c r="H691" s="45"/>
      <c r="I691" s="122"/>
      <c r="K691" s="556"/>
      <c r="L691" s="557"/>
      <c r="M691" s="556"/>
      <c r="N691" s="556"/>
      <c r="O691" s="556"/>
      <c r="P691" s="557"/>
      <c r="Q691" s="556"/>
      <c r="R691" s="557"/>
      <c r="S691" s="556"/>
      <c r="T691" s="557"/>
    </row>
    <row r="692">
      <c r="A692" s="45"/>
      <c r="B692" s="45"/>
      <c r="C692" s="554"/>
      <c r="D692" s="555"/>
      <c r="E692" s="555"/>
      <c r="F692" s="45"/>
      <c r="G692" s="555"/>
      <c r="H692" s="45"/>
      <c r="I692" s="122"/>
      <c r="K692" s="556"/>
      <c r="L692" s="557"/>
      <c r="M692" s="556"/>
      <c r="N692" s="556"/>
      <c r="O692" s="556"/>
      <c r="P692" s="557"/>
      <c r="Q692" s="556"/>
      <c r="R692" s="557"/>
      <c r="S692" s="556"/>
      <c r="T692" s="557"/>
    </row>
    <row r="693">
      <c r="A693" s="45"/>
      <c r="B693" s="45"/>
      <c r="C693" s="554"/>
      <c r="D693" s="555"/>
      <c r="E693" s="555"/>
      <c r="F693" s="45"/>
      <c r="G693" s="555"/>
      <c r="H693" s="45"/>
      <c r="I693" s="122"/>
      <c r="K693" s="556"/>
      <c r="L693" s="557"/>
      <c r="M693" s="556"/>
      <c r="N693" s="556"/>
      <c r="O693" s="556"/>
      <c r="P693" s="557"/>
      <c r="Q693" s="556"/>
      <c r="R693" s="557"/>
      <c r="S693" s="556"/>
      <c r="T693" s="557"/>
    </row>
    <row r="694">
      <c r="A694" s="45"/>
      <c r="B694" s="45"/>
      <c r="C694" s="554"/>
      <c r="D694" s="555"/>
      <c r="E694" s="555"/>
      <c r="F694" s="45"/>
      <c r="G694" s="555"/>
      <c r="H694" s="45"/>
      <c r="I694" s="122"/>
      <c r="K694" s="556"/>
      <c r="L694" s="557"/>
      <c r="M694" s="556"/>
      <c r="N694" s="556"/>
      <c r="O694" s="556"/>
      <c r="P694" s="557"/>
      <c r="Q694" s="556"/>
      <c r="R694" s="557"/>
      <c r="S694" s="556"/>
      <c r="T694" s="557"/>
    </row>
    <row r="695">
      <c r="A695" s="45"/>
      <c r="B695" s="45"/>
      <c r="C695" s="554"/>
      <c r="D695" s="555"/>
      <c r="E695" s="555"/>
      <c r="F695" s="45"/>
      <c r="G695" s="555"/>
      <c r="H695" s="45"/>
      <c r="I695" s="122"/>
      <c r="K695" s="556"/>
      <c r="L695" s="557"/>
      <c r="M695" s="556"/>
      <c r="N695" s="556"/>
      <c r="O695" s="556"/>
      <c r="P695" s="557"/>
      <c r="Q695" s="556"/>
      <c r="R695" s="557"/>
      <c r="S695" s="556"/>
      <c r="T695" s="557"/>
    </row>
    <row r="696">
      <c r="A696" s="45"/>
      <c r="B696" s="45"/>
      <c r="C696" s="554"/>
      <c r="D696" s="555"/>
      <c r="E696" s="555"/>
      <c r="F696" s="45"/>
      <c r="G696" s="555"/>
      <c r="H696" s="45"/>
      <c r="I696" s="122"/>
      <c r="K696" s="556"/>
      <c r="L696" s="557"/>
      <c r="M696" s="556"/>
      <c r="N696" s="556"/>
      <c r="O696" s="556"/>
      <c r="P696" s="557"/>
      <c r="Q696" s="556"/>
      <c r="R696" s="557"/>
      <c r="S696" s="556"/>
      <c r="T696" s="557"/>
    </row>
    <row r="697">
      <c r="A697" s="45"/>
      <c r="B697" s="45"/>
      <c r="C697" s="554"/>
      <c r="D697" s="555"/>
      <c r="E697" s="555"/>
      <c r="F697" s="45"/>
      <c r="G697" s="555"/>
      <c r="H697" s="45"/>
      <c r="I697" s="122"/>
      <c r="K697" s="556"/>
      <c r="L697" s="557"/>
      <c r="M697" s="556"/>
      <c r="N697" s="556"/>
      <c r="O697" s="556"/>
      <c r="P697" s="557"/>
      <c r="Q697" s="556"/>
      <c r="R697" s="557"/>
      <c r="S697" s="556"/>
      <c r="T697" s="557"/>
    </row>
    <row r="698">
      <c r="A698" s="45"/>
      <c r="B698" s="45"/>
      <c r="C698" s="554"/>
      <c r="D698" s="555"/>
      <c r="E698" s="555"/>
      <c r="F698" s="45"/>
      <c r="G698" s="555"/>
      <c r="H698" s="45"/>
      <c r="I698" s="122"/>
      <c r="K698" s="556"/>
      <c r="L698" s="557"/>
      <c r="M698" s="556"/>
      <c r="N698" s="556"/>
      <c r="O698" s="556"/>
      <c r="P698" s="557"/>
      <c r="Q698" s="556"/>
      <c r="R698" s="557"/>
      <c r="S698" s="556"/>
      <c r="T698" s="557"/>
    </row>
    <row r="699">
      <c r="A699" s="45"/>
      <c r="B699" s="45"/>
      <c r="C699" s="554"/>
      <c r="D699" s="555"/>
      <c r="E699" s="555"/>
      <c r="F699" s="45"/>
      <c r="G699" s="555"/>
      <c r="H699" s="45"/>
      <c r="I699" s="122"/>
      <c r="K699" s="556"/>
      <c r="L699" s="557"/>
      <c r="M699" s="556"/>
      <c r="N699" s="556"/>
      <c r="O699" s="556"/>
      <c r="P699" s="557"/>
      <c r="Q699" s="556"/>
      <c r="R699" s="557"/>
      <c r="S699" s="556"/>
      <c r="T699" s="557"/>
    </row>
    <row r="700">
      <c r="A700" s="45"/>
      <c r="B700" s="45"/>
      <c r="C700" s="554"/>
      <c r="D700" s="555"/>
      <c r="E700" s="555"/>
      <c r="F700" s="45"/>
      <c r="G700" s="555"/>
      <c r="H700" s="45"/>
      <c r="I700" s="122"/>
      <c r="K700" s="556"/>
      <c r="L700" s="557"/>
      <c r="M700" s="556"/>
      <c r="N700" s="556"/>
      <c r="O700" s="556"/>
      <c r="P700" s="557"/>
      <c r="Q700" s="556"/>
      <c r="R700" s="557"/>
      <c r="S700" s="556"/>
      <c r="T700" s="557"/>
    </row>
    <row r="701">
      <c r="A701" s="45"/>
      <c r="B701" s="45"/>
      <c r="C701" s="554"/>
      <c r="D701" s="555"/>
      <c r="E701" s="555"/>
      <c r="F701" s="45"/>
      <c r="G701" s="555"/>
      <c r="H701" s="45"/>
      <c r="I701" s="122"/>
      <c r="K701" s="556"/>
      <c r="L701" s="557"/>
      <c r="M701" s="556"/>
      <c r="N701" s="556"/>
      <c r="O701" s="556"/>
      <c r="P701" s="557"/>
      <c r="Q701" s="556"/>
      <c r="R701" s="557"/>
      <c r="S701" s="556"/>
      <c r="T701" s="557"/>
    </row>
    <row r="702">
      <c r="A702" s="45"/>
      <c r="B702" s="45"/>
      <c r="C702" s="554"/>
      <c r="D702" s="555"/>
      <c r="E702" s="555"/>
      <c r="F702" s="45"/>
      <c r="G702" s="555"/>
      <c r="H702" s="45"/>
      <c r="I702" s="122"/>
      <c r="K702" s="556"/>
      <c r="L702" s="557"/>
      <c r="M702" s="556"/>
      <c r="N702" s="556"/>
      <c r="O702" s="556"/>
      <c r="P702" s="557"/>
      <c r="Q702" s="556"/>
      <c r="R702" s="557"/>
      <c r="S702" s="556"/>
      <c r="T702" s="557"/>
    </row>
    <row r="703">
      <c r="A703" s="45"/>
      <c r="B703" s="45"/>
      <c r="C703" s="554"/>
      <c r="D703" s="555"/>
      <c r="E703" s="555"/>
      <c r="F703" s="45"/>
      <c r="G703" s="555"/>
      <c r="H703" s="45"/>
      <c r="I703" s="122"/>
      <c r="K703" s="556"/>
      <c r="L703" s="557"/>
      <c r="M703" s="556"/>
      <c r="N703" s="556"/>
      <c r="O703" s="556"/>
      <c r="P703" s="557"/>
      <c r="Q703" s="556"/>
      <c r="R703" s="557"/>
      <c r="S703" s="556"/>
      <c r="T703" s="557"/>
    </row>
    <row r="704">
      <c r="A704" s="45"/>
      <c r="B704" s="45"/>
      <c r="C704" s="554"/>
      <c r="D704" s="555"/>
      <c r="E704" s="555"/>
      <c r="F704" s="45"/>
      <c r="G704" s="555"/>
      <c r="H704" s="45"/>
      <c r="I704" s="122"/>
      <c r="K704" s="556"/>
      <c r="L704" s="557"/>
      <c r="M704" s="556"/>
      <c r="N704" s="556"/>
      <c r="O704" s="556"/>
      <c r="P704" s="557"/>
      <c r="Q704" s="556"/>
      <c r="R704" s="557"/>
      <c r="S704" s="556"/>
      <c r="T704" s="557"/>
    </row>
    <row r="705">
      <c r="A705" s="45"/>
      <c r="B705" s="45"/>
      <c r="C705" s="554"/>
      <c r="D705" s="555"/>
      <c r="E705" s="555"/>
      <c r="F705" s="45"/>
      <c r="G705" s="555"/>
      <c r="H705" s="45"/>
      <c r="I705" s="122"/>
      <c r="K705" s="556"/>
      <c r="L705" s="557"/>
      <c r="M705" s="556"/>
      <c r="N705" s="556"/>
      <c r="O705" s="556"/>
      <c r="P705" s="557"/>
      <c r="Q705" s="556"/>
      <c r="R705" s="557"/>
      <c r="S705" s="556"/>
      <c r="T705" s="557"/>
    </row>
    <row r="706">
      <c r="A706" s="45"/>
      <c r="B706" s="45"/>
      <c r="C706" s="554"/>
      <c r="D706" s="555"/>
      <c r="E706" s="555"/>
      <c r="F706" s="45"/>
      <c r="G706" s="555"/>
      <c r="H706" s="45"/>
      <c r="I706" s="122"/>
      <c r="K706" s="556"/>
      <c r="L706" s="557"/>
      <c r="M706" s="556"/>
      <c r="N706" s="556"/>
      <c r="O706" s="556"/>
      <c r="P706" s="557"/>
      <c r="Q706" s="556"/>
      <c r="R706" s="557"/>
      <c r="S706" s="556"/>
      <c r="T706" s="557"/>
    </row>
    <row r="707">
      <c r="A707" s="45"/>
      <c r="B707" s="45"/>
      <c r="C707" s="554"/>
      <c r="D707" s="555"/>
      <c r="E707" s="555"/>
      <c r="F707" s="45"/>
      <c r="G707" s="555"/>
      <c r="H707" s="45"/>
      <c r="I707" s="122"/>
      <c r="K707" s="556"/>
      <c r="L707" s="557"/>
      <c r="M707" s="556"/>
      <c r="N707" s="556"/>
      <c r="O707" s="556"/>
      <c r="P707" s="557"/>
      <c r="Q707" s="556"/>
      <c r="R707" s="557"/>
      <c r="S707" s="556"/>
      <c r="T707" s="557"/>
    </row>
    <row r="708">
      <c r="A708" s="45"/>
      <c r="B708" s="45"/>
      <c r="C708" s="554"/>
      <c r="D708" s="555"/>
      <c r="E708" s="555"/>
      <c r="F708" s="45"/>
      <c r="G708" s="555"/>
      <c r="H708" s="45"/>
      <c r="I708" s="122"/>
      <c r="K708" s="556"/>
      <c r="L708" s="557"/>
      <c r="M708" s="556"/>
      <c r="N708" s="556"/>
      <c r="O708" s="556"/>
      <c r="P708" s="557"/>
      <c r="Q708" s="556"/>
      <c r="R708" s="557"/>
      <c r="S708" s="556"/>
      <c r="T708" s="557"/>
    </row>
    <row r="709">
      <c r="A709" s="45"/>
      <c r="B709" s="45"/>
      <c r="C709" s="554"/>
      <c r="D709" s="555"/>
      <c r="E709" s="555"/>
      <c r="F709" s="45"/>
      <c r="G709" s="555"/>
      <c r="H709" s="45"/>
      <c r="I709" s="122"/>
      <c r="K709" s="556"/>
      <c r="L709" s="557"/>
      <c r="M709" s="556"/>
      <c r="N709" s="556"/>
      <c r="O709" s="556"/>
      <c r="P709" s="557"/>
      <c r="Q709" s="556"/>
      <c r="R709" s="557"/>
      <c r="S709" s="556"/>
      <c r="T709" s="557"/>
    </row>
    <row r="710">
      <c r="A710" s="45"/>
      <c r="B710" s="45"/>
      <c r="C710" s="554"/>
      <c r="D710" s="555"/>
      <c r="E710" s="555"/>
      <c r="F710" s="45"/>
      <c r="G710" s="555"/>
      <c r="H710" s="45"/>
      <c r="I710" s="122"/>
      <c r="K710" s="556"/>
      <c r="L710" s="557"/>
      <c r="M710" s="556"/>
      <c r="N710" s="556"/>
      <c r="O710" s="556"/>
      <c r="P710" s="557"/>
      <c r="Q710" s="556"/>
      <c r="R710" s="557"/>
      <c r="S710" s="556"/>
      <c r="T710" s="557"/>
    </row>
    <row r="711">
      <c r="A711" s="45"/>
      <c r="B711" s="45"/>
      <c r="C711" s="554"/>
      <c r="D711" s="555"/>
      <c r="E711" s="555"/>
      <c r="F711" s="45"/>
      <c r="G711" s="555"/>
      <c r="H711" s="45"/>
      <c r="I711" s="122"/>
      <c r="K711" s="556"/>
      <c r="L711" s="557"/>
      <c r="M711" s="556"/>
      <c r="N711" s="556"/>
      <c r="O711" s="556"/>
      <c r="P711" s="557"/>
      <c r="Q711" s="556"/>
      <c r="R711" s="557"/>
      <c r="S711" s="556"/>
      <c r="T711" s="557"/>
    </row>
    <row r="712">
      <c r="A712" s="45"/>
      <c r="B712" s="45"/>
      <c r="C712" s="554"/>
      <c r="D712" s="555"/>
      <c r="E712" s="555"/>
      <c r="F712" s="45"/>
      <c r="G712" s="555"/>
      <c r="H712" s="45"/>
      <c r="I712" s="122"/>
      <c r="K712" s="556"/>
      <c r="L712" s="557"/>
      <c r="M712" s="556"/>
      <c r="N712" s="556"/>
      <c r="O712" s="556"/>
      <c r="P712" s="557"/>
      <c r="Q712" s="556"/>
      <c r="R712" s="557"/>
      <c r="S712" s="556"/>
      <c r="T712" s="557"/>
    </row>
    <row r="713">
      <c r="A713" s="45"/>
      <c r="B713" s="45"/>
      <c r="C713" s="554"/>
      <c r="D713" s="555"/>
      <c r="E713" s="555"/>
      <c r="F713" s="45"/>
      <c r="G713" s="555"/>
      <c r="H713" s="45"/>
      <c r="I713" s="122"/>
      <c r="K713" s="556"/>
      <c r="L713" s="557"/>
      <c r="M713" s="556"/>
      <c r="N713" s="556"/>
      <c r="O713" s="556"/>
      <c r="P713" s="557"/>
      <c r="Q713" s="556"/>
      <c r="R713" s="557"/>
      <c r="S713" s="556"/>
      <c r="T713" s="557"/>
    </row>
    <row r="714">
      <c r="A714" s="45"/>
      <c r="B714" s="45"/>
      <c r="C714" s="554"/>
      <c r="D714" s="555"/>
      <c r="E714" s="555"/>
      <c r="F714" s="45"/>
      <c r="G714" s="555"/>
      <c r="H714" s="45"/>
      <c r="I714" s="122"/>
      <c r="K714" s="556"/>
      <c r="L714" s="557"/>
      <c r="M714" s="556"/>
      <c r="N714" s="556"/>
      <c r="O714" s="556"/>
      <c r="P714" s="557"/>
      <c r="Q714" s="556"/>
      <c r="R714" s="557"/>
      <c r="S714" s="556"/>
      <c r="T714" s="557"/>
    </row>
    <row r="715">
      <c r="A715" s="45"/>
      <c r="B715" s="45"/>
      <c r="C715" s="554"/>
      <c r="D715" s="555"/>
      <c r="E715" s="555"/>
      <c r="F715" s="45"/>
      <c r="G715" s="555"/>
      <c r="H715" s="45"/>
      <c r="I715" s="122"/>
      <c r="K715" s="556"/>
      <c r="L715" s="557"/>
      <c r="M715" s="556"/>
      <c r="N715" s="556"/>
      <c r="O715" s="556"/>
      <c r="P715" s="557"/>
      <c r="Q715" s="556"/>
      <c r="R715" s="557"/>
      <c r="S715" s="556"/>
      <c r="T715" s="557"/>
    </row>
    <row r="716">
      <c r="A716" s="45"/>
      <c r="B716" s="45"/>
      <c r="C716" s="554"/>
      <c r="D716" s="555"/>
      <c r="E716" s="555"/>
      <c r="F716" s="45"/>
      <c r="G716" s="555"/>
      <c r="H716" s="45"/>
      <c r="I716" s="122"/>
      <c r="K716" s="556"/>
      <c r="L716" s="557"/>
      <c r="M716" s="556"/>
      <c r="N716" s="556"/>
      <c r="O716" s="556"/>
      <c r="P716" s="557"/>
      <c r="Q716" s="556"/>
      <c r="R716" s="557"/>
      <c r="S716" s="556"/>
      <c r="T716" s="557"/>
    </row>
    <row r="717">
      <c r="A717" s="45"/>
      <c r="B717" s="45"/>
      <c r="C717" s="554"/>
      <c r="D717" s="555"/>
      <c r="E717" s="555"/>
      <c r="F717" s="45"/>
      <c r="G717" s="555"/>
      <c r="H717" s="45"/>
      <c r="I717" s="122"/>
      <c r="K717" s="556"/>
      <c r="L717" s="557"/>
      <c r="M717" s="556"/>
      <c r="N717" s="556"/>
      <c r="O717" s="556"/>
      <c r="P717" s="557"/>
      <c r="Q717" s="556"/>
      <c r="R717" s="557"/>
      <c r="S717" s="556"/>
      <c r="T717" s="557"/>
    </row>
    <row r="718">
      <c r="A718" s="45"/>
      <c r="B718" s="45"/>
      <c r="C718" s="554"/>
      <c r="D718" s="555"/>
      <c r="E718" s="555"/>
      <c r="F718" s="45"/>
      <c r="G718" s="555"/>
      <c r="H718" s="45"/>
      <c r="I718" s="122"/>
      <c r="K718" s="556"/>
      <c r="L718" s="557"/>
      <c r="M718" s="556"/>
      <c r="N718" s="556"/>
      <c r="O718" s="556"/>
      <c r="P718" s="557"/>
      <c r="Q718" s="556"/>
      <c r="R718" s="557"/>
      <c r="S718" s="556"/>
      <c r="T718" s="557"/>
    </row>
    <row r="719">
      <c r="A719" s="45"/>
      <c r="B719" s="45"/>
      <c r="C719" s="554"/>
      <c r="D719" s="555"/>
      <c r="E719" s="555"/>
      <c r="F719" s="45"/>
      <c r="G719" s="555"/>
      <c r="H719" s="45"/>
      <c r="I719" s="122"/>
      <c r="K719" s="556"/>
      <c r="L719" s="557"/>
      <c r="M719" s="556"/>
      <c r="N719" s="556"/>
      <c r="O719" s="556"/>
      <c r="P719" s="557"/>
      <c r="Q719" s="556"/>
      <c r="R719" s="557"/>
      <c r="S719" s="556"/>
      <c r="T719" s="557"/>
    </row>
    <row r="720">
      <c r="A720" s="45"/>
      <c r="B720" s="45"/>
      <c r="C720" s="554"/>
      <c r="D720" s="555"/>
      <c r="E720" s="555"/>
      <c r="F720" s="45"/>
      <c r="G720" s="555"/>
      <c r="H720" s="45"/>
      <c r="I720" s="122"/>
      <c r="K720" s="556"/>
      <c r="L720" s="557"/>
      <c r="M720" s="556"/>
      <c r="N720" s="556"/>
      <c r="O720" s="556"/>
      <c r="P720" s="557"/>
      <c r="Q720" s="556"/>
      <c r="R720" s="557"/>
      <c r="S720" s="556"/>
      <c r="T720" s="557"/>
    </row>
    <row r="721">
      <c r="A721" s="45"/>
      <c r="B721" s="45"/>
      <c r="C721" s="554"/>
      <c r="D721" s="555"/>
      <c r="E721" s="555"/>
      <c r="F721" s="45"/>
      <c r="G721" s="555"/>
      <c r="H721" s="45"/>
      <c r="I721" s="122"/>
      <c r="K721" s="556"/>
      <c r="L721" s="557"/>
      <c r="M721" s="556"/>
      <c r="N721" s="556"/>
      <c r="O721" s="556"/>
      <c r="P721" s="557"/>
      <c r="Q721" s="556"/>
      <c r="R721" s="557"/>
      <c r="S721" s="556"/>
      <c r="T721" s="557"/>
    </row>
    <row r="722">
      <c r="A722" s="45"/>
      <c r="B722" s="45"/>
      <c r="C722" s="554"/>
      <c r="D722" s="555"/>
      <c r="E722" s="555"/>
      <c r="F722" s="45"/>
      <c r="G722" s="555"/>
      <c r="H722" s="45"/>
      <c r="I722" s="122"/>
      <c r="K722" s="556"/>
      <c r="L722" s="557"/>
      <c r="M722" s="556"/>
      <c r="N722" s="556"/>
      <c r="O722" s="556"/>
      <c r="P722" s="557"/>
      <c r="Q722" s="556"/>
      <c r="R722" s="557"/>
      <c r="S722" s="556"/>
      <c r="T722" s="557"/>
    </row>
    <row r="723">
      <c r="A723" s="45"/>
      <c r="B723" s="45"/>
      <c r="C723" s="554"/>
      <c r="D723" s="555"/>
      <c r="E723" s="555"/>
      <c r="F723" s="45"/>
      <c r="G723" s="555"/>
      <c r="H723" s="45"/>
      <c r="I723" s="122"/>
      <c r="K723" s="556"/>
      <c r="L723" s="557"/>
      <c r="M723" s="556"/>
      <c r="N723" s="556"/>
      <c r="O723" s="556"/>
      <c r="P723" s="557"/>
      <c r="Q723" s="556"/>
      <c r="R723" s="557"/>
      <c r="S723" s="556"/>
      <c r="T723" s="557"/>
    </row>
    <row r="724">
      <c r="A724" s="45"/>
      <c r="B724" s="45"/>
      <c r="C724" s="554"/>
      <c r="D724" s="555"/>
      <c r="E724" s="555"/>
      <c r="F724" s="45"/>
      <c r="G724" s="555"/>
      <c r="H724" s="45"/>
      <c r="I724" s="122"/>
      <c r="K724" s="556"/>
      <c r="L724" s="557"/>
      <c r="M724" s="556"/>
      <c r="N724" s="556"/>
      <c r="O724" s="556"/>
      <c r="P724" s="557"/>
      <c r="Q724" s="556"/>
      <c r="R724" s="557"/>
      <c r="S724" s="556"/>
      <c r="T724" s="557"/>
    </row>
    <row r="725">
      <c r="A725" s="45"/>
      <c r="B725" s="45"/>
      <c r="C725" s="554"/>
      <c r="D725" s="555"/>
      <c r="E725" s="555"/>
      <c r="F725" s="45"/>
      <c r="G725" s="555"/>
      <c r="H725" s="45"/>
      <c r="I725" s="122"/>
      <c r="K725" s="556"/>
      <c r="L725" s="557"/>
      <c r="M725" s="556"/>
      <c r="N725" s="556"/>
      <c r="O725" s="556"/>
      <c r="P725" s="557"/>
      <c r="Q725" s="556"/>
      <c r="R725" s="557"/>
      <c r="S725" s="556"/>
      <c r="T725" s="557"/>
    </row>
    <row r="726">
      <c r="A726" s="45"/>
      <c r="B726" s="45"/>
      <c r="C726" s="554"/>
      <c r="D726" s="555"/>
      <c r="E726" s="555"/>
      <c r="F726" s="45"/>
      <c r="G726" s="555"/>
      <c r="H726" s="45"/>
      <c r="I726" s="122"/>
      <c r="K726" s="556"/>
      <c r="L726" s="557"/>
      <c r="M726" s="556"/>
      <c r="N726" s="556"/>
      <c r="O726" s="556"/>
      <c r="P726" s="557"/>
      <c r="Q726" s="556"/>
      <c r="R726" s="557"/>
      <c r="S726" s="556"/>
      <c r="T726" s="557"/>
    </row>
    <row r="727">
      <c r="A727" s="45"/>
      <c r="B727" s="45"/>
      <c r="C727" s="554"/>
      <c r="D727" s="555"/>
      <c r="E727" s="555"/>
      <c r="F727" s="45"/>
      <c r="G727" s="555"/>
      <c r="H727" s="45"/>
      <c r="I727" s="122"/>
      <c r="K727" s="556"/>
      <c r="L727" s="557"/>
      <c r="M727" s="556"/>
      <c r="N727" s="556"/>
      <c r="O727" s="556"/>
      <c r="P727" s="557"/>
      <c r="Q727" s="556"/>
      <c r="R727" s="557"/>
      <c r="S727" s="556"/>
      <c r="T727" s="557"/>
    </row>
    <row r="728">
      <c r="A728" s="45"/>
      <c r="B728" s="45"/>
      <c r="C728" s="554"/>
      <c r="D728" s="555"/>
      <c r="E728" s="555"/>
      <c r="F728" s="45"/>
      <c r="G728" s="555"/>
      <c r="H728" s="45"/>
      <c r="I728" s="122"/>
      <c r="K728" s="556"/>
      <c r="L728" s="557"/>
      <c r="M728" s="556"/>
      <c r="N728" s="556"/>
      <c r="O728" s="556"/>
      <c r="P728" s="557"/>
      <c r="Q728" s="556"/>
      <c r="R728" s="557"/>
      <c r="S728" s="556"/>
      <c r="T728" s="557"/>
    </row>
    <row r="729">
      <c r="A729" s="45"/>
      <c r="B729" s="45"/>
      <c r="C729" s="554"/>
      <c r="D729" s="555"/>
      <c r="E729" s="555"/>
      <c r="F729" s="45"/>
      <c r="G729" s="555"/>
      <c r="H729" s="45"/>
      <c r="I729" s="122"/>
      <c r="K729" s="556"/>
      <c r="L729" s="557"/>
      <c r="M729" s="556"/>
      <c r="N729" s="556"/>
      <c r="O729" s="556"/>
      <c r="P729" s="557"/>
      <c r="Q729" s="556"/>
      <c r="R729" s="557"/>
      <c r="S729" s="556"/>
      <c r="T729" s="557"/>
    </row>
    <row r="730">
      <c r="A730" s="45"/>
      <c r="B730" s="45"/>
      <c r="C730" s="554"/>
      <c r="D730" s="555"/>
      <c r="E730" s="555"/>
      <c r="F730" s="45"/>
      <c r="G730" s="555"/>
      <c r="H730" s="45"/>
      <c r="I730" s="122"/>
      <c r="K730" s="556"/>
      <c r="L730" s="557"/>
      <c r="M730" s="556"/>
      <c r="N730" s="556"/>
      <c r="O730" s="556"/>
      <c r="P730" s="557"/>
      <c r="Q730" s="556"/>
      <c r="R730" s="557"/>
      <c r="S730" s="556"/>
      <c r="T730" s="557"/>
    </row>
    <row r="731">
      <c r="A731" s="45"/>
      <c r="B731" s="45"/>
      <c r="C731" s="554"/>
      <c r="D731" s="555"/>
      <c r="E731" s="555"/>
      <c r="F731" s="45"/>
      <c r="G731" s="555"/>
      <c r="H731" s="45"/>
      <c r="I731" s="122"/>
      <c r="K731" s="556"/>
      <c r="L731" s="557"/>
      <c r="M731" s="556"/>
      <c r="N731" s="556"/>
      <c r="O731" s="556"/>
      <c r="P731" s="557"/>
      <c r="Q731" s="556"/>
      <c r="R731" s="557"/>
      <c r="S731" s="556"/>
      <c r="T731" s="557"/>
    </row>
    <row r="732">
      <c r="A732" s="45"/>
      <c r="B732" s="45"/>
      <c r="C732" s="554"/>
      <c r="D732" s="555"/>
      <c r="E732" s="555"/>
      <c r="F732" s="45"/>
      <c r="G732" s="555"/>
      <c r="H732" s="45"/>
      <c r="I732" s="122"/>
      <c r="K732" s="556"/>
      <c r="L732" s="557"/>
      <c r="M732" s="556"/>
      <c r="N732" s="556"/>
      <c r="O732" s="556"/>
      <c r="P732" s="557"/>
      <c r="Q732" s="556"/>
      <c r="R732" s="557"/>
      <c r="S732" s="556"/>
      <c r="T732" s="557"/>
    </row>
    <row r="733">
      <c r="A733" s="45"/>
      <c r="B733" s="45"/>
      <c r="C733" s="554"/>
      <c r="D733" s="555"/>
      <c r="E733" s="555"/>
      <c r="F733" s="45"/>
      <c r="G733" s="555"/>
      <c r="H733" s="45"/>
      <c r="I733" s="122"/>
      <c r="K733" s="556"/>
      <c r="L733" s="557"/>
      <c r="M733" s="556"/>
      <c r="N733" s="556"/>
      <c r="O733" s="556"/>
      <c r="P733" s="557"/>
      <c r="Q733" s="556"/>
      <c r="R733" s="557"/>
      <c r="S733" s="556"/>
      <c r="T733" s="557"/>
    </row>
    <row r="734">
      <c r="A734" s="45"/>
      <c r="B734" s="45"/>
      <c r="C734" s="554"/>
      <c r="D734" s="555"/>
      <c r="E734" s="555"/>
      <c r="F734" s="45"/>
      <c r="G734" s="555"/>
      <c r="H734" s="45"/>
      <c r="I734" s="122"/>
      <c r="K734" s="556"/>
      <c r="L734" s="557"/>
      <c r="M734" s="556"/>
      <c r="N734" s="556"/>
      <c r="O734" s="556"/>
      <c r="P734" s="557"/>
      <c r="Q734" s="556"/>
      <c r="R734" s="557"/>
      <c r="S734" s="556"/>
      <c r="T734" s="557"/>
    </row>
    <row r="735">
      <c r="A735" s="45"/>
      <c r="B735" s="45"/>
      <c r="C735" s="554"/>
      <c r="D735" s="555"/>
      <c r="E735" s="555"/>
      <c r="F735" s="45"/>
      <c r="G735" s="555"/>
      <c r="H735" s="45"/>
      <c r="I735" s="122"/>
      <c r="K735" s="556"/>
      <c r="L735" s="557"/>
      <c r="M735" s="556"/>
      <c r="N735" s="556"/>
      <c r="O735" s="556"/>
      <c r="P735" s="557"/>
      <c r="Q735" s="556"/>
      <c r="R735" s="557"/>
      <c r="S735" s="556"/>
      <c r="T735" s="557"/>
    </row>
    <row r="736">
      <c r="A736" s="45"/>
      <c r="B736" s="45"/>
      <c r="C736" s="554"/>
      <c r="D736" s="555"/>
      <c r="E736" s="555"/>
      <c r="F736" s="45"/>
      <c r="G736" s="555"/>
      <c r="H736" s="45"/>
      <c r="I736" s="122"/>
      <c r="K736" s="556"/>
      <c r="L736" s="557"/>
      <c r="M736" s="556"/>
      <c r="N736" s="556"/>
      <c r="O736" s="556"/>
      <c r="P736" s="557"/>
      <c r="Q736" s="556"/>
      <c r="R736" s="557"/>
      <c r="S736" s="556"/>
      <c r="T736" s="557"/>
    </row>
    <row r="737">
      <c r="A737" s="45"/>
      <c r="B737" s="45"/>
      <c r="C737" s="554"/>
      <c r="D737" s="555"/>
      <c r="E737" s="555"/>
      <c r="F737" s="45"/>
      <c r="G737" s="555"/>
      <c r="H737" s="45"/>
      <c r="I737" s="122"/>
      <c r="K737" s="556"/>
      <c r="L737" s="557"/>
      <c r="M737" s="556"/>
      <c r="N737" s="556"/>
      <c r="O737" s="556"/>
      <c r="P737" s="557"/>
      <c r="Q737" s="556"/>
      <c r="R737" s="557"/>
      <c r="S737" s="556"/>
      <c r="T737" s="557"/>
    </row>
    <row r="738">
      <c r="A738" s="45"/>
      <c r="B738" s="45"/>
      <c r="C738" s="554"/>
      <c r="D738" s="555"/>
      <c r="E738" s="555"/>
      <c r="F738" s="45"/>
      <c r="G738" s="555"/>
      <c r="H738" s="45"/>
      <c r="I738" s="122"/>
      <c r="K738" s="556"/>
      <c r="L738" s="557"/>
      <c r="M738" s="556"/>
      <c r="N738" s="556"/>
      <c r="O738" s="556"/>
      <c r="P738" s="557"/>
      <c r="Q738" s="556"/>
      <c r="R738" s="557"/>
      <c r="S738" s="556"/>
      <c r="T738" s="557"/>
    </row>
    <row r="739">
      <c r="A739" s="45"/>
      <c r="B739" s="45"/>
      <c r="C739" s="554"/>
      <c r="D739" s="555"/>
      <c r="E739" s="555"/>
      <c r="F739" s="45"/>
      <c r="G739" s="555"/>
      <c r="H739" s="45"/>
      <c r="I739" s="122"/>
      <c r="K739" s="556"/>
      <c r="L739" s="557"/>
      <c r="M739" s="556"/>
      <c r="N739" s="556"/>
      <c r="O739" s="556"/>
      <c r="P739" s="557"/>
      <c r="Q739" s="556"/>
      <c r="R739" s="557"/>
      <c r="S739" s="556"/>
      <c r="T739" s="557"/>
    </row>
    <row r="740">
      <c r="A740" s="45"/>
      <c r="B740" s="45"/>
      <c r="C740" s="554"/>
      <c r="D740" s="555"/>
      <c r="E740" s="555"/>
      <c r="F740" s="45"/>
      <c r="G740" s="555"/>
      <c r="H740" s="45"/>
      <c r="I740" s="122"/>
      <c r="K740" s="556"/>
      <c r="L740" s="557"/>
      <c r="M740" s="556"/>
      <c r="N740" s="556"/>
      <c r="O740" s="556"/>
      <c r="P740" s="557"/>
      <c r="Q740" s="556"/>
      <c r="R740" s="557"/>
      <c r="S740" s="556"/>
      <c r="T740" s="557"/>
    </row>
    <row r="741">
      <c r="A741" s="45"/>
      <c r="B741" s="45"/>
      <c r="C741" s="554"/>
      <c r="D741" s="555"/>
      <c r="E741" s="555"/>
      <c r="F741" s="45"/>
      <c r="G741" s="555"/>
      <c r="H741" s="45"/>
      <c r="I741" s="122"/>
      <c r="K741" s="556"/>
      <c r="L741" s="557"/>
      <c r="M741" s="556"/>
      <c r="N741" s="556"/>
      <c r="O741" s="556"/>
      <c r="P741" s="557"/>
      <c r="Q741" s="556"/>
      <c r="R741" s="557"/>
      <c r="S741" s="556"/>
      <c r="T741" s="557"/>
    </row>
    <row r="742">
      <c r="A742" s="45"/>
      <c r="B742" s="45"/>
      <c r="C742" s="554"/>
      <c r="D742" s="555"/>
      <c r="E742" s="555"/>
      <c r="F742" s="45"/>
      <c r="G742" s="555"/>
      <c r="H742" s="45"/>
      <c r="I742" s="122"/>
      <c r="K742" s="556"/>
      <c r="L742" s="557"/>
      <c r="M742" s="556"/>
      <c r="N742" s="556"/>
      <c r="O742" s="556"/>
      <c r="P742" s="557"/>
      <c r="Q742" s="556"/>
      <c r="R742" s="557"/>
      <c r="S742" s="556"/>
      <c r="T742" s="557"/>
    </row>
    <row r="743">
      <c r="A743" s="45"/>
      <c r="B743" s="45"/>
      <c r="C743" s="554"/>
      <c r="D743" s="555"/>
      <c r="E743" s="555"/>
      <c r="F743" s="45"/>
      <c r="G743" s="555"/>
      <c r="H743" s="45"/>
      <c r="I743" s="122"/>
      <c r="K743" s="556"/>
      <c r="L743" s="557"/>
      <c r="M743" s="556"/>
      <c r="N743" s="556"/>
      <c r="O743" s="556"/>
      <c r="P743" s="557"/>
      <c r="Q743" s="556"/>
      <c r="R743" s="557"/>
      <c r="S743" s="556"/>
      <c r="T743" s="557"/>
    </row>
    <row r="744">
      <c r="A744" s="45"/>
      <c r="B744" s="45"/>
      <c r="C744" s="554"/>
      <c r="D744" s="555"/>
      <c r="E744" s="555"/>
      <c r="F744" s="45"/>
      <c r="G744" s="555"/>
      <c r="H744" s="45"/>
      <c r="I744" s="122"/>
      <c r="K744" s="556"/>
      <c r="L744" s="557"/>
      <c r="M744" s="556"/>
      <c r="N744" s="556"/>
      <c r="O744" s="556"/>
      <c r="P744" s="557"/>
      <c r="Q744" s="556"/>
      <c r="R744" s="557"/>
      <c r="S744" s="556"/>
      <c r="T744" s="557"/>
    </row>
    <row r="745">
      <c r="A745" s="45"/>
      <c r="B745" s="45"/>
      <c r="C745" s="554"/>
      <c r="D745" s="555"/>
      <c r="E745" s="555"/>
      <c r="F745" s="45"/>
      <c r="G745" s="555"/>
      <c r="H745" s="45"/>
      <c r="I745" s="122"/>
      <c r="K745" s="556"/>
      <c r="L745" s="557"/>
      <c r="M745" s="556"/>
      <c r="N745" s="556"/>
      <c r="O745" s="556"/>
      <c r="P745" s="557"/>
      <c r="Q745" s="556"/>
      <c r="R745" s="557"/>
      <c r="S745" s="556"/>
      <c r="T745" s="557"/>
    </row>
    <row r="746">
      <c r="A746" s="45"/>
      <c r="B746" s="45"/>
      <c r="C746" s="554"/>
      <c r="D746" s="555"/>
      <c r="E746" s="555"/>
      <c r="F746" s="45"/>
      <c r="G746" s="555"/>
      <c r="H746" s="45"/>
      <c r="I746" s="122"/>
      <c r="K746" s="556"/>
      <c r="L746" s="557"/>
      <c r="M746" s="556"/>
      <c r="N746" s="556"/>
      <c r="O746" s="556"/>
      <c r="P746" s="557"/>
      <c r="Q746" s="556"/>
      <c r="R746" s="557"/>
      <c r="S746" s="556"/>
      <c r="T746" s="557"/>
    </row>
    <row r="747">
      <c r="A747" s="45"/>
      <c r="B747" s="45"/>
      <c r="C747" s="554"/>
      <c r="D747" s="555"/>
      <c r="E747" s="555"/>
      <c r="F747" s="45"/>
      <c r="G747" s="555"/>
      <c r="H747" s="45"/>
      <c r="I747" s="122"/>
      <c r="K747" s="556"/>
      <c r="L747" s="557"/>
      <c r="M747" s="556"/>
      <c r="N747" s="556"/>
      <c r="O747" s="556"/>
      <c r="P747" s="557"/>
      <c r="Q747" s="556"/>
      <c r="R747" s="557"/>
      <c r="S747" s="556"/>
      <c r="T747" s="557"/>
    </row>
    <row r="748">
      <c r="A748" s="45"/>
      <c r="B748" s="45"/>
      <c r="C748" s="554"/>
      <c r="D748" s="555"/>
      <c r="E748" s="555"/>
      <c r="F748" s="45"/>
      <c r="G748" s="555"/>
      <c r="H748" s="45"/>
      <c r="I748" s="122"/>
      <c r="K748" s="556"/>
      <c r="L748" s="557"/>
      <c r="M748" s="556"/>
      <c r="N748" s="556"/>
      <c r="O748" s="556"/>
      <c r="P748" s="557"/>
      <c r="Q748" s="556"/>
      <c r="R748" s="557"/>
      <c r="S748" s="556"/>
      <c r="T748" s="557"/>
    </row>
    <row r="749">
      <c r="A749" s="45"/>
      <c r="B749" s="45"/>
      <c r="C749" s="554"/>
      <c r="D749" s="555"/>
      <c r="E749" s="555"/>
      <c r="F749" s="45"/>
      <c r="G749" s="555"/>
      <c r="H749" s="45"/>
      <c r="I749" s="122"/>
      <c r="K749" s="556"/>
      <c r="L749" s="557"/>
      <c r="M749" s="556"/>
      <c r="N749" s="556"/>
      <c r="O749" s="556"/>
      <c r="P749" s="557"/>
      <c r="Q749" s="556"/>
      <c r="R749" s="557"/>
      <c r="S749" s="556"/>
      <c r="T749" s="557"/>
    </row>
    <row r="750">
      <c r="A750" s="45"/>
      <c r="B750" s="45"/>
      <c r="C750" s="554"/>
      <c r="D750" s="555"/>
      <c r="E750" s="555"/>
      <c r="F750" s="45"/>
      <c r="G750" s="555"/>
      <c r="H750" s="45"/>
      <c r="I750" s="122"/>
      <c r="K750" s="556"/>
      <c r="L750" s="557"/>
      <c r="M750" s="556"/>
      <c r="N750" s="556"/>
      <c r="O750" s="556"/>
      <c r="P750" s="557"/>
      <c r="Q750" s="556"/>
      <c r="R750" s="557"/>
      <c r="S750" s="556"/>
      <c r="T750" s="557"/>
    </row>
    <row r="751">
      <c r="A751" s="45"/>
      <c r="B751" s="45"/>
      <c r="C751" s="554"/>
      <c r="D751" s="555"/>
      <c r="E751" s="555"/>
      <c r="F751" s="45"/>
      <c r="G751" s="555"/>
      <c r="H751" s="45"/>
      <c r="I751" s="122"/>
      <c r="K751" s="556"/>
      <c r="L751" s="557"/>
      <c r="M751" s="556"/>
      <c r="N751" s="556"/>
      <c r="O751" s="556"/>
      <c r="P751" s="557"/>
      <c r="Q751" s="556"/>
      <c r="R751" s="557"/>
      <c r="S751" s="556"/>
      <c r="T751" s="557"/>
    </row>
    <row r="752">
      <c r="A752" s="45"/>
      <c r="B752" s="45"/>
      <c r="C752" s="554"/>
      <c r="D752" s="555"/>
      <c r="E752" s="555"/>
      <c r="F752" s="45"/>
      <c r="G752" s="555"/>
      <c r="H752" s="45"/>
      <c r="I752" s="122"/>
      <c r="K752" s="556"/>
      <c r="L752" s="557"/>
      <c r="M752" s="556"/>
      <c r="N752" s="556"/>
      <c r="O752" s="556"/>
      <c r="P752" s="557"/>
      <c r="Q752" s="556"/>
      <c r="R752" s="557"/>
      <c r="S752" s="556"/>
      <c r="T752" s="557"/>
    </row>
    <row r="753">
      <c r="A753" s="45"/>
      <c r="B753" s="45"/>
      <c r="C753" s="554"/>
      <c r="D753" s="555"/>
      <c r="E753" s="555"/>
      <c r="F753" s="45"/>
      <c r="G753" s="555"/>
      <c r="H753" s="45"/>
      <c r="I753" s="122"/>
      <c r="K753" s="556"/>
      <c r="L753" s="557"/>
      <c r="M753" s="556"/>
      <c r="N753" s="556"/>
      <c r="O753" s="556"/>
      <c r="P753" s="557"/>
      <c r="Q753" s="556"/>
      <c r="R753" s="557"/>
      <c r="S753" s="556"/>
      <c r="T753" s="557"/>
    </row>
    <row r="754">
      <c r="A754" s="45"/>
      <c r="B754" s="45"/>
      <c r="C754" s="554"/>
      <c r="D754" s="555"/>
      <c r="E754" s="555"/>
      <c r="F754" s="45"/>
      <c r="G754" s="555"/>
      <c r="H754" s="45"/>
      <c r="I754" s="122"/>
      <c r="K754" s="556"/>
      <c r="L754" s="557"/>
      <c r="M754" s="556"/>
      <c r="N754" s="556"/>
      <c r="O754" s="556"/>
      <c r="P754" s="557"/>
      <c r="Q754" s="556"/>
      <c r="R754" s="557"/>
      <c r="S754" s="556"/>
      <c r="T754" s="557"/>
    </row>
    <row r="755">
      <c r="A755" s="45"/>
      <c r="B755" s="45"/>
      <c r="C755" s="554"/>
      <c r="D755" s="555"/>
      <c r="E755" s="555"/>
      <c r="F755" s="45"/>
      <c r="G755" s="555"/>
      <c r="H755" s="45"/>
      <c r="I755" s="122"/>
      <c r="K755" s="556"/>
      <c r="L755" s="557"/>
      <c r="M755" s="556"/>
      <c r="N755" s="556"/>
      <c r="O755" s="556"/>
      <c r="P755" s="557"/>
      <c r="Q755" s="556"/>
      <c r="R755" s="557"/>
      <c r="S755" s="556"/>
      <c r="T755" s="557"/>
    </row>
    <row r="756">
      <c r="A756" s="45"/>
      <c r="B756" s="45"/>
      <c r="C756" s="554"/>
      <c r="D756" s="555"/>
      <c r="E756" s="555"/>
      <c r="F756" s="45"/>
      <c r="G756" s="555"/>
      <c r="H756" s="45"/>
      <c r="I756" s="122"/>
      <c r="K756" s="556"/>
      <c r="L756" s="557"/>
      <c r="M756" s="556"/>
      <c r="N756" s="556"/>
      <c r="O756" s="556"/>
      <c r="P756" s="557"/>
      <c r="Q756" s="556"/>
      <c r="R756" s="557"/>
      <c r="S756" s="556"/>
      <c r="T756" s="557"/>
    </row>
    <row r="757">
      <c r="A757" s="45"/>
      <c r="B757" s="45"/>
      <c r="C757" s="554"/>
      <c r="D757" s="555"/>
      <c r="E757" s="555"/>
      <c r="F757" s="45"/>
      <c r="G757" s="555"/>
      <c r="H757" s="45"/>
      <c r="I757" s="122"/>
      <c r="K757" s="556"/>
      <c r="L757" s="557"/>
      <c r="M757" s="556"/>
      <c r="N757" s="556"/>
      <c r="O757" s="556"/>
      <c r="P757" s="557"/>
      <c r="Q757" s="556"/>
      <c r="R757" s="557"/>
      <c r="S757" s="556"/>
      <c r="T757" s="557"/>
    </row>
    <row r="758">
      <c r="A758" s="45"/>
      <c r="B758" s="45"/>
      <c r="C758" s="554"/>
      <c r="D758" s="555"/>
      <c r="E758" s="555"/>
      <c r="F758" s="45"/>
      <c r="G758" s="555"/>
      <c r="H758" s="45"/>
      <c r="I758" s="122"/>
      <c r="K758" s="556"/>
      <c r="L758" s="557"/>
      <c r="M758" s="556"/>
      <c r="N758" s="556"/>
      <c r="O758" s="556"/>
      <c r="P758" s="557"/>
      <c r="Q758" s="556"/>
      <c r="R758" s="557"/>
      <c r="S758" s="556"/>
      <c r="T758" s="557"/>
    </row>
    <row r="759">
      <c r="A759" s="45"/>
      <c r="B759" s="45"/>
      <c r="C759" s="554"/>
      <c r="D759" s="555"/>
      <c r="E759" s="555"/>
      <c r="F759" s="45"/>
      <c r="G759" s="555"/>
      <c r="H759" s="45"/>
      <c r="I759" s="122"/>
      <c r="K759" s="556"/>
      <c r="L759" s="557"/>
      <c r="M759" s="556"/>
      <c r="N759" s="556"/>
      <c r="O759" s="556"/>
      <c r="P759" s="557"/>
      <c r="Q759" s="556"/>
      <c r="R759" s="557"/>
      <c r="S759" s="556"/>
      <c r="T759" s="557"/>
    </row>
    <row r="760">
      <c r="A760" s="45"/>
      <c r="B760" s="45"/>
      <c r="C760" s="554"/>
      <c r="D760" s="555"/>
      <c r="E760" s="555"/>
      <c r="F760" s="45"/>
      <c r="G760" s="555"/>
      <c r="H760" s="45"/>
      <c r="I760" s="122"/>
      <c r="K760" s="556"/>
      <c r="L760" s="557"/>
      <c r="M760" s="556"/>
      <c r="N760" s="556"/>
      <c r="O760" s="556"/>
      <c r="P760" s="557"/>
      <c r="Q760" s="556"/>
      <c r="R760" s="557"/>
      <c r="S760" s="556"/>
      <c r="T760" s="557"/>
    </row>
    <row r="761">
      <c r="A761" s="45"/>
      <c r="B761" s="45"/>
      <c r="C761" s="554"/>
      <c r="D761" s="555"/>
      <c r="E761" s="555"/>
      <c r="F761" s="45"/>
      <c r="G761" s="555"/>
      <c r="H761" s="45"/>
      <c r="I761" s="122"/>
      <c r="K761" s="556"/>
      <c r="L761" s="557"/>
      <c r="M761" s="556"/>
      <c r="N761" s="556"/>
      <c r="O761" s="556"/>
      <c r="P761" s="557"/>
      <c r="Q761" s="556"/>
      <c r="R761" s="557"/>
      <c r="S761" s="556"/>
      <c r="T761" s="557"/>
    </row>
    <row r="762">
      <c r="A762" s="45"/>
      <c r="B762" s="45"/>
      <c r="C762" s="554"/>
      <c r="D762" s="555"/>
      <c r="E762" s="555"/>
      <c r="F762" s="45"/>
      <c r="G762" s="555"/>
      <c r="H762" s="45"/>
      <c r="I762" s="122"/>
      <c r="K762" s="556"/>
      <c r="L762" s="557"/>
      <c r="M762" s="556"/>
      <c r="N762" s="556"/>
      <c r="O762" s="556"/>
      <c r="P762" s="557"/>
      <c r="Q762" s="556"/>
      <c r="R762" s="557"/>
      <c r="S762" s="556"/>
      <c r="T762" s="557"/>
    </row>
    <row r="763">
      <c r="A763" s="45"/>
      <c r="B763" s="45"/>
      <c r="C763" s="554"/>
      <c r="D763" s="555"/>
      <c r="E763" s="555"/>
      <c r="F763" s="45"/>
      <c r="G763" s="555"/>
      <c r="H763" s="45"/>
      <c r="I763" s="122"/>
      <c r="K763" s="556"/>
      <c r="L763" s="557"/>
      <c r="M763" s="556"/>
      <c r="N763" s="556"/>
      <c r="O763" s="556"/>
      <c r="P763" s="557"/>
      <c r="Q763" s="556"/>
      <c r="R763" s="557"/>
      <c r="S763" s="556"/>
      <c r="T763" s="557"/>
    </row>
    <row r="764">
      <c r="A764" s="45"/>
      <c r="B764" s="45"/>
      <c r="C764" s="554"/>
      <c r="D764" s="555"/>
      <c r="E764" s="555"/>
      <c r="F764" s="45"/>
      <c r="G764" s="555"/>
      <c r="H764" s="45"/>
      <c r="I764" s="122"/>
      <c r="K764" s="556"/>
      <c r="L764" s="557"/>
      <c r="M764" s="556"/>
      <c r="N764" s="556"/>
      <c r="O764" s="556"/>
      <c r="P764" s="557"/>
      <c r="Q764" s="556"/>
      <c r="R764" s="557"/>
      <c r="S764" s="556"/>
      <c r="T764" s="557"/>
    </row>
    <row r="765">
      <c r="A765" s="45"/>
      <c r="B765" s="45"/>
      <c r="C765" s="554"/>
      <c r="D765" s="555"/>
      <c r="E765" s="555"/>
      <c r="F765" s="45"/>
      <c r="G765" s="555"/>
      <c r="H765" s="45"/>
      <c r="I765" s="122"/>
      <c r="K765" s="556"/>
      <c r="L765" s="557"/>
      <c r="M765" s="556"/>
      <c r="N765" s="556"/>
      <c r="O765" s="556"/>
      <c r="P765" s="557"/>
      <c r="Q765" s="556"/>
      <c r="R765" s="557"/>
      <c r="S765" s="556"/>
      <c r="T765" s="557"/>
    </row>
    <row r="766">
      <c r="A766" s="45"/>
      <c r="B766" s="45"/>
      <c r="C766" s="554"/>
      <c r="D766" s="555"/>
      <c r="E766" s="555"/>
      <c r="F766" s="45"/>
      <c r="G766" s="555"/>
      <c r="H766" s="45"/>
      <c r="I766" s="122"/>
      <c r="K766" s="556"/>
      <c r="L766" s="557"/>
      <c r="M766" s="556"/>
      <c r="N766" s="556"/>
      <c r="O766" s="556"/>
      <c r="P766" s="557"/>
      <c r="Q766" s="556"/>
      <c r="R766" s="557"/>
      <c r="S766" s="556"/>
      <c r="T766" s="557"/>
    </row>
    <row r="767">
      <c r="A767" s="45"/>
      <c r="B767" s="45"/>
      <c r="C767" s="554"/>
      <c r="D767" s="555"/>
      <c r="E767" s="555"/>
      <c r="F767" s="45"/>
      <c r="G767" s="555"/>
      <c r="H767" s="45"/>
      <c r="I767" s="122"/>
      <c r="K767" s="556"/>
      <c r="L767" s="557"/>
      <c r="M767" s="556"/>
      <c r="N767" s="556"/>
      <c r="O767" s="556"/>
      <c r="P767" s="557"/>
      <c r="Q767" s="556"/>
      <c r="R767" s="557"/>
      <c r="S767" s="556"/>
      <c r="T767" s="557"/>
    </row>
    <row r="768">
      <c r="A768" s="45"/>
      <c r="B768" s="45"/>
      <c r="C768" s="554"/>
      <c r="D768" s="555"/>
      <c r="E768" s="555"/>
      <c r="F768" s="45"/>
      <c r="G768" s="555"/>
      <c r="H768" s="45"/>
      <c r="I768" s="122"/>
      <c r="K768" s="556"/>
      <c r="L768" s="557"/>
      <c r="M768" s="556"/>
      <c r="N768" s="556"/>
      <c r="O768" s="556"/>
      <c r="P768" s="557"/>
      <c r="Q768" s="556"/>
      <c r="R768" s="557"/>
      <c r="S768" s="556"/>
      <c r="T768" s="557"/>
    </row>
    <row r="769">
      <c r="A769" s="45"/>
      <c r="B769" s="45"/>
      <c r="C769" s="554"/>
      <c r="D769" s="555"/>
      <c r="E769" s="555"/>
      <c r="F769" s="45"/>
      <c r="G769" s="555"/>
      <c r="H769" s="45"/>
      <c r="I769" s="122"/>
      <c r="K769" s="556"/>
      <c r="L769" s="557"/>
      <c r="M769" s="556"/>
      <c r="N769" s="556"/>
      <c r="O769" s="556"/>
      <c r="P769" s="557"/>
      <c r="Q769" s="556"/>
      <c r="R769" s="557"/>
      <c r="S769" s="556"/>
      <c r="T769" s="557"/>
    </row>
    <row r="770">
      <c r="A770" s="45"/>
      <c r="B770" s="45"/>
      <c r="C770" s="554"/>
      <c r="D770" s="555"/>
      <c r="E770" s="555"/>
      <c r="F770" s="45"/>
      <c r="G770" s="555"/>
      <c r="H770" s="45"/>
      <c r="I770" s="122"/>
      <c r="K770" s="556"/>
      <c r="L770" s="557"/>
      <c r="M770" s="556"/>
      <c r="N770" s="556"/>
      <c r="O770" s="556"/>
      <c r="P770" s="557"/>
      <c r="Q770" s="556"/>
      <c r="R770" s="557"/>
      <c r="S770" s="556"/>
      <c r="T770" s="557"/>
    </row>
    <row r="771">
      <c r="A771" s="45"/>
      <c r="B771" s="45"/>
      <c r="C771" s="554"/>
      <c r="D771" s="555"/>
      <c r="E771" s="555"/>
      <c r="F771" s="45"/>
      <c r="G771" s="555"/>
      <c r="H771" s="45"/>
      <c r="I771" s="122"/>
      <c r="K771" s="556"/>
      <c r="L771" s="557"/>
      <c r="M771" s="556"/>
      <c r="N771" s="556"/>
      <c r="O771" s="556"/>
      <c r="P771" s="557"/>
      <c r="Q771" s="556"/>
      <c r="R771" s="557"/>
      <c r="S771" s="556"/>
      <c r="T771" s="557"/>
    </row>
    <row r="772">
      <c r="A772" s="45"/>
      <c r="B772" s="45"/>
      <c r="C772" s="554"/>
      <c r="D772" s="555"/>
      <c r="E772" s="555"/>
      <c r="F772" s="45"/>
      <c r="G772" s="555"/>
      <c r="H772" s="45"/>
      <c r="I772" s="122"/>
      <c r="K772" s="556"/>
      <c r="L772" s="557"/>
      <c r="M772" s="556"/>
      <c r="N772" s="556"/>
      <c r="O772" s="556"/>
      <c r="P772" s="557"/>
      <c r="Q772" s="556"/>
      <c r="R772" s="557"/>
      <c r="S772" s="556"/>
      <c r="T772" s="557"/>
    </row>
    <row r="773">
      <c r="A773" s="45"/>
      <c r="B773" s="45"/>
      <c r="C773" s="554"/>
      <c r="D773" s="555"/>
      <c r="E773" s="555"/>
      <c r="F773" s="45"/>
      <c r="G773" s="555"/>
      <c r="H773" s="45"/>
      <c r="I773" s="122"/>
      <c r="K773" s="556"/>
      <c r="L773" s="557"/>
      <c r="M773" s="556"/>
      <c r="N773" s="556"/>
      <c r="O773" s="556"/>
      <c r="P773" s="557"/>
      <c r="Q773" s="556"/>
      <c r="R773" s="557"/>
      <c r="S773" s="556"/>
      <c r="T773" s="557"/>
    </row>
    <row r="774">
      <c r="A774" s="45"/>
      <c r="B774" s="45"/>
      <c r="C774" s="554"/>
      <c r="D774" s="555"/>
      <c r="E774" s="555"/>
      <c r="F774" s="45"/>
      <c r="G774" s="555"/>
      <c r="H774" s="45"/>
      <c r="I774" s="122"/>
      <c r="K774" s="556"/>
      <c r="L774" s="557"/>
      <c r="M774" s="556"/>
      <c r="N774" s="556"/>
      <c r="O774" s="556"/>
      <c r="P774" s="557"/>
      <c r="Q774" s="556"/>
      <c r="R774" s="557"/>
      <c r="S774" s="556"/>
      <c r="T774" s="557"/>
    </row>
    <row r="775">
      <c r="A775" s="45"/>
      <c r="B775" s="45"/>
      <c r="C775" s="554"/>
      <c r="D775" s="555"/>
      <c r="E775" s="555"/>
      <c r="F775" s="45"/>
      <c r="G775" s="555"/>
      <c r="H775" s="45"/>
      <c r="I775" s="122"/>
      <c r="K775" s="556"/>
      <c r="L775" s="557"/>
      <c r="M775" s="556"/>
      <c r="N775" s="556"/>
      <c r="O775" s="556"/>
      <c r="P775" s="557"/>
      <c r="Q775" s="556"/>
      <c r="R775" s="557"/>
      <c r="S775" s="556"/>
      <c r="T775" s="557"/>
    </row>
    <row r="776">
      <c r="A776" s="45"/>
      <c r="B776" s="45"/>
      <c r="C776" s="554"/>
      <c r="D776" s="555"/>
      <c r="E776" s="555"/>
      <c r="F776" s="45"/>
      <c r="G776" s="555"/>
      <c r="H776" s="45"/>
      <c r="I776" s="122"/>
      <c r="K776" s="556"/>
      <c r="L776" s="557"/>
      <c r="M776" s="556"/>
      <c r="N776" s="556"/>
      <c r="O776" s="556"/>
      <c r="P776" s="557"/>
      <c r="Q776" s="556"/>
      <c r="R776" s="557"/>
      <c r="S776" s="556"/>
      <c r="T776" s="557"/>
    </row>
    <row r="777">
      <c r="A777" s="45"/>
      <c r="B777" s="45"/>
      <c r="C777" s="554"/>
      <c r="D777" s="555"/>
      <c r="E777" s="555"/>
      <c r="F777" s="45"/>
      <c r="G777" s="555"/>
      <c r="H777" s="45"/>
      <c r="I777" s="122"/>
      <c r="K777" s="556"/>
      <c r="L777" s="557"/>
      <c r="M777" s="556"/>
      <c r="N777" s="556"/>
      <c r="O777" s="556"/>
      <c r="P777" s="557"/>
      <c r="Q777" s="556"/>
      <c r="R777" s="557"/>
      <c r="S777" s="556"/>
      <c r="T777" s="557"/>
    </row>
    <row r="778">
      <c r="A778" s="45"/>
      <c r="B778" s="45"/>
      <c r="C778" s="554"/>
      <c r="D778" s="555"/>
      <c r="E778" s="555"/>
      <c r="F778" s="45"/>
      <c r="G778" s="555"/>
      <c r="H778" s="45"/>
      <c r="I778" s="122"/>
      <c r="K778" s="556"/>
      <c r="L778" s="557"/>
      <c r="M778" s="556"/>
      <c r="N778" s="556"/>
      <c r="O778" s="556"/>
      <c r="P778" s="557"/>
      <c r="Q778" s="556"/>
      <c r="R778" s="557"/>
      <c r="S778" s="556"/>
      <c r="T778" s="557"/>
    </row>
    <row r="779">
      <c r="A779" s="45"/>
      <c r="B779" s="45"/>
      <c r="C779" s="554"/>
      <c r="D779" s="555"/>
      <c r="E779" s="555"/>
      <c r="F779" s="45"/>
      <c r="G779" s="555"/>
      <c r="H779" s="45"/>
      <c r="I779" s="122"/>
      <c r="K779" s="556"/>
      <c r="L779" s="557"/>
      <c r="M779" s="556"/>
      <c r="N779" s="556"/>
      <c r="O779" s="556"/>
      <c r="P779" s="557"/>
      <c r="Q779" s="556"/>
      <c r="R779" s="557"/>
      <c r="S779" s="556"/>
      <c r="T779" s="557"/>
    </row>
    <row r="780">
      <c r="A780" s="45"/>
      <c r="B780" s="45"/>
      <c r="C780" s="554"/>
      <c r="D780" s="555"/>
      <c r="E780" s="555"/>
      <c r="F780" s="45"/>
      <c r="G780" s="555"/>
      <c r="H780" s="45"/>
      <c r="I780" s="122"/>
      <c r="K780" s="556"/>
      <c r="L780" s="557"/>
      <c r="M780" s="556"/>
      <c r="N780" s="556"/>
      <c r="O780" s="556"/>
      <c r="P780" s="557"/>
      <c r="Q780" s="556"/>
      <c r="R780" s="557"/>
      <c r="S780" s="556"/>
      <c r="T780" s="557"/>
    </row>
    <row r="781">
      <c r="A781" s="45"/>
      <c r="B781" s="45"/>
      <c r="C781" s="554"/>
      <c r="D781" s="555"/>
      <c r="E781" s="555"/>
      <c r="F781" s="45"/>
      <c r="G781" s="555"/>
      <c r="H781" s="45"/>
      <c r="I781" s="122"/>
      <c r="K781" s="556"/>
      <c r="L781" s="557"/>
      <c r="M781" s="556"/>
      <c r="N781" s="556"/>
      <c r="O781" s="556"/>
      <c r="P781" s="557"/>
      <c r="Q781" s="556"/>
      <c r="R781" s="557"/>
      <c r="S781" s="556"/>
      <c r="T781" s="557"/>
    </row>
    <row r="782">
      <c r="A782" s="45"/>
      <c r="B782" s="45"/>
      <c r="C782" s="554"/>
      <c r="D782" s="555"/>
      <c r="E782" s="555"/>
      <c r="F782" s="45"/>
      <c r="G782" s="555"/>
      <c r="H782" s="45"/>
      <c r="I782" s="122"/>
      <c r="K782" s="556"/>
      <c r="L782" s="557"/>
      <c r="M782" s="556"/>
      <c r="N782" s="556"/>
      <c r="O782" s="556"/>
      <c r="P782" s="557"/>
      <c r="Q782" s="556"/>
      <c r="R782" s="557"/>
      <c r="S782" s="556"/>
      <c r="T782" s="557"/>
    </row>
    <row r="783">
      <c r="A783" s="45"/>
      <c r="B783" s="45"/>
      <c r="C783" s="554"/>
      <c r="D783" s="555"/>
      <c r="E783" s="555"/>
      <c r="F783" s="45"/>
      <c r="G783" s="555"/>
      <c r="H783" s="45"/>
      <c r="I783" s="122"/>
      <c r="K783" s="556"/>
      <c r="L783" s="557"/>
      <c r="M783" s="556"/>
      <c r="N783" s="556"/>
      <c r="O783" s="556"/>
      <c r="P783" s="557"/>
      <c r="Q783" s="556"/>
      <c r="R783" s="557"/>
      <c r="S783" s="556"/>
      <c r="T783" s="557"/>
    </row>
    <row r="784">
      <c r="A784" s="45"/>
      <c r="B784" s="45"/>
      <c r="C784" s="554"/>
      <c r="D784" s="555"/>
      <c r="E784" s="555"/>
      <c r="F784" s="45"/>
      <c r="G784" s="555"/>
      <c r="H784" s="45"/>
      <c r="I784" s="122"/>
      <c r="K784" s="556"/>
      <c r="L784" s="557"/>
      <c r="M784" s="556"/>
      <c r="N784" s="556"/>
      <c r="O784" s="556"/>
      <c r="P784" s="557"/>
      <c r="Q784" s="556"/>
      <c r="R784" s="557"/>
      <c r="S784" s="556"/>
      <c r="T784" s="557"/>
    </row>
    <row r="785">
      <c r="A785" s="45"/>
      <c r="B785" s="45"/>
      <c r="C785" s="554"/>
      <c r="D785" s="555"/>
      <c r="E785" s="555"/>
      <c r="F785" s="45"/>
      <c r="G785" s="555"/>
      <c r="H785" s="45"/>
      <c r="I785" s="122"/>
      <c r="K785" s="556"/>
      <c r="L785" s="557"/>
      <c r="M785" s="556"/>
      <c r="N785" s="556"/>
      <c r="O785" s="556"/>
      <c r="P785" s="557"/>
      <c r="Q785" s="556"/>
      <c r="R785" s="557"/>
      <c r="S785" s="556"/>
      <c r="T785" s="557"/>
    </row>
    <row r="786">
      <c r="A786" s="45"/>
      <c r="B786" s="45"/>
      <c r="C786" s="554"/>
      <c r="D786" s="555"/>
      <c r="E786" s="555"/>
      <c r="F786" s="45"/>
      <c r="G786" s="555"/>
      <c r="H786" s="45"/>
      <c r="I786" s="122"/>
      <c r="K786" s="556"/>
      <c r="L786" s="557"/>
      <c r="M786" s="556"/>
      <c r="N786" s="556"/>
      <c r="O786" s="556"/>
      <c r="P786" s="557"/>
      <c r="Q786" s="556"/>
      <c r="R786" s="557"/>
      <c r="S786" s="556"/>
      <c r="T786" s="557"/>
    </row>
    <row r="787">
      <c r="A787" s="45"/>
      <c r="B787" s="45"/>
      <c r="C787" s="554"/>
      <c r="D787" s="555"/>
      <c r="E787" s="555"/>
      <c r="F787" s="45"/>
      <c r="G787" s="555"/>
      <c r="H787" s="45"/>
      <c r="I787" s="122"/>
      <c r="K787" s="556"/>
      <c r="L787" s="557"/>
      <c r="M787" s="556"/>
      <c r="N787" s="556"/>
      <c r="O787" s="556"/>
      <c r="P787" s="557"/>
      <c r="Q787" s="556"/>
      <c r="R787" s="557"/>
      <c r="S787" s="556"/>
      <c r="T787" s="557"/>
    </row>
    <row r="788">
      <c r="A788" s="45"/>
      <c r="B788" s="45"/>
      <c r="C788" s="554"/>
      <c r="D788" s="555"/>
      <c r="E788" s="555"/>
      <c r="F788" s="45"/>
      <c r="G788" s="555"/>
      <c r="H788" s="45"/>
      <c r="I788" s="122"/>
      <c r="K788" s="556"/>
      <c r="L788" s="557"/>
      <c r="M788" s="556"/>
      <c r="N788" s="556"/>
      <c r="O788" s="556"/>
      <c r="P788" s="557"/>
      <c r="Q788" s="556"/>
      <c r="R788" s="557"/>
      <c r="S788" s="556"/>
      <c r="T788" s="557"/>
    </row>
    <row r="789">
      <c r="A789" s="45"/>
      <c r="B789" s="45"/>
      <c r="C789" s="554"/>
      <c r="D789" s="555"/>
      <c r="E789" s="555"/>
      <c r="F789" s="45"/>
      <c r="G789" s="555"/>
      <c r="H789" s="45"/>
      <c r="I789" s="122"/>
      <c r="K789" s="556"/>
      <c r="L789" s="557"/>
      <c r="M789" s="556"/>
      <c r="N789" s="556"/>
      <c r="O789" s="556"/>
      <c r="P789" s="557"/>
      <c r="Q789" s="556"/>
      <c r="R789" s="557"/>
      <c r="S789" s="556"/>
      <c r="T789" s="557"/>
    </row>
    <row r="790">
      <c r="A790" s="45"/>
      <c r="B790" s="45"/>
      <c r="C790" s="554"/>
      <c r="D790" s="555"/>
      <c r="E790" s="555"/>
      <c r="F790" s="45"/>
      <c r="G790" s="555"/>
      <c r="H790" s="45"/>
      <c r="I790" s="122"/>
      <c r="K790" s="556"/>
      <c r="L790" s="557"/>
      <c r="M790" s="556"/>
      <c r="N790" s="556"/>
      <c r="O790" s="556"/>
      <c r="P790" s="557"/>
      <c r="Q790" s="556"/>
      <c r="R790" s="557"/>
      <c r="S790" s="556"/>
      <c r="T790" s="557"/>
    </row>
    <row r="791">
      <c r="A791" s="45"/>
      <c r="B791" s="45"/>
      <c r="C791" s="554"/>
      <c r="D791" s="555"/>
      <c r="E791" s="555"/>
      <c r="F791" s="45"/>
      <c r="G791" s="555"/>
      <c r="H791" s="45"/>
      <c r="I791" s="122"/>
      <c r="K791" s="556"/>
      <c r="L791" s="557"/>
      <c r="M791" s="556"/>
      <c r="N791" s="556"/>
      <c r="O791" s="556"/>
      <c r="P791" s="557"/>
      <c r="Q791" s="556"/>
      <c r="R791" s="557"/>
      <c r="S791" s="556"/>
      <c r="T791" s="557"/>
    </row>
    <row r="792">
      <c r="A792" s="45"/>
      <c r="B792" s="45"/>
      <c r="C792" s="554"/>
      <c r="D792" s="555"/>
      <c r="E792" s="555"/>
      <c r="F792" s="45"/>
      <c r="G792" s="555"/>
      <c r="H792" s="45"/>
      <c r="I792" s="122"/>
      <c r="K792" s="556"/>
      <c r="L792" s="557"/>
      <c r="M792" s="556"/>
      <c r="N792" s="556"/>
      <c r="O792" s="556"/>
      <c r="P792" s="557"/>
      <c r="Q792" s="556"/>
      <c r="R792" s="557"/>
      <c r="S792" s="556"/>
      <c r="T792" s="557"/>
    </row>
    <row r="793">
      <c r="A793" s="45"/>
      <c r="B793" s="45"/>
      <c r="C793" s="554"/>
      <c r="D793" s="555"/>
      <c r="E793" s="555"/>
      <c r="F793" s="45"/>
      <c r="G793" s="555"/>
      <c r="H793" s="45"/>
      <c r="I793" s="122"/>
      <c r="K793" s="556"/>
      <c r="L793" s="557"/>
      <c r="M793" s="556"/>
      <c r="N793" s="556"/>
      <c r="O793" s="556"/>
      <c r="P793" s="557"/>
      <c r="Q793" s="556"/>
      <c r="R793" s="557"/>
      <c r="S793" s="556"/>
      <c r="T793" s="557"/>
    </row>
    <row r="794">
      <c r="A794" s="45"/>
      <c r="B794" s="45"/>
      <c r="C794" s="554"/>
      <c r="D794" s="555"/>
      <c r="E794" s="555"/>
      <c r="F794" s="45"/>
      <c r="G794" s="555"/>
      <c r="H794" s="45"/>
      <c r="I794" s="122"/>
      <c r="K794" s="556"/>
      <c r="L794" s="557"/>
      <c r="M794" s="556"/>
      <c r="N794" s="556"/>
      <c r="O794" s="556"/>
      <c r="P794" s="557"/>
      <c r="Q794" s="556"/>
      <c r="R794" s="557"/>
      <c r="S794" s="556"/>
      <c r="T794" s="557"/>
    </row>
    <row r="795">
      <c r="A795" s="45"/>
      <c r="B795" s="45"/>
      <c r="C795" s="554"/>
      <c r="D795" s="555"/>
      <c r="E795" s="555"/>
      <c r="F795" s="45"/>
      <c r="G795" s="555"/>
      <c r="H795" s="45"/>
      <c r="I795" s="122"/>
      <c r="K795" s="556"/>
      <c r="L795" s="557"/>
      <c r="M795" s="556"/>
      <c r="N795" s="556"/>
      <c r="O795" s="556"/>
      <c r="P795" s="557"/>
      <c r="Q795" s="556"/>
      <c r="R795" s="557"/>
      <c r="S795" s="556"/>
      <c r="T795" s="557"/>
    </row>
    <row r="796">
      <c r="A796" s="45"/>
      <c r="B796" s="45"/>
      <c r="C796" s="554"/>
      <c r="D796" s="555"/>
      <c r="E796" s="555"/>
      <c r="F796" s="45"/>
      <c r="G796" s="555"/>
      <c r="H796" s="45"/>
      <c r="I796" s="122"/>
      <c r="K796" s="556"/>
      <c r="L796" s="557"/>
      <c r="M796" s="556"/>
      <c r="N796" s="556"/>
      <c r="O796" s="556"/>
      <c r="P796" s="557"/>
      <c r="Q796" s="556"/>
      <c r="R796" s="557"/>
      <c r="S796" s="556"/>
      <c r="T796" s="557"/>
    </row>
    <row r="797">
      <c r="A797" s="45"/>
      <c r="B797" s="45"/>
      <c r="C797" s="554"/>
      <c r="D797" s="555"/>
      <c r="E797" s="555"/>
      <c r="F797" s="45"/>
      <c r="G797" s="555"/>
      <c r="H797" s="45"/>
      <c r="I797" s="122"/>
      <c r="K797" s="556"/>
      <c r="L797" s="557"/>
      <c r="M797" s="556"/>
      <c r="N797" s="556"/>
      <c r="O797" s="556"/>
      <c r="P797" s="557"/>
      <c r="Q797" s="556"/>
      <c r="R797" s="557"/>
      <c r="S797" s="556"/>
      <c r="T797" s="557"/>
    </row>
    <row r="798">
      <c r="A798" s="45"/>
      <c r="B798" s="45"/>
      <c r="C798" s="554"/>
      <c r="D798" s="555"/>
      <c r="E798" s="555"/>
      <c r="F798" s="45"/>
      <c r="G798" s="555"/>
      <c r="H798" s="45"/>
      <c r="I798" s="122"/>
      <c r="K798" s="556"/>
      <c r="L798" s="557"/>
      <c r="M798" s="556"/>
      <c r="N798" s="556"/>
      <c r="O798" s="556"/>
      <c r="P798" s="557"/>
      <c r="Q798" s="556"/>
      <c r="R798" s="557"/>
      <c r="S798" s="556"/>
      <c r="T798" s="557"/>
    </row>
    <row r="799">
      <c r="A799" s="45"/>
      <c r="B799" s="45"/>
      <c r="C799" s="554"/>
      <c r="D799" s="555"/>
      <c r="E799" s="555"/>
      <c r="F799" s="45"/>
      <c r="G799" s="555"/>
      <c r="H799" s="45"/>
      <c r="I799" s="122"/>
      <c r="K799" s="556"/>
      <c r="L799" s="557"/>
      <c r="M799" s="556"/>
      <c r="N799" s="556"/>
      <c r="O799" s="556"/>
      <c r="P799" s="557"/>
      <c r="Q799" s="556"/>
      <c r="R799" s="557"/>
      <c r="S799" s="556"/>
      <c r="T799" s="557"/>
    </row>
    <row r="800">
      <c r="A800" s="45"/>
      <c r="B800" s="45"/>
      <c r="C800" s="554"/>
      <c r="D800" s="555"/>
      <c r="E800" s="555"/>
      <c r="F800" s="45"/>
      <c r="G800" s="555"/>
      <c r="H800" s="45"/>
      <c r="I800" s="122"/>
      <c r="K800" s="556"/>
      <c r="L800" s="557"/>
      <c r="M800" s="556"/>
      <c r="N800" s="556"/>
      <c r="O800" s="556"/>
      <c r="P800" s="557"/>
      <c r="Q800" s="556"/>
      <c r="R800" s="557"/>
      <c r="S800" s="556"/>
      <c r="T800" s="557"/>
    </row>
    <row r="801">
      <c r="A801" s="45"/>
      <c r="B801" s="45"/>
      <c r="C801" s="554"/>
      <c r="D801" s="555"/>
      <c r="E801" s="555"/>
      <c r="F801" s="45"/>
      <c r="G801" s="555"/>
      <c r="H801" s="45"/>
      <c r="I801" s="122"/>
      <c r="K801" s="556"/>
      <c r="L801" s="557"/>
      <c r="M801" s="556"/>
      <c r="N801" s="556"/>
      <c r="O801" s="556"/>
      <c r="P801" s="557"/>
      <c r="Q801" s="556"/>
      <c r="R801" s="557"/>
      <c r="S801" s="556"/>
      <c r="T801" s="557"/>
    </row>
    <row r="802">
      <c r="A802" s="45"/>
      <c r="B802" s="45"/>
      <c r="C802" s="554"/>
      <c r="D802" s="555"/>
      <c r="E802" s="555"/>
      <c r="F802" s="45"/>
      <c r="G802" s="555"/>
      <c r="H802" s="45"/>
      <c r="I802" s="122"/>
      <c r="K802" s="556"/>
      <c r="L802" s="557"/>
      <c r="M802" s="556"/>
      <c r="N802" s="556"/>
      <c r="O802" s="556"/>
      <c r="P802" s="557"/>
      <c r="Q802" s="556"/>
      <c r="R802" s="557"/>
      <c r="S802" s="556"/>
      <c r="T802" s="557"/>
    </row>
    <row r="803">
      <c r="A803" s="45"/>
      <c r="B803" s="45"/>
      <c r="C803" s="554"/>
      <c r="D803" s="555"/>
      <c r="E803" s="555"/>
      <c r="F803" s="45"/>
      <c r="G803" s="555"/>
      <c r="H803" s="45"/>
      <c r="I803" s="122"/>
      <c r="K803" s="556"/>
      <c r="L803" s="557"/>
      <c r="M803" s="556"/>
      <c r="N803" s="556"/>
      <c r="O803" s="556"/>
      <c r="P803" s="557"/>
      <c r="Q803" s="556"/>
      <c r="R803" s="557"/>
      <c r="S803" s="556"/>
      <c r="T803" s="557"/>
    </row>
    <row r="804">
      <c r="A804" s="45"/>
      <c r="B804" s="45"/>
      <c r="C804" s="554"/>
      <c r="D804" s="555"/>
      <c r="E804" s="555"/>
      <c r="F804" s="45"/>
      <c r="G804" s="555"/>
      <c r="H804" s="45"/>
      <c r="I804" s="122"/>
      <c r="K804" s="556"/>
      <c r="L804" s="557"/>
      <c r="M804" s="556"/>
      <c r="N804" s="556"/>
      <c r="O804" s="556"/>
      <c r="P804" s="557"/>
      <c r="Q804" s="556"/>
      <c r="R804" s="557"/>
      <c r="S804" s="556"/>
      <c r="T804" s="557"/>
    </row>
    <row r="805">
      <c r="A805" s="45"/>
      <c r="B805" s="45"/>
      <c r="C805" s="554"/>
      <c r="D805" s="555"/>
      <c r="E805" s="555"/>
      <c r="F805" s="45"/>
      <c r="G805" s="555"/>
      <c r="H805" s="45"/>
      <c r="I805" s="122"/>
      <c r="K805" s="556"/>
      <c r="L805" s="557"/>
      <c r="M805" s="556"/>
      <c r="N805" s="556"/>
      <c r="O805" s="556"/>
      <c r="P805" s="557"/>
      <c r="Q805" s="556"/>
      <c r="R805" s="557"/>
      <c r="S805" s="556"/>
      <c r="T805" s="557"/>
    </row>
    <row r="806">
      <c r="A806" s="45"/>
      <c r="B806" s="45"/>
      <c r="C806" s="554"/>
      <c r="D806" s="555"/>
      <c r="E806" s="555"/>
      <c r="F806" s="45"/>
      <c r="G806" s="555"/>
      <c r="H806" s="45"/>
      <c r="I806" s="122"/>
      <c r="K806" s="556"/>
      <c r="L806" s="557"/>
      <c r="M806" s="556"/>
      <c r="N806" s="556"/>
      <c r="O806" s="556"/>
      <c r="P806" s="557"/>
      <c r="Q806" s="556"/>
      <c r="R806" s="557"/>
      <c r="S806" s="556"/>
      <c r="T806" s="557"/>
    </row>
    <row r="807">
      <c r="A807" s="45"/>
      <c r="B807" s="45"/>
      <c r="C807" s="554"/>
      <c r="D807" s="555"/>
      <c r="E807" s="555"/>
      <c r="F807" s="45"/>
      <c r="G807" s="555"/>
      <c r="H807" s="45"/>
      <c r="I807" s="122"/>
      <c r="K807" s="556"/>
      <c r="L807" s="557"/>
      <c r="M807" s="556"/>
      <c r="N807" s="556"/>
      <c r="O807" s="556"/>
      <c r="P807" s="557"/>
      <c r="Q807" s="556"/>
      <c r="R807" s="557"/>
      <c r="S807" s="556"/>
      <c r="T807" s="557"/>
    </row>
    <row r="808">
      <c r="A808" s="45"/>
      <c r="B808" s="45"/>
      <c r="C808" s="554"/>
      <c r="D808" s="555"/>
      <c r="E808" s="555"/>
      <c r="F808" s="45"/>
      <c r="G808" s="555"/>
      <c r="H808" s="45"/>
      <c r="I808" s="122"/>
      <c r="K808" s="556"/>
      <c r="L808" s="557"/>
      <c r="M808" s="556"/>
      <c r="N808" s="556"/>
      <c r="O808" s="556"/>
      <c r="P808" s="557"/>
      <c r="Q808" s="556"/>
      <c r="R808" s="557"/>
      <c r="S808" s="556"/>
      <c r="T808" s="557"/>
    </row>
    <row r="809">
      <c r="A809" s="45"/>
      <c r="B809" s="45"/>
      <c r="C809" s="554"/>
      <c r="D809" s="555"/>
      <c r="E809" s="555"/>
      <c r="F809" s="45"/>
      <c r="G809" s="555"/>
      <c r="H809" s="45"/>
      <c r="I809" s="122"/>
      <c r="K809" s="556"/>
      <c r="L809" s="557"/>
      <c r="M809" s="556"/>
      <c r="N809" s="556"/>
      <c r="O809" s="556"/>
      <c r="P809" s="557"/>
      <c r="Q809" s="556"/>
      <c r="R809" s="557"/>
      <c r="S809" s="556"/>
      <c r="T809" s="557"/>
    </row>
    <row r="810">
      <c r="A810" s="45"/>
      <c r="B810" s="45"/>
      <c r="C810" s="554"/>
      <c r="D810" s="555"/>
      <c r="E810" s="555"/>
      <c r="F810" s="45"/>
      <c r="G810" s="555"/>
      <c r="H810" s="45"/>
      <c r="I810" s="122"/>
      <c r="K810" s="556"/>
      <c r="L810" s="557"/>
      <c r="M810" s="556"/>
      <c r="N810" s="556"/>
      <c r="O810" s="556"/>
      <c r="P810" s="557"/>
      <c r="Q810" s="556"/>
      <c r="R810" s="557"/>
      <c r="S810" s="556"/>
      <c r="T810" s="557"/>
    </row>
    <row r="811">
      <c r="A811" s="45"/>
      <c r="B811" s="45"/>
      <c r="C811" s="554"/>
      <c r="D811" s="555"/>
      <c r="E811" s="555"/>
      <c r="F811" s="45"/>
      <c r="G811" s="555"/>
      <c r="H811" s="45"/>
      <c r="I811" s="122"/>
      <c r="K811" s="556"/>
      <c r="L811" s="557"/>
      <c r="M811" s="556"/>
      <c r="N811" s="556"/>
      <c r="O811" s="556"/>
      <c r="P811" s="557"/>
      <c r="Q811" s="556"/>
      <c r="R811" s="557"/>
      <c r="S811" s="556"/>
      <c r="T811" s="557"/>
    </row>
    <row r="812">
      <c r="A812" s="45"/>
      <c r="B812" s="45"/>
      <c r="C812" s="554"/>
      <c r="D812" s="555"/>
      <c r="E812" s="555"/>
      <c r="F812" s="45"/>
      <c r="G812" s="555"/>
      <c r="H812" s="45"/>
      <c r="I812" s="122"/>
      <c r="K812" s="556"/>
      <c r="L812" s="557"/>
      <c r="M812" s="556"/>
      <c r="N812" s="556"/>
      <c r="O812" s="556"/>
      <c r="P812" s="557"/>
      <c r="Q812" s="556"/>
      <c r="R812" s="557"/>
      <c r="S812" s="556"/>
      <c r="T812" s="557"/>
    </row>
    <row r="813">
      <c r="A813" s="45"/>
      <c r="B813" s="45"/>
      <c r="C813" s="554"/>
      <c r="D813" s="555"/>
      <c r="E813" s="555"/>
      <c r="F813" s="45"/>
      <c r="G813" s="555"/>
      <c r="H813" s="45"/>
      <c r="I813" s="122"/>
      <c r="K813" s="556"/>
      <c r="L813" s="557"/>
      <c r="M813" s="556"/>
      <c r="N813" s="556"/>
      <c r="O813" s="556"/>
      <c r="P813" s="557"/>
      <c r="Q813" s="556"/>
      <c r="R813" s="557"/>
      <c r="S813" s="556"/>
      <c r="T813" s="557"/>
    </row>
    <row r="814">
      <c r="A814" s="45"/>
      <c r="B814" s="45"/>
      <c r="C814" s="554"/>
      <c r="D814" s="555"/>
      <c r="E814" s="555"/>
      <c r="F814" s="45"/>
      <c r="G814" s="555"/>
      <c r="H814" s="45"/>
      <c r="I814" s="122"/>
      <c r="K814" s="556"/>
      <c r="L814" s="557"/>
      <c r="M814" s="556"/>
      <c r="N814" s="556"/>
      <c r="O814" s="556"/>
      <c r="P814" s="557"/>
      <c r="Q814" s="556"/>
      <c r="R814" s="557"/>
      <c r="S814" s="556"/>
      <c r="T814" s="557"/>
    </row>
    <row r="815">
      <c r="A815" s="45"/>
      <c r="B815" s="45"/>
      <c r="C815" s="554"/>
      <c r="D815" s="555"/>
      <c r="E815" s="555"/>
      <c r="F815" s="45"/>
      <c r="G815" s="555"/>
      <c r="H815" s="45"/>
      <c r="I815" s="122"/>
      <c r="K815" s="556"/>
      <c r="L815" s="557"/>
      <c r="M815" s="556"/>
      <c r="N815" s="556"/>
      <c r="O815" s="556"/>
      <c r="P815" s="557"/>
      <c r="Q815" s="556"/>
      <c r="R815" s="557"/>
      <c r="S815" s="556"/>
      <c r="T815" s="557"/>
    </row>
    <row r="816">
      <c r="A816" s="45"/>
      <c r="B816" s="45"/>
      <c r="C816" s="554"/>
      <c r="D816" s="555"/>
      <c r="E816" s="555"/>
      <c r="F816" s="45"/>
      <c r="G816" s="555"/>
      <c r="H816" s="45"/>
      <c r="I816" s="122"/>
      <c r="K816" s="556"/>
      <c r="L816" s="557"/>
      <c r="M816" s="556"/>
      <c r="N816" s="556"/>
      <c r="O816" s="556"/>
      <c r="P816" s="557"/>
      <c r="Q816" s="556"/>
      <c r="R816" s="557"/>
      <c r="S816" s="556"/>
      <c r="T816" s="557"/>
    </row>
    <row r="817">
      <c r="A817" s="45"/>
      <c r="B817" s="45"/>
      <c r="C817" s="554"/>
      <c r="D817" s="555"/>
      <c r="E817" s="555"/>
      <c r="F817" s="45"/>
      <c r="G817" s="555"/>
      <c r="H817" s="45"/>
      <c r="I817" s="122"/>
      <c r="K817" s="556"/>
      <c r="L817" s="557"/>
      <c r="M817" s="556"/>
      <c r="N817" s="556"/>
      <c r="O817" s="556"/>
      <c r="P817" s="557"/>
      <c r="Q817" s="556"/>
      <c r="R817" s="557"/>
      <c r="S817" s="556"/>
      <c r="T817" s="557"/>
    </row>
    <row r="818">
      <c r="A818" s="45"/>
      <c r="B818" s="45"/>
      <c r="C818" s="554"/>
      <c r="D818" s="555"/>
      <c r="E818" s="555"/>
      <c r="F818" s="45"/>
      <c r="G818" s="555"/>
      <c r="H818" s="45"/>
      <c r="I818" s="122"/>
      <c r="K818" s="556"/>
      <c r="L818" s="557"/>
      <c r="M818" s="556"/>
      <c r="N818" s="556"/>
      <c r="O818" s="556"/>
      <c r="P818" s="557"/>
      <c r="Q818" s="556"/>
      <c r="R818" s="557"/>
      <c r="S818" s="556"/>
      <c r="T818" s="557"/>
    </row>
    <row r="819">
      <c r="A819" s="45"/>
      <c r="B819" s="45"/>
      <c r="C819" s="554"/>
      <c r="D819" s="555"/>
      <c r="E819" s="555"/>
      <c r="F819" s="45"/>
      <c r="G819" s="555"/>
      <c r="H819" s="45"/>
      <c r="I819" s="122"/>
      <c r="K819" s="556"/>
      <c r="L819" s="557"/>
      <c r="M819" s="556"/>
      <c r="N819" s="556"/>
      <c r="O819" s="556"/>
      <c r="P819" s="557"/>
      <c r="Q819" s="556"/>
      <c r="R819" s="557"/>
      <c r="S819" s="556"/>
      <c r="T819" s="557"/>
    </row>
    <row r="820">
      <c r="A820" s="45"/>
      <c r="B820" s="45"/>
      <c r="C820" s="554"/>
      <c r="D820" s="555"/>
      <c r="E820" s="555"/>
      <c r="F820" s="45"/>
      <c r="G820" s="555"/>
      <c r="H820" s="45"/>
      <c r="I820" s="122"/>
      <c r="K820" s="556"/>
      <c r="L820" s="557"/>
      <c r="M820" s="556"/>
      <c r="N820" s="556"/>
      <c r="O820" s="556"/>
      <c r="P820" s="557"/>
      <c r="Q820" s="556"/>
      <c r="R820" s="557"/>
      <c r="S820" s="556"/>
      <c r="T820" s="557"/>
    </row>
    <row r="821">
      <c r="A821" s="45"/>
      <c r="B821" s="45"/>
      <c r="C821" s="554"/>
      <c r="D821" s="555"/>
      <c r="E821" s="555"/>
      <c r="F821" s="45"/>
      <c r="G821" s="555"/>
      <c r="H821" s="45"/>
      <c r="I821" s="122"/>
      <c r="K821" s="556"/>
      <c r="L821" s="557"/>
      <c r="M821" s="556"/>
      <c r="N821" s="556"/>
      <c r="O821" s="556"/>
      <c r="P821" s="557"/>
      <c r="Q821" s="556"/>
      <c r="R821" s="557"/>
      <c r="S821" s="556"/>
      <c r="T821" s="557"/>
    </row>
    <row r="822">
      <c r="A822" s="45"/>
      <c r="B822" s="45"/>
      <c r="C822" s="554"/>
      <c r="D822" s="555"/>
      <c r="E822" s="555"/>
      <c r="F822" s="45"/>
      <c r="G822" s="555"/>
      <c r="H822" s="45"/>
      <c r="I822" s="122"/>
      <c r="K822" s="556"/>
      <c r="L822" s="557"/>
      <c r="M822" s="556"/>
      <c r="N822" s="556"/>
      <c r="O822" s="556"/>
      <c r="P822" s="557"/>
      <c r="Q822" s="556"/>
      <c r="R822" s="557"/>
      <c r="S822" s="556"/>
      <c r="T822" s="557"/>
    </row>
    <row r="823">
      <c r="A823" s="45"/>
      <c r="B823" s="45"/>
      <c r="C823" s="554"/>
      <c r="D823" s="555"/>
      <c r="E823" s="555"/>
      <c r="F823" s="45"/>
      <c r="G823" s="555"/>
      <c r="H823" s="45"/>
      <c r="I823" s="122"/>
      <c r="K823" s="556"/>
      <c r="L823" s="557"/>
      <c r="M823" s="556"/>
      <c r="N823" s="556"/>
      <c r="O823" s="556"/>
      <c r="P823" s="557"/>
      <c r="Q823" s="556"/>
      <c r="R823" s="557"/>
      <c r="S823" s="556"/>
      <c r="T823" s="557"/>
    </row>
    <row r="824">
      <c r="A824" s="45"/>
      <c r="B824" s="45"/>
      <c r="C824" s="554"/>
      <c r="D824" s="555"/>
      <c r="E824" s="555"/>
      <c r="F824" s="45"/>
      <c r="G824" s="555"/>
      <c r="H824" s="45"/>
      <c r="I824" s="122"/>
      <c r="K824" s="556"/>
      <c r="L824" s="557"/>
      <c r="M824" s="556"/>
      <c r="N824" s="556"/>
      <c r="O824" s="556"/>
      <c r="P824" s="557"/>
      <c r="Q824" s="556"/>
      <c r="R824" s="557"/>
      <c r="S824" s="556"/>
      <c r="T824" s="557"/>
    </row>
    <row r="825">
      <c r="A825" s="45"/>
      <c r="B825" s="45"/>
      <c r="C825" s="554"/>
      <c r="D825" s="555"/>
      <c r="E825" s="555"/>
      <c r="F825" s="45"/>
      <c r="G825" s="555"/>
      <c r="H825" s="45"/>
      <c r="I825" s="122"/>
      <c r="K825" s="556"/>
      <c r="L825" s="557"/>
      <c r="M825" s="556"/>
      <c r="N825" s="556"/>
      <c r="O825" s="556"/>
      <c r="P825" s="557"/>
      <c r="Q825" s="556"/>
      <c r="R825" s="557"/>
      <c r="S825" s="556"/>
      <c r="T825" s="557"/>
    </row>
    <row r="826">
      <c r="A826" s="45"/>
      <c r="B826" s="45"/>
      <c r="C826" s="554"/>
      <c r="D826" s="555"/>
      <c r="E826" s="555"/>
      <c r="F826" s="45"/>
      <c r="G826" s="555"/>
      <c r="H826" s="45"/>
      <c r="I826" s="122"/>
      <c r="K826" s="556"/>
      <c r="L826" s="557"/>
      <c r="M826" s="556"/>
      <c r="N826" s="556"/>
      <c r="O826" s="556"/>
      <c r="P826" s="557"/>
      <c r="Q826" s="556"/>
      <c r="R826" s="557"/>
      <c r="S826" s="556"/>
      <c r="T826" s="557"/>
    </row>
    <row r="827">
      <c r="A827" s="45"/>
      <c r="B827" s="45"/>
      <c r="C827" s="554"/>
      <c r="D827" s="555"/>
      <c r="E827" s="555"/>
      <c r="F827" s="45"/>
      <c r="G827" s="555"/>
      <c r="H827" s="45"/>
      <c r="I827" s="122"/>
      <c r="K827" s="556"/>
      <c r="L827" s="557"/>
      <c r="M827" s="556"/>
      <c r="N827" s="556"/>
      <c r="O827" s="556"/>
      <c r="P827" s="557"/>
      <c r="Q827" s="556"/>
      <c r="R827" s="557"/>
      <c r="S827" s="556"/>
      <c r="T827" s="557"/>
    </row>
    <row r="828">
      <c r="A828" s="45"/>
      <c r="B828" s="45"/>
      <c r="C828" s="554"/>
      <c r="D828" s="555"/>
      <c r="E828" s="555"/>
      <c r="F828" s="45"/>
      <c r="G828" s="555"/>
      <c r="H828" s="45"/>
      <c r="I828" s="122"/>
      <c r="K828" s="556"/>
      <c r="L828" s="557"/>
      <c r="M828" s="556"/>
      <c r="N828" s="556"/>
      <c r="O828" s="556"/>
      <c r="P828" s="557"/>
      <c r="Q828" s="556"/>
      <c r="R828" s="557"/>
      <c r="S828" s="556"/>
      <c r="T828" s="557"/>
    </row>
    <row r="829">
      <c r="A829" s="45"/>
      <c r="B829" s="45"/>
      <c r="C829" s="554"/>
      <c r="D829" s="555"/>
      <c r="E829" s="555"/>
      <c r="F829" s="45"/>
      <c r="G829" s="555"/>
      <c r="H829" s="45"/>
      <c r="I829" s="122"/>
      <c r="K829" s="556"/>
      <c r="L829" s="557"/>
      <c r="M829" s="556"/>
      <c r="N829" s="556"/>
      <c r="O829" s="556"/>
      <c r="P829" s="557"/>
      <c r="Q829" s="556"/>
      <c r="R829" s="557"/>
      <c r="S829" s="556"/>
      <c r="T829" s="557"/>
    </row>
    <row r="830">
      <c r="A830" s="45"/>
      <c r="B830" s="45"/>
      <c r="C830" s="554"/>
      <c r="D830" s="555"/>
      <c r="E830" s="555"/>
      <c r="F830" s="45"/>
      <c r="G830" s="555"/>
      <c r="H830" s="45"/>
      <c r="I830" s="122"/>
      <c r="K830" s="556"/>
      <c r="L830" s="557"/>
      <c r="M830" s="556"/>
      <c r="N830" s="556"/>
      <c r="O830" s="556"/>
      <c r="P830" s="557"/>
      <c r="Q830" s="556"/>
      <c r="R830" s="557"/>
      <c r="S830" s="556"/>
      <c r="T830" s="557"/>
    </row>
    <row r="831">
      <c r="A831" s="45"/>
      <c r="B831" s="45"/>
      <c r="C831" s="554"/>
      <c r="D831" s="555"/>
      <c r="E831" s="555"/>
      <c r="F831" s="45"/>
      <c r="G831" s="555"/>
      <c r="H831" s="45"/>
      <c r="I831" s="122"/>
      <c r="K831" s="556"/>
      <c r="L831" s="557"/>
      <c r="M831" s="556"/>
      <c r="N831" s="556"/>
      <c r="O831" s="556"/>
      <c r="P831" s="557"/>
      <c r="Q831" s="556"/>
      <c r="R831" s="557"/>
      <c r="S831" s="556"/>
      <c r="T831" s="557"/>
    </row>
    <row r="832">
      <c r="A832" s="45"/>
      <c r="B832" s="45"/>
      <c r="C832" s="554"/>
      <c r="D832" s="555"/>
      <c r="E832" s="555"/>
      <c r="F832" s="45"/>
      <c r="G832" s="555"/>
      <c r="H832" s="45"/>
      <c r="I832" s="122"/>
      <c r="K832" s="556"/>
      <c r="L832" s="557"/>
      <c r="M832" s="556"/>
      <c r="N832" s="556"/>
      <c r="O832" s="556"/>
      <c r="P832" s="557"/>
      <c r="Q832" s="556"/>
      <c r="R832" s="557"/>
      <c r="S832" s="556"/>
      <c r="T832" s="557"/>
    </row>
    <row r="833">
      <c r="A833" s="45"/>
      <c r="B833" s="45"/>
      <c r="C833" s="554"/>
      <c r="D833" s="555"/>
      <c r="E833" s="555"/>
      <c r="F833" s="45"/>
      <c r="G833" s="555"/>
      <c r="H833" s="45"/>
      <c r="I833" s="122"/>
      <c r="K833" s="556"/>
      <c r="L833" s="557"/>
      <c r="M833" s="556"/>
      <c r="N833" s="556"/>
      <c r="O833" s="556"/>
      <c r="P833" s="557"/>
      <c r="Q833" s="556"/>
      <c r="R833" s="557"/>
      <c r="S833" s="556"/>
      <c r="T833" s="557"/>
    </row>
    <row r="834">
      <c r="A834" s="45"/>
      <c r="B834" s="45"/>
      <c r="C834" s="554"/>
      <c r="D834" s="555"/>
      <c r="E834" s="555"/>
      <c r="F834" s="45"/>
      <c r="G834" s="555"/>
      <c r="H834" s="45"/>
      <c r="I834" s="122"/>
      <c r="K834" s="556"/>
      <c r="L834" s="557"/>
      <c r="M834" s="556"/>
      <c r="N834" s="556"/>
      <c r="O834" s="556"/>
      <c r="P834" s="557"/>
      <c r="Q834" s="556"/>
      <c r="R834" s="557"/>
      <c r="S834" s="556"/>
      <c r="T834" s="557"/>
    </row>
    <row r="835">
      <c r="A835" s="45"/>
      <c r="B835" s="45"/>
      <c r="C835" s="554"/>
      <c r="D835" s="555"/>
      <c r="E835" s="555"/>
      <c r="F835" s="45"/>
      <c r="G835" s="555"/>
      <c r="H835" s="45"/>
      <c r="I835" s="122"/>
      <c r="K835" s="556"/>
      <c r="L835" s="557"/>
      <c r="M835" s="556"/>
      <c r="N835" s="556"/>
      <c r="O835" s="556"/>
      <c r="P835" s="557"/>
      <c r="Q835" s="556"/>
      <c r="R835" s="557"/>
      <c r="S835" s="556"/>
      <c r="T835" s="557"/>
    </row>
    <row r="836">
      <c r="A836" s="45"/>
      <c r="B836" s="45"/>
      <c r="C836" s="554"/>
      <c r="D836" s="555"/>
      <c r="E836" s="555"/>
      <c r="F836" s="45"/>
      <c r="G836" s="555"/>
      <c r="H836" s="45"/>
      <c r="I836" s="122"/>
      <c r="K836" s="556"/>
      <c r="L836" s="557"/>
      <c r="M836" s="556"/>
      <c r="N836" s="556"/>
      <c r="O836" s="556"/>
      <c r="P836" s="557"/>
      <c r="Q836" s="556"/>
      <c r="R836" s="557"/>
      <c r="S836" s="556"/>
      <c r="T836" s="557"/>
    </row>
    <row r="837">
      <c r="A837" s="45"/>
      <c r="B837" s="45"/>
      <c r="C837" s="554"/>
      <c r="D837" s="555"/>
      <c r="E837" s="555"/>
      <c r="F837" s="45"/>
      <c r="G837" s="555"/>
      <c r="H837" s="45"/>
      <c r="I837" s="122"/>
      <c r="K837" s="556"/>
      <c r="L837" s="557"/>
      <c r="M837" s="556"/>
      <c r="N837" s="556"/>
      <c r="O837" s="556"/>
      <c r="P837" s="557"/>
      <c r="Q837" s="556"/>
      <c r="R837" s="557"/>
      <c r="S837" s="556"/>
      <c r="T837" s="557"/>
    </row>
    <row r="838">
      <c r="A838" s="45"/>
      <c r="B838" s="45"/>
      <c r="C838" s="554"/>
      <c r="D838" s="555"/>
      <c r="E838" s="555"/>
      <c r="F838" s="45"/>
      <c r="G838" s="555"/>
      <c r="H838" s="45"/>
      <c r="I838" s="122"/>
      <c r="K838" s="556"/>
      <c r="L838" s="557"/>
      <c r="M838" s="556"/>
      <c r="N838" s="556"/>
      <c r="O838" s="556"/>
      <c r="P838" s="557"/>
      <c r="Q838" s="556"/>
      <c r="R838" s="557"/>
      <c r="S838" s="556"/>
      <c r="T838" s="557"/>
    </row>
    <row r="839">
      <c r="A839" s="45"/>
      <c r="B839" s="45"/>
      <c r="C839" s="554"/>
      <c r="D839" s="555"/>
      <c r="E839" s="555"/>
      <c r="F839" s="45"/>
      <c r="G839" s="555"/>
      <c r="H839" s="45"/>
      <c r="I839" s="122"/>
      <c r="K839" s="556"/>
      <c r="L839" s="557"/>
      <c r="M839" s="556"/>
      <c r="N839" s="556"/>
      <c r="O839" s="556"/>
      <c r="P839" s="557"/>
      <c r="Q839" s="556"/>
      <c r="R839" s="557"/>
      <c r="S839" s="556"/>
      <c r="T839" s="557"/>
    </row>
    <row r="840">
      <c r="A840" s="45"/>
      <c r="B840" s="45"/>
      <c r="C840" s="554"/>
      <c r="D840" s="555"/>
      <c r="E840" s="555"/>
      <c r="F840" s="45"/>
      <c r="G840" s="555"/>
      <c r="H840" s="45"/>
      <c r="I840" s="122"/>
      <c r="K840" s="556"/>
      <c r="L840" s="557"/>
      <c r="M840" s="556"/>
      <c r="N840" s="556"/>
      <c r="O840" s="556"/>
      <c r="P840" s="557"/>
      <c r="Q840" s="556"/>
      <c r="R840" s="557"/>
      <c r="S840" s="556"/>
      <c r="T840" s="557"/>
    </row>
    <row r="841">
      <c r="A841" s="45"/>
      <c r="B841" s="45"/>
      <c r="C841" s="554"/>
      <c r="D841" s="555"/>
      <c r="E841" s="555"/>
      <c r="F841" s="45"/>
      <c r="G841" s="555"/>
      <c r="H841" s="45"/>
      <c r="I841" s="122"/>
      <c r="K841" s="556"/>
      <c r="L841" s="557"/>
      <c r="M841" s="556"/>
      <c r="N841" s="556"/>
      <c r="O841" s="556"/>
      <c r="P841" s="557"/>
      <c r="Q841" s="556"/>
      <c r="R841" s="557"/>
      <c r="S841" s="556"/>
      <c r="T841" s="557"/>
    </row>
    <row r="842">
      <c r="A842" s="45"/>
      <c r="B842" s="45"/>
      <c r="C842" s="554"/>
      <c r="D842" s="555"/>
      <c r="E842" s="555"/>
      <c r="F842" s="45"/>
      <c r="G842" s="555"/>
      <c r="H842" s="45"/>
      <c r="I842" s="122"/>
      <c r="K842" s="556"/>
      <c r="L842" s="557"/>
      <c r="M842" s="556"/>
      <c r="N842" s="556"/>
      <c r="O842" s="556"/>
      <c r="P842" s="557"/>
      <c r="Q842" s="556"/>
      <c r="R842" s="557"/>
      <c r="S842" s="556"/>
      <c r="T842" s="557"/>
    </row>
    <row r="843">
      <c r="A843" s="45"/>
      <c r="B843" s="45"/>
      <c r="C843" s="554"/>
      <c r="D843" s="555"/>
      <c r="E843" s="555"/>
      <c r="F843" s="45"/>
      <c r="G843" s="555"/>
      <c r="H843" s="45"/>
      <c r="I843" s="122"/>
      <c r="K843" s="556"/>
      <c r="L843" s="557"/>
      <c r="M843" s="556"/>
      <c r="N843" s="556"/>
      <c r="O843" s="556"/>
      <c r="P843" s="557"/>
      <c r="Q843" s="556"/>
      <c r="R843" s="557"/>
      <c r="S843" s="556"/>
      <c r="T843" s="557"/>
    </row>
    <row r="844">
      <c r="A844" s="45"/>
      <c r="B844" s="45"/>
      <c r="C844" s="554"/>
      <c r="D844" s="555"/>
      <c r="E844" s="555"/>
      <c r="F844" s="45"/>
      <c r="G844" s="555"/>
      <c r="H844" s="45"/>
      <c r="I844" s="122"/>
      <c r="K844" s="556"/>
      <c r="L844" s="557"/>
      <c r="M844" s="556"/>
      <c r="N844" s="556"/>
      <c r="O844" s="556"/>
      <c r="P844" s="557"/>
      <c r="Q844" s="556"/>
      <c r="R844" s="557"/>
      <c r="S844" s="556"/>
      <c r="T844" s="557"/>
    </row>
    <row r="845">
      <c r="A845" s="45"/>
      <c r="B845" s="45"/>
      <c r="C845" s="554"/>
      <c r="D845" s="555"/>
      <c r="E845" s="555"/>
      <c r="F845" s="45"/>
      <c r="G845" s="555"/>
      <c r="H845" s="45"/>
      <c r="I845" s="122"/>
      <c r="K845" s="556"/>
      <c r="L845" s="557"/>
      <c r="M845" s="556"/>
      <c r="N845" s="556"/>
      <c r="O845" s="556"/>
      <c r="P845" s="557"/>
      <c r="Q845" s="556"/>
      <c r="R845" s="557"/>
      <c r="S845" s="556"/>
      <c r="T845" s="557"/>
    </row>
    <row r="846">
      <c r="A846" s="45"/>
      <c r="B846" s="45"/>
      <c r="C846" s="554"/>
      <c r="D846" s="555"/>
      <c r="E846" s="555"/>
      <c r="F846" s="45"/>
      <c r="G846" s="555"/>
      <c r="H846" s="45"/>
      <c r="I846" s="122"/>
      <c r="K846" s="556"/>
      <c r="L846" s="557"/>
      <c r="M846" s="556"/>
      <c r="N846" s="556"/>
      <c r="O846" s="556"/>
      <c r="P846" s="557"/>
      <c r="Q846" s="556"/>
      <c r="R846" s="557"/>
      <c r="S846" s="556"/>
      <c r="T846" s="557"/>
    </row>
    <row r="847">
      <c r="A847" s="45"/>
      <c r="B847" s="45"/>
      <c r="C847" s="554"/>
      <c r="D847" s="555"/>
      <c r="E847" s="555"/>
      <c r="F847" s="45"/>
      <c r="G847" s="555"/>
      <c r="H847" s="45"/>
      <c r="I847" s="122"/>
      <c r="K847" s="556"/>
      <c r="L847" s="557"/>
      <c r="M847" s="556"/>
      <c r="N847" s="556"/>
      <c r="O847" s="556"/>
      <c r="P847" s="557"/>
      <c r="Q847" s="556"/>
      <c r="R847" s="557"/>
      <c r="S847" s="556"/>
      <c r="T847" s="557"/>
    </row>
    <row r="848">
      <c r="A848" s="45"/>
      <c r="B848" s="45"/>
      <c r="C848" s="554"/>
      <c r="D848" s="555"/>
      <c r="E848" s="555"/>
      <c r="F848" s="45"/>
      <c r="G848" s="555"/>
      <c r="H848" s="45"/>
      <c r="I848" s="122"/>
      <c r="K848" s="556"/>
      <c r="L848" s="557"/>
      <c r="M848" s="556"/>
      <c r="N848" s="556"/>
      <c r="O848" s="556"/>
      <c r="P848" s="557"/>
      <c r="Q848" s="556"/>
      <c r="R848" s="557"/>
      <c r="S848" s="556"/>
      <c r="T848" s="557"/>
    </row>
    <row r="849">
      <c r="A849" s="45"/>
      <c r="B849" s="45"/>
      <c r="C849" s="554"/>
      <c r="D849" s="555"/>
      <c r="E849" s="555"/>
      <c r="F849" s="45"/>
      <c r="G849" s="555"/>
      <c r="H849" s="45"/>
      <c r="I849" s="122"/>
      <c r="K849" s="556"/>
      <c r="L849" s="557"/>
      <c r="M849" s="556"/>
      <c r="N849" s="556"/>
      <c r="O849" s="556"/>
      <c r="P849" s="557"/>
      <c r="Q849" s="556"/>
      <c r="R849" s="557"/>
      <c r="S849" s="556"/>
      <c r="T849" s="557"/>
    </row>
    <row r="850">
      <c r="A850" s="45"/>
      <c r="B850" s="45"/>
      <c r="C850" s="554"/>
      <c r="D850" s="555"/>
      <c r="E850" s="555"/>
      <c r="F850" s="45"/>
      <c r="G850" s="555"/>
      <c r="H850" s="45"/>
      <c r="I850" s="122"/>
      <c r="K850" s="556"/>
      <c r="L850" s="557"/>
      <c r="M850" s="556"/>
      <c r="N850" s="556"/>
      <c r="O850" s="556"/>
      <c r="P850" s="557"/>
      <c r="Q850" s="556"/>
      <c r="R850" s="557"/>
      <c r="S850" s="556"/>
      <c r="T850" s="557"/>
    </row>
    <row r="851">
      <c r="A851" s="45"/>
      <c r="B851" s="45"/>
      <c r="C851" s="554"/>
      <c r="D851" s="555"/>
      <c r="E851" s="555"/>
      <c r="F851" s="45"/>
      <c r="G851" s="555"/>
      <c r="H851" s="45"/>
      <c r="I851" s="122"/>
      <c r="K851" s="556"/>
      <c r="L851" s="557"/>
      <c r="M851" s="556"/>
      <c r="N851" s="556"/>
      <c r="O851" s="556"/>
      <c r="P851" s="557"/>
      <c r="Q851" s="556"/>
      <c r="R851" s="557"/>
      <c r="S851" s="556"/>
      <c r="T851" s="557"/>
    </row>
    <row r="852">
      <c r="A852" s="45"/>
      <c r="B852" s="45"/>
      <c r="C852" s="554"/>
      <c r="D852" s="555"/>
      <c r="E852" s="555"/>
      <c r="F852" s="45"/>
      <c r="G852" s="555"/>
      <c r="H852" s="45"/>
      <c r="I852" s="122"/>
      <c r="K852" s="556"/>
      <c r="L852" s="557"/>
      <c r="M852" s="556"/>
      <c r="N852" s="556"/>
      <c r="O852" s="556"/>
      <c r="P852" s="557"/>
      <c r="Q852" s="556"/>
      <c r="R852" s="557"/>
      <c r="S852" s="556"/>
      <c r="T852" s="557"/>
    </row>
    <row r="853">
      <c r="A853" s="45"/>
      <c r="B853" s="45"/>
      <c r="C853" s="554"/>
      <c r="D853" s="555"/>
      <c r="E853" s="555"/>
      <c r="F853" s="45"/>
      <c r="G853" s="555"/>
      <c r="H853" s="45"/>
      <c r="I853" s="122"/>
      <c r="K853" s="556"/>
      <c r="L853" s="557"/>
      <c r="M853" s="556"/>
      <c r="N853" s="556"/>
      <c r="O853" s="556"/>
      <c r="P853" s="557"/>
      <c r="Q853" s="556"/>
      <c r="R853" s="557"/>
      <c r="S853" s="556"/>
      <c r="T853" s="557"/>
    </row>
    <row r="854">
      <c r="A854" s="45"/>
      <c r="B854" s="45"/>
      <c r="C854" s="554"/>
      <c r="D854" s="555"/>
      <c r="E854" s="555"/>
      <c r="F854" s="45"/>
      <c r="G854" s="555"/>
      <c r="H854" s="45"/>
      <c r="I854" s="122"/>
      <c r="K854" s="556"/>
      <c r="L854" s="557"/>
      <c r="M854" s="556"/>
      <c r="N854" s="556"/>
      <c r="O854" s="556"/>
      <c r="P854" s="557"/>
      <c r="Q854" s="556"/>
      <c r="R854" s="557"/>
      <c r="S854" s="556"/>
      <c r="T854" s="557"/>
    </row>
    <row r="855">
      <c r="A855" s="45"/>
      <c r="B855" s="45"/>
      <c r="C855" s="554"/>
      <c r="D855" s="555"/>
      <c r="E855" s="555"/>
      <c r="F855" s="45"/>
      <c r="G855" s="555"/>
      <c r="H855" s="45"/>
      <c r="I855" s="122"/>
      <c r="K855" s="556"/>
      <c r="L855" s="557"/>
      <c r="M855" s="556"/>
      <c r="N855" s="556"/>
      <c r="O855" s="556"/>
      <c r="P855" s="557"/>
      <c r="Q855" s="556"/>
      <c r="R855" s="557"/>
      <c r="S855" s="556"/>
      <c r="T855" s="557"/>
    </row>
    <row r="856">
      <c r="A856" s="45"/>
      <c r="B856" s="45"/>
      <c r="C856" s="554"/>
      <c r="D856" s="555"/>
      <c r="E856" s="555"/>
      <c r="F856" s="45"/>
      <c r="G856" s="555"/>
      <c r="H856" s="45"/>
      <c r="I856" s="122"/>
      <c r="K856" s="556"/>
      <c r="L856" s="557"/>
      <c r="M856" s="556"/>
      <c r="N856" s="556"/>
      <c r="O856" s="556"/>
      <c r="P856" s="557"/>
      <c r="Q856" s="556"/>
      <c r="R856" s="557"/>
      <c r="S856" s="556"/>
      <c r="T856" s="557"/>
    </row>
    <row r="857">
      <c r="A857" s="45"/>
      <c r="B857" s="45"/>
      <c r="C857" s="554"/>
      <c r="D857" s="555"/>
      <c r="E857" s="555"/>
      <c r="F857" s="45"/>
      <c r="G857" s="555"/>
      <c r="H857" s="45"/>
      <c r="I857" s="122"/>
      <c r="K857" s="556"/>
      <c r="L857" s="557"/>
      <c r="M857" s="556"/>
      <c r="N857" s="556"/>
      <c r="O857" s="556"/>
      <c r="P857" s="557"/>
      <c r="Q857" s="556"/>
      <c r="R857" s="557"/>
      <c r="S857" s="556"/>
      <c r="T857" s="557"/>
    </row>
    <row r="858">
      <c r="A858" s="45"/>
      <c r="B858" s="45"/>
      <c r="C858" s="554"/>
      <c r="D858" s="555"/>
      <c r="E858" s="555"/>
      <c r="F858" s="45"/>
      <c r="G858" s="555"/>
      <c r="H858" s="45"/>
      <c r="I858" s="122"/>
      <c r="K858" s="556"/>
      <c r="L858" s="557"/>
      <c r="M858" s="556"/>
      <c r="N858" s="556"/>
      <c r="O858" s="556"/>
      <c r="P858" s="557"/>
      <c r="Q858" s="556"/>
      <c r="R858" s="557"/>
      <c r="S858" s="556"/>
      <c r="T858" s="557"/>
    </row>
    <row r="859">
      <c r="A859" s="45"/>
      <c r="B859" s="45"/>
      <c r="C859" s="554"/>
      <c r="D859" s="555"/>
      <c r="E859" s="555"/>
      <c r="F859" s="45"/>
      <c r="G859" s="555"/>
      <c r="H859" s="45"/>
      <c r="I859" s="122"/>
      <c r="K859" s="556"/>
      <c r="L859" s="557"/>
      <c r="M859" s="556"/>
      <c r="N859" s="556"/>
      <c r="O859" s="556"/>
      <c r="P859" s="557"/>
      <c r="Q859" s="556"/>
      <c r="R859" s="557"/>
      <c r="S859" s="556"/>
      <c r="T859" s="557"/>
    </row>
    <row r="860">
      <c r="A860" s="45"/>
      <c r="B860" s="45"/>
      <c r="C860" s="554"/>
      <c r="D860" s="555"/>
      <c r="E860" s="555"/>
      <c r="F860" s="45"/>
      <c r="G860" s="555"/>
      <c r="H860" s="45"/>
      <c r="I860" s="122"/>
      <c r="K860" s="556"/>
      <c r="L860" s="557"/>
      <c r="M860" s="556"/>
      <c r="N860" s="556"/>
      <c r="O860" s="556"/>
      <c r="P860" s="557"/>
      <c r="Q860" s="556"/>
      <c r="R860" s="557"/>
      <c r="S860" s="556"/>
      <c r="T860" s="557"/>
    </row>
    <row r="861">
      <c r="A861" s="45"/>
      <c r="B861" s="45"/>
      <c r="C861" s="554"/>
      <c r="D861" s="555"/>
      <c r="E861" s="555"/>
      <c r="F861" s="45"/>
      <c r="G861" s="555"/>
      <c r="H861" s="45"/>
      <c r="I861" s="122"/>
      <c r="K861" s="556"/>
      <c r="L861" s="557"/>
      <c r="M861" s="556"/>
      <c r="N861" s="556"/>
      <c r="O861" s="556"/>
      <c r="P861" s="557"/>
      <c r="Q861" s="556"/>
      <c r="R861" s="557"/>
      <c r="S861" s="556"/>
      <c r="T861" s="557"/>
    </row>
    <row r="862">
      <c r="A862" s="45"/>
      <c r="B862" s="45"/>
      <c r="C862" s="554"/>
      <c r="D862" s="555"/>
      <c r="E862" s="555"/>
      <c r="F862" s="45"/>
      <c r="G862" s="555"/>
      <c r="H862" s="45"/>
      <c r="I862" s="122"/>
      <c r="K862" s="556"/>
      <c r="L862" s="557"/>
      <c r="M862" s="556"/>
      <c r="N862" s="556"/>
      <c r="O862" s="556"/>
      <c r="P862" s="557"/>
      <c r="Q862" s="556"/>
      <c r="R862" s="557"/>
      <c r="S862" s="556"/>
      <c r="T862" s="557"/>
    </row>
    <row r="863">
      <c r="A863" s="45"/>
      <c r="B863" s="45"/>
      <c r="C863" s="554"/>
      <c r="D863" s="555"/>
      <c r="E863" s="555"/>
      <c r="F863" s="45"/>
      <c r="G863" s="555"/>
      <c r="H863" s="45"/>
      <c r="I863" s="122"/>
      <c r="K863" s="556"/>
      <c r="L863" s="557"/>
      <c r="M863" s="556"/>
      <c r="N863" s="556"/>
      <c r="O863" s="556"/>
      <c r="P863" s="557"/>
      <c r="Q863" s="556"/>
      <c r="R863" s="557"/>
      <c r="S863" s="556"/>
      <c r="T863" s="557"/>
    </row>
    <row r="864">
      <c r="A864" s="45"/>
      <c r="B864" s="45"/>
      <c r="C864" s="554"/>
      <c r="D864" s="555"/>
      <c r="E864" s="555"/>
      <c r="F864" s="45"/>
      <c r="G864" s="555"/>
      <c r="H864" s="45"/>
      <c r="I864" s="122"/>
      <c r="K864" s="556"/>
      <c r="L864" s="557"/>
      <c r="M864" s="556"/>
      <c r="N864" s="556"/>
      <c r="O864" s="556"/>
      <c r="P864" s="557"/>
      <c r="Q864" s="556"/>
      <c r="R864" s="557"/>
      <c r="S864" s="556"/>
      <c r="T864" s="557"/>
    </row>
    <row r="865">
      <c r="A865" s="45"/>
      <c r="B865" s="45"/>
      <c r="C865" s="554"/>
      <c r="D865" s="555"/>
      <c r="E865" s="555"/>
      <c r="F865" s="45"/>
      <c r="G865" s="555"/>
      <c r="H865" s="45"/>
      <c r="I865" s="122"/>
      <c r="K865" s="556"/>
      <c r="L865" s="557"/>
      <c r="M865" s="556"/>
      <c r="N865" s="556"/>
      <c r="O865" s="556"/>
      <c r="P865" s="557"/>
      <c r="Q865" s="556"/>
      <c r="R865" s="557"/>
      <c r="S865" s="556"/>
      <c r="T865" s="557"/>
    </row>
    <row r="866">
      <c r="A866" s="45"/>
      <c r="B866" s="45"/>
      <c r="C866" s="554"/>
      <c r="D866" s="555"/>
      <c r="E866" s="555"/>
      <c r="F866" s="45"/>
      <c r="G866" s="555"/>
      <c r="H866" s="45"/>
      <c r="I866" s="122"/>
      <c r="K866" s="556"/>
      <c r="L866" s="557"/>
      <c r="M866" s="556"/>
      <c r="N866" s="556"/>
      <c r="O866" s="556"/>
      <c r="P866" s="557"/>
      <c r="Q866" s="556"/>
      <c r="R866" s="557"/>
      <c r="S866" s="556"/>
      <c r="T866" s="557"/>
    </row>
    <row r="867">
      <c r="A867" s="45"/>
      <c r="B867" s="45"/>
      <c r="C867" s="554"/>
      <c r="D867" s="555"/>
      <c r="E867" s="555"/>
      <c r="F867" s="45"/>
      <c r="G867" s="555"/>
      <c r="H867" s="45"/>
      <c r="I867" s="122"/>
      <c r="K867" s="556"/>
      <c r="L867" s="557"/>
      <c r="M867" s="556"/>
      <c r="N867" s="556"/>
      <c r="O867" s="556"/>
      <c r="P867" s="557"/>
      <c r="Q867" s="556"/>
      <c r="R867" s="557"/>
      <c r="S867" s="556"/>
      <c r="T867" s="557"/>
    </row>
    <row r="868">
      <c r="A868" s="45"/>
      <c r="B868" s="45"/>
      <c r="C868" s="554"/>
      <c r="D868" s="555"/>
      <c r="E868" s="555"/>
      <c r="F868" s="45"/>
      <c r="G868" s="555"/>
      <c r="H868" s="45"/>
      <c r="I868" s="122"/>
      <c r="K868" s="556"/>
      <c r="L868" s="557"/>
      <c r="M868" s="556"/>
      <c r="N868" s="556"/>
      <c r="O868" s="556"/>
      <c r="P868" s="557"/>
      <c r="Q868" s="556"/>
      <c r="R868" s="557"/>
      <c r="S868" s="556"/>
      <c r="T868" s="557"/>
    </row>
    <row r="869">
      <c r="A869" s="45"/>
      <c r="B869" s="45"/>
      <c r="C869" s="554"/>
      <c r="D869" s="555"/>
      <c r="E869" s="555"/>
      <c r="F869" s="45"/>
      <c r="G869" s="555"/>
      <c r="H869" s="45"/>
      <c r="I869" s="122"/>
      <c r="K869" s="556"/>
      <c r="L869" s="557"/>
      <c r="M869" s="556"/>
      <c r="N869" s="556"/>
      <c r="O869" s="556"/>
      <c r="P869" s="557"/>
      <c r="Q869" s="556"/>
      <c r="R869" s="557"/>
      <c r="S869" s="556"/>
      <c r="T869" s="557"/>
    </row>
    <row r="870">
      <c r="A870" s="45"/>
      <c r="B870" s="45"/>
      <c r="C870" s="554"/>
      <c r="D870" s="555"/>
      <c r="E870" s="555"/>
      <c r="F870" s="45"/>
      <c r="G870" s="555"/>
      <c r="H870" s="45"/>
      <c r="I870" s="122"/>
      <c r="K870" s="556"/>
      <c r="L870" s="557"/>
      <c r="M870" s="556"/>
      <c r="N870" s="556"/>
      <c r="O870" s="556"/>
      <c r="P870" s="557"/>
      <c r="Q870" s="556"/>
      <c r="R870" s="557"/>
      <c r="S870" s="556"/>
      <c r="T870" s="557"/>
    </row>
    <row r="871">
      <c r="A871" s="45"/>
      <c r="B871" s="45"/>
      <c r="C871" s="554"/>
      <c r="D871" s="555"/>
      <c r="E871" s="555"/>
      <c r="F871" s="45"/>
      <c r="G871" s="555"/>
      <c r="H871" s="45"/>
      <c r="I871" s="122"/>
      <c r="K871" s="556"/>
      <c r="L871" s="557"/>
      <c r="M871" s="556"/>
      <c r="N871" s="556"/>
      <c r="O871" s="556"/>
      <c r="P871" s="557"/>
      <c r="Q871" s="556"/>
      <c r="R871" s="557"/>
      <c r="S871" s="556"/>
      <c r="T871" s="557"/>
    </row>
    <row r="872">
      <c r="A872" s="45"/>
      <c r="B872" s="45"/>
      <c r="C872" s="554"/>
      <c r="D872" s="555"/>
      <c r="E872" s="555"/>
      <c r="F872" s="45"/>
      <c r="G872" s="555"/>
      <c r="H872" s="45"/>
      <c r="I872" s="122"/>
      <c r="K872" s="556"/>
      <c r="L872" s="557"/>
      <c r="M872" s="556"/>
      <c r="N872" s="556"/>
      <c r="O872" s="556"/>
      <c r="P872" s="557"/>
      <c r="Q872" s="556"/>
      <c r="R872" s="557"/>
      <c r="S872" s="556"/>
      <c r="T872" s="557"/>
    </row>
    <row r="873">
      <c r="A873" s="45"/>
      <c r="B873" s="45"/>
      <c r="C873" s="554"/>
      <c r="D873" s="555"/>
      <c r="E873" s="555"/>
      <c r="F873" s="45"/>
      <c r="G873" s="555"/>
      <c r="H873" s="45"/>
      <c r="I873" s="122"/>
      <c r="K873" s="556"/>
      <c r="L873" s="557"/>
      <c r="M873" s="556"/>
      <c r="N873" s="556"/>
      <c r="O873" s="556"/>
      <c r="P873" s="557"/>
      <c r="Q873" s="556"/>
      <c r="R873" s="557"/>
      <c r="S873" s="556"/>
      <c r="T873" s="557"/>
    </row>
    <row r="874">
      <c r="A874" s="45"/>
      <c r="B874" s="45"/>
      <c r="C874" s="554"/>
      <c r="D874" s="555"/>
      <c r="E874" s="555"/>
      <c r="F874" s="45"/>
      <c r="G874" s="555"/>
      <c r="H874" s="45"/>
      <c r="I874" s="122"/>
      <c r="K874" s="556"/>
      <c r="L874" s="557"/>
      <c r="M874" s="556"/>
      <c r="N874" s="556"/>
      <c r="O874" s="556"/>
      <c r="P874" s="557"/>
      <c r="Q874" s="556"/>
      <c r="R874" s="557"/>
      <c r="S874" s="556"/>
      <c r="T874" s="557"/>
    </row>
    <row r="875">
      <c r="A875" s="45"/>
      <c r="B875" s="45"/>
      <c r="C875" s="554"/>
      <c r="D875" s="555"/>
      <c r="E875" s="555"/>
      <c r="F875" s="45"/>
      <c r="G875" s="555"/>
      <c r="H875" s="45"/>
      <c r="I875" s="122"/>
      <c r="K875" s="556"/>
      <c r="L875" s="557"/>
      <c r="M875" s="556"/>
      <c r="N875" s="556"/>
      <c r="O875" s="556"/>
      <c r="P875" s="557"/>
      <c r="Q875" s="556"/>
      <c r="R875" s="557"/>
      <c r="S875" s="556"/>
      <c r="T875" s="557"/>
    </row>
    <row r="876">
      <c r="A876" s="45"/>
      <c r="B876" s="45"/>
      <c r="C876" s="554"/>
      <c r="D876" s="555"/>
      <c r="E876" s="555"/>
      <c r="F876" s="45"/>
      <c r="G876" s="555"/>
      <c r="H876" s="45"/>
      <c r="I876" s="122"/>
      <c r="K876" s="556"/>
      <c r="L876" s="557"/>
      <c r="M876" s="556"/>
      <c r="N876" s="556"/>
      <c r="O876" s="556"/>
      <c r="P876" s="557"/>
      <c r="Q876" s="556"/>
      <c r="R876" s="557"/>
      <c r="S876" s="556"/>
      <c r="T876" s="557"/>
    </row>
    <row r="877">
      <c r="A877" s="45"/>
      <c r="B877" s="45"/>
      <c r="C877" s="554"/>
      <c r="D877" s="555"/>
      <c r="E877" s="555"/>
      <c r="F877" s="45"/>
      <c r="G877" s="555"/>
      <c r="H877" s="45"/>
      <c r="I877" s="122"/>
      <c r="K877" s="556"/>
      <c r="L877" s="557"/>
      <c r="M877" s="556"/>
      <c r="N877" s="556"/>
      <c r="O877" s="556"/>
      <c r="P877" s="557"/>
      <c r="Q877" s="556"/>
      <c r="R877" s="557"/>
      <c r="S877" s="556"/>
      <c r="T877" s="557"/>
    </row>
    <row r="878">
      <c r="A878" s="45"/>
      <c r="B878" s="45"/>
      <c r="C878" s="554"/>
      <c r="D878" s="555"/>
      <c r="E878" s="555"/>
      <c r="F878" s="45"/>
      <c r="G878" s="555"/>
      <c r="H878" s="45"/>
      <c r="I878" s="122"/>
      <c r="K878" s="556"/>
      <c r="L878" s="557"/>
      <c r="M878" s="556"/>
      <c r="N878" s="556"/>
      <c r="O878" s="556"/>
      <c r="P878" s="557"/>
      <c r="Q878" s="556"/>
      <c r="R878" s="557"/>
      <c r="S878" s="556"/>
      <c r="T878" s="557"/>
    </row>
    <row r="879">
      <c r="A879" s="45"/>
      <c r="B879" s="45"/>
      <c r="C879" s="554"/>
      <c r="D879" s="555"/>
      <c r="E879" s="555"/>
      <c r="F879" s="45"/>
      <c r="G879" s="555"/>
      <c r="H879" s="45"/>
      <c r="I879" s="122"/>
      <c r="K879" s="556"/>
      <c r="L879" s="557"/>
      <c r="M879" s="556"/>
      <c r="N879" s="556"/>
      <c r="O879" s="556"/>
      <c r="P879" s="557"/>
      <c r="Q879" s="556"/>
      <c r="R879" s="557"/>
      <c r="S879" s="556"/>
      <c r="T879" s="557"/>
    </row>
    <row r="880">
      <c r="A880" s="45"/>
      <c r="B880" s="45"/>
      <c r="C880" s="554"/>
      <c r="D880" s="555"/>
      <c r="E880" s="555"/>
      <c r="F880" s="45"/>
      <c r="G880" s="555"/>
      <c r="H880" s="45"/>
      <c r="I880" s="122"/>
      <c r="K880" s="556"/>
      <c r="L880" s="557"/>
      <c r="M880" s="556"/>
      <c r="N880" s="556"/>
      <c r="O880" s="556"/>
      <c r="P880" s="557"/>
      <c r="Q880" s="556"/>
      <c r="R880" s="557"/>
      <c r="S880" s="556"/>
      <c r="T880" s="557"/>
    </row>
    <row r="881">
      <c r="A881" s="45"/>
      <c r="B881" s="45"/>
      <c r="C881" s="554"/>
      <c r="D881" s="555"/>
      <c r="E881" s="555"/>
      <c r="F881" s="45"/>
      <c r="G881" s="555"/>
      <c r="H881" s="45"/>
      <c r="I881" s="122"/>
      <c r="K881" s="556"/>
      <c r="L881" s="557"/>
      <c r="M881" s="556"/>
      <c r="N881" s="556"/>
      <c r="O881" s="556"/>
      <c r="P881" s="557"/>
      <c r="Q881" s="556"/>
      <c r="R881" s="557"/>
      <c r="S881" s="556"/>
      <c r="T881" s="557"/>
    </row>
    <row r="882">
      <c r="A882" s="45"/>
      <c r="B882" s="45"/>
      <c r="C882" s="554"/>
      <c r="D882" s="555"/>
      <c r="E882" s="555"/>
      <c r="F882" s="45"/>
      <c r="G882" s="555"/>
      <c r="H882" s="45"/>
      <c r="I882" s="122"/>
      <c r="K882" s="556"/>
      <c r="L882" s="557"/>
      <c r="M882" s="556"/>
      <c r="N882" s="556"/>
      <c r="O882" s="556"/>
      <c r="P882" s="557"/>
      <c r="Q882" s="556"/>
      <c r="R882" s="557"/>
      <c r="S882" s="556"/>
      <c r="T882" s="557"/>
    </row>
    <row r="883">
      <c r="A883" s="45"/>
      <c r="B883" s="45"/>
      <c r="C883" s="554"/>
      <c r="D883" s="555"/>
      <c r="E883" s="555"/>
      <c r="F883" s="45"/>
      <c r="G883" s="555"/>
      <c r="H883" s="45"/>
      <c r="I883" s="122"/>
      <c r="K883" s="556"/>
      <c r="L883" s="557"/>
      <c r="M883" s="556"/>
      <c r="N883" s="556"/>
      <c r="O883" s="556"/>
      <c r="P883" s="557"/>
      <c r="Q883" s="556"/>
      <c r="R883" s="557"/>
      <c r="S883" s="556"/>
      <c r="T883" s="557"/>
    </row>
    <row r="884">
      <c r="A884" s="45"/>
      <c r="B884" s="45"/>
      <c r="C884" s="554"/>
      <c r="D884" s="555"/>
      <c r="E884" s="555"/>
      <c r="F884" s="45"/>
      <c r="G884" s="555"/>
      <c r="H884" s="45"/>
      <c r="I884" s="122"/>
      <c r="K884" s="556"/>
      <c r="L884" s="557"/>
      <c r="M884" s="556"/>
      <c r="N884" s="556"/>
      <c r="O884" s="556"/>
      <c r="P884" s="557"/>
      <c r="Q884" s="556"/>
      <c r="R884" s="557"/>
      <c r="S884" s="556"/>
      <c r="T884" s="557"/>
    </row>
    <row r="885">
      <c r="A885" s="45"/>
      <c r="B885" s="45"/>
      <c r="C885" s="554"/>
      <c r="D885" s="555"/>
      <c r="E885" s="555"/>
      <c r="F885" s="45"/>
      <c r="G885" s="555"/>
      <c r="H885" s="45"/>
      <c r="I885" s="122"/>
      <c r="K885" s="556"/>
      <c r="L885" s="557"/>
      <c r="M885" s="556"/>
      <c r="N885" s="556"/>
      <c r="O885" s="556"/>
      <c r="P885" s="557"/>
      <c r="Q885" s="556"/>
      <c r="R885" s="557"/>
      <c r="S885" s="556"/>
      <c r="T885" s="557"/>
    </row>
    <row r="886">
      <c r="A886" s="45"/>
      <c r="B886" s="45"/>
      <c r="C886" s="554"/>
      <c r="D886" s="555"/>
      <c r="E886" s="555"/>
      <c r="F886" s="45"/>
      <c r="G886" s="555"/>
      <c r="H886" s="45"/>
      <c r="I886" s="122"/>
      <c r="K886" s="556"/>
      <c r="L886" s="557"/>
      <c r="M886" s="556"/>
      <c r="N886" s="556"/>
      <c r="O886" s="556"/>
      <c r="P886" s="557"/>
      <c r="Q886" s="556"/>
      <c r="R886" s="557"/>
      <c r="S886" s="556"/>
      <c r="T886" s="557"/>
    </row>
    <row r="887">
      <c r="A887" s="45"/>
      <c r="B887" s="45"/>
      <c r="C887" s="554"/>
      <c r="D887" s="555"/>
      <c r="E887" s="555"/>
      <c r="F887" s="45"/>
      <c r="G887" s="555"/>
      <c r="H887" s="45"/>
      <c r="I887" s="122"/>
      <c r="K887" s="556"/>
      <c r="L887" s="557"/>
      <c r="M887" s="556"/>
      <c r="N887" s="556"/>
      <c r="O887" s="556"/>
      <c r="P887" s="557"/>
      <c r="Q887" s="556"/>
      <c r="R887" s="557"/>
      <c r="S887" s="556"/>
      <c r="T887" s="557"/>
    </row>
    <row r="888">
      <c r="A888" s="45"/>
      <c r="B888" s="45"/>
      <c r="C888" s="554"/>
      <c r="D888" s="555"/>
      <c r="E888" s="555"/>
      <c r="F888" s="45"/>
      <c r="G888" s="555"/>
      <c r="H888" s="45"/>
      <c r="I888" s="122"/>
      <c r="K888" s="556"/>
      <c r="L888" s="557"/>
      <c r="M888" s="556"/>
      <c r="N888" s="556"/>
      <c r="O888" s="556"/>
      <c r="P888" s="557"/>
      <c r="Q888" s="556"/>
      <c r="R888" s="557"/>
      <c r="S888" s="556"/>
      <c r="T888" s="557"/>
    </row>
    <row r="889">
      <c r="A889" s="45"/>
      <c r="B889" s="45"/>
      <c r="C889" s="554"/>
      <c r="D889" s="555"/>
      <c r="E889" s="555"/>
      <c r="F889" s="45"/>
      <c r="G889" s="555"/>
      <c r="H889" s="45"/>
      <c r="I889" s="122"/>
      <c r="K889" s="556"/>
      <c r="L889" s="557"/>
      <c r="M889" s="556"/>
      <c r="N889" s="556"/>
      <c r="O889" s="556"/>
      <c r="P889" s="557"/>
      <c r="Q889" s="556"/>
      <c r="R889" s="557"/>
      <c r="S889" s="556"/>
      <c r="T889" s="557"/>
    </row>
    <row r="890">
      <c r="A890" s="45"/>
      <c r="B890" s="45"/>
      <c r="C890" s="554"/>
      <c r="D890" s="555"/>
      <c r="E890" s="555"/>
      <c r="F890" s="45"/>
      <c r="G890" s="555"/>
      <c r="H890" s="45"/>
      <c r="I890" s="122"/>
      <c r="K890" s="556"/>
      <c r="L890" s="557"/>
      <c r="M890" s="556"/>
      <c r="N890" s="556"/>
      <c r="O890" s="556"/>
      <c r="P890" s="557"/>
      <c r="Q890" s="556"/>
      <c r="R890" s="557"/>
      <c r="S890" s="556"/>
      <c r="T890" s="557"/>
    </row>
    <row r="891">
      <c r="A891" s="45"/>
      <c r="B891" s="45"/>
      <c r="C891" s="554"/>
      <c r="D891" s="555"/>
      <c r="E891" s="555"/>
      <c r="F891" s="45"/>
      <c r="G891" s="555"/>
      <c r="H891" s="45"/>
      <c r="I891" s="122"/>
      <c r="K891" s="556"/>
      <c r="L891" s="557"/>
      <c r="M891" s="556"/>
      <c r="N891" s="556"/>
      <c r="O891" s="556"/>
      <c r="P891" s="557"/>
      <c r="Q891" s="556"/>
      <c r="R891" s="557"/>
      <c r="S891" s="556"/>
      <c r="T891" s="557"/>
    </row>
    <row r="892">
      <c r="A892" s="45"/>
      <c r="B892" s="45"/>
      <c r="C892" s="554"/>
      <c r="D892" s="555"/>
      <c r="E892" s="555"/>
      <c r="F892" s="45"/>
      <c r="G892" s="555"/>
      <c r="H892" s="45"/>
      <c r="I892" s="122"/>
      <c r="K892" s="556"/>
      <c r="L892" s="557"/>
      <c r="M892" s="556"/>
      <c r="N892" s="556"/>
      <c r="O892" s="556"/>
      <c r="P892" s="557"/>
      <c r="Q892" s="556"/>
      <c r="R892" s="557"/>
      <c r="S892" s="556"/>
      <c r="T892" s="557"/>
    </row>
    <row r="893">
      <c r="A893" s="45"/>
      <c r="B893" s="45"/>
      <c r="C893" s="554"/>
      <c r="D893" s="555"/>
      <c r="E893" s="555"/>
      <c r="F893" s="45"/>
      <c r="G893" s="555"/>
      <c r="H893" s="45"/>
      <c r="I893" s="122"/>
      <c r="K893" s="556"/>
      <c r="L893" s="557"/>
      <c r="M893" s="556"/>
      <c r="N893" s="556"/>
      <c r="O893" s="556"/>
      <c r="P893" s="557"/>
      <c r="Q893" s="556"/>
      <c r="R893" s="557"/>
      <c r="S893" s="556"/>
      <c r="T893" s="557"/>
    </row>
    <row r="894">
      <c r="A894" s="45"/>
      <c r="B894" s="45"/>
      <c r="C894" s="554"/>
      <c r="D894" s="555"/>
      <c r="E894" s="555"/>
      <c r="F894" s="45"/>
      <c r="G894" s="555"/>
      <c r="H894" s="45"/>
      <c r="I894" s="122"/>
      <c r="K894" s="556"/>
      <c r="L894" s="557"/>
      <c r="M894" s="556"/>
      <c r="N894" s="556"/>
      <c r="O894" s="556"/>
      <c r="P894" s="557"/>
      <c r="Q894" s="556"/>
      <c r="R894" s="557"/>
      <c r="S894" s="556"/>
      <c r="T894" s="557"/>
    </row>
    <row r="895">
      <c r="A895" s="45"/>
      <c r="B895" s="45"/>
      <c r="C895" s="554"/>
      <c r="D895" s="555"/>
      <c r="E895" s="555"/>
      <c r="F895" s="45"/>
      <c r="G895" s="555"/>
      <c r="H895" s="45"/>
      <c r="I895" s="122"/>
      <c r="K895" s="556"/>
      <c r="L895" s="557"/>
      <c r="M895" s="556"/>
      <c r="N895" s="556"/>
      <c r="O895" s="556"/>
      <c r="P895" s="557"/>
      <c r="Q895" s="556"/>
      <c r="R895" s="557"/>
      <c r="S895" s="556"/>
      <c r="T895" s="557"/>
    </row>
    <row r="896">
      <c r="A896" s="45"/>
      <c r="B896" s="45"/>
      <c r="C896" s="554"/>
      <c r="D896" s="555"/>
      <c r="E896" s="555"/>
      <c r="F896" s="45"/>
      <c r="G896" s="555"/>
      <c r="H896" s="45"/>
      <c r="I896" s="122"/>
      <c r="K896" s="556"/>
      <c r="L896" s="557"/>
      <c r="M896" s="556"/>
      <c r="N896" s="556"/>
      <c r="O896" s="556"/>
      <c r="P896" s="557"/>
      <c r="Q896" s="556"/>
      <c r="R896" s="557"/>
      <c r="S896" s="556"/>
      <c r="T896" s="557"/>
    </row>
    <row r="897">
      <c r="A897" s="45"/>
      <c r="B897" s="45"/>
      <c r="C897" s="554"/>
      <c r="D897" s="555"/>
      <c r="E897" s="555"/>
      <c r="F897" s="45"/>
      <c r="G897" s="555"/>
      <c r="H897" s="45"/>
      <c r="I897" s="122"/>
      <c r="K897" s="556"/>
      <c r="L897" s="557"/>
      <c r="M897" s="556"/>
      <c r="N897" s="556"/>
      <c r="O897" s="556"/>
      <c r="P897" s="557"/>
      <c r="Q897" s="556"/>
      <c r="R897" s="557"/>
      <c r="S897" s="556"/>
      <c r="T897" s="557"/>
    </row>
    <row r="898">
      <c r="A898" s="45"/>
      <c r="B898" s="45"/>
      <c r="C898" s="554"/>
      <c r="D898" s="555"/>
      <c r="E898" s="555"/>
      <c r="F898" s="45"/>
      <c r="G898" s="555"/>
      <c r="H898" s="45"/>
      <c r="I898" s="122"/>
      <c r="K898" s="556"/>
      <c r="L898" s="557"/>
      <c r="M898" s="556"/>
      <c r="N898" s="556"/>
      <c r="O898" s="556"/>
      <c r="P898" s="557"/>
      <c r="Q898" s="556"/>
      <c r="R898" s="557"/>
      <c r="S898" s="556"/>
      <c r="T898" s="557"/>
    </row>
    <row r="899">
      <c r="A899" s="45"/>
      <c r="B899" s="45"/>
      <c r="C899" s="554"/>
      <c r="D899" s="555"/>
      <c r="E899" s="555"/>
      <c r="F899" s="45"/>
      <c r="G899" s="555"/>
      <c r="H899" s="45"/>
      <c r="I899" s="122"/>
      <c r="K899" s="556"/>
      <c r="L899" s="557"/>
      <c r="M899" s="556"/>
      <c r="N899" s="556"/>
      <c r="O899" s="556"/>
      <c r="P899" s="557"/>
      <c r="Q899" s="556"/>
      <c r="R899" s="557"/>
      <c r="S899" s="556"/>
      <c r="T899" s="557"/>
    </row>
    <row r="900">
      <c r="A900" s="45"/>
      <c r="B900" s="45"/>
      <c r="C900" s="554"/>
      <c r="D900" s="555"/>
      <c r="E900" s="555"/>
      <c r="F900" s="45"/>
      <c r="G900" s="555"/>
      <c r="H900" s="45"/>
      <c r="I900" s="122"/>
      <c r="K900" s="556"/>
      <c r="L900" s="557"/>
      <c r="M900" s="556"/>
      <c r="N900" s="556"/>
      <c r="O900" s="556"/>
      <c r="P900" s="557"/>
      <c r="Q900" s="556"/>
      <c r="R900" s="557"/>
      <c r="S900" s="556"/>
      <c r="T900" s="557"/>
    </row>
    <row r="901">
      <c r="A901" s="45"/>
      <c r="B901" s="45"/>
      <c r="C901" s="554"/>
      <c r="D901" s="555"/>
      <c r="E901" s="555"/>
      <c r="F901" s="45"/>
      <c r="G901" s="555"/>
      <c r="H901" s="45"/>
      <c r="I901" s="122"/>
      <c r="K901" s="556"/>
      <c r="L901" s="557"/>
      <c r="M901" s="556"/>
      <c r="N901" s="556"/>
      <c r="O901" s="556"/>
      <c r="P901" s="557"/>
      <c r="Q901" s="556"/>
      <c r="R901" s="557"/>
      <c r="S901" s="556"/>
      <c r="T901" s="557"/>
    </row>
    <row r="902">
      <c r="A902" s="45"/>
      <c r="B902" s="45"/>
      <c r="C902" s="554"/>
      <c r="D902" s="555"/>
      <c r="E902" s="555"/>
      <c r="F902" s="45"/>
      <c r="G902" s="555"/>
      <c r="H902" s="45"/>
      <c r="I902" s="122"/>
      <c r="K902" s="556"/>
      <c r="L902" s="557"/>
      <c r="M902" s="556"/>
      <c r="N902" s="556"/>
      <c r="O902" s="556"/>
      <c r="P902" s="557"/>
      <c r="Q902" s="556"/>
      <c r="R902" s="557"/>
      <c r="S902" s="556"/>
      <c r="T902" s="557"/>
    </row>
    <row r="903">
      <c r="A903" s="45"/>
      <c r="B903" s="45"/>
      <c r="C903" s="554"/>
      <c r="D903" s="555"/>
      <c r="E903" s="555"/>
      <c r="F903" s="45"/>
      <c r="G903" s="555"/>
      <c r="H903" s="45"/>
      <c r="I903" s="122"/>
      <c r="K903" s="556"/>
      <c r="L903" s="557"/>
      <c r="M903" s="556"/>
      <c r="N903" s="556"/>
      <c r="O903" s="556"/>
      <c r="P903" s="557"/>
      <c r="Q903" s="556"/>
      <c r="R903" s="557"/>
      <c r="S903" s="556"/>
      <c r="T903" s="557"/>
    </row>
    <row r="904">
      <c r="A904" s="45"/>
      <c r="B904" s="45"/>
      <c r="C904" s="554"/>
      <c r="D904" s="555"/>
      <c r="E904" s="555"/>
      <c r="F904" s="45"/>
      <c r="G904" s="555"/>
      <c r="H904" s="45"/>
      <c r="I904" s="122"/>
      <c r="K904" s="556"/>
      <c r="L904" s="557"/>
      <c r="M904" s="556"/>
      <c r="N904" s="556"/>
      <c r="O904" s="556"/>
      <c r="P904" s="557"/>
      <c r="Q904" s="556"/>
      <c r="R904" s="557"/>
      <c r="S904" s="556"/>
      <c r="T904" s="557"/>
    </row>
    <row r="905">
      <c r="A905" s="45"/>
      <c r="B905" s="45"/>
      <c r="C905" s="554"/>
      <c r="D905" s="555"/>
      <c r="E905" s="555"/>
      <c r="F905" s="45"/>
      <c r="G905" s="555"/>
      <c r="H905" s="45"/>
      <c r="I905" s="122"/>
      <c r="K905" s="556"/>
      <c r="L905" s="557"/>
      <c r="M905" s="556"/>
      <c r="N905" s="556"/>
      <c r="O905" s="556"/>
      <c r="P905" s="557"/>
      <c r="Q905" s="556"/>
      <c r="R905" s="557"/>
      <c r="S905" s="556"/>
      <c r="T905" s="557"/>
    </row>
    <row r="906">
      <c r="A906" s="45"/>
      <c r="B906" s="45"/>
      <c r="C906" s="554"/>
      <c r="D906" s="555"/>
      <c r="E906" s="555"/>
      <c r="F906" s="45"/>
      <c r="G906" s="555"/>
      <c r="H906" s="45"/>
      <c r="I906" s="122"/>
      <c r="K906" s="556"/>
      <c r="L906" s="557"/>
      <c r="M906" s="556"/>
      <c r="N906" s="556"/>
      <c r="O906" s="556"/>
      <c r="P906" s="557"/>
      <c r="Q906" s="556"/>
      <c r="R906" s="557"/>
      <c r="S906" s="556"/>
      <c r="T906" s="557"/>
    </row>
    <row r="907">
      <c r="A907" s="45"/>
      <c r="B907" s="45"/>
      <c r="C907" s="554"/>
      <c r="D907" s="555"/>
      <c r="E907" s="555"/>
      <c r="F907" s="45"/>
      <c r="G907" s="555"/>
      <c r="H907" s="45"/>
      <c r="I907" s="122"/>
      <c r="K907" s="556"/>
      <c r="L907" s="557"/>
      <c r="M907" s="556"/>
      <c r="N907" s="556"/>
      <c r="O907" s="556"/>
      <c r="P907" s="557"/>
      <c r="Q907" s="556"/>
      <c r="R907" s="557"/>
      <c r="S907" s="556"/>
      <c r="T907" s="557"/>
    </row>
    <row r="908">
      <c r="A908" s="45"/>
      <c r="B908" s="45"/>
      <c r="C908" s="554"/>
      <c r="D908" s="555"/>
      <c r="E908" s="555"/>
      <c r="F908" s="45"/>
      <c r="G908" s="555"/>
      <c r="H908" s="45"/>
      <c r="I908" s="122"/>
      <c r="K908" s="556"/>
      <c r="L908" s="557"/>
      <c r="M908" s="556"/>
      <c r="N908" s="556"/>
      <c r="O908" s="556"/>
      <c r="P908" s="557"/>
      <c r="Q908" s="556"/>
      <c r="R908" s="557"/>
      <c r="S908" s="556"/>
      <c r="T908" s="557"/>
    </row>
    <row r="909">
      <c r="A909" s="45"/>
      <c r="B909" s="45"/>
      <c r="C909" s="554"/>
      <c r="D909" s="555"/>
      <c r="E909" s="555"/>
      <c r="F909" s="45"/>
      <c r="G909" s="555"/>
      <c r="H909" s="45"/>
      <c r="I909" s="122"/>
      <c r="K909" s="556"/>
      <c r="L909" s="557"/>
      <c r="M909" s="556"/>
      <c r="N909" s="556"/>
      <c r="O909" s="556"/>
      <c r="P909" s="557"/>
      <c r="Q909" s="556"/>
      <c r="R909" s="557"/>
      <c r="S909" s="556"/>
      <c r="T909" s="557"/>
    </row>
    <row r="910">
      <c r="A910" s="45"/>
      <c r="B910" s="45"/>
      <c r="C910" s="554"/>
      <c r="D910" s="555"/>
      <c r="E910" s="555"/>
      <c r="F910" s="45"/>
      <c r="G910" s="555"/>
      <c r="H910" s="45"/>
      <c r="I910" s="122"/>
      <c r="K910" s="556"/>
      <c r="L910" s="557"/>
      <c r="M910" s="556"/>
      <c r="N910" s="556"/>
      <c r="O910" s="556"/>
      <c r="P910" s="557"/>
      <c r="Q910" s="556"/>
      <c r="R910" s="557"/>
      <c r="S910" s="556"/>
      <c r="T910" s="557"/>
    </row>
    <row r="911">
      <c r="A911" s="45"/>
      <c r="B911" s="45"/>
      <c r="C911" s="554"/>
      <c r="D911" s="555"/>
      <c r="E911" s="555"/>
      <c r="F911" s="45"/>
      <c r="G911" s="555"/>
      <c r="H911" s="45"/>
      <c r="I911" s="122"/>
      <c r="K911" s="556"/>
      <c r="L911" s="557"/>
      <c r="M911" s="556"/>
      <c r="N911" s="556"/>
      <c r="O911" s="556"/>
      <c r="P911" s="557"/>
      <c r="Q911" s="556"/>
      <c r="R911" s="557"/>
      <c r="S911" s="556"/>
      <c r="T911" s="557"/>
    </row>
    <row r="912">
      <c r="A912" s="45"/>
      <c r="B912" s="45"/>
      <c r="C912" s="554"/>
      <c r="D912" s="555"/>
      <c r="E912" s="555"/>
      <c r="F912" s="45"/>
      <c r="G912" s="555"/>
      <c r="H912" s="45"/>
      <c r="I912" s="122"/>
      <c r="K912" s="556"/>
      <c r="L912" s="557"/>
      <c r="M912" s="556"/>
      <c r="N912" s="556"/>
      <c r="O912" s="556"/>
      <c r="P912" s="557"/>
      <c r="Q912" s="556"/>
      <c r="R912" s="557"/>
      <c r="S912" s="556"/>
      <c r="T912" s="557"/>
    </row>
    <row r="913">
      <c r="A913" s="45"/>
      <c r="B913" s="45"/>
      <c r="C913" s="554"/>
      <c r="D913" s="555"/>
      <c r="E913" s="555"/>
      <c r="F913" s="45"/>
      <c r="G913" s="555"/>
      <c r="H913" s="45"/>
      <c r="I913" s="122"/>
      <c r="K913" s="556"/>
      <c r="L913" s="557"/>
      <c r="M913" s="556"/>
      <c r="N913" s="556"/>
      <c r="O913" s="556"/>
      <c r="P913" s="557"/>
      <c r="Q913" s="556"/>
      <c r="R913" s="557"/>
      <c r="S913" s="556"/>
      <c r="T913" s="557"/>
    </row>
    <row r="914">
      <c r="A914" s="45"/>
      <c r="B914" s="45"/>
      <c r="C914" s="554"/>
      <c r="D914" s="555"/>
      <c r="E914" s="555"/>
      <c r="F914" s="45"/>
      <c r="G914" s="555"/>
      <c r="H914" s="45"/>
      <c r="I914" s="122"/>
      <c r="K914" s="556"/>
      <c r="L914" s="557"/>
      <c r="M914" s="556"/>
      <c r="N914" s="556"/>
      <c r="O914" s="556"/>
      <c r="P914" s="557"/>
      <c r="Q914" s="556"/>
      <c r="R914" s="557"/>
      <c r="S914" s="556"/>
      <c r="T914" s="557"/>
    </row>
    <row r="915">
      <c r="A915" s="45"/>
      <c r="B915" s="45"/>
      <c r="C915" s="554"/>
      <c r="D915" s="555"/>
      <c r="E915" s="555"/>
      <c r="F915" s="45"/>
      <c r="G915" s="555"/>
      <c r="H915" s="45"/>
      <c r="I915" s="122"/>
      <c r="K915" s="556"/>
      <c r="L915" s="557"/>
      <c r="M915" s="556"/>
      <c r="N915" s="556"/>
      <c r="O915" s="556"/>
      <c r="P915" s="557"/>
      <c r="Q915" s="556"/>
      <c r="R915" s="557"/>
      <c r="S915" s="556"/>
      <c r="T915" s="557"/>
    </row>
    <row r="916">
      <c r="A916" s="45"/>
      <c r="B916" s="45"/>
      <c r="C916" s="554"/>
      <c r="D916" s="555"/>
      <c r="E916" s="555"/>
      <c r="F916" s="45"/>
      <c r="G916" s="555"/>
      <c r="H916" s="45"/>
      <c r="I916" s="122"/>
      <c r="K916" s="556"/>
      <c r="L916" s="557"/>
      <c r="M916" s="556"/>
      <c r="N916" s="556"/>
      <c r="O916" s="556"/>
      <c r="P916" s="557"/>
      <c r="Q916" s="556"/>
      <c r="R916" s="557"/>
      <c r="S916" s="556"/>
      <c r="T916" s="557"/>
    </row>
    <row r="917">
      <c r="A917" s="45"/>
      <c r="B917" s="45"/>
      <c r="C917" s="554"/>
      <c r="D917" s="555"/>
      <c r="E917" s="555"/>
      <c r="F917" s="45"/>
      <c r="G917" s="555"/>
      <c r="H917" s="45"/>
      <c r="I917" s="122"/>
      <c r="K917" s="556"/>
      <c r="L917" s="557"/>
      <c r="M917" s="556"/>
      <c r="N917" s="556"/>
      <c r="O917" s="556"/>
      <c r="P917" s="557"/>
      <c r="Q917" s="556"/>
      <c r="R917" s="557"/>
      <c r="S917" s="556"/>
      <c r="T917" s="557"/>
    </row>
    <row r="918">
      <c r="A918" s="45"/>
      <c r="B918" s="45"/>
      <c r="C918" s="554"/>
      <c r="D918" s="555"/>
      <c r="E918" s="555"/>
      <c r="F918" s="45"/>
      <c r="G918" s="555"/>
      <c r="H918" s="45"/>
      <c r="I918" s="122"/>
      <c r="K918" s="556"/>
      <c r="L918" s="557"/>
      <c r="M918" s="556"/>
      <c r="N918" s="556"/>
      <c r="O918" s="556"/>
      <c r="P918" s="557"/>
      <c r="Q918" s="556"/>
      <c r="R918" s="557"/>
      <c r="S918" s="556"/>
      <c r="T918" s="557"/>
    </row>
    <row r="919">
      <c r="A919" s="45"/>
      <c r="B919" s="45"/>
      <c r="C919" s="554"/>
      <c r="D919" s="555"/>
      <c r="E919" s="555"/>
      <c r="F919" s="45"/>
      <c r="G919" s="555"/>
      <c r="H919" s="45"/>
      <c r="I919" s="122"/>
      <c r="K919" s="556"/>
      <c r="L919" s="557"/>
      <c r="M919" s="556"/>
      <c r="N919" s="556"/>
      <c r="O919" s="556"/>
      <c r="P919" s="557"/>
      <c r="Q919" s="556"/>
      <c r="R919" s="557"/>
      <c r="S919" s="556"/>
      <c r="T919" s="557"/>
    </row>
    <row r="920">
      <c r="A920" s="45"/>
      <c r="B920" s="45"/>
      <c r="C920" s="554"/>
      <c r="D920" s="555"/>
      <c r="E920" s="555"/>
      <c r="F920" s="45"/>
      <c r="G920" s="555"/>
      <c r="H920" s="45"/>
      <c r="I920" s="122"/>
      <c r="K920" s="556"/>
      <c r="L920" s="557"/>
      <c r="M920" s="556"/>
      <c r="N920" s="556"/>
      <c r="O920" s="556"/>
      <c r="P920" s="557"/>
      <c r="Q920" s="556"/>
      <c r="R920" s="557"/>
      <c r="S920" s="556"/>
      <c r="T920" s="557"/>
    </row>
    <row r="921">
      <c r="A921" s="45"/>
      <c r="B921" s="45"/>
      <c r="C921" s="554"/>
      <c r="D921" s="555"/>
      <c r="E921" s="555"/>
      <c r="F921" s="45"/>
      <c r="G921" s="555"/>
      <c r="H921" s="45"/>
      <c r="I921" s="122"/>
      <c r="K921" s="556"/>
      <c r="L921" s="557"/>
      <c r="M921" s="556"/>
      <c r="N921" s="556"/>
      <c r="O921" s="556"/>
      <c r="P921" s="557"/>
      <c r="Q921" s="556"/>
      <c r="R921" s="557"/>
      <c r="S921" s="556"/>
      <c r="T921" s="557"/>
    </row>
    <row r="922">
      <c r="A922" s="45"/>
      <c r="B922" s="45"/>
      <c r="C922" s="554"/>
      <c r="D922" s="555"/>
      <c r="E922" s="555"/>
      <c r="F922" s="45"/>
      <c r="G922" s="555"/>
      <c r="H922" s="45"/>
      <c r="I922" s="122"/>
      <c r="K922" s="556"/>
      <c r="L922" s="557"/>
      <c r="M922" s="556"/>
      <c r="N922" s="556"/>
      <c r="O922" s="556"/>
      <c r="P922" s="557"/>
      <c r="Q922" s="556"/>
      <c r="R922" s="557"/>
      <c r="S922" s="556"/>
      <c r="T922" s="557"/>
    </row>
    <row r="923">
      <c r="A923" s="45"/>
      <c r="B923" s="45"/>
      <c r="C923" s="554"/>
      <c r="D923" s="555"/>
      <c r="E923" s="555"/>
      <c r="F923" s="45"/>
      <c r="G923" s="555"/>
      <c r="H923" s="45"/>
      <c r="I923" s="122"/>
      <c r="K923" s="556"/>
      <c r="L923" s="557"/>
      <c r="M923" s="556"/>
      <c r="N923" s="556"/>
      <c r="O923" s="556"/>
      <c r="P923" s="557"/>
      <c r="Q923" s="556"/>
      <c r="R923" s="557"/>
      <c r="S923" s="556"/>
      <c r="T923" s="557"/>
    </row>
    <row r="924">
      <c r="A924" s="45"/>
      <c r="B924" s="45"/>
      <c r="C924" s="554"/>
      <c r="D924" s="555"/>
      <c r="E924" s="555"/>
      <c r="F924" s="45"/>
      <c r="G924" s="555"/>
      <c r="H924" s="45"/>
      <c r="I924" s="122"/>
      <c r="K924" s="556"/>
      <c r="L924" s="557"/>
      <c r="M924" s="556"/>
      <c r="N924" s="556"/>
      <c r="O924" s="556"/>
      <c r="P924" s="557"/>
      <c r="Q924" s="556"/>
      <c r="R924" s="557"/>
      <c r="S924" s="556"/>
      <c r="T924" s="557"/>
    </row>
    <row r="925">
      <c r="A925" s="45"/>
      <c r="B925" s="45"/>
      <c r="C925" s="554"/>
      <c r="D925" s="555"/>
      <c r="E925" s="555"/>
      <c r="F925" s="45"/>
      <c r="G925" s="555"/>
      <c r="H925" s="45"/>
      <c r="I925" s="122"/>
      <c r="K925" s="556"/>
      <c r="L925" s="557"/>
      <c r="M925" s="556"/>
      <c r="N925" s="556"/>
      <c r="O925" s="556"/>
      <c r="P925" s="557"/>
      <c r="Q925" s="556"/>
      <c r="R925" s="557"/>
      <c r="S925" s="556"/>
      <c r="T925" s="557"/>
    </row>
    <row r="926">
      <c r="A926" s="45"/>
      <c r="B926" s="45"/>
      <c r="C926" s="554"/>
      <c r="D926" s="555"/>
      <c r="E926" s="555"/>
      <c r="F926" s="45"/>
      <c r="G926" s="555"/>
      <c r="H926" s="45"/>
      <c r="I926" s="122"/>
      <c r="K926" s="556"/>
      <c r="L926" s="557"/>
      <c r="M926" s="556"/>
      <c r="N926" s="556"/>
      <c r="O926" s="556"/>
      <c r="P926" s="557"/>
      <c r="Q926" s="556"/>
      <c r="R926" s="557"/>
      <c r="S926" s="556"/>
      <c r="T926" s="557"/>
    </row>
    <row r="927">
      <c r="A927" s="45"/>
      <c r="B927" s="45"/>
      <c r="C927" s="554"/>
      <c r="D927" s="555"/>
      <c r="E927" s="555"/>
      <c r="F927" s="45"/>
      <c r="G927" s="555"/>
      <c r="H927" s="45"/>
      <c r="I927" s="122"/>
      <c r="K927" s="556"/>
      <c r="L927" s="557"/>
      <c r="M927" s="556"/>
      <c r="N927" s="556"/>
      <c r="O927" s="556"/>
      <c r="P927" s="557"/>
      <c r="Q927" s="556"/>
      <c r="R927" s="557"/>
      <c r="S927" s="556"/>
      <c r="T927" s="557"/>
    </row>
    <row r="928">
      <c r="A928" s="45"/>
      <c r="B928" s="45"/>
      <c r="C928" s="554"/>
      <c r="D928" s="555"/>
      <c r="E928" s="555"/>
      <c r="F928" s="45"/>
      <c r="G928" s="555"/>
      <c r="H928" s="45"/>
      <c r="I928" s="122"/>
      <c r="K928" s="556"/>
      <c r="L928" s="557"/>
      <c r="M928" s="556"/>
      <c r="N928" s="556"/>
      <c r="O928" s="556"/>
      <c r="P928" s="557"/>
      <c r="Q928" s="556"/>
      <c r="R928" s="557"/>
      <c r="S928" s="556"/>
      <c r="T928" s="557"/>
    </row>
    <row r="929">
      <c r="A929" s="45"/>
      <c r="B929" s="45"/>
      <c r="C929" s="554"/>
      <c r="D929" s="555"/>
      <c r="E929" s="555"/>
      <c r="F929" s="45"/>
      <c r="G929" s="555"/>
      <c r="H929" s="45"/>
      <c r="I929" s="122"/>
      <c r="K929" s="556"/>
      <c r="L929" s="557"/>
      <c r="M929" s="556"/>
      <c r="N929" s="556"/>
      <c r="O929" s="556"/>
      <c r="P929" s="557"/>
      <c r="Q929" s="556"/>
      <c r="R929" s="557"/>
      <c r="S929" s="556"/>
      <c r="T929" s="557"/>
    </row>
    <row r="930">
      <c r="A930" s="45"/>
      <c r="B930" s="45"/>
      <c r="C930" s="554"/>
      <c r="D930" s="555"/>
      <c r="E930" s="555"/>
      <c r="F930" s="45"/>
      <c r="G930" s="555"/>
      <c r="H930" s="45"/>
      <c r="I930" s="122"/>
      <c r="K930" s="556"/>
      <c r="L930" s="557"/>
      <c r="M930" s="556"/>
      <c r="N930" s="556"/>
      <c r="O930" s="556"/>
      <c r="P930" s="557"/>
      <c r="Q930" s="556"/>
      <c r="R930" s="557"/>
      <c r="S930" s="556"/>
      <c r="T930" s="557"/>
    </row>
    <row r="931">
      <c r="A931" s="45"/>
      <c r="B931" s="45"/>
      <c r="C931" s="554"/>
      <c r="D931" s="555"/>
      <c r="E931" s="555"/>
      <c r="F931" s="45"/>
      <c r="G931" s="555"/>
      <c r="H931" s="45"/>
      <c r="I931" s="122"/>
      <c r="K931" s="556"/>
      <c r="L931" s="557"/>
      <c r="M931" s="556"/>
      <c r="N931" s="556"/>
      <c r="O931" s="556"/>
      <c r="P931" s="557"/>
      <c r="Q931" s="556"/>
      <c r="R931" s="557"/>
      <c r="S931" s="556"/>
      <c r="T931" s="557"/>
    </row>
    <row r="932">
      <c r="A932" s="45"/>
      <c r="B932" s="45"/>
      <c r="C932" s="554"/>
      <c r="D932" s="555"/>
      <c r="E932" s="555"/>
      <c r="F932" s="45"/>
      <c r="G932" s="555"/>
      <c r="H932" s="45"/>
      <c r="I932" s="122"/>
      <c r="K932" s="556"/>
      <c r="L932" s="557"/>
      <c r="M932" s="556"/>
      <c r="N932" s="556"/>
      <c r="O932" s="556"/>
      <c r="P932" s="557"/>
      <c r="Q932" s="556"/>
      <c r="R932" s="557"/>
      <c r="S932" s="556"/>
      <c r="T932" s="557"/>
    </row>
    <row r="933">
      <c r="A933" s="45"/>
      <c r="B933" s="45"/>
      <c r="C933" s="554"/>
      <c r="D933" s="555"/>
      <c r="E933" s="555"/>
      <c r="F933" s="45"/>
      <c r="G933" s="555"/>
      <c r="H933" s="45"/>
      <c r="I933" s="122"/>
      <c r="K933" s="556"/>
      <c r="L933" s="557"/>
      <c r="M933" s="556"/>
      <c r="N933" s="556"/>
      <c r="O933" s="556"/>
      <c r="P933" s="557"/>
      <c r="Q933" s="556"/>
      <c r="R933" s="557"/>
      <c r="S933" s="556"/>
      <c r="T933" s="557"/>
    </row>
    <row r="934">
      <c r="A934" s="45"/>
      <c r="B934" s="45"/>
      <c r="C934" s="554"/>
      <c r="D934" s="555"/>
      <c r="E934" s="555"/>
      <c r="F934" s="45"/>
      <c r="G934" s="555"/>
      <c r="H934" s="45"/>
      <c r="I934" s="122"/>
      <c r="K934" s="556"/>
      <c r="L934" s="557"/>
      <c r="M934" s="556"/>
      <c r="N934" s="556"/>
      <c r="O934" s="556"/>
      <c r="P934" s="557"/>
      <c r="Q934" s="556"/>
      <c r="R934" s="557"/>
      <c r="S934" s="556"/>
      <c r="T934" s="557"/>
    </row>
    <row r="935">
      <c r="A935" s="45"/>
      <c r="B935" s="45"/>
      <c r="C935" s="554"/>
      <c r="D935" s="555"/>
      <c r="E935" s="555"/>
      <c r="F935" s="45"/>
      <c r="G935" s="555"/>
      <c r="H935" s="45"/>
      <c r="I935" s="122"/>
      <c r="K935" s="556"/>
      <c r="L935" s="557"/>
      <c r="M935" s="556"/>
      <c r="N935" s="556"/>
      <c r="O935" s="556"/>
      <c r="P935" s="557"/>
      <c r="Q935" s="556"/>
      <c r="R935" s="557"/>
      <c r="S935" s="556"/>
      <c r="T935" s="557"/>
    </row>
    <row r="936">
      <c r="A936" s="45"/>
      <c r="B936" s="45"/>
      <c r="C936" s="554"/>
      <c r="D936" s="555"/>
      <c r="E936" s="555"/>
      <c r="F936" s="45"/>
      <c r="G936" s="555"/>
      <c r="H936" s="45"/>
      <c r="I936" s="122"/>
      <c r="K936" s="556"/>
      <c r="L936" s="557"/>
      <c r="M936" s="556"/>
      <c r="N936" s="556"/>
      <c r="O936" s="556"/>
      <c r="P936" s="557"/>
      <c r="Q936" s="556"/>
      <c r="R936" s="557"/>
      <c r="S936" s="556"/>
      <c r="T936" s="557"/>
    </row>
    <row r="937">
      <c r="A937" s="45"/>
      <c r="B937" s="45"/>
      <c r="C937" s="554"/>
      <c r="D937" s="555"/>
      <c r="E937" s="555"/>
      <c r="F937" s="45"/>
      <c r="G937" s="555"/>
      <c r="H937" s="45"/>
      <c r="I937" s="122"/>
      <c r="K937" s="556"/>
      <c r="L937" s="557"/>
      <c r="M937" s="556"/>
      <c r="N937" s="556"/>
      <c r="O937" s="556"/>
      <c r="P937" s="557"/>
      <c r="Q937" s="556"/>
      <c r="R937" s="557"/>
      <c r="S937" s="556"/>
      <c r="T937" s="557"/>
    </row>
    <row r="938">
      <c r="A938" s="45"/>
      <c r="B938" s="45"/>
      <c r="C938" s="554"/>
      <c r="D938" s="555"/>
      <c r="E938" s="555"/>
      <c r="F938" s="45"/>
      <c r="G938" s="555"/>
      <c r="H938" s="45"/>
      <c r="I938" s="122"/>
      <c r="K938" s="556"/>
      <c r="L938" s="557"/>
      <c r="M938" s="556"/>
      <c r="N938" s="556"/>
      <c r="O938" s="556"/>
      <c r="P938" s="557"/>
      <c r="Q938" s="556"/>
      <c r="R938" s="557"/>
      <c r="S938" s="556"/>
      <c r="T938" s="557"/>
    </row>
    <row r="939">
      <c r="A939" s="45"/>
      <c r="B939" s="45"/>
      <c r="C939" s="554"/>
      <c r="D939" s="555"/>
      <c r="E939" s="555"/>
      <c r="F939" s="45"/>
      <c r="G939" s="555"/>
      <c r="H939" s="45"/>
      <c r="I939" s="122"/>
      <c r="K939" s="556"/>
      <c r="L939" s="557"/>
      <c r="M939" s="556"/>
      <c r="N939" s="556"/>
      <c r="O939" s="556"/>
      <c r="P939" s="557"/>
      <c r="Q939" s="556"/>
      <c r="R939" s="557"/>
      <c r="S939" s="556"/>
      <c r="T939" s="557"/>
    </row>
    <row r="940">
      <c r="A940" s="45"/>
      <c r="B940" s="45"/>
      <c r="C940" s="554"/>
      <c r="D940" s="555"/>
      <c r="E940" s="555"/>
      <c r="F940" s="45"/>
      <c r="G940" s="555"/>
      <c r="H940" s="45"/>
      <c r="I940" s="122"/>
      <c r="K940" s="556"/>
      <c r="L940" s="557"/>
      <c r="M940" s="556"/>
      <c r="N940" s="556"/>
      <c r="O940" s="556"/>
      <c r="P940" s="557"/>
      <c r="Q940" s="556"/>
      <c r="R940" s="557"/>
      <c r="S940" s="556"/>
      <c r="T940" s="557"/>
    </row>
    <row r="941">
      <c r="A941" s="45"/>
      <c r="B941" s="45"/>
      <c r="C941" s="554"/>
      <c r="D941" s="555"/>
      <c r="E941" s="555"/>
      <c r="F941" s="45"/>
      <c r="G941" s="555"/>
      <c r="H941" s="45"/>
      <c r="I941" s="122"/>
      <c r="K941" s="556"/>
      <c r="L941" s="557"/>
      <c r="M941" s="556"/>
      <c r="N941" s="556"/>
      <c r="O941" s="556"/>
      <c r="P941" s="557"/>
      <c r="Q941" s="556"/>
      <c r="R941" s="557"/>
      <c r="S941" s="556"/>
      <c r="T941" s="557"/>
    </row>
    <row r="942">
      <c r="A942" s="45"/>
      <c r="B942" s="45"/>
      <c r="C942" s="554"/>
      <c r="D942" s="555"/>
      <c r="E942" s="555"/>
      <c r="F942" s="45"/>
      <c r="G942" s="555"/>
      <c r="H942" s="45"/>
      <c r="I942" s="122"/>
      <c r="K942" s="556"/>
      <c r="L942" s="557"/>
      <c r="M942" s="556"/>
      <c r="N942" s="556"/>
      <c r="O942" s="556"/>
      <c r="P942" s="557"/>
      <c r="Q942" s="556"/>
      <c r="R942" s="557"/>
      <c r="S942" s="556"/>
      <c r="T942" s="557"/>
    </row>
    <row r="943">
      <c r="A943" s="45"/>
      <c r="B943" s="45"/>
      <c r="C943" s="554"/>
      <c r="D943" s="555"/>
      <c r="E943" s="555"/>
      <c r="F943" s="45"/>
      <c r="G943" s="555"/>
      <c r="H943" s="45"/>
      <c r="I943" s="122"/>
      <c r="K943" s="556"/>
      <c r="L943" s="557"/>
      <c r="M943" s="556"/>
      <c r="N943" s="556"/>
      <c r="O943" s="556"/>
      <c r="P943" s="557"/>
      <c r="Q943" s="556"/>
      <c r="R943" s="557"/>
      <c r="S943" s="556"/>
      <c r="T943" s="557"/>
    </row>
    <row r="944">
      <c r="A944" s="45"/>
      <c r="B944" s="45"/>
      <c r="C944" s="554"/>
      <c r="D944" s="555"/>
      <c r="E944" s="555"/>
      <c r="F944" s="45"/>
      <c r="G944" s="555"/>
      <c r="H944" s="45"/>
      <c r="I944" s="122"/>
      <c r="K944" s="556"/>
      <c r="L944" s="557"/>
      <c r="M944" s="556"/>
      <c r="N944" s="556"/>
      <c r="O944" s="556"/>
      <c r="P944" s="557"/>
      <c r="Q944" s="556"/>
      <c r="R944" s="557"/>
      <c r="S944" s="556"/>
      <c r="T944" s="557"/>
    </row>
    <row r="945">
      <c r="A945" s="45"/>
      <c r="B945" s="45"/>
      <c r="C945" s="554"/>
      <c r="D945" s="555"/>
      <c r="E945" s="555"/>
      <c r="F945" s="45"/>
      <c r="G945" s="555"/>
      <c r="H945" s="45"/>
      <c r="I945" s="122"/>
      <c r="K945" s="556"/>
      <c r="L945" s="557"/>
      <c r="M945" s="556"/>
      <c r="N945" s="556"/>
      <c r="O945" s="556"/>
      <c r="P945" s="557"/>
      <c r="Q945" s="556"/>
      <c r="R945" s="557"/>
      <c r="S945" s="556"/>
      <c r="T945" s="557"/>
    </row>
    <row r="946">
      <c r="A946" s="45"/>
      <c r="B946" s="45"/>
      <c r="C946" s="554"/>
      <c r="D946" s="555"/>
      <c r="E946" s="555"/>
      <c r="F946" s="45"/>
      <c r="G946" s="555"/>
      <c r="H946" s="45"/>
      <c r="I946" s="122"/>
      <c r="K946" s="556"/>
      <c r="L946" s="557"/>
      <c r="M946" s="556"/>
      <c r="N946" s="556"/>
      <c r="O946" s="556"/>
      <c r="P946" s="557"/>
      <c r="Q946" s="556"/>
      <c r="R946" s="557"/>
      <c r="S946" s="556"/>
      <c r="T946" s="557"/>
    </row>
    <row r="947">
      <c r="A947" s="45"/>
      <c r="B947" s="45"/>
      <c r="C947" s="554"/>
      <c r="D947" s="555"/>
      <c r="E947" s="555"/>
      <c r="F947" s="45"/>
      <c r="G947" s="555"/>
      <c r="H947" s="45"/>
      <c r="I947" s="122"/>
      <c r="K947" s="556"/>
      <c r="L947" s="557"/>
      <c r="M947" s="556"/>
      <c r="N947" s="556"/>
      <c r="O947" s="556"/>
      <c r="P947" s="557"/>
      <c r="Q947" s="556"/>
      <c r="R947" s="557"/>
      <c r="S947" s="556"/>
      <c r="T947" s="557"/>
    </row>
    <row r="948">
      <c r="A948" s="45"/>
      <c r="B948" s="45"/>
      <c r="C948" s="554"/>
      <c r="D948" s="555"/>
      <c r="E948" s="555"/>
      <c r="F948" s="45"/>
      <c r="G948" s="555"/>
      <c r="H948" s="45"/>
      <c r="I948" s="122"/>
      <c r="K948" s="556"/>
      <c r="L948" s="557"/>
      <c r="M948" s="556"/>
      <c r="N948" s="556"/>
      <c r="O948" s="556"/>
      <c r="P948" s="557"/>
      <c r="Q948" s="556"/>
      <c r="R948" s="557"/>
      <c r="S948" s="556"/>
      <c r="T948" s="557"/>
    </row>
    <row r="949">
      <c r="A949" s="45"/>
      <c r="B949" s="45"/>
      <c r="C949" s="554"/>
      <c r="D949" s="555"/>
      <c r="E949" s="555"/>
      <c r="F949" s="45"/>
      <c r="G949" s="555"/>
      <c r="H949" s="45"/>
      <c r="I949" s="122"/>
      <c r="K949" s="556"/>
      <c r="L949" s="557"/>
      <c r="M949" s="556"/>
      <c r="N949" s="556"/>
      <c r="O949" s="556"/>
      <c r="P949" s="557"/>
      <c r="Q949" s="556"/>
      <c r="R949" s="557"/>
      <c r="S949" s="556"/>
      <c r="T949" s="557"/>
    </row>
    <row r="950">
      <c r="A950" s="45"/>
      <c r="B950" s="45"/>
      <c r="C950" s="554"/>
      <c r="D950" s="555"/>
      <c r="E950" s="555"/>
      <c r="F950" s="45"/>
      <c r="G950" s="555"/>
      <c r="H950" s="45"/>
      <c r="I950" s="122"/>
      <c r="K950" s="556"/>
      <c r="L950" s="557"/>
      <c r="M950" s="556"/>
      <c r="N950" s="556"/>
      <c r="O950" s="556"/>
      <c r="P950" s="557"/>
      <c r="Q950" s="556"/>
      <c r="R950" s="557"/>
      <c r="S950" s="556"/>
      <c r="T950" s="557"/>
    </row>
    <row r="951">
      <c r="A951" s="45"/>
      <c r="B951" s="45"/>
      <c r="C951" s="554"/>
      <c r="D951" s="555"/>
      <c r="E951" s="555"/>
      <c r="F951" s="45"/>
      <c r="G951" s="555"/>
      <c r="H951" s="45"/>
      <c r="I951" s="122"/>
      <c r="K951" s="556"/>
      <c r="L951" s="557"/>
      <c r="M951" s="556"/>
      <c r="N951" s="556"/>
      <c r="O951" s="556"/>
      <c r="P951" s="557"/>
      <c r="Q951" s="556"/>
      <c r="R951" s="557"/>
      <c r="S951" s="556"/>
      <c r="T951" s="557"/>
    </row>
    <row r="952">
      <c r="A952" s="45"/>
      <c r="B952" s="45"/>
      <c r="C952" s="554"/>
      <c r="D952" s="555"/>
      <c r="E952" s="555"/>
      <c r="F952" s="45"/>
      <c r="G952" s="555"/>
      <c r="H952" s="45"/>
      <c r="I952" s="122"/>
      <c r="K952" s="556"/>
      <c r="L952" s="557"/>
      <c r="M952" s="556"/>
      <c r="N952" s="556"/>
      <c r="O952" s="556"/>
      <c r="P952" s="557"/>
      <c r="Q952" s="556"/>
      <c r="R952" s="557"/>
      <c r="S952" s="556"/>
      <c r="T952" s="557"/>
    </row>
    <row r="953">
      <c r="A953" s="45"/>
      <c r="B953" s="45"/>
      <c r="C953" s="554"/>
      <c r="D953" s="555"/>
      <c r="E953" s="555"/>
      <c r="F953" s="45"/>
      <c r="G953" s="555"/>
      <c r="H953" s="45"/>
      <c r="I953" s="122"/>
      <c r="K953" s="556"/>
      <c r="L953" s="557"/>
      <c r="M953" s="556"/>
      <c r="N953" s="556"/>
      <c r="O953" s="556"/>
      <c r="P953" s="557"/>
      <c r="Q953" s="556"/>
      <c r="R953" s="557"/>
      <c r="S953" s="556"/>
      <c r="T953" s="557"/>
    </row>
    <row r="954">
      <c r="A954" s="45"/>
      <c r="B954" s="45"/>
      <c r="C954" s="554"/>
      <c r="D954" s="555"/>
      <c r="E954" s="555"/>
      <c r="F954" s="45"/>
      <c r="G954" s="555"/>
      <c r="H954" s="45"/>
      <c r="I954" s="122"/>
      <c r="K954" s="556"/>
      <c r="L954" s="557"/>
      <c r="M954" s="556"/>
      <c r="N954" s="556"/>
      <c r="O954" s="556"/>
      <c r="P954" s="557"/>
      <c r="Q954" s="556"/>
      <c r="R954" s="557"/>
      <c r="S954" s="556"/>
      <c r="T954" s="557"/>
    </row>
    <row r="955">
      <c r="A955" s="45"/>
      <c r="B955" s="45"/>
      <c r="C955" s="554"/>
      <c r="D955" s="555"/>
      <c r="E955" s="555"/>
      <c r="F955" s="45"/>
      <c r="G955" s="555"/>
      <c r="H955" s="45"/>
      <c r="I955" s="122"/>
      <c r="K955" s="556"/>
      <c r="L955" s="557"/>
      <c r="M955" s="556"/>
      <c r="N955" s="556"/>
      <c r="O955" s="556"/>
      <c r="P955" s="557"/>
      <c r="Q955" s="556"/>
      <c r="R955" s="557"/>
      <c r="S955" s="556"/>
      <c r="T955" s="557"/>
    </row>
    <row r="956">
      <c r="A956" s="45"/>
      <c r="B956" s="45"/>
      <c r="C956" s="554"/>
      <c r="D956" s="555"/>
      <c r="E956" s="555"/>
      <c r="F956" s="45"/>
      <c r="G956" s="555"/>
      <c r="H956" s="45"/>
      <c r="I956" s="122"/>
      <c r="K956" s="556"/>
      <c r="L956" s="557"/>
      <c r="M956" s="556"/>
      <c r="N956" s="556"/>
      <c r="O956" s="556"/>
      <c r="P956" s="557"/>
      <c r="Q956" s="556"/>
      <c r="R956" s="557"/>
      <c r="S956" s="556"/>
      <c r="T956" s="557"/>
    </row>
    <row r="957">
      <c r="A957" s="45"/>
      <c r="B957" s="45"/>
      <c r="C957" s="554"/>
      <c r="D957" s="555"/>
      <c r="E957" s="555"/>
      <c r="F957" s="45"/>
      <c r="G957" s="555"/>
      <c r="H957" s="45"/>
      <c r="I957" s="122"/>
      <c r="K957" s="556"/>
      <c r="L957" s="557"/>
      <c r="M957" s="556"/>
      <c r="N957" s="556"/>
      <c r="O957" s="556"/>
      <c r="P957" s="557"/>
      <c r="Q957" s="556"/>
      <c r="R957" s="557"/>
      <c r="S957" s="556"/>
      <c r="T957" s="557"/>
    </row>
    <row r="958">
      <c r="A958" s="45"/>
      <c r="B958" s="45"/>
      <c r="C958" s="554"/>
      <c r="D958" s="555"/>
      <c r="E958" s="555"/>
      <c r="F958" s="45"/>
      <c r="G958" s="555"/>
      <c r="H958" s="45"/>
      <c r="I958" s="122"/>
      <c r="K958" s="556"/>
      <c r="L958" s="557"/>
      <c r="M958" s="556"/>
      <c r="N958" s="556"/>
      <c r="O958" s="556"/>
      <c r="P958" s="557"/>
      <c r="Q958" s="556"/>
      <c r="R958" s="557"/>
      <c r="S958" s="556"/>
      <c r="T958" s="557"/>
    </row>
    <row r="959">
      <c r="A959" s="45"/>
      <c r="B959" s="45"/>
      <c r="C959" s="554"/>
      <c r="D959" s="555"/>
      <c r="E959" s="555"/>
      <c r="F959" s="45"/>
      <c r="G959" s="555"/>
      <c r="H959" s="45"/>
      <c r="I959" s="122"/>
      <c r="K959" s="556"/>
      <c r="L959" s="557"/>
      <c r="M959" s="556"/>
      <c r="N959" s="556"/>
      <c r="O959" s="556"/>
      <c r="P959" s="557"/>
      <c r="Q959" s="556"/>
      <c r="R959" s="557"/>
      <c r="S959" s="556"/>
      <c r="T959" s="557"/>
    </row>
    <row r="960">
      <c r="A960" s="45"/>
      <c r="B960" s="45"/>
      <c r="C960" s="554"/>
      <c r="D960" s="555"/>
      <c r="E960" s="555"/>
      <c r="F960" s="45"/>
      <c r="G960" s="555"/>
      <c r="H960" s="45"/>
      <c r="I960" s="122"/>
      <c r="K960" s="556"/>
      <c r="L960" s="557"/>
      <c r="M960" s="556"/>
      <c r="N960" s="556"/>
      <c r="O960" s="556"/>
      <c r="P960" s="557"/>
      <c r="Q960" s="556"/>
      <c r="R960" s="557"/>
      <c r="S960" s="556"/>
      <c r="T960" s="557"/>
    </row>
    <row r="961">
      <c r="A961" s="45"/>
      <c r="B961" s="45"/>
      <c r="C961" s="554"/>
      <c r="D961" s="555"/>
      <c r="E961" s="555"/>
      <c r="F961" s="45"/>
      <c r="G961" s="555"/>
      <c r="H961" s="45"/>
      <c r="I961" s="122"/>
      <c r="K961" s="556"/>
      <c r="L961" s="557"/>
      <c r="M961" s="556"/>
      <c r="N961" s="556"/>
      <c r="O961" s="556"/>
      <c r="P961" s="557"/>
      <c r="Q961" s="556"/>
      <c r="R961" s="557"/>
      <c r="S961" s="556"/>
      <c r="T961" s="557"/>
    </row>
    <row r="962">
      <c r="A962" s="45"/>
      <c r="B962" s="45"/>
      <c r="C962" s="554"/>
      <c r="D962" s="555"/>
      <c r="E962" s="555"/>
      <c r="F962" s="45"/>
      <c r="G962" s="555"/>
      <c r="H962" s="45"/>
      <c r="I962" s="122"/>
      <c r="K962" s="556"/>
      <c r="L962" s="557"/>
      <c r="M962" s="556"/>
      <c r="N962" s="556"/>
      <c r="O962" s="556"/>
      <c r="P962" s="557"/>
      <c r="Q962" s="556"/>
      <c r="R962" s="557"/>
      <c r="S962" s="556"/>
      <c r="T962" s="557"/>
    </row>
    <row r="963">
      <c r="A963" s="45"/>
      <c r="B963" s="45"/>
      <c r="C963" s="554"/>
      <c r="D963" s="555"/>
      <c r="E963" s="555"/>
      <c r="F963" s="45"/>
      <c r="G963" s="555"/>
      <c r="H963" s="45"/>
      <c r="I963" s="122"/>
      <c r="K963" s="556"/>
      <c r="L963" s="557"/>
      <c r="M963" s="556"/>
      <c r="N963" s="556"/>
      <c r="O963" s="556"/>
      <c r="P963" s="557"/>
      <c r="Q963" s="556"/>
      <c r="R963" s="557"/>
      <c r="S963" s="556"/>
      <c r="T963" s="557"/>
    </row>
    <row r="964">
      <c r="A964" s="45"/>
      <c r="B964" s="45"/>
      <c r="C964" s="554"/>
      <c r="D964" s="555"/>
      <c r="E964" s="555"/>
      <c r="F964" s="45"/>
      <c r="G964" s="555"/>
      <c r="H964" s="45"/>
      <c r="I964" s="122"/>
      <c r="K964" s="556"/>
      <c r="L964" s="557"/>
      <c r="M964" s="556"/>
      <c r="N964" s="556"/>
      <c r="O964" s="556"/>
      <c r="P964" s="557"/>
      <c r="Q964" s="556"/>
      <c r="R964" s="557"/>
      <c r="S964" s="556"/>
      <c r="T964" s="557"/>
    </row>
    <row r="965">
      <c r="A965" s="45"/>
      <c r="B965" s="45"/>
      <c r="C965" s="554"/>
      <c r="D965" s="555"/>
      <c r="E965" s="555"/>
      <c r="F965" s="45"/>
      <c r="G965" s="555"/>
      <c r="H965" s="45"/>
      <c r="I965" s="122"/>
      <c r="K965" s="556"/>
      <c r="L965" s="557"/>
      <c r="M965" s="556"/>
      <c r="N965" s="556"/>
      <c r="O965" s="556"/>
      <c r="P965" s="557"/>
      <c r="Q965" s="556"/>
      <c r="R965" s="557"/>
      <c r="S965" s="556"/>
      <c r="T965" s="557"/>
    </row>
    <row r="966">
      <c r="A966" s="45"/>
      <c r="B966" s="45"/>
      <c r="C966" s="554"/>
      <c r="D966" s="555"/>
      <c r="E966" s="555"/>
      <c r="F966" s="45"/>
      <c r="G966" s="555"/>
      <c r="H966" s="45"/>
      <c r="I966" s="122"/>
      <c r="K966" s="556"/>
      <c r="L966" s="557"/>
      <c r="M966" s="556"/>
      <c r="N966" s="556"/>
      <c r="O966" s="556"/>
      <c r="P966" s="557"/>
      <c r="Q966" s="556"/>
      <c r="R966" s="557"/>
      <c r="S966" s="556"/>
      <c r="T966" s="557"/>
    </row>
    <row r="967">
      <c r="A967" s="45"/>
      <c r="B967" s="45"/>
      <c r="C967" s="554"/>
      <c r="D967" s="555"/>
      <c r="E967" s="555"/>
      <c r="F967" s="45"/>
      <c r="G967" s="555"/>
      <c r="H967" s="45"/>
      <c r="I967" s="122"/>
      <c r="K967" s="556"/>
      <c r="L967" s="557"/>
      <c r="M967" s="556"/>
      <c r="N967" s="556"/>
      <c r="O967" s="556"/>
      <c r="P967" s="557"/>
      <c r="Q967" s="556"/>
      <c r="R967" s="557"/>
      <c r="S967" s="556"/>
      <c r="T967" s="557"/>
    </row>
    <row r="968">
      <c r="A968" s="45"/>
      <c r="B968" s="45"/>
      <c r="C968" s="554"/>
      <c r="D968" s="555"/>
      <c r="E968" s="555"/>
      <c r="F968" s="45"/>
      <c r="G968" s="555"/>
      <c r="H968" s="45"/>
      <c r="I968" s="122"/>
      <c r="K968" s="556"/>
      <c r="L968" s="557"/>
      <c r="M968" s="556"/>
      <c r="N968" s="556"/>
      <c r="O968" s="556"/>
      <c r="P968" s="557"/>
      <c r="Q968" s="556"/>
      <c r="R968" s="557"/>
      <c r="S968" s="556"/>
      <c r="T968" s="557"/>
    </row>
    <row r="969">
      <c r="A969" s="45"/>
      <c r="B969" s="45"/>
      <c r="C969" s="554"/>
      <c r="D969" s="555"/>
      <c r="E969" s="555"/>
      <c r="F969" s="45"/>
      <c r="G969" s="555"/>
      <c r="H969" s="45"/>
      <c r="I969" s="122"/>
      <c r="K969" s="556"/>
      <c r="L969" s="557"/>
      <c r="M969" s="556"/>
      <c r="N969" s="556"/>
      <c r="O969" s="556"/>
      <c r="P969" s="557"/>
      <c r="Q969" s="556"/>
      <c r="R969" s="557"/>
      <c r="S969" s="556"/>
      <c r="T969" s="557"/>
    </row>
    <row r="970">
      <c r="A970" s="45"/>
      <c r="B970" s="45"/>
      <c r="C970" s="554"/>
      <c r="D970" s="555"/>
      <c r="E970" s="555"/>
      <c r="F970" s="45"/>
      <c r="G970" s="555"/>
      <c r="H970" s="45"/>
      <c r="I970" s="122"/>
      <c r="K970" s="556"/>
      <c r="L970" s="557"/>
      <c r="M970" s="556"/>
      <c r="N970" s="556"/>
      <c r="O970" s="556"/>
      <c r="P970" s="557"/>
      <c r="Q970" s="556"/>
      <c r="R970" s="557"/>
      <c r="S970" s="556"/>
      <c r="T970" s="557"/>
    </row>
    <row r="971">
      <c r="A971" s="45"/>
      <c r="B971" s="45"/>
      <c r="C971" s="554"/>
      <c r="D971" s="555"/>
      <c r="E971" s="555"/>
      <c r="F971" s="45"/>
      <c r="G971" s="555"/>
      <c r="H971" s="45"/>
      <c r="I971" s="122"/>
      <c r="K971" s="556"/>
      <c r="L971" s="557"/>
      <c r="M971" s="556"/>
      <c r="N971" s="556"/>
      <c r="O971" s="556"/>
      <c r="P971" s="557"/>
      <c r="Q971" s="556"/>
      <c r="R971" s="557"/>
      <c r="S971" s="556"/>
      <c r="T971" s="557"/>
    </row>
    <row r="972">
      <c r="A972" s="45"/>
      <c r="B972" s="45"/>
      <c r="C972" s="554"/>
      <c r="D972" s="555"/>
      <c r="E972" s="555"/>
      <c r="F972" s="45"/>
      <c r="G972" s="555"/>
      <c r="H972" s="45"/>
      <c r="I972" s="122"/>
      <c r="K972" s="556"/>
      <c r="L972" s="557"/>
      <c r="M972" s="556"/>
      <c r="N972" s="556"/>
      <c r="O972" s="556"/>
      <c r="P972" s="557"/>
      <c r="Q972" s="556"/>
      <c r="R972" s="557"/>
      <c r="S972" s="556"/>
      <c r="T972" s="557"/>
    </row>
    <row r="973">
      <c r="A973" s="45"/>
      <c r="B973" s="45"/>
      <c r="C973" s="554"/>
      <c r="D973" s="555"/>
      <c r="E973" s="555"/>
      <c r="F973" s="45"/>
      <c r="G973" s="555"/>
      <c r="H973" s="45"/>
      <c r="I973" s="122"/>
      <c r="K973" s="556"/>
      <c r="L973" s="557"/>
      <c r="M973" s="556"/>
      <c r="N973" s="556"/>
      <c r="O973" s="556"/>
      <c r="P973" s="557"/>
      <c r="Q973" s="556"/>
      <c r="R973" s="557"/>
      <c r="S973" s="556"/>
      <c r="T973" s="557"/>
    </row>
    <row r="974">
      <c r="A974" s="45"/>
      <c r="B974" s="45"/>
      <c r="C974" s="554"/>
      <c r="D974" s="555"/>
      <c r="E974" s="555"/>
      <c r="F974" s="45"/>
      <c r="G974" s="555"/>
      <c r="H974" s="45"/>
      <c r="I974" s="122"/>
      <c r="K974" s="556"/>
      <c r="L974" s="557"/>
      <c r="M974" s="556"/>
      <c r="N974" s="556"/>
      <c r="O974" s="556"/>
      <c r="P974" s="557"/>
      <c r="Q974" s="556"/>
      <c r="R974" s="557"/>
      <c r="S974" s="556"/>
      <c r="T974" s="557"/>
    </row>
    <row r="975">
      <c r="A975" s="45"/>
      <c r="B975" s="45"/>
      <c r="C975" s="554"/>
      <c r="D975" s="555"/>
      <c r="E975" s="555"/>
      <c r="F975" s="45"/>
      <c r="G975" s="555"/>
      <c r="H975" s="45"/>
      <c r="I975" s="122"/>
      <c r="K975" s="556"/>
      <c r="L975" s="557"/>
      <c r="M975" s="556"/>
      <c r="N975" s="556"/>
      <c r="O975" s="556"/>
      <c r="P975" s="557"/>
      <c r="Q975" s="556"/>
      <c r="R975" s="557"/>
      <c r="S975" s="556"/>
      <c r="T975" s="557"/>
    </row>
    <row r="976">
      <c r="A976" s="45"/>
      <c r="B976" s="45"/>
      <c r="C976" s="554"/>
      <c r="D976" s="555"/>
      <c r="E976" s="555"/>
      <c r="F976" s="45"/>
      <c r="G976" s="555"/>
      <c r="H976" s="45"/>
      <c r="I976" s="122"/>
      <c r="K976" s="556"/>
      <c r="L976" s="557"/>
      <c r="M976" s="556"/>
      <c r="N976" s="556"/>
      <c r="O976" s="556"/>
      <c r="P976" s="557"/>
      <c r="Q976" s="556"/>
      <c r="R976" s="557"/>
      <c r="S976" s="556"/>
      <c r="T976" s="557"/>
    </row>
    <row r="977">
      <c r="A977" s="45"/>
      <c r="B977" s="45"/>
      <c r="C977" s="554"/>
      <c r="D977" s="555"/>
      <c r="E977" s="555"/>
      <c r="F977" s="45"/>
      <c r="G977" s="555"/>
      <c r="H977" s="45"/>
      <c r="I977" s="122"/>
      <c r="K977" s="556"/>
      <c r="L977" s="557"/>
      <c r="M977" s="556"/>
      <c r="N977" s="556"/>
      <c r="O977" s="556"/>
      <c r="P977" s="557"/>
      <c r="Q977" s="556"/>
      <c r="R977" s="557"/>
      <c r="S977" s="556"/>
      <c r="T977" s="557"/>
    </row>
    <row r="978">
      <c r="A978" s="45"/>
      <c r="B978" s="45"/>
      <c r="C978" s="554"/>
      <c r="D978" s="555"/>
      <c r="E978" s="555"/>
      <c r="F978" s="45"/>
      <c r="G978" s="555"/>
      <c r="H978" s="45"/>
      <c r="I978" s="122"/>
      <c r="K978" s="556"/>
      <c r="L978" s="557"/>
      <c r="M978" s="556"/>
      <c r="N978" s="556"/>
      <c r="O978" s="556"/>
      <c r="P978" s="557"/>
      <c r="Q978" s="556"/>
      <c r="R978" s="557"/>
      <c r="S978" s="556"/>
      <c r="T978" s="557"/>
    </row>
    <row r="979">
      <c r="A979" s="45"/>
      <c r="B979" s="45"/>
      <c r="C979" s="554"/>
      <c r="D979" s="555"/>
      <c r="E979" s="555"/>
      <c r="F979" s="45"/>
      <c r="G979" s="555"/>
      <c r="H979" s="45"/>
      <c r="I979" s="122"/>
      <c r="K979" s="556"/>
      <c r="L979" s="557"/>
      <c r="M979" s="556"/>
      <c r="N979" s="556"/>
      <c r="O979" s="556"/>
      <c r="P979" s="557"/>
      <c r="Q979" s="556"/>
      <c r="R979" s="557"/>
      <c r="S979" s="556"/>
      <c r="T979" s="557"/>
    </row>
    <row r="980">
      <c r="A980" s="45"/>
      <c r="B980" s="45"/>
      <c r="C980" s="554"/>
      <c r="D980" s="555"/>
      <c r="E980" s="555"/>
      <c r="F980" s="45"/>
      <c r="G980" s="555"/>
      <c r="H980" s="45"/>
      <c r="I980" s="122"/>
      <c r="K980" s="556"/>
      <c r="L980" s="557"/>
      <c r="M980" s="556"/>
      <c r="N980" s="556"/>
      <c r="O980" s="556"/>
      <c r="P980" s="557"/>
      <c r="Q980" s="556"/>
      <c r="R980" s="557"/>
      <c r="S980" s="556"/>
      <c r="T980" s="557"/>
    </row>
    <row r="981">
      <c r="A981" s="45"/>
      <c r="B981" s="45"/>
      <c r="C981" s="554"/>
      <c r="D981" s="555"/>
      <c r="E981" s="555"/>
      <c r="F981" s="45"/>
      <c r="G981" s="555"/>
      <c r="H981" s="45"/>
      <c r="I981" s="122"/>
      <c r="K981" s="556"/>
      <c r="L981" s="557"/>
      <c r="M981" s="556"/>
      <c r="N981" s="556"/>
      <c r="O981" s="556"/>
      <c r="P981" s="557"/>
      <c r="Q981" s="556"/>
      <c r="R981" s="557"/>
      <c r="S981" s="556"/>
      <c r="T981" s="557"/>
    </row>
    <row r="982">
      <c r="A982" s="45"/>
      <c r="B982" s="45"/>
      <c r="C982" s="554"/>
      <c r="D982" s="555"/>
      <c r="E982" s="555"/>
      <c r="F982" s="45"/>
      <c r="G982" s="555"/>
      <c r="H982" s="45"/>
      <c r="I982" s="122"/>
      <c r="K982" s="556"/>
      <c r="L982" s="557"/>
      <c r="M982" s="556"/>
      <c r="N982" s="556"/>
      <c r="O982" s="556"/>
      <c r="P982" s="557"/>
      <c r="Q982" s="556"/>
      <c r="R982" s="557"/>
      <c r="S982" s="556"/>
      <c r="T982" s="557"/>
    </row>
    <row r="983">
      <c r="A983" s="45"/>
      <c r="B983" s="45"/>
      <c r="C983" s="554"/>
      <c r="D983" s="555"/>
      <c r="E983" s="555"/>
      <c r="F983" s="45"/>
      <c r="G983" s="555"/>
      <c r="H983" s="45"/>
      <c r="I983" s="122"/>
      <c r="K983" s="556"/>
      <c r="L983" s="557"/>
      <c r="M983" s="556"/>
      <c r="N983" s="556"/>
      <c r="O983" s="556"/>
      <c r="P983" s="557"/>
      <c r="Q983" s="556"/>
      <c r="R983" s="557"/>
      <c r="S983" s="556"/>
      <c r="T983" s="557"/>
    </row>
    <row r="984">
      <c r="A984" s="45"/>
      <c r="B984" s="45"/>
      <c r="C984" s="554"/>
      <c r="D984" s="555"/>
      <c r="E984" s="555"/>
      <c r="F984" s="45"/>
      <c r="G984" s="555"/>
      <c r="H984" s="45"/>
      <c r="I984" s="122"/>
      <c r="K984" s="556"/>
      <c r="L984" s="557"/>
      <c r="M984" s="556"/>
      <c r="N984" s="556"/>
      <c r="O984" s="556"/>
      <c r="P984" s="557"/>
      <c r="Q984" s="556"/>
      <c r="R984" s="557"/>
      <c r="S984" s="556"/>
      <c r="T984" s="557"/>
    </row>
    <row r="985">
      <c r="A985" s="45"/>
      <c r="B985" s="45"/>
      <c r="C985" s="554"/>
      <c r="D985" s="555"/>
      <c r="E985" s="555"/>
      <c r="F985" s="45"/>
      <c r="G985" s="555"/>
      <c r="H985" s="45"/>
      <c r="I985" s="122"/>
      <c r="K985" s="556"/>
      <c r="L985" s="557"/>
      <c r="M985" s="556"/>
      <c r="N985" s="556"/>
      <c r="O985" s="556"/>
      <c r="P985" s="557"/>
      <c r="Q985" s="556"/>
      <c r="R985" s="557"/>
      <c r="S985" s="556"/>
      <c r="T985" s="557"/>
    </row>
    <row r="986">
      <c r="A986" s="45"/>
      <c r="B986" s="45"/>
      <c r="C986" s="554"/>
      <c r="D986" s="555"/>
      <c r="E986" s="555"/>
      <c r="F986" s="45"/>
      <c r="G986" s="555"/>
      <c r="H986" s="45"/>
      <c r="I986" s="122"/>
      <c r="K986" s="556"/>
      <c r="L986" s="557"/>
      <c r="M986" s="556"/>
      <c r="N986" s="556"/>
      <c r="O986" s="556"/>
      <c r="P986" s="557"/>
      <c r="Q986" s="556"/>
      <c r="R986" s="557"/>
      <c r="S986" s="556"/>
      <c r="T986" s="557"/>
    </row>
    <row r="987">
      <c r="A987" s="45"/>
      <c r="B987" s="45"/>
      <c r="C987" s="554"/>
      <c r="D987" s="555"/>
      <c r="E987" s="555"/>
      <c r="F987" s="45"/>
      <c r="G987" s="555"/>
      <c r="H987" s="45"/>
      <c r="I987" s="122"/>
      <c r="K987" s="556"/>
      <c r="L987" s="557"/>
      <c r="M987" s="556"/>
      <c r="N987" s="556"/>
      <c r="O987" s="556"/>
      <c r="P987" s="557"/>
      <c r="Q987" s="556"/>
      <c r="R987" s="557"/>
      <c r="S987" s="556"/>
      <c r="T987" s="557"/>
    </row>
    <row r="988">
      <c r="A988" s="45"/>
      <c r="B988" s="45"/>
      <c r="C988" s="554"/>
      <c r="D988" s="555"/>
      <c r="E988" s="555"/>
      <c r="F988" s="45"/>
      <c r="G988" s="555"/>
      <c r="H988" s="45"/>
      <c r="I988" s="122"/>
      <c r="K988" s="556"/>
      <c r="L988" s="557"/>
      <c r="M988" s="556"/>
      <c r="N988" s="556"/>
      <c r="O988" s="556"/>
      <c r="P988" s="557"/>
      <c r="Q988" s="556"/>
      <c r="R988" s="557"/>
      <c r="S988" s="556"/>
      <c r="T988" s="557"/>
    </row>
    <row r="989">
      <c r="A989" s="45"/>
      <c r="B989" s="45"/>
      <c r="C989" s="554"/>
      <c r="D989" s="555"/>
      <c r="E989" s="555"/>
      <c r="F989" s="45"/>
      <c r="G989" s="555"/>
      <c r="H989" s="45"/>
      <c r="I989" s="122"/>
      <c r="K989" s="556"/>
      <c r="L989" s="557"/>
      <c r="M989" s="556"/>
      <c r="N989" s="556"/>
      <c r="O989" s="556"/>
      <c r="P989" s="557"/>
      <c r="Q989" s="556"/>
      <c r="R989" s="557"/>
      <c r="S989" s="556"/>
      <c r="T989" s="557"/>
    </row>
    <row r="990">
      <c r="A990" s="45"/>
      <c r="B990" s="45"/>
      <c r="C990" s="554"/>
      <c r="D990" s="555"/>
      <c r="E990" s="555"/>
      <c r="F990" s="45"/>
      <c r="G990" s="555"/>
      <c r="H990" s="45"/>
      <c r="I990" s="122"/>
      <c r="K990" s="556"/>
      <c r="L990" s="557"/>
      <c r="M990" s="556"/>
      <c r="N990" s="556"/>
      <c r="O990" s="556"/>
      <c r="P990" s="557"/>
      <c r="Q990" s="556"/>
      <c r="R990" s="557"/>
      <c r="S990" s="556"/>
      <c r="T990" s="557"/>
    </row>
    <row r="991">
      <c r="A991" s="45"/>
      <c r="B991" s="45"/>
      <c r="C991" s="554"/>
      <c r="D991" s="555"/>
      <c r="E991" s="555"/>
      <c r="F991" s="45"/>
      <c r="G991" s="555"/>
      <c r="H991" s="45"/>
      <c r="I991" s="122"/>
      <c r="K991" s="556"/>
      <c r="L991" s="557"/>
      <c r="M991" s="556"/>
      <c r="N991" s="556"/>
      <c r="O991" s="556"/>
      <c r="P991" s="557"/>
      <c r="Q991" s="556"/>
      <c r="R991" s="557"/>
      <c r="S991" s="556"/>
      <c r="T991" s="557"/>
    </row>
    <row r="992">
      <c r="A992" s="45"/>
      <c r="B992" s="45"/>
      <c r="C992" s="554"/>
      <c r="D992" s="555"/>
      <c r="E992" s="555"/>
      <c r="F992" s="45"/>
      <c r="G992" s="555"/>
      <c r="H992" s="45"/>
      <c r="I992" s="122"/>
      <c r="K992" s="556"/>
      <c r="L992" s="557"/>
      <c r="M992" s="556"/>
      <c r="N992" s="556"/>
      <c r="O992" s="556"/>
      <c r="P992" s="557"/>
      <c r="Q992" s="556"/>
      <c r="R992" s="557"/>
      <c r="S992" s="556"/>
      <c r="T992" s="557"/>
    </row>
    <row r="993">
      <c r="A993" s="45"/>
      <c r="B993" s="45"/>
      <c r="C993" s="554"/>
      <c r="D993" s="555"/>
      <c r="E993" s="555"/>
      <c r="F993" s="45"/>
      <c r="G993" s="555"/>
      <c r="H993" s="45"/>
      <c r="I993" s="122"/>
      <c r="K993" s="556"/>
      <c r="L993" s="557"/>
      <c r="M993" s="556"/>
      <c r="N993" s="556"/>
      <c r="O993" s="556"/>
      <c r="P993" s="557"/>
      <c r="Q993" s="556"/>
      <c r="R993" s="557"/>
      <c r="S993" s="556"/>
      <c r="T993" s="557"/>
    </row>
    <row r="994">
      <c r="A994" s="45"/>
      <c r="B994" s="45"/>
      <c r="C994" s="554"/>
      <c r="D994" s="555"/>
      <c r="E994" s="555"/>
      <c r="F994" s="45"/>
      <c r="G994" s="555"/>
      <c r="H994" s="45"/>
      <c r="I994" s="122"/>
      <c r="K994" s="556"/>
      <c r="L994" s="557"/>
      <c r="M994" s="556"/>
      <c r="N994" s="556"/>
      <c r="O994" s="556"/>
      <c r="P994" s="557"/>
      <c r="Q994" s="556"/>
      <c r="R994" s="557"/>
      <c r="S994" s="556"/>
      <c r="T994" s="557"/>
    </row>
    <row r="995">
      <c r="A995" s="45"/>
      <c r="B995" s="45"/>
      <c r="C995" s="554"/>
      <c r="D995" s="555"/>
      <c r="E995" s="555"/>
      <c r="F995" s="45"/>
      <c r="G995" s="555"/>
      <c r="H995" s="45"/>
      <c r="I995" s="122"/>
      <c r="K995" s="556"/>
      <c r="L995" s="557"/>
      <c r="M995" s="556"/>
      <c r="N995" s="556"/>
      <c r="O995" s="556"/>
      <c r="P995" s="557"/>
      <c r="Q995" s="556"/>
      <c r="R995" s="557"/>
      <c r="S995" s="556"/>
      <c r="T995" s="557"/>
    </row>
    <row r="996">
      <c r="A996" s="45"/>
      <c r="B996" s="45"/>
      <c r="C996" s="554"/>
      <c r="D996" s="555"/>
      <c r="E996" s="555"/>
      <c r="F996" s="45"/>
      <c r="G996" s="555"/>
      <c r="H996" s="45"/>
      <c r="I996" s="122"/>
      <c r="K996" s="556"/>
      <c r="L996" s="557"/>
      <c r="M996" s="556"/>
      <c r="N996" s="556"/>
      <c r="O996" s="556"/>
      <c r="P996" s="557"/>
      <c r="Q996" s="556"/>
      <c r="R996" s="557"/>
      <c r="S996" s="556"/>
      <c r="T996" s="557"/>
    </row>
    <row r="997">
      <c r="A997" s="45"/>
      <c r="B997" s="45"/>
      <c r="C997" s="554"/>
      <c r="D997" s="555"/>
      <c r="E997" s="555"/>
      <c r="F997" s="45"/>
      <c r="G997" s="555"/>
      <c r="H997" s="45"/>
      <c r="I997" s="122"/>
      <c r="K997" s="556"/>
      <c r="L997" s="557"/>
      <c r="M997" s="556"/>
      <c r="N997" s="556"/>
      <c r="O997" s="556"/>
      <c r="P997" s="557"/>
      <c r="Q997" s="556"/>
      <c r="R997" s="557"/>
      <c r="S997" s="556"/>
      <c r="T997" s="557"/>
    </row>
    <row r="998">
      <c r="A998" s="45"/>
      <c r="B998" s="45"/>
      <c r="C998" s="554"/>
      <c r="D998" s="555"/>
      <c r="E998" s="555"/>
      <c r="F998" s="45"/>
      <c r="G998" s="555"/>
      <c r="H998" s="45"/>
      <c r="I998" s="122"/>
      <c r="K998" s="556"/>
      <c r="L998" s="557"/>
      <c r="M998" s="556"/>
      <c r="N998" s="556"/>
      <c r="O998" s="556"/>
      <c r="P998" s="557"/>
      <c r="Q998" s="556"/>
      <c r="R998" s="557"/>
      <c r="S998" s="556"/>
      <c r="T998" s="557"/>
    </row>
    <row r="999">
      <c r="A999" s="45"/>
      <c r="B999" s="45"/>
      <c r="C999" s="554"/>
      <c r="D999" s="555"/>
      <c r="E999" s="555"/>
      <c r="F999" s="45"/>
      <c r="G999" s="555"/>
      <c r="H999" s="45"/>
      <c r="I999" s="122"/>
      <c r="K999" s="556"/>
      <c r="L999" s="557"/>
      <c r="M999" s="556"/>
      <c r="N999" s="556"/>
      <c r="O999" s="556"/>
      <c r="P999" s="557"/>
      <c r="Q999" s="556"/>
      <c r="R999" s="557"/>
      <c r="S999" s="556"/>
      <c r="T999" s="557"/>
    </row>
    <row r="1000">
      <c r="A1000" s="45"/>
      <c r="B1000" s="45"/>
      <c r="C1000" s="554"/>
      <c r="D1000" s="555"/>
      <c r="E1000" s="555"/>
      <c r="F1000" s="45"/>
      <c r="G1000" s="555"/>
      <c r="H1000" s="45"/>
      <c r="I1000" s="122"/>
      <c r="K1000" s="556"/>
      <c r="L1000" s="557"/>
      <c r="M1000" s="556"/>
      <c r="N1000" s="556"/>
      <c r="O1000" s="556"/>
      <c r="P1000" s="557"/>
      <c r="Q1000" s="556"/>
      <c r="R1000" s="557"/>
      <c r="S1000" s="556"/>
      <c r="T1000" s="557"/>
    </row>
    <row r="1001">
      <c r="A1001" s="45"/>
      <c r="B1001" s="45"/>
      <c r="C1001" s="554"/>
      <c r="D1001" s="555"/>
      <c r="E1001" s="555"/>
      <c r="F1001" s="45"/>
      <c r="G1001" s="555"/>
      <c r="H1001" s="45"/>
      <c r="I1001" s="122"/>
      <c r="K1001" s="556"/>
      <c r="L1001" s="557"/>
      <c r="M1001" s="556"/>
      <c r="N1001" s="556"/>
      <c r="O1001" s="556"/>
      <c r="P1001" s="557"/>
      <c r="Q1001" s="556"/>
      <c r="R1001" s="557"/>
      <c r="S1001" s="556"/>
      <c r="T1001" s="557"/>
    </row>
    <row r="1002">
      <c r="A1002" s="45"/>
      <c r="B1002" s="45"/>
      <c r="C1002" s="554"/>
      <c r="D1002" s="555"/>
      <c r="E1002" s="555"/>
      <c r="F1002" s="45"/>
      <c r="G1002" s="555"/>
      <c r="H1002" s="45"/>
      <c r="I1002" s="122"/>
      <c r="K1002" s="556"/>
      <c r="L1002" s="557"/>
      <c r="M1002" s="556"/>
      <c r="N1002" s="556"/>
      <c r="O1002" s="556"/>
      <c r="P1002" s="557"/>
      <c r="Q1002" s="556"/>
      <c r="R1002" s="557"/>
      <c r="S1002" s="556"/>
      <c r="T1002" s="557"/>
    </row>
    <row r="1003">
      <c r="A1003" s="45"/>
      <c r="B1003" s="45"/>
      <c r="C1003" s="554"/>
      <c r="D1003" s="555"/>
      <c r="E1003" s="555"/>
      <c r="F1003" s="45"/>
      <c r="G1003" s="555"/>
      <c r="H1003" s="45"/>
      <c r="I1003" s="122"/>
      <c r="K1003" s="556"/>
      <c r="L1003" s="557"/>
      <c r="M1003" s="556"/>
      <c r="N1003" s="556"/>
      <c r="O1003" s="556"/>
      <c r="P1003" s="557"/>
      <c r="Q1003" s="556"/>
      <c r="R1003" s="557"/>
      <c r="S1003" s="556"/>
      <c r="T1003" s="557"/>
    </row>
    <row r="1004">
      <c r="A1004" s="45"/>
      <c r="B1004" s="45"/>
      <c r="C1004" s="554"/>
      <c r="D1004" s="555"/>
      <c r="E1004" s="555"/>
      <c r="F1004" s="45"/>
      <c r="G1004" s="555"/>
      <c r="H1004" s="45"/>
      <c r="I1004" s="122"/>
      <c r="K1004" s="556"/>
      <c r="L1004" s="557"/>
      <c r="M1004" s="556"/>
      <c r="N1004" s="556"/>
      <c r="O1004" s="556"/>
      <c r="P1004" s="557"/>
      <c r="Q1004" s="556"/>
      <c r="R1004" s="557"/>
      <c r="S1004" s="556"/>
      <c r="T1004" s="557"/>
    </row>
    <row r="1005">
      <c r="A1005" s="45"/>
      <c r="B1005" s="45"/>
      <c r="C1005" s="554"/>
      <c r="D1005" s="555"/>
      <c r="E1005" s="555"/>
      <c r="F1005" s="45"/>
      <c r="G1005" s="555"/>
      <c r="H1005" s="45"/>
      <c r="I1005" s="122"/>
      <c r="K1005" s="556"/>
      <c r="L1005" s="557"/>
      <c r="M1005" s="556"/>
      <c r="N1005" s="556"/>
      <c r="O1005" s="556"/>
      <c r="P1005" s="557"/>
      <c r="Q1005" s="556"/>
      <c r="R1005" s="557"/>
      <c r="S1005" s="556"/>
      <c r="T1005" s="557"/>
    </row>
    <row r="1006">
      <c r="A1006" s="45"/>
      <c r="B1006" s="45"/>
      <c r="C1006" s="554"/>
      <c r="D1006" s="555"/>
      <c r="E1006" s="555"/>
      <c r="F1006" s="45"/>
      <c r="G1006" s="555"/>
      <c r="H1006" s="45"/>
      <c r="I1006" s="122"/>
      <c r="K1006" s="556"/>
      <c r="L1006" s="557"/>
      <c r="M1006" s="556"/>
      <c r="N1006" s="556"/>
      <c r="O1006" s="556"/>
      <c r="P1006" s="557"/>
      <c r="Q1006" s="556"/>
      <c r="R1006" s="557"/>
      <c r="S1006" s="556"/>
      <c r="T1006" s="557"/>
    </row>
    <row r="1007">
      <c r="A1007" s="45"/>
      <c r="B1007" s="45"/>
      <c r="C1007" s="554"/>
      <c r="D1007" s="555"/>
      <c r="E1007" s="555"/>
      <c r="F1007" s="45"/>
      <c r="G1007" s="555"/>
      <c r="H1007" s="45"/>
      <c r="I1007" s="122"/>
      <c r="K1007" s="556"/>
      <c r="L1007" s="557"/>
      <c r="M1007" s="556"/>
      <c r="N1007" s="556"/>
      <c r="O1007" s="556"/>
      <c r="P1007" s="557"/>
      <c r="Q1007" s="556"/>
      <c r="R1007" s="557"/>
      <c r="S1007" s="556"/>
      <c r="T1007" s="557"/>
    </row>
    <row r="1008">
      <c r="A1008" s="45"/>
      <c r="B1008" s="45"/>
      <c r="C1008" s="554"/>
      <c r="D1008" s="555"/>
      <c r="E1008" s="555"/>
      <c r="F1008" s="45"/>
      <c r="G1008" s="555"/>
      <c r="H1008" s="45"/>
      <c r="I1008" s="122"/>
      <c r="K1008" s="556"/>
      <c r="L1008" s="557"/>
      <c r="M1008" s="556"/>
      <c r="N1008" s="556"/>
      <c r="O1008" s="556"/>
      <c r="P1008" s="557"/>
      <c r="Q1008" s="556"/>
      <c r="R1008" s="557"/>
      <c r="S1008" s="556"/>
      <c r="T1008" s="557"/>
    </row>
    <row r="1009">
      <c r="A1009" s="45"/>
      <c r="B1009" s="45"/>
      <c r="C1009" s="554"/>
      <c r="D1009" s="555"/>
      <c r="E1009" s="555"/>
      <c r="F1009" s="45"/>
      <c r="G1009" s="555"/>
      <c r="H1009" s="45"/>
      <c r="I1009" s="122"/>
      <c r="K1009" s="556"/>
      <c r="L1009" s="557"/>
      <c r="M1009" s="556"/>
      <c r="N1009" s="556"/>
      <c r="O1009" s="556"/>
      <c r="P1009" s="557"/>
      <c r="Q1009" s="556"/>
      <c r="R1009" s="557"/>
      <c r="S1009" s="556"/>
      <c r="T1009" s="557"/>
    </row>
    <row r="1010">
      <c r="A1010" s="45"/>
      <c r="B1010" s="45"/>
      <c r="C1010" s="554"/>
      <c r="D1010" s="555"/>
      <c r="E1010" s="555"/>
      <c r="F1010" s="45"/>
      <c r="G1010" s="555"/>
      <c r="H1010" s="45"/>
      <c r="I1010" s="122"/>
      <c r="K1010" s="556"/>
      <c r="L1010" s="557"/>
      <c r="M1010" s="556"/>
      <c r="N1010" s="556"/>
      <c r="O1010" s="556"/>
      <c r="P1010" s="557"/>
      <c r="Q1010" s="556"/>
      <c r="R1010" s="557"/>
      <c r="S1010" s="556"/>
      <c r="T1010" s="557"/>
    </row>
    <row r="1011">
      <c r="A1011" s="45"/>
      <c r="B1011" s="45"/>
      <c r="C1011" s="554"/>
      <c r="D1011" s="555"/>
      <c r="E1011" s="555"/>
      <c r="F1011" s="45"/>
      <c r="G1011" s="555"/>
      <c r="H1011" s="45"/>
      <c r="I1011" s="122"/>
      <c r="K1011" s="556"/>
      <c r="L1011" s="557"/>
      <c r="M1011" s="556"/>
      <c r="N1011" s="556"/>
      <c r="O1011" s="556"/>
      <c r="P1011" s="557"/>
      <c r="Q1011" s="556"/>
      <c r="R1011" s="557"/>
      <c r="S1011" s="556"/>
      <c r="T1011" s="557"/>
    </row>
    <row r="1012">
      <c r="A1012" s="45"/>
      <c r="B1012" s="45"/>
      <c r="C1012" s="554"/>
      <c r="D1012" s="555"/>
      <c r="E1012" s="555"/>
      <c r="F1012" s="45"/>
      <c r="G1012" s="555"/>
      <c r="H1012" s="45"/>
      <c r="I1012" s="122"/>
      <c r="K1012" s="556"/>
      <c r="L1012" s="557"/>
      <c r="M1012" s="556"/>
      <c r="N1012" s="556"/>
      <c r="O1012" s="556"/>
      <c r="P1012" s="557"/>
      <c r="Q1012" s="556"/>
      <c r="R1012" s="557"/>
      <c r="S1012" s="556"/>
      <c r="T1012" s="557"/>
    </row>
    <row r="1013">
      <c r="A1013" s="45"/>
      <c r="B1013" s="45"/>
      <c r="C1013" s="554"/>
      <c r="D1013" s="555"/>
      <c r="E1013" s="555"/>
      <c r="F1013" s="45"/>
      <c r="G1013" s="555"/>
      <c r="H1013" s="45"/>
      <c r="I1013" s="122"/>
      <c r="K1013" s="556"/>
      <c r="L1013" s="557"/>
      <c r="M1013" s="556"/>
      <c r="N1013" s="556"/>
      <c r="O1013" s="556"/>
      <c r="P1013" s="557"/>
      <c r="Q1013" s="556"/>
      <c r="R1013" s="557"/>
      <c r="S1013" s="556"/>
      <c r="T1013" s="557"/>
    </row>
    <row r="1014">
      <c r="A1014" s="45"/>
      <c r="B1014" s="45"/>
      <c r="C1014" s="554"/>
      <c r="D1014" s="555"/>
      <c r="E1014" s="555"/>
      <c r="F1014" s="45"/>
      <c r="G1014" s="555"/>
      <c r="H1014" s="45"/>
      <c r="I1014" s="122"/>
      <c r="K1014" s="556"/>
      <c r="L1014" s="557"/>
      <c r="M1014" s="556"/>
      <c r="N1014" s="556"/>
      <c r="O1014" s="556"/>
      <c r="P1014" s="557"/>
      <c r="Q1014" s="556"/>
      <c r="R1014" s="557"/>
      <c r="S1014" s="556"/>
      <c r="T1014" s="557"/>
    </row>
    <row r="1015">
      <c r="A1015" s="45"/>
      <c r="B1015" s="45"/>
      <c r="C1015" s="554"/>
      <c r="D1015" s="555"/>
      <c r="E1015" s="555"/>
      <c r="F1015" s="45"/>
      <c r="G1015" s="555"/>
      <c r="H1015" s="45"/>
      <c r="I1015" s="122"/>
      <c r="K1015" s="556"/>
      <c r="L1015" s="557"/>
      <c r="M1015" s="556"/>
      <c r="N1015" s="556"/>
      <c r="O1015" s="556"/>
      <c r="P1015" s="557"/>
      <c r="Q1015" s="556"/>
      <c r="R1015" s="557"/>
      <c r="S1015" s="556"/>
      <c r="T1015" s="557"/>
    </row>
    <row r="1016">
      <c r="A1016" s="45"/>
      <c r="B1016" s="45"/>
      <c r="C1016" s="554"/>
      <c r="D1016" s="555"/>
      <c r="E1016" s="555"/>
      <c r="F1016" s="45"/>
      <c r="G1016" s="555"/>
      <c r="H1016" s="45"/>
      <c r="I1016" s="122"/>
      <c r="K1016" s="556"/>
      <c r="L1016" s="557"/>
      <c r="M1016" s="556"/>
      <c r="N1016" s="556"/>
      <c r="O1016" s="556"/>
      <c r="P1016" s="557"/>
      <c r="Q1016" s="556"/>
      <c r="R1016" s="557"/>
      <c r="S1016" s="556"/>
      <c r="T1016" s="557"/>
    </row>
    <row r="1017">
      <c r="A1017" s="45"/>
      <c r="B1017" s="45"/>
      <c r="C1017" s="554"/>
      <c r="D1017" s="555"/>
      <c r="E1017" s="555"/>
      <c r="F1017" s="45"/>
      <c r="G1017" s="555"/>
      <c r="H1017" s="45"/>
      <c r="I1017" s="122"/>
      <c r="K1017" s="556"/>
      <c r="L1017" s="557"/>
      <c r="M1017" s="556"/>
      <c r="N1017" s="556"/>
      <c r="O1017" s="556"/>
      <c r="P1017" s="557"/>
      <c r="Q1017" s="556"/>
      <c r="R1017" s="557"/>
      <c r="S1017" s="556"/>
      <c r="T1017" s="557"/>
    </row>
    <row r="1018">
      <c r="A1018" s="45"/>
      <c r="B1018" s="45"/>
      <c r="C1018" s="554"/>
      <c r="D1018" s="555"/>
      <c r="E1018" s="555"/>
      <c r="F1018" s="45"/>
      <c r="G1018" s="555"/>
      <c r="H1018" s="45"/>
      <c r="I1018" s="122"/>
      <c r="K1018" s="556"/>
      <c r="L1018" s="557"/>
      <c r="M1018" s="556"/>
      <c r="N1018" s="556"/>
      <c r="O1018" s="556"/>
      <c r="P1018" s="557"/>
      <c r="Q1018" s="556"/>
      <c r="R1018" s="557"/>
      <c r="S1018" s="556"/>
      <c r="T1018" s="557"/>
    </row>
    <row r="1019">
      <c r="A1019" s="45"/>
      <c r="B1019" s="45"/>
      <c r="C1019" s="554"/>
      <c r="D1019" s="555"/>
      <c r="E1019" s="555"/>
      <c r="F1019" s="45"/>
      <c r="G1019" s="555"/>
      <c r="H1019" s="45"/>
      <c r="I1019" s="122"/>
      <c r="K1019" s="556"/>
      <c r="L1019" s="557"/>
      <c r="M1019" s="556"/>
      <c r="N1019" s="556"/>
      <c r="O1019" s="556"/>
      <c r="P1019" s="557"/>
      <c r="Q1019" s="556"/>
      <c r="R1019" s="557"/>
      <c r="S1019" s="556"/>
      <c r="T1019" s="557"/>
    </row>
    <row r="1020">
      <c r="A1020" s="45"/>
      <c r="B1020" s="45"/>
      <c r="C1020" s="554"/>
      <c r="D1020" s="555"/>
      <c r="E1020" s="555"/>
      <c r="F1020" s="45"/>
      <c r="G1020" s="555"/>
      <c r="H1020" s="45"/>
      <c r="I1020" s="122"/>
      <c r="K1020" s="556"/>
      <c r="L1020" s="557"/>
      <c r="M1020" s="556"/>
      <c r="N1020" s="556"/>
      <c r="O1020" s="556"/>
      <c r="P1020" s="557"/>
      <c r="Q1020" s="556"/>
      <c r="R1020" s="557"/>
      <c r="S1020" s="556"/>
      <c r="T1020" s="557"/>
    </row>
    <row r="1021">
      <c r="A1021" s="45"/>
      <c r="B1021" s="45"/>
      <c r="C1021" s="554"/>
      <c r="D1021" s="555"/>
      <c r="E1021" s="555"/>
      <c r="F1021" s="45"/>
      <c r="G1021" s="555"/>
      <c r="H1021" s="45"/>
      <c r="I1021" s="122"/>
      <c r="K1021" s="556"/>
      <c r="L1021" s="557"/>
      <c r="M1021" s="556"/>
      <c r="N1021" s="556"/>
      <c r="O1021" s="556"/>
      <c r="P1021" s="557"/>
      <c r="Q1021" s="556"/>
      <c r="R1021" s="557"/>
      <c r="S1021" s="556"/>
      <c r="T1021" s="557"/>
    </row>
    <row r="1022">
      <c r="A1022" s="45"/>
      <c r="B1022" s="45"/>
      <c r="C1022" s="554"/>
      <c r="D1022" s="555"/>
      <c r="E1022" s="555"/>
      <c r="F1022" s="45"/>
      <c r="G1022" s="555"/>
      <c r="H1022" s="45"/>
      <c r="I1022" s="122"/>
      <c r="K1022" s="556"/>
      <c r="L1022" s="557"/>
      <c r="M1022" s="556"/>
      <c r="N1022" s="556"/>
      <c r="O1022" s="556"/>
      <c r="P1022" s="557"/>
      <c r="Q1022" s="556"/>
      <c r="R1022" s="557"/>
      <c r="S1022" s="556"/>
      <c r="T1022" s="557"/>
    </row>
    <row r="1023">
      <c r="A1023" s="45"/>
      <c r="B1023" s="45"/>
      <c r="C1023" s="554"/>
      <c r="D1023" s="555"/>
      <c r="E1023" s="555"/>
      <c r="F1023" s="45"/>
      <c r="G1023" s="555"/>
      <c r="H1023" s="45"/>
      <c r="I1023" s="122"/>
      <c r="K1023" s="556"/>
      <c r="L1023" s="557"/>
      <c r="M1023" s="556"/>
      <c r="N1023" s="556"/>
      <c r="O1023" s="556"/>
      <c r="P1023" s="557"/>
      <c r="Q1023" s="556"/>
      <c r="R1023" s="557"/>
      <c r="S1023" s="556"/>
      <c r="T1023" s="557"/>
    </row>
    <row r="1024">
      <c r="A1024" s="45"/>
      <c r="B1024" s="45"/>
      <c r="C1024" s="554"/>
      <c r="D1024" s="555"/>
      <c r="E1024" s="555"/>
      <c r="F1024" s="45"/>
      <c r="G1024" s="555"/>
      <c r="H1024" s="45"/>
      <c r="I1024" s="122"/>
      <c r="K1024" s="556"/>
      <c r="L1024" s="557"/>
      <c r="M1024" s="556"/>
      <c r="N1024" s="556"/>
      <c r="O1024" s="556"/>
      <c r="P1024" s="557"/>
      <c r="Q1024" s="556"/>
      <c r="R1024" s="557"/>
      <c r="S1024" s="556"/>
      <c r="T1024" s="557"/>
    </row>
    <row r="1025">
      <c r="A1025" s="45"/>
      <c r="B1025" s="45"/>
      <c r="C1025" s="554"/>
      <c r="D1025" s="555"/>
      <c r="E1025" s="555"/>
      <c r="F1025" s="45"/>
      <c r="G1025" s="555"/>
      <c r="H1025" s="45"/>
      <c r="I1025" s="122"/>
      <c r="K1025" s="556"/>
      <c r="L1025" s="557"/>
      <c r="M1025" s="556"/>
      <c r="N1025" s="556"/>
      <c r="O1025" s="556"/>
      <c r="P1025" s="557"/>
      <c r="Q1025" s="556"/>
      <c r="R1025" s="557"/>
      <c r="S1025" s="556"/>
      <c r="T1025" s="557"/>
    </row>
    <row r="1026">
      <c r="A1026" s="45"/>
      <c r="B1026" s="45"/>
      <c r="C1026" s="554"/>
      <c r="D1026" s="555"/>
      <c r="E1026" s="555"/>
      <c r="F1026" s="45"/>
      <c r="G1026" s="555"/>
      <c r="H1026" s="45"/>
      <c r="I1026" s="122"/>
      <c r="K1026" s="556"/>
      <c r="L1026" s="557"/>
      <c r="M1026" s="556"/>
      <c r="N1026" s="556"/>
      <c r="O1026" s="556"/>
      <c r="P1026" s="557"/>
      <c r="Q1026" s="556"/>
      <c r="R1026" s="557"/>
      <c r="S1026" s="556"/>
      <c r="T1026" s="557"/>
    </row>
    <row r="1027">
      <c r="A1027" s="45"/>
      <c r="B1027" s="45"/>
      <c r="C1027" s="554"/>
      <c r="D1027" s="555"/>
      <c r="E1027" s="555"/>
      <c r="F1027" s="45"/>
      <c r="G1027" s="555"/>
      <c r="H1027" s="45"/>
      <c r="I1027" s="122"/>
      <c r="K1027" s="556"/>
      <c r="L1027" s="557"/>
      <c r="M1027" s="556"/>
      <c r="N1027" s="556"/>
      <c r="O1027" s="556"/>
      <c r="P1027" s="557"/>
      <c r="Q1027" s="556"/>
      <c r="R1027" s="557"/>
      <c r="S1027" s="556"/>
      <c r="T1027" s="557"/>
    </row>
    <row r="1028">
      <c r="A1028" s="45"/>
      <c r="B1028" s="45"/>
      <c r="C1028" s="554"/>
      <c r="D1028" s="555"/>
      <c r="E1028" s="555"/>
      <c r="F1028" s="45"/>
      <c r="G1028" s="555"/>
      <c r="H1028" s="45"/>
      <c r="I1028" s="122"/>
      <c r="K1028" s="556"/>
      <c r="L1028" s="557"/>
      <c r="M1028" s="556"/>
      <c r="N1028" s="556"/>
      <c r="O1028" s="556"/>
      <c r="P1028" s="557"/>
      <c r="Q1028" s="556"/>
      <c r="R1028" s="557"/>
      <c r="S1028" s="556"/>
      <c r="T1028" s="557"/>
    </row>
    <row r="1029">
      <c r="A1029" s="45"/>
      <c r="B1029" s="45"/>
      <c r="C1029" s="554"/>
      <c r="D1029" s="555"/>
      <c r="E1029" s="555"/>
      <c r="F1029" s="45"/>
      <c r="G1029" s="555"/>
      <c r="H1029" s="45"/>
      <c r="I1029" s="122"/>
      <c r="K1029" s="556"/>
      <c r="L1029" s="557"/>
      <c r="M1029" s="556"/>
      <c r="N1029" s="556"/>
      <c r="O1029" s="556"/>
      <c r="P1029" s="557"/>
      <c r="Q1029" s="556"/>
      <c r="R1029" s="557"/>
      <c r="S1029" s="556"/>
      <c r="T1029" s="557"/>
    </row>
    <row r="1030">
      <c r="A1030" s="45"/>
      <c r="B1030" s="45"/>
      <c r="C1030" s="554"/>
      <c r="D1030" s="555"/>
      <c r="E1030" s="555"/>
      <c r="F1030" s="45"/>
      <c r="G1030" s="555"/>
      <c r="H1030" s="45"/>
      <c r="I1030" s="122"/>
      <c r="K1030" s="556"/>
      <c r="L1030" s="557"/>
      <c r="M1030" s="556"/>
      <c r="N1030" s="556"/>
      <c r="O1030" s="556"/>
      <c r="P1030" s="557"/>
      <c r="Q1030" s="556"/>
      <c r="R1030" s="557"/>
      <c r="S1030" s="556"/>
      <c r="T1030" s="557"/>
    </row>
    <row r="1031">
      <c r="A1031" s="45"/>
      <c r="B1031" s="45"/>
      <c r="C1031" s="554"/>
      <c r="D1031" s="555"/>
      <c r="E1031" s="555"/>
      <c r="F1031" s="45"/>
      <c r="G1031" s="555"/>
      <c r="H1031" s="45"/>
      <c r="I1031" s="122"/>
      <c r="K1031" s="556"/>
      <c r="L1031" s="557"/>
      <c r="M1031" s="556"/>
      <c r="N1031" s="556"/>
      <c r="O1031" s="556"/>
      <c r="P1031" s="557"/>
      <c r="Q1031" s="556"/>
      <c r="R1031" s="557"/>
      <c r="S1031" s="556"/>
      <c r="T1031" s="557"/>
    </row>
    <row r="1032">
      <c r="A1032" s="45"/>
      <c r="B1032" s="45"/>
      <c r="C1032" s="554"/>
      <c r="D1032" s="555"/>
      <c r="E1032" s="555"/>
      <c r="F1032" s="45"/>
      <c r="G1032" s="555"/>
      <c r="H1032" s="45"/>
      <c r="I1032" s="122"/>
      <c r="K1032" s="556"/>
      <c r="L1032" s="557"/>
      <c r="M1032" s="556"/>
      <c r="N1032" s="556"/>
      <c r="O1032" s="556"/>
      <c r="P1032" s="557"/>
      <c r="Q1032" s="556"/>
      <c r="R1032" s="557"/>
      <c r="S1032" s="556"/>
      <c r="T1032" s="557"/>
    </row>
    <row r="1033">
      <c r="A1033" s="45"/>
      <c r="B1033" s="45"/>
      <c r="C1033" s="554"/>
      <c r="D1033" s="555"/>
      <c r="E1033" s="555"/>
      <c r="F1033" s="45"/>
      <c r="G1033" s="555"/>
      <c r="H1033" s="45"/>
      <c r="I1033" s="122"/>
      <c r="K1033" s="556"/>
      <c r="L1033" s="557"/>
      <c r="M1033" s="556"/>
      <c r="N1033" s="556"/>
      <c r="O1033" s="556"/>
      <c r="P1033" s="557"/>
      <c r="Q1033" s="556"/>
      <c r="R1033" s="557"/>
      <c r="S1033" s="556"/>
      <c r="T1033" s="557"/>
    </row>
    <row r="1034">
      <c r="A1034" s="45"/>
      <c r="B1034" s="45"/>
      <c r="C1034" s="554"/>
      <c r="D1034" s="555"/>
      <c r="E1034" s="555"/>
      <c r="F1034" s="45"/>
      <c r="G1034" s="555"/>
      <c r="H1034" s="45"/>
      <c r="I1034" s="122"/>
      <c r="K1034" s="556"/>
      <c r="L1034" s="557"/>
      <c r="M1034" s="556"/>
      <c r="N1034" s="556"/>
      <c r="O1034" s="556"/>
      <c r="P1034" s="557"/>
      <c r="Q1034" s="556"/>
      <c r="R1034" s="557"/>
      <c r="S1034" s="556"/>
      <c r="T1034" s="557"/>
    </row>
    <row r="1035">
      <c r="A1035" s="45"/>
      <c r="B1035" s="45"/>
      <c r="C1035" s="554"/>
      <c r="D1035" s="555"/>
      <c r="E1035" s="555"/>
      <c r="F1035" s="45"/>
      <c r="G1035" s="555"/>
      <c r="H1035" s="45"/>
      <c r="I1035" s="122"/>
      <c r="K1035" s="556"/>
      <c r="L1035" s="557"/>
      <c r="M1035" s="556"/>
      <c r="N1035" s="556"/>
      <c r="O1035" s="556"/>
      <c r="P1035" s="557"/>
      <c r="Q1035" s="556"/>
      <c r="R1035" s="557"/>
      <c r="S1035" s="556"/>
      <c r="T1035" s="557"/>
    </row>
    <row r="1036">
      <c r="A1036" s="45"/>
      <c r="B1036" s="45"/>
      <c r="C1036" s="554"/>
      <c r="D1036" s="555"/>
      <c r="E1036" s="555"/>
      <c r="F1036" s="45"/>
      <c r="G1036" s="555"/>
      <c r="H1036" s="45"/>
      <c r="I1036" s="122"/>
      <c r="K1036" s="556"/>
      <c r="L1036" s="557"/>
      <c r="M1036" s="556"/>
      <c r="N1036" s="556"/>
      <c r="O1036" s="556"/>
      <c r="P1036" s="557"/>
      <c r="Q1036" s="556"/>
      <c r="R1036" s="557"/>
      <c r="S1036" s="556"/>
      <c r="T1036" s="557"/>
    </row>
    <row r="1037">
      <c r="A1037" s="45"/>
      <c r="B1037" s="45"/>
      <c r="C1037" s="554"/>
      <c r="D1037" s="555"/>
      <c r="E1037" s="555"/>
      <c r="F1037" s="45"/>
      <c r="G1037" s="555"/>
      <c r="H1037" s="45"/>
      <c r="I1037" s="122"/>
      <c r="K1037" s="556"/>
      <c r="L1037" s="557"/>
      <c r="M1037" s="556"/>
      <c r="N1037" s="556"/>
      <c r="O1037" s="556"/>
      <c r="P1037" s="557"/>
      <c r="Q1037" s="556"/>
      <c r="R1037" s="557"/>
      <c r="S1037" s="556"/>
      <c r="T1037" s="557"/>
    </row>
    <row r="1038">
      <c r="A1038" s="45"/>
      <c r="B1038" s="45"/>
      <c r="C1038" s="554"/>
      <c r="D1038" s="555"/>
      <c r="E1038" s="555"/>
      <c r="F1038" s="45"/>
      <c r="G1038" s="555"/>
      <c r="H1038" s="45"/>
      <c r="I1038" s="122"/>
      <c r="K1038" s="556"/>
      <c r="L1038" s="557"/>
      <c r="M1038" s="556"/>
      <c r="N1038" s="556"/>
      <c r="O1038" s="556"/>
      <c r="P1038" s="557"/>
      <c r="Q1038" s="556"/>
      <c r="R1038" s="557"/>
      <c r="S1038" s="556"/>
      <c r="T1038" s="557"/>
    </row>
    <row r="1039">
      <c r="A1039" s="45"/>
      <c r="B1039" s="45"/>
      <c r="C1039" s="554"/>
      <c r="D1039" s="555"/>
      <c r="E1039" s="555"/>
      <c r="F1039" s="45"/>
      <c r="G1039" s="555"/>
      <c r="H1039" s="45"/>
      <c r="I1039" s="122"/>
      <c r="K1039" s="556"/>
      <c r="L1039" s="557"/>
      <c r="M1039" s="556"/>
      <c r="N1039" s="556"/>
      <c r="O1039" s="556"/>
      <c r="P1039" s="557"/>
      <c r="Q1039" s="556"/>
      <c r="R1039" s="557"/>
      <c r="S1039" s="556"/>
      <c r="T1039" s="557"/>
    </row>
    <row r="1040">
      <c r="A1040" s="45"/>
      <c r="B1040" s="45"/>
      <c r="C1040" s="554"/>
      <c r="D1040" s="555"/>
      <c r="E1040" s="555"/>
      <c r="F1040" s="45"/>
      <c r="G1040" s="555"/>
      <c r="H1040" s="45"/>
      <c r="I1040" s="122"/>
      <c r="K1040" s="556"/>
      <c r="L1040" s="557"/>
      <c r="M1040" s="556"/>
      <c r="N1040" s="556"/>
      <c r="O1040" s="556"/>
      <c r="P1040" s="557"/>
      <c r="Q1040" s="556"/>
      <c r="R1040" s="557"/>
      <c r="S1040" s="556"/>
      <c r="T1040" s="557"/>
    </row>
    <row r="1041">
      <c r="A1041" s="45"/>
      <c r="B1041" s="45"/>
      <c r="C1041" s="554"/>
      <c r="D1041" s="555"/>
      <c r="E1041" s="555"/>
      <c r="F1041" s="45"/>
      <c r="G1041" s="555"/>
      <c r="H1041" s="45"/>
      <c r="I1041" s="122"/>
      <c r="K1041" s="556"/>
      <c r="L1041" s="557"/>
      <c r="M1041" s="556"/>
      <c r="N1041" s="556"/>
      <c r="O1041" s="556"/>
      <c r="P1041" s="557"/>
      <c r="Q1041" s="556"/>
      <c r="R1041" s="557"/>
      <c r="S1041" s="556"/>
      <c r="T1041" s="557"/>
    </row>
    <row r="1042">
      <c r="A1042" s="45"/>
      <c r="B1042" s="45"/>
      <c r="C1042" s="554"/>
      <c r="D1042" s="555"/>
      <c r="E1042" s="555"/>
      <c r="F1042" s="45"/>
      <c r="G1042" s="555"/>
      <c r="H1042" s="45"/>
      <c r="I1042" s="122"/>
      <c r="K1042" s="556"/>
      <c r="L1042" s="557"/>
      <c r="M1042" s="556"/>
      <c r="N1042" s="556"/>
      <c r="O1042" s="556"/>
      <c r="P1042" s="557"/>
      <c r="Q1042" s="556"/>
      <c r="R1042" s="557"/>
      <c r="S1042" s="556"/>
      <c r="T1042" s="557"/>
    </row>
    <row r="1043">
      <c r="A1043" s="45"/>
      <c r="B1043" s="45"/>
      <c r="C1043" s="554"/>
      <c r="D1043" s="555"/>
      <c r="E1043" s="555"/>
      <c r="F1043" s="45"/>
      <c r="G1043" s="555"/>
      <c r="H1043" s="45"/>
      <c r="I1043" s="122"/>
      <c r="K1043" s="556"/>
      <c r="L1043" s="557"/>
      <c r="M1043" s="556"/>
      <c r="N1043" s="556"/>
      <c r="O1043" s="556"/>
      <c r="P1043" s="557"/>
      <c r="Q1043" s="556"/>
      <c r="R1043" s="557"/>
      <c r="S1043" s="556"/>
      <c r="T1043" s="557"/>
    </row>
    <row r="1044">
      <c r="A1044" s="45"/>
      <c r="B1044" s="45"/>
      <c r="C1044" s="554"/>
      <c r="D1044" s="555"/>
      <c r="E1044" s="555"/>
      <c r="F1044" s="45"/>
      <c r="G1044" s="555"/>
      <c r="H1044" s="45"/>
      <c r="I1044" s="122"/>
      <c r="K1044" s="556"/>
      <c r="L1044" s="557"/>
      <c r="M1044" s="556"/>
      <c r="N1044" s="556"/>
      <c r="O1044" s="556"/>
      <c r="P1044" s="557"/>
      <c r="Q1044" s="556"/>
      <c r="R1044" s="557"/>
      <c r="S1044" s="556"/>
      <c r="T1044" s="557"/>
    </row>
    <row r="1045">
      <c r="A1045" s="45"/>
      <c r="B1045" s="45"/>
      <c r="C1045" s="554"/>
      <c r="D1045" s="555"/>
      <c r="E1045" s="555"/>
      <c r="F1045" s="45"/>
      <c r="G1045" s="555"/>
      <c r="H1045" s="45"/>
      <c r="I1045" s="122"/>
      <c r="K1045" s="556"/>
      <c r="L1045" s="557"/>
      <c r="M1045" s="556"/>
      <c r="N1045" s="556"/>
      <c r="O1045" s="556"/>
      <c r="P1045" s="557"/>
      <c r="Q1045" s="556"/>
      <c r="R1045" s="557"/>
      <c r="S1045" s="556"/>
      <c r="T1045" s="557"/>
    </row>
    <row r="1046">
      <c r="A1046" s="45"/>
      <c r="B1046" s="45"/>
      <c r="C1046" s="554"/>
      <c r="D1046" s="555"/>
      <c r="E1046" s="555"/>
      <c r="F1046" s="45"/>
      <c r="G1046" s="555"/>
      <c r="H1046" s="45"/>
      <c r="I1046" s="122"/>
      <c r="K1046" s="556"/>
      <c r="L1046" s="557"/>
      <c r="M1046" s="556"/>
      <c r="N1046" s="556"/>
      <c r="O1046" s="556"/>
      <c r="P1046" s="557"/>
      <c r="Q1046" s="556"/>
      <c r="R1046" s="557"/>
      <c r="S1046" s="556"/>
      <c r="T1046" s="557"/>
    </row>
    <row r="1047">
      <c r="A1047" s="45"/>
      <c r="B1047" s="45"/>
      <c r="C1047" s="554"/>
      <c r="D1047" s="555"/>
      <c r="E1047" s="555"/>
      <c r="F1047" s="45"/>
      <c r="G1047" s="555"/>
      <c r="H1047" s="45"/>
      <c r="I1047" s="122"/>
      <c r="K1047" s="556"/>
      <c r="L1047" s="557"/>
      <c r="M1047" s="556"/>
      <c r="N1047" s="556"/>
      <c r="O1047" s="556"/>
      <c r="P1047" s="557"/>
      <c r="Q1047" s="556"/>
      <c r="R1047" s="557"/>
      <c r="S1047" s="556"/>
      <c r="T1047" s="557"/>
    </row>
    <row r="1048">
      <c r="A1048" s="45"/>
      <c r="B1048" s="45"/>
      <c r="C1048" s="554"/>
      <c r="D1048" s="555"/>
      <c r="E1048" s="555"/>
      <c r="F1048" s="45"/>
      <c r="G1048" s="555"/>
      <c r="H1048" s="45"/>
      <c r="I1048" s="122"/>
      <c r="K1048" s="556"/>
      <c r="L1048" s="557"/>
      <c r="M1048" s="556"/>
      <c r="N1048" s="556"/>
      <c r="O1048" s="556"/>
      <c r="P1048" s="557"/>
      <c r="Q1048" s="556"/>
      <c r="R1048" s="557"/>
      <c r="S1048" s="556"/>
      <c r="T1048" s="557"/>
    </row>
    <row r="1049">
      <c r="A1049" s="45"/>
      <c r="B1049" s="45"/>
      <c r="C1049" s="554"/>
      <c r="D1049" s="555"/>
      <c r="E1049" s="555"/>
      <c r="F1049" s="45"/>
      <c r="G1049" s="555"/>
      <c r="H1049" s="45"/>
      <c r="I1049" s="122"/>
      <c r="K1049" s="556"/>
      <c r="L1049" s="557"/>
      <c r="M1049" s="556"/>
      <c r="N1049" s="556"/>
      <c r="O1049" s="556"/>
      <c r="P1049" s="557"/>
      <c r="Q1049" s="556"/>
      <c r="R1049" s="557"/>
      <c r="S1049" s="556"/>
      <c r="T1049" s="557"/>
    </row>
    <row r="1050">
      <c r="A1050" s="45"/>
      <c r="B1050" s="45"/>
      <c r="C1050" s="554"/>
      <c r="D1050" s="555"/>
      <c r="E1050" s="555"/>
      <c r="F1050" s="45"/>
      <c r="G1050" s="555"/>
      <c r="H1050" s="45"/>
      <c r="I1050" s="122"/>
      <c r="K1050" s="556"/>
      <c r="L1050" s="557"/>
      <c r="M1050" s="556"/>
      <c r="N1050" s="556"/>
      <c r="O1050" s="556"/>
      <c r="P1050" s="557"/>
      <c r="Q1050" s="556"/>
      <c r="R1050" s="557"/>
      <c r="S1050" s="556"/>
      <c r="T1050" s="557"/>
    </row>
    <row r="1051">
      <c r="A1051" s="45"/>
      <c r="B1051" s="45"/>
      <c r="C1051" s="554"/>
      <c r="D1051" s="555"/>
      <c r="E1051" s="555"/>
      <c r="F1051" s="45"/>
      <c r="G1051" s="555"/>
      <c r="H1051" s="45"/>
      <c r="I1051" s="122"/>
      <c r="K1051" s="556"/>
      <c r="L1051" s="557"/>
      <c r="M1051" s="556"/>
      <c r="N1051" s="556"/>
      <c r="O1051" s="556"/>
      <c r="P1051" s="557"/>
      <c r="Q1051" s="556"/>
      <c r="R1051" s="557"/>
      <c r="S1051" s="556"/>
      <c r="T1051" s="557"/>
    </row>
    <row r="1052">
      <c r="A1052" s="45"/>
      <c r="B1052" s="45"/>
      <c r="C1052" s="554"/>
      <c r="D1052" s="555"/>
      <c r="E1052" s="555"/>
      <c r="F1052" s="45"/>
      <c r="G1052" s="555"/>
      <c r="H1052" s="45"/>
      <c r="I1052" s="122"/>
      <c r="K1052" s="556"/>
      <c r="L1052" s="557"/>
      <c r="M1052" s="556"/>
      <c r="N1052" s="556"/>
      <c r="O1052" s="556"/>
      <c r="P1052" s="557"/>
      <c r="Q1052" s="556"/>
      <c r="R1052" s="557"/>
      <c r="S1052" s="556"/>
      <c r="T1052" s="557"/>
    </row>
    <row r="1053">
      <c r="A1053" s="45"/>
      <c r="B1053" s="45"/>
      <c r="C1053" s="554"/>
      <c r="D1053" s="555"/>
      <c r="E1053" s="555"/>
      <c r="F1053" s="45"/>
      <c r="G1053" s="555"/>
      <c r="H1053" s="45"/>
      <c r="I1053" s="122"/>
      <c r="K1053" s="556"/>
      <c r="L1053" s="557"/>
      <c r="M1053" s="556"/>
      <c r="N1053" s="556"/>
      <c r="O1053" s="556"/>
      <c r="P1053" s="557"/>
      <c r="Q1053" s="556"/>
      <c r="R1053" s="557"/>
      <c r="S1053" s="556"/>
      <c r="T1053" s="557"/>
    </row>
    <row r="1054">
      <c r="A1054" s="45"/>
      <c r="B1054" s="45"/>
      <c r="C1054" s="554"/>
      <c r="D1054" s="555"/>
      <c r="E1054" s="555"/>
      <c r="F1054" s="45"/>
      <c r="G1054" s="555"/>
      <c r="H1054" s="45"/>
      <c r="I1054" s="122"/>
      <c r="K1054" s="556"/>
      <c r="L1054" s="557"/>
      <c r="M1054" s="556"/>
      <c r="N1054" s="556"/>
      <c r="O1054" s="556"/>
      <c r="P1054" s="557"/>
      <c r="Q1054" s="556"/>
      <c r="R1054" s="557"/>
      <c r="S1054" s="556"/>
      <c r="T1054" s="557"/>
    </row>
    <row r="1055">
      <c r="A1055" s="45"/>
      <c r="B1055" s="45"/>
      <c r="C1055" s="554"/>
      <c r="D1055" s="555"/>
      <c r="E1055" s="555"/>
      <c r="F1055" s="45"/>
      <c r="G1055" s="555"/>
      <c r="H1055" s="45"/>
      <c r="I1055" s="122"/>
      <c r="K1055" s="556"/>
      <c r="L1055" s="557"/>
      <c r="M1055" s="556"/>
      <c r="N1055" s="556"/>
      <c r="O1055" s="556"/>
      <c r="P1055" s="557"/>
      <c r="Q1055" s="556"/>
      <c r="R1055" s="557"/>
      <c r="S1055" s="556"/>
      <c r="T1055" s="557"/>
    </row>
    <row r="1056">
      <c r="A1056" s="45"/>
      <c r="B1056" s="45"/>
      <c r="C1056" s="554"/>
      <c r="D1056" s="555"/>
      <c r="E1056" s="555"/>
      <c r="F1056" s="45"/>
      <c r="G1056" s="555"/>
      <c r="H1056" s="45"/>
      <c r="I1056" s="122"/>
      <c r="K1056" s="556"/>
      <c r="L1056" s="557"/>
      <c r="M1056" s="556"/>
      <c r="N1056" s="556"/>
      <c r="O1056" s="556"/>
      <c r="P1056" s="557"/>
      <c r="Q1056" s="556"/>
      <c r="R1056" s="557"/>
      <c r="S1056" s="556"/>
      <c r="T1056" s="557"/>
    </row>
    <row r="1057">
      <c r="A1057" s="45"/>
      <c r="B1057" s="45"/>
      <c r="C1057" s="554"/>
      <c r="D1057" s="555"/>
      <c r="E1057" s="555"/>
      <c r="F1057" s="45"/>
      <c r="G1057" s="555"/>
      <c r="H1057" s="45"/>
      <c r="I1057" s="122"/>
      <c r="K1057" s="556"/>
      <c r="L1057" s="557"/>
      <c r="M1057" s="556"/>
      <c r="N1057" s="556"/>
      <c r="O1057" s="556"/>
      <c r="P1057" s="557"/>
      <c r="Q1057" s="556"/>
      <c r="R1057" s="557"/>
      <c r="S1057" s="556"/>
      <c r="T1057" s="557"/>
    </row>
    <row r="1058">
      <c r="A1058" s="45"/>
      <c r="B1058" s="45"/>
      <c r="C1058" s="554"/>
      <c r="D1058" s="555"/>
      <c r="E1058" s="555"/>
      <c r="F1058" s="45"/>
      <c r="G1058" s="555"/>
      <c r="H1058" s="45"/>
      <c r="I1058" s="122"/>
      <c r="K1058" s="556"/>
      <c r="L1058" s="557"/>
      <c r="M1058" s="556"/>
      <c r="N1058" s="556"/>
      <c r="O1058" s="556"/>
      <c r="P1058" s="557"/>
      <c r="Q1058" s="556"/>
      <c r="R1058" s="557"/>
      <c r="S1058" s="556"/>
      <c r="T1058" s="557"/>
    </row>
    <row r="1059">
      <c r="A1059" s="45"/>
      <c r="B1059" s="45"/>
      <c r="C1059" s="554"/>
      <c r="D1059" s="555"/>
      <c r="E1059" s="555"/>
      <c r="F1059" s="45"/>
      <c r="G1059" s="555"/>
      <c r="H1059" s="45"/>
      <c r="I1059" s="122"/>
      <c r="K1059" s="556"/>
      <c r="L1059" s="557"/>
      <c r="M1059" s="556"/>
      <c r="N1059" s="556"/>
      <c r="O1059" s="556"/>
      <c r="P1059" s="557"/>
      <c r="Q1059" s="556"/>
      <c r="R1059" s="557"/>
      <c r="S1059" s="556"/>
      <c r="T1059" s="557"/>
    </row>
    <row r="1060">
      <c r="A1060" s="45"/>
      <c r="B1060" s="45"/>
      <c r="C1060" s="554"/>
      <c r="D1060" s="555"/>
      <c r="E1060" s="555"/>
      <c r="F1060" s="45"/>
      <c r="G1060" s="555"/>
      <c r="H1060" s="45"/>
      <c r="I1060" s="122"/>
      <c r="K1060" s="556"/>
      <c r="L1060" s="557"/>
      <c r="M1060" s="556"/>
      <c r="N1060" s="556"/>
      <c r="O1060" s="556"/>
      <c r="P1060" s="557"/>
      <c r="Q1060" s="556"/>
      <c r="R1060" s="557"/>
      <c r="S1060" s="556"/>
      <c r="T1060" s="557"/>
    </row>
    <row r="1061">
      <c r="A1061" s="45"/>
      <c r="B1061" s="45"/>
      <c r="C1061" s="554"/>
      <c r="D1061" s="555"/>
      <c r="E1061" s="555"/>
      <c r="F1061" s="45"/>
      <c r="G1061" s="555"/>
      <c r="H1061" s="45"/>
      <c r="I1061" s="122"/>
      <c r="K1061" s="556"/>
      <c r="L1061" s="557"/>
      <c r="M1061" s="556"/>
      <c r="N1061" s="556"/>
      <c r="O1061" s="556"/>
      <c r="P1061" s="557"/>
      <c r="Q1061" s="556"/>
      <c r="R1061" s="557"/>
      <c r="S1061" s="556"/>
      <c r="T1061" s="557"/>
    </row>
    <row r="1062">
      <c r="A1062" s="45"/>
      <c r="B1062" s="45"/>
      <c r="C1062" s="554"/>
      <c r="D1062" s="555"/>
      <c r="E1062" s="555"/>
      <c r="F1062" s="45"/>
      <c r="G1062" s="555"/>
      <c r="H1062" s="45"/>
      <c r="I1062" s="122"/>
      <c r="K1062" s="556"/>
      <c r="L1062" s="557"/>
      <c r="M1062" s="556"/>
      <c r="N1062" s="556"/>
      <c r="O1062" s="556"/>
      <c r="P1062" s="557"/>
      <c r="Q1062" s="556"/>
      <c r="R1062" s="557"/>
      <c r="S1062" s="556"/>
      <c r="T1062" s="557"/>
    </row>
    <row r="1063">
      <c r="A1063" s="45"/>
      <c r="B1063" s="45"/>
      <c r="C1063" s="554"/>
      <c r="D1063" s="555"/>
      <c r="E1063" s="555"/>
      <c r="F1063" s="45"/>
      <c r="G1063" s="555"/>
      <c r="H1063" s="45"/>
      <c r="I1063" s="122"/>
      <c r="K1063" s="556"/>
      <c r="L1063" s="557"/>
      <c r="M1063" s="556"/>
      <c r="N1063" s="556"/>
      <c r="O1063" s="556"/>
      <c r="P1063" s="557"/>
      <c r="Q1063" s="556"/>
      <c r="R1063" s="557"/>
      <c r="S1063" s="556"/>
      <c r="T1063" s="557"/>
    </row>
    <row r="1064">
      <c r="A1064" s="45"/>
      <c r="B1064" s="45"/>
      <c r="C1064" s="554"/>
      <c r="D1064" s="555"/>
      <c r="E1064" s="555"/>
      <c r="F1064" s="45"/>
      <c r="G1064" s="555"/>
      <c r="H1064" s="45"/>
      <c r="I1064" s="122"/>
      <c r="K1064" s="556"/>
      <c r="L1064" s="557"/>
      <c r="M1064" s="556"/>
      <c r="N1064" s="556"/>
      <c r="O1064" s="556"/>
      <c r="P1064" s="557"/>
      <c r="Q1064" s="556"/>
      <c r="R1064" s="557"/>
      <c r="S1064" s="556"/>
      <c r="T1064" s="557"/>
    </row>
    <row r="1065">
      <c r="A1065" s="45"/>
      <c r="B1065" s="45"/>
      <c r="C1065" s="554"/>
      <c r="D1065" s="555"/>
      <c r="E1065" s="555"/>
      <c r="F1065" s="45"/>
      <c r="G1065" s="555"/>
      <c r="H1065" s="45"/>
      <c r="I1065" s="122"/>
      <c r="K1065" s="556"/>
      <c r="L1065" s="557"/>
      <c r="M1065" s="556"/>
      <c r="N1065" s="556"/>
      <c r="O1065" s="556"/>
      <c r="P1065" s="557"/>
      <c r="Q1065" s="556"/>
      <c r="R1065" s="557"/>
      <c r="S1065" s="556"/>
      <c r="T1065" s="557"/>
    </row>
    <row r="1066">
      <c r="A1066" s="45"/>
      <c r="B1066" s="45"/>
      <c r="C1066" s="554"/>
      <c r="D1066" s="555"/>
      <c r="E1066" s="555"/>
      <c r="F1066" s="45"/>
      <c r="G1066" s="555"/>
      <c r="H1066" s="45"/>
      <c r="I1066" s="122"/>
      <c r="K1066" s="556"/>
      <c r="L1066" s="557"/>
      <c r="M1066" s="556"/>
      <c r="N1066" s="556"/>
      <c r="O1066" s="556"/>
      <c r="P1066" s="557"/>
      <c r="Q1066" s="556"/>
      <c r="R1066" s="557"/>
      <c r="S1066" s="556"/>
      <c r="T1066" s="557"/>
    </row>
    <row r="1067">
      <c r="A1067" s="45"/>
      <c r="B1067" s="45"/>
      <c r="C1067" s="554"/>
      <c r="D1067" s="555"/>
      <c r="E1067" s="555"/>
      <c r="F1067" s="45"/>
      <c r="G1067" s="555"/>
      <c r="H1067" s="45"/>
      <c r="I1067" s="122"/>
      <c r="K1067" s="556"/>
      <c r="L1067" s="557"/>
      <c r="M1067" s="556"/>
      <c r="N1067" s="556"/>
      <c r="O1067" s="556"/>
      <c r="P1067" s="557"/>
      <c r="Q1067" s="556"/>
      <c r="R1067" s="557"/>
      <c r="S1067" s="556"/>
      <c r="T1067" s="557"/>
    </row>
    <row r="1068">
      <c r="A1068" s="45"/>
      <c r="B1068" s="45"/>
      <c r="C1068" s="554"/>
      <c r="D1068" s="555"/>
      <c r="E1068" s="555"/>
      <c r="F1068" s="45"/>
      <c r="G1068" s="555"/>
      <c r="H1068" s="45"/>
      <c r="I1068" s="122"/>
      <c r="K1068" s="556"/>
      <c r="L1068" s="557"/>
      <c r="M1068" s="556"/>
      <c r="N1068" s="556"/>
      <c r="O1068" s="556"/>
      <c r="P1068" s="557"/>
      <c r="Q1068" s="556"/>
      <c r="R1068" s="557"/>
      <c r="S1068" s="556"/>
      <c r="T1068" s="557"/>
    </row>
    <row r="1069">
      <c r="A1069" s="45"/>
      <c r="B1069" s="45"/>
      <c r="C1069" s="554"/>
      <c r="D1069" s="555"/>
      <c r="E1069" s="555"/>
      <c r="F1069" s="45"/>
      <c r="G1069" s="555"/>
      <c r="H1069" s="45"/>
      <c r="I1069" s="122"/>
      <c r="K1069" s="556"/>
      <c r="L1069" s="557"/>
      <c r="M1069" s="556"/>
      <c r="N1069" s="556"/>
      <c r="O1069" s="556"/>
      <c r="P1069" s="557"/>
      <c r="Q1069" s="556"/>
      <c r="R1069" s="557"/>
      <c r="S1069" s="556"/>
      <c r="T1069" s="557"/>
    </row>
    <row r="1070">
      <c r="A1070" s="45"/>
      <c r="B1070" s="45"/>
      <c r="C1070" s="554"/>
      <c r="D1070" s="555"/>
      <c r="E1070" s="555"/>
      <c r="F1070" s="45"/>
      <c r="G1070" s="555"/>
      <c r="H1070" s="45"/>
      <c r="I1070" s="122"/>
      <c r="K1070" s="556"/>
      <c r="L1070" s="557"/>
      <c r="M1070" s="556"/>
      <c r="N1070" s="556"/>
      <c r="O1070" s="556"/>
      <c r="P1070" s="557"/>
      <c r="Q1070" s="556"/>
      <c r="R1070" s="557"/>
      <c r="S1070" s="556"/>
      <c r="T1070" s="557"/>
    </row>
    <row r="1071">
      <c r="A1071" s="45"/>
      <c r="B1071" s="45"/>
      <c r="C1071" s="554"/>
      <c r="D1071" s="555"/>
      <c r="E1071" s="555"/>
      <c r="F1071" s="45"/>
      <c r="G1071" s="555"/>
      <c r="H1071" s="45"/>
      <c r="I1071" s="122"/>
      <c r="K1071" s="556"/>
      <c r="L1071" s="557"/>
      <c r="M1071" s="556"/>
      <c r="N1071" s="556"/>
      <c r="O1071" s="556"/>
      <c r="P1071" s="557"/>
      <c r="Q1071" s="556"/>
      <c r="R1071" s="557"/>
      <c r="S1071" s="556"/>
      <c r="T1071" s="557"/>
    </row>
    <row r="1072">
      <c r="A1072" s="45"/>
      <c r="B1072" s="45"/>
      <c r="C1072" s="554"/>
      <c r="D1072" s="555"/>
      <c r="E1072" s="555"/>
      <c r="F1072" s="45"/>
      <c r="G1072" s="555"/>
      <c r="H1072" s="45"/>
      <c r="I1072" s="122"/>
      <c r="K1072" s="556"/>
      <c r="L1072" s="557"/>
      <c r="M1072" s="556"/>
      <c r="N1072" s="556"/>
      <c r="O1072" s="556"/>
      <c r="P1072" s="557"/>
      <c r="Q1072" s="556"/>
      <c r="R1072" s="557"/>
      <c r="S1072" s="556"/>
      <c r="T1072" s="557"/>
    </row>
    <row r="1073">
      <c r="A1073" s="45"/>
      <c r="B1073" s="45"/>
      <c r="C1073" s="554"/>
      <c r="D1073" s="555"/>
      <c r="E1073" s="555"/>
      <c r="F1073" s="45"/>
      <c r="G1073" s="555"/>
      <c r="H1073" s="45"/>
      <c r="I1073" s="122"/>
      <c r="K1073" s="556"/>
      <c r="L1073" s="557"/>
      <c r="M1073" s="556"/>
      <c r="N1073" s="556"/>
      <c r="O1073" s="556"/>
      <c r="P1073" s="557"/>
      <c r="Q1073" s="556"/>
      <c r="R1073" s="557"/>
      <c r="S1073" s="556"/>
      <c r="T1073" s="557"/>
    </row>
    <row r="1074">
      <c r="A1074" s="45"/>
      <c r="B1074" s="45"/>
      <c r="C1074" s="554"/>
      <c r="D1074" s="555"/>
      <c r="E1074" s="555"/>
      <c r="F1074" s="45"/>
      <c r="G1074" s="555"/>
      <c r="H1074" s="45"/>
      <c r="I1074" s="122"/>
      <c r="K1074" s="556"/>
      <c r="L1074" s="557"/>
      <c r="M1074" s="556"/>
      <c r="N1074" s="556"/>
      <c r="O1074" s="556"/>
      <c r="P1074" s="557"/>
      <c r="Q1074" s="556"/>
      <c r="R1074" s="557"/>
      <c r="S1074" s="556"/>
      <c r="T1074" s="557"/>
    </row>
    <row r="1075">
      <c r="A1075" s="45"/>
      <c r="B1075" s="45"/>
      <c r="C1075" s="554"/>
      <c r="D1075" s="555"/>
      <c r="E1075" s="555"/>
      <c r="F1075" s="45"/>
      <c r="G1075" s="555"/>
      <c r="H1075" s="45"/>
      <c r="I1075" s="122"/>
      <c r="K1075" s="556"/>
      <c r="L1075" s="557"/>
      <c r="M1075" s="556"/>
      <c r="N1075" s="556"/>
      <c r="O1075" s="556"/>
      <c r="P1075" s="557"/>
      <c r="Q1075" s="556"/>
      <c r="R1075" s="557"/>
      <c r="S1075" s="556"/>
      <c r="T1075" s="557"/>
    </row>
    <row r="1076">
      <c r="A1076" s="45"/>
      <c r="B1076" s="45"/>
      <c r="C1076" s="554"/>
      <c r="D1076" s="555"/>
      <c r="E1076" s="555"/>
      <c r="F1076" s="45"/>
      <c r="G1076" s="555"/>
      <c r="H1076" s="45"/>
      <c r="I1076" s="122"/>
      <c r="K1076" s="556"/>
      <c r="L1076" s="557"/>
      <c r="M1076" s="556"/>
      <c r="N1076" s="556"/>
      <c r="O1076" s="556"/>
      <c r="P1076" s="557"/>
      <c r="Q1076" s="556"/>
      <c r="R1076" s="557"/>
      <c r="S1076" s="556"/>
      <c r="T1076" s="557"/>
    </row>
    <row r="1077">
      <c r="A1077" s="45"/>
      <c r="B1077" s="45"/>
      <c r="C1077" s="554"/>
      <c r="D1077" s="555"/>
      <c r="E1077" s="555"/>
      <c r="F1077" s="45"/>
      <c r="G1077" s="555"/>
      <c r="H1077" s="45"/>
      <c r="I1077" s="122"/>
      <c r="K1077" s="556"/>
      <c r="L1077" s="557"/>
      <c r="M1077" s="556"/>
      <c r="N1077" s="556"/>
      <c r="O1077" s="556"/>
      <c r="P1077" s="557"/>
      <c r="Q1077" s="556"/>
      <c r="R1077" s="557"/>
      <c r="S1077" s="556"/>
      <c r="T1077" s="557"/>
    </row>
    <row r="1078">
      <c r="A1078" s="45"/>
      <c r="B1078" s="45"/>
      <c r="C1078" s="554"/>
      <c r="D1078" s="555"/>
      <c r="E1078" s="555"/>
      <c r="F1078" s="45"/>
      <c r="G1078" s="555"/>
      <c r="H1078" s="45"/>
      <c r="I1078" s="122"/>
      <c r="K1078" s="556"/>
      <c r="L1078" s="557"/>
      <c r="M1078" s="556"/>
      <c r="N1078" s="556"/>
      <c r="O1078" s="556"/>
      <c r="P1078" s="557"/>
      <c r="Q1078" s="556"/>
      <c r="R1078" s="557"/>
      <c r="S1078" s="556"/>
      <c r="T1078" s="557"/>
    </row>
    <row r="1079">
      <c r="A1079" s="45"/>
      <c r="B1079" s="45"/>
      <c r="C1079" s="554"/>
      <c r="D1079" s="555"/>
      <c r="E1079" s="555"/>
      <c r="F1079" s="45"/>
      <c r="G1079" s="555"/>
      <c r="H1079" s="45"/>
      <c r="I1079" s="122"/>
      <c r="K1079" s="556"/>
      <c r="L1079" s="557"/>
      <c r="M1079" s="556"/>
      <c r="N1079" s="556"/>
      <c r="O1079" s="556"/>
      <c r="P1079" s="557"/>
      <c r="Q1079" s="556"/>
      <c r="R1079" s="557"/>
      <c r="S1079" s="556"/>
      <c r="T1079" s="557"/>
    </row>
    <row r="1080">
      <c r="A1080" s="45"/>
      <c r="B1080" s="45"/>
      <c r="C1080" s="554"/>
      <c r="D1080" s="555"/>
      <c r="E1080" s="555"/>
      <c r="F1080" s="45"/>
      <c r="G1080" s="555"/>
      <c r="H1080" s="45"/>
      <c r="I1080" s="122"/>
      <c r="K1080" s="556"/>
      <c r="L1080" s="557"/>
      <c r="M1080" s="556"/>
      <c r="N1080" s="556"/>
      <c r="O1080" s="556"/>
      <c r="P1080" s="557"/>
      <c r="Q1080" s="556"/>
      <c r="R1080" s="557"/>
      <c r="S1080" s="556"/>
      <c r="T1080" s="557"/>
    </row>
    <row r="1081">
      <c r="A1081" s="45"/>
      <c r="B1081" s="45"/>
      <c r="C1081" s="554"/>
      <c r="D1081" s="555"/>
      <c r="E1081" s="555"/>
      <c r="F1081" s="45"/>
      <c r="G1081" s="555"/>
      <c r="H1081" s="45"/>
      <c r="I1081" s="122"/>
      <c r="K1081" s="556"/>
      <c r="L1081" s="557"/>
      <c r="M1081" s="556"/>
      <c r="N1081" s="556"/>
      <c r="O1081" s="556"/>
      <c r="P1081" s="557"/>
      <c r="Q1081" s="556"/>
      <c r="R1081" s="557"/>
      <c r="S1081" s="556"/>
      <c r="T1081" s="557"/>
    </row>
    <row r="1082">
      <c r="A1082" s="45"/>
      <c r="B1082" s="45"/>
      <c r="C1082" s="554"/>
      <c r="D1082" s="555"/>
      <c r="E1082" s="555"/>
      <c r="F1082" s="45"/>
      <c r="G1082" s="555"/>
      <c r="H1082" s="45"/>
      <c r="I1082" s="122"/>
      <c r="K1082" s="556"/>
      <c r="L1082" s="557"/>
      <c r="M1082" s="556"/>
      <c r="N1082" s="556"/>
      <c r="O1082" s="556"/>
      <c r="P1082" s="557"/>
      <c r="Q1082" s="556"/>
      <c r="R1082" s="557"/>
      <c r="S1082" s="556"/>
      <c r="T1082" s="557"/>
    </row>
    <row r="1083">
      <c r="A1083" s="45"/>
      <c r="B1083" s="45"/>
      <c r="C1083" s="554"/>
      <c r="D1083" s="555"/>
      <c r="E1083" s="555"/>
      <c r="F1083" s="45"/>
      <c r="G1083" s="555"/>
      <c r="H1083" s="45"/>
      <c r="I1083" s="122"/>
      <c r="K1083" s="556"/>
      <c r="L1083" s="557"/>
      <c r="M1083" s="556"/>
      <c r="N1083" s="556"/>
      <c r="O1083" s="556"/>
      <c r="P1083" s="557"/>
      <c r="Q1083" s="556"/>
      <c r="R1083" s="557"/>
      <c r="S1083" s="556"/>
      <c r="T1083" s="557"/>
    </row>
    <row r="1084">
      <c r="A1084" s="45"/>
      <c r="B1084" s="45"/>
      <c r="C1084" s="554"/>
      <c r="D1084" s="555"/>
      <c r="E1084" s="555"/>
      <c r="F1084" s="45"/>
      <c r="G1084" s="555"/>
      <c r="H1084" s="45"/>
      <c r="I1084" s="122"/>
      <c r="K1084" s="556"/>
      <c r="L1084" s="557"/>
      <c r="M1084" s="556"/>
      <c r="N1084" s="556"/>
      <c r="O1084" s="556"/>
      <c r="P1084" s="557"/>
      <c r="Q1084" s="556"/>
      <c r="R1084" s="557"/>
      <c r="S1084" s="556"/>
      <c r="T1084" s="557"/>
    </row>
    <row r="1085">
      <c r="A1085" s="45"/>
      <c r="B1085" s="45"/>
      <c r="C1085" s="554"/>
      <c r="D1085" s="555"/>
      <c r="E1085" s="555"/>
      <c r="F1085" s="45"/>
      <c r="G1085" s="555"/>
      <c r="H1085" s="45"/>
      <c r="I1085" s="122"/>
      <c r="K1085" s="556"/>
      <c r="L1085" s="557"/>
      <c r="M1085" s="556"/>
      <c r="N1085" s="556"/>
      <c r="O1085" s="556"/>
      <c r="P1085" s="557"/>
      <c r="Q1085" s="556"/>
      <c r="R1085" s="557"/>
      <c r="S1085" s="556"/>
      <c r="T1085" s="557"/>
    </row>
    <row r="1086">
      <c r="A1086" s="45"/>
      <c r="B1086" s="45"/>
      <c r="C1086" s="554"/>
      <c r="D1086" s="555"/>
      <c r="E1086" s="555"/>
      <c r="F1086" s="45"/>
      <c r="G1086" s="555"/>
      <c r="H1086" s="45"/>
      <c r="I1086" s="122"/>
      <c r="K1086" s="556"/>
      <c r="L1086" s="557"/>
      <c r="M1086" s="556"/>
      <c r="N1086" s="556"/>
      <c r="O1086" s="556"/>
      <c r="P1086" s="557"/>
      <c r="Q1086" s="556"/>
      <c r="R1086" s="557"/>
      <c r="S1086" s="556"/>
      <c r="T1086" s="557"/>
    </row>
    <row r="1087">
      <c r="A1087" s="45"/>
      <c r="B1087" s="45"/>
      <c r="C1087" s="554"/>
      <c r="D1087" s="555"/>
      <c r="E1087" s="555"/>
      <c r="F1087" s="45"/>
      <c r="G1087" s="555"/>
      <c r="H1087" s="45"/>
      <c r="I1087" s="122"/>
      <c r="K1087" s="556"/>
      <c r="L1087" s="557"/>
      <c r="M1087" s="556"/>
      <c r="N1087" s="556"/>
      <c r="O1087" s="556"/>
      <c r="P1087" s="557"/>
      <c r="Q1087" s="556"/>
      <c r="R1087" s="557"/>
      <c r="S1087" s="556"/>
      <c r="T1087" s="557"/>
    </row>
    <row r="1088">
      <c r="A1088" s="45"/>
      <c r="B1088" s="45"/>
      <c r="C1088" s="554"/>
      <c r="D1088" s="555"/>
      <c r="E1088" s="555"/>
      <c r="F1088" s="45"/>
      <c r="G1088" s="555"/>
      <c r="H1088" s="45"/>
      <c r="I1088" s="122"/>
      <c r="K1088" s="556"/>
      <c r="L1088" s="557"/>
      <c r="M1088" s="556"/>
      <c r="N1088" s="556"/>
      <c r="O1088" s="556"/>
      <c r="P1088" s="557"/>
      <c r="Q1088" s="556"/>
      <c r="R1088" s="557"/>
      <c r="S1088" s="556"/>
      <c r="T1088" s="557"/>
    </row>
    <row r="1089">
      <c r="A1089" s="45"/>
      <c r="B1089" s="45"/>
      <c r="C1089" s="554"/>
      <c r="D1089" s="555"/>
      <c r="E1089" s="555"/>
      <c r="F1089" s="45"/>
      <c r="G1089" s="555"/>
      <c r="H1089" s="45"/>
      <c r="I1089" s="122"/>
      <c r="K1089" s="556"/>
      <c r="L1089" s="557"/>
      <c r="M1089" s="556"/>
      <c r="N1089" s="556"/>
      <c r="O1089" s="556"/>
      <c r="P1089" s="557"/>
      <c r="Q1089" s="556"/>
      <c r="R1089" s="557"/>
      <c r="S1089" s="556"/>
      <c r="T1089" s="557"/>
    </row>
    <row r="1090">
      <c r="A1090" s="45"/>
      <c r="B1090" s="45"/>
      <c r="C1090" s="554"/>
      <c r="D1090" s="555"/>
      <c r="E1090" s="555"/>
      <c r="F1090" s="45"/>
      <c r="G1090" s="555"/>
      <c r="H1090" s="45"/>
      <c r="I1090" s="122"/>
      <c r="K1090" s="556"/>
      <c r="L1090" s="557"/>
      <c r="M1090" s="556"/>
      <c r="N1090" s="556"/>
      <c r="O1090" s="556"/>
      <c r="P1090" s="557"/>
      <c r="Q1090" s="556"/>
      <c r="R1090" s="557"/>
      <c r="S1090" s="556"/>
      <c r="T1090" s="557"/>
    </row>
    <row r="1091">
      <c r="A1091" s="45"/>
      <c r="B1091" s="45"/>
      <c r="C1091" s="554"/>
      <c r="D1091" s="555"/>
      <c r="E1091" s="555"/>
      <c r="F1091" s="45"/>
      <c r="G1091" s="555"/>
      <c r="H1091" s="45"/>
      <c r="I1091" s="122"/>
      <c r="K1091" s="556"/>
      <c r="L1091" s="557"/>
      <c r="M1091" s="556"/>
      <c r="N1091" s="556"/>
      <c r="O1091" s="556"/>
      <c r="P1091" s="557"/>
      <c r="Q1091" s="556"/>
      <c r="R1091" s="557"/>
      <c r="S1091" s="556"/>
      <c r="T1091" s="557"/>
    </row>
    <row r="1092">
      <c r="A1092" s="45"/>
      <c r="B1092" s="45"/>
      <c r="C1092" s="554"/>
      <c r="D1092" s="555"/>
      <c r="E1092" s="555"/>
      <c r="F1092" s="45"/>
      <c r="G1092" s="555"/>
      <c r="H1092" s="45"/>
      <c r="I1092" s="122"/>
      <c r="K1092" s="556"/>
      <c r="L1092" s="557"/>
      <c r="M1092" s="556"/>
      <c r="N1092" s="556"/>
      <c r="O1092" s="556"/>
      <c r="P1092" s="557"/>
      <c r="Q1092" s="556"/>
      <c r="R1092" s="557"/>
      <c r="S1092" s="556"/>
      <c r="T1092" s="557"/>
    </row>
    <row r="1093">
      <c r="A1093" s="45"/>
      <c r="B1093" s="45"/>
      <c r="C1093" s="554"/>
      <c r="D1093" s="555"/>
      <c r="E1093" s="555"/>
      <c r="F1093" s="45"/>
      <c r="G1093" s="555"/>
      <c r="H1093" s="45"/>
      <c r="I1093" s="122"/>
      <c r="K1093" s="556"/>
      <c r="L1093" s="557"/>
      <c r="M1093" s="556"/>
      <c r="N1093" s="556"/>
      <c r="O1093" s="556"/>
      <c r="P1093" s="557"/>
      <c r="Q1093" s="556"/>
      <c r="R1093" s="557"/>
      <c r="S1093" s="556"/>
      <c r="T1093" s="557"/>
    </row>
    <row r="1094">
      <c r="A1094" s="45"/>
      <c r="B1094" s="45"/>
      <c r="C1094" s="554"/>
      <c r="D1094" s="555"/>
      <c r="E1094" s="555"/>
      <c r="F1094" s="45"/>
      <c r="G1094" s="555"/>
      <c r="H1094" s="45"/>
      <c r="I1094" s="122"/>
      <c r="K1094" s="556"/>
      <c r="L1094" s="557"/>
      <c r="M1094" s="556"/>
      <c r="N1094" s="556"/>
      <c r="O1094" s="556"/>
      <c r="P1094" s="557"/>
      <c r="Q1094" s="556"/>
      <c r="R1094" s="557"/>
      <c r="S1094" s="556"/>
      <c r="T1094" s="557"/>
    </row>
    <row r="1095">
      <c r="A1095" s="45"/>
      <c r="B1095" s="45"/>
      <c r="C1095" s="554"/>
      <c r="D1095" s="555"/>
      <c r="E1095" s="555"/>
      <c r="F1095" s="45"/>
      <c r="G1095" s="555"/>
      <c r="H1095" s="45"/>
      <c r="I1095" s="122"/>
      <c r="K1095" s="556"/>
      <c r="L1095" s="557"/>
      <c r="M1095" s="556"/>
      <c r="N1095" s="556"/>
      <c r="O1095" s="556"/>
      <c r="P1095" s="557"/>
      <c r="Q1095" s="556"/>
      <c r="R1095" s="557"/>
      <c r="S1095" s="556"/>
      <c r="T1095" s="557"/>
    </row>
    <row r="1096">
      <c r="A1096" s="45"/>
      <c r="B1096" s="45"/>
      <c r="C1096" s="554"/>
      <c r="D1096" s="555"/>
      <c r="E1096" s="555"/>
      <c r="F1096" s="45"/>
      <c r="G1096" s="555"/>
      <c r="H1096" s="45"/>
      <c r="I1096" s="122"/>
      <c r="K1096" s="556"/>
      <c r="L1096" s="557"/>
      <c r="M1096" s="556"/>
      <c r="N1096" s="556"/>
      <c r="O1096" s="556"/>
      <c r="P1096" s="557"/>
      <c r="Q1096" s="556"/>
      <c r="R1096" s="557"/>
      <c r="S1096" s="556"/>
      <c r="T1096" s="557"/>
    </row>
    <row r="1097">
      <c r="A1097" s="45"/>
      <c r="B1097" s="45"/>
      <c r="C1097" s="554"/>
      <c r="D1097" s="555"/>
      <c r="E1097" s="555"/>
      <c r="F1097" s="45"/>
      <c r="G1097" s="555"/>
      <c r="H1097" s="45"/>
      <c r="I1097" s="122"/>
      <c r="K1097" s="556"/>
      <c r="L1097" s="557"/>
      <c r="M1097" s="556"/>
      <c r="N1097" s="556"/>
      <c r="O1097" s="556"/>
      <c r="P1097" s="557"/>
      <c r="Q1097" s="556"/>
      <c r="R1097" s="557"/>
      <c r="S1097" s="556"/>
      <c r="T1097" s="557"/>
    </row>
    <row r="1098">
      <c r="A1098" s="45"/>
      <c r="B1098" s="45"/>
      <c r="C1098" s="554"/>
      <c r="D1098" s="555"/>
      <c r="E1098" s="555"/>
      <c r="F1098" s="45"/>
      <c r="G1098" s="555"/>
      <c r="H1098" s="45"/>
      <c r="I1098" s="122"/>
      <c r="K1098" s="556"/>
      <c r="L1098" s="557"/>
      <c r="M1098" s="556"/>
      <c r="N1098" s="556"/>
      <c r="O1098" s="556"/>
      <c r="P1098" s="557"/>
      <c r="Q1098" s="556"/>
      <c r="R1098" s="557"/>
      <c r="S1098" s="556"/>
      <c r="T1098" s="557"/>
    </row>
    <row r="1099">
      <c r="A1099" s="45"/>
      <c r="B1099" s="45"/>
      <c r="C1099" s="554"/>
      <c r="D1099" s="555"/>
      <c r="E1099" s="555"/>
      <c r="F1099" s="45"/>
      <c r="G1099" s="555"/>
      <c r="H1099" s="45"/>
      <c r="I1099" s="122"/>
      <c r="K1099" s="556"/>
      <c r="L1099" s="557"/>
      <c r="M1099" s="556"/>
      <c r="N1099" s="556"/>
      <c r="O1099" s="556"/>
      <c r="P1099" s="557"/>
      <c r="Q1099" s="556"/>
      <c r="R1099" s="557"/>
      <c r="S1099" s="556"/>
      <c r="T1099" s="557"/>
    </row>
    <row r="1100">
      <c r="A1100" s="45"/>
      <c r="B1100" s="45"/>
      <c r="C1100" s="554"/>
      <c r="D1100" s="555"/>
      <c r="E1100" s="555"/>
      <c r="F1100" s="45"/>
      <c r="G1100" s="555"/>
      <c r="H1100" s="45"/>
      <c r="I1100" s="122"/>
      <c r="K1100" s="556"/>
      <c r="L1100" s="557"/>
      <c r="M1100" s="556"/>
      <c r="N1100" s="556"/>
      <c r="O1100" s="556"/>
      <c r="P1100" s="557"/>
      <c r="Q1100" s="556"/>
      <c r="R1100" s="557"/>
      <c r="S1100" s="556"/>
      <c r="T1100" s="557"/>
    </row>
    <row r="1101">
      <c r="A1101" s="45"/>
      <c r="B1101" s="45"/>
      <c r="C1101" s="554"/>
      <c r="D1101" s="555"/>
      <c r="E1101" s="555"/>
      <c r="F1101" s="45"/>
      <c r="G1101" s="555"/>
      <c r="H1101" s="45"/>
      <c r="I1101" s="122"/>
      <c r="K1101" s="556"/>
      <c r="L1101" s="557"/>
      <c r="M1101" s="556"/>
      <c r="N1101" s="556"/>
      <c r="O1101" s="556"/>
      <c r="P1101" s="557"/>
      <c r="Q1101" s="556"/>
      <c r="R1101" s="557"/>
      <c r="S1101" s="556"/>
      <c r="T1101" s="557"/>
    </row>
    <row r="1102">
      <c r="A1102" s="45"/>
      <c r="B1102" s="45"/>
      <c r="C1102" s="554"/>
      <c r="D1102" s="555"/>
      <c r="E1102" s="555"/>
      <c r="F1102" s="45"/>
      <c r="G1102" s="555"/>
      <c r="H1102" s="45"/>
      <c r="I1102" s="122"/>
      <c r="K1102" s="556"/>
      <c r="L1102" s="557"/>
      <c r="M1102" s="556"/>
      <c r="N1102" s="556"/>
      <c r="O1102" s="556"/>
      <c r="P1102" s="557"/>
      <c r="Q1102" s="556"/>
      <c r="R1102" s="557"/>
      <c r="S1102" s="556"/>
      <c r="T1102" s="557"/>
    </row>
    <row r="1103">
      <c r="A1103" s="45"/>
      <c r="B1103" s="45"/>
      <c r="C1103" s="554"/>
      <c r="D1103" s="555"/>
      <c r="E1103" s="555"/>
      <c r="F1103" s="45"/>
      <c r="G1103" s="555"/>
      <c r="H1103" s="45"/>
      <c r="I1103" s="122"/>
      <c r="K1103" s="556"/>
      <c r="L1103" s="557"/>
      <c r="M1103" s="556"/>
      <c r="N1103" s="556"/>
      <c r="O1103" s="556"/>
      <c r="P1103" s="557"/>
      <c r="Q1103" s="556"/>
      <c r="R1103" s="557"/>
      <c r="S1103" s="556"/>
      <c r="T1103" s="557"/>
    </row>
  </sheetData>
  <dataValidations>
    <dataValidation type="list" allowBlank="1" showErrorMessage="1" sqref="D79 D84 D89">
      <formula1>"Ambiente,ASI,Cultura, recreacióny deporte,Emprendimiento y empleo,Educación,ESCNNA,Hábitat,Hacienda,Libertad Religiosa,Movilidad,Mujer,Planeación,Reunión,Salud ,Seguridad,Servicios públicos,Solicitud de información,Subsidios,Otro"</formula1>
    </dataValidation>
    <dataValidation type="list" allowBlank="1" showErrorMessage="1" sqref="B2:B1103">
      <formula1>"Enero,Febrero,Marzo,Abril,Mayo,Junio,Julio,Agosto,N/A,Septiembre,Octubre,Noviembre ,Diciembre"</formula1>
    </dataValidation>
    <dataValidation type="list" allowBlank="1" showErrorMessage="1" sqref="D67">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Armado,Vivienda,Espacio Publico"</formula1>
    </dataValidation>
    <dataValidation type="list" allowBlank="1" showErrorMessage="1" sqref="E2:E1103">
      <formula1>"N/A,NA"</formula1>
    </dataValidation>
    <dataValidation type="list" allowBlank="1" showErrorMessage="1" sqref="G2:G1103">
      <formula1>"Libertad religiosa,Movilidad,Niñez,Servicios públicos,Tramites"</formula1>
    </dataValidation>
    <dataValidation type="list" allowBlank="1" showErrorMessage="1" sqref="K2:S1103">
      <formula1>"Publicado,Pendiente,No aplica"</formula1>
    </dataValidation>
    <dataValidation type="list" allowBlank="1" sqref="A2:A1103">
      <formula1>"2024,2025,2026,2027 "</formula1>
    </dataValidation>
    <dataValidation type="list" allowBlank="1" showErrorMessage="1" sqref="D2:D66 D68:D78 D80:D83 D85:D88 D90:D1103">
      <formula1>"Agradecimiento y Rendición de Cuentas,Adulto mayor,Ambiente,ASI,Cementerios,Cultura, recreación, turismo y deporte,Discapacidad,Educación,Ejecución presupuestal,Emprendimiento y empleo,ESCNNA,Gobierno,Habitante de calle,Hábitat,Hacienda,Libertad Religiosa"&amp;",Mascotas,Movilidad,Mujer,Niñez,Participación,Planeación,POT,Región Metropolitana,Salud,Seguridad,Seguros,Servicio militar,Servicios públicos,Subsidios,Victimas del Conflicto Armado,Vivienda,Medio Ambiente,Mesa de Trabajo,Jovenes"</formula1>
    </dataValidation>
  </dataValidations>
  <hyperlinks>
    <hyperlink r:id="rId1" ref="I5"/>
    <hyperlink r:id="rId2" ref="I6"/>
    <hyperlink r:id="rId3" ref="I7"/>
    <hyperlink r:id="rId4" ref="I8"/>
    <hyperlink r:id="rId5" ref="I9"/>
    <hyperlink r:id="rId6" ref="I10"/>
    <hyperlink r:id="rId7" ref="I13"/>
    <hyperlink r:id="rId8" ref="I14"/>
    <hyperlink r:id="rId9" ref="I15"/>
    <hyperlink r:id="rId10" ref="I16"/>
    <hyperlink r:id="rId11" ref="I17"/>
    <hyperlink r:id="rId12" ref="I18"/>
    <hyperlink r:id="rId13" ref="I19"/>
    <hyperlink r:id="rId14" ref="I20"/>
    <hyperlink r:id="rId15" ref="I21"/>
    <hyperlink r:id="rId16" ref="I22"/>
    <hyperlink r:id="rId17" ref="I23"/>
    <hyperlink r:id="rId18" ref="I24"/>
    <hyperlink r:id="rId19" ref="I25"/>
    <hyperlink r:id="rId20" ref="I26"/>
    <hyperlink r:id="rId21" ref="I27"/>
    <hyperlink r:id="rId22" ref="I28"/>
    <hyperlink r:id="rId23" ref="I29"/>
    <hyperlink r:id="rId24" ref="I30"/>
    <hyperlink r:id="rId25" ref="I31"/>
    <hyperlink r:id="rId26" ref="I32"/>
    <hyperlink r:id="rId27" ref="I33"/>
    <hyperlink r:id="rId28" ref="I34"/>
    <hyperlink r:id="rId29" ref="I35"/>
    <hyperlink r:id="rId30" ref="I36"/>
    <hyperlink r:id="rId31" ref="I37"/>
    <hyperlink r:id="rId32" ref="I38"/>
    <hyperlink r:id="rId33" ref="I39"/>
    <hyperlink r:id="rId34" ref="I40"/>
    <hyperlink r:id="rId35" ref="I41"/>
    <hyperlink r:id="rId36" ref="I42"/>
    <hyperlink r:id="rId37" ref="I43"/>
    <hyperlink r:id="rId38" ref="I44"/>
    <hyperlink r:id="rId39" ref="I45"/>
    <hyperlink r:id="rId40" ref="I46"/>
    <hyperlink r:id="rId41" ref="I47"/>
    <hyperlink r:id="rId42" ref="I48"/>
    <hyperlink r:id="rId43" ref="I49"/>
    <hyperlink r:id="rId44" ref="I52"/>
    <hyperlink r:id="rId45" ref="I53"/>
    <hyperlink r:id="rId46" ref="I54"/>
    <hyperlink r:id="rId47" ref="I55"/>
    <hyperlink r:id="rId48" ref="I56"/>
    <hyperlink r:id="rId49" ref="I57"/>
    <hyperlink r:id="rId50" ref="I58"/>
    <hyperlink r:id="rId51" ref="I59"/>
    <hyperlink r:id="rId52" ref="I60"/>
    <hyperlink r:id="rId53" ref="I61"/>
    <hyperlink r:id="rId54" ref="I62"/>
    <hyperlink r:id="rId55" ref="I63"/>
    <hyperlink r:id="rId56" ref="I64"/>
    <hyperlink r:id="rId57" ref="I65"/>
    <hyperlink r:id="rId58" ref="I66"/>
    <hyperlink r:id="rId59" ref="I67"/>
    <hyperlink r:id="rId60" ref="I68"/>
    <hyperlink r:id="rId61" ref="I69"/>
    <hyperlink r:id="rId62" ref="I70"/>
    <hyperlink r:id="rId63" ref="I71"/>
    <hyperlink r:id="rId64" ref="I72"/>
    <hyperlink r:id="rId65" ref="I73"/>
    <hyperlink r:id="rId66" ref="I74"/>
    <hyperlink r:id="rId67" ref="I75"/>
    <hyperlink r:id="rId68" ref="I76"/>
    <hyperlink r:id="rId69" ref="I77"/>
    <hyperlink r:id="rId70" ref="I78"/>
    <hyperlink r:id="rId71" ref="I79"/>
    <hyperlink r:id="rId72" ref="I80"/>
    <hyperlink r:id="rId73" ref="I81"/>
    <hyperlink r:id="rId74" ref="I82"/>
    <hyperlink r:id="rId75" ref="I83"/>
    <hyperlink r:id="rId76" ref="I84"/>
    <hyperlink r:id="rId77" ref="I85"/>
    <hyperlink r:id="rId78" ref="I86"/>
    <hyperlink r:id="rId79" ref="I87"/>
    <hyperlink r:id="rId80" ref="I88"/>
    <hyperlink r:id="rId81" ref="I89"/>
    <hyperlink r:id="rId82" ref="I90"/>
    <hyperlink r:id="rId83" ref="I91"/>
    <hyperlink r:id="rId84" ref="I92"/>
    <hyperlink r:id="rId85" ref="I93"/>
    <hyperlink r:id="rId86" ref="I94"/>
    <hyperlink r:id="rId87" ref="I95"/>
    <hyperlink r:id="rId88" ref="I96"/>
    <hyperlink r:id="rId89" ref="I97"/>
    <hyperlink r:id="rId90" ref="I98"/>
    <hyperlink r:id="rId91" ref="I99"/>
    <hyperlink r:id="rId92" ref="I100"/>
    <hyperlink r:id="rId93" ref="I101"/>
    <hyperlink r:id="rId94" ref="I102"/>
    <hyperlink r:id="rId95" ref="I103"/>
    <hyperlink r:id="rId96" ref="I104"/>
    <hyperlink r:id="rId97" ref="I105"/>
    <hyperlink r:id="rId98" ref="I106"/>
    <hyperlink r:id="rId99" ref="I107"/>
    <hyperlink r:id="rId100" ref="I109"/>
  </hyperlinks>
  <drawing r:id="rId10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5.75"/>
    <col customWidth="1" min="7" max="7" width="17.38"/>
    <col customWidth="1" min="9" max="9" width="16.13"/>
  </cols>
  <sheetData>
    <row r="1">
      <c r="A1" s="558" t="s">
        <v>3242</v>
      </c>
      <c r="B1" s="558" t="s">
        <v>3243</v>
      </c>
      <c r="C1" s="558" t="s">
        <v>3244</v>
      </c>
      <c r="D1" s="558" t="s">
        <v>3245</v>
      </c>
      <c r="E1" s="558" t="s">
        <v>3246</v>
      </c>
      <c r="F1" s="558" t="s">
        <v>3247</v>
      </c>
      <c r="G1" s="559" t="s">
        <v>3248</v>
      </c>
      <c r="H1" s="560" t="s">
        <v>3249</v>
      </c>
      <c r="I1" s="560" t="s">
        <v>3250</v>
      </c>
      <c r="J1" s="561" t="s">
        <v>3251</v>
      </c>
    </row>
    <row r="2">
      <c r="A2" s="562" t="s">
        <v>3252</v>
      </c>
      <c r="B2" s="358">
        <f>COUNTIF(INTERVENCIONES!P2:P972,"EDIL")</f>
        <v>105</v>
      </c>
      <c r="C2" s="358">
        <f>COUNTIF('DEBATES '!O2:O972,"EDIL")</f>
        <v>3</v>
      </c>
      <c r="D2" s="122">
        <f>COUNTIF(COMUNICACIONES!A1:A93,"2024")</f>
        <v>92</v>
      </c>
      <c r="E2" s="358">
        <f>COUNTIF('PROYECTOS DE ACUERDO'!A:A,"2024")</f>
        <v>1</v>
      </c>
      <c r="F2" s="358">
        <f>COUNTIF(PONENCIAS!R2:R973,"EDIL")</f>
        <v>7</v>
      </c>
      <c r="G2" s="358">
        <f>COUNTIF('GESTIÓN '!E:E,"Apoyo Ciudadano")</f>
        <v>49</v>
      </c>
      <c r="H2" s="358">
        <f>COUNTIF('GESTIÓN '!E:E,"Mesas de trabajo")</f>
        <v>58</v>
      </c>
      <c r="I2" s="358">
        <f>COUNTIF('GESTIÓN '!E:E, "Gestión comunidades")</f>
        <v>45</v>
      </c>
      <c r="J2" s="358">
        <f>COUNTIF('GESTIÓN '!E:E, "Mesas Técnicas")</f>
        <v>11</v>
      </c>
    </row>
  </sheetData>
  <drawing r:id="rId1"/>
</worksheet>
</file>