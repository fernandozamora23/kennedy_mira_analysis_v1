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GENDA GENERAL CON CANDIDATOS" sheetId="1" r:id="rId5"/>
    <sheet state="visible" name="Hoja 28" sheetId="2" r:id="rId6"/>
    <sheet state="visible" name="Hoja 27" sheetId="3" r:id="rId7"/>
    <sheet state="visible" name="AGENDA PARALELA" sheetId="4" r:id="rId8"/>
    <sheet state="visible" name="Hoja 21" sheetId="5" r:id="rId9"/>
    <sheet state="hidden" name="Cronograma Kennedy enero" sheetId="6" r:id="rId10"/>
    <sheet state="visible" name="Hoja 19" sheetId="7" r:id="rId11"/>
    <sheet state="visible" name="PROTOCOLO" sheetId="8" r:id="rId12"/>
    <sheet state="visible" name="Mesas" sheetId="9" r:id="rId13"/>
  </sheets>
  <definedNames>
    <definedName hidden="1" localSheetId="0" name="_xlnm._FilterDatabase">'AGENDA GENERAL CON CANDIDATOS'!$A$1:$R$110</definedName>
    <definedName hidden="1" localSheetId="2" name="_xlnm._FilterDatabase">'Hoja 27'!$A$1:$N$37</definedName>
    <definedName hidden="1" localSheetId="5" name="_xlnm._FilterDatabase">'Cronograma Kennedy enero'!$A$1:$R$52</definedName>
    <definedName hidden="1" localSheetId="0" name="Z_3014FF2E_FE8D_40DE_AB79_914253CDCC26_.wvu.FilterData">'AGENDA GENERAL CON CANDIDATOS'!$A$1:$Y$110</definedName>
    <definedName hidden="1" localSheetId="0" name="Z_22FC5C8B_F969_4BDC_BCB8_FF2BCE3E803A_.wvu.FilterData">'AGENDA GENERAL CON CANDIDATOS'!$A$1:$R$110</definedName>
    <definedName hidden="1" localSheetId="0" name="Z_A43F538C_62E3_4A8B_9E4E_306D25701A5D_.wvu.FilterData">'AGENDA GENERAL CON CANDIDATOS'!$A$1:$R$110</definedName>
    <definedName hidden="1" localSheetId="0" name="Z_D4602E98_F668_4065_977B_37E5116EB3EB_.wvu.FilterData">'AGENDA GENERAL CON CANDIDATOS'!$A$1:$R$110</definedName>
  </definedNames>
  <calcPr/>
  <customWorkbookViews>
    <customWorkbookView activeSheetId="0" maximized="1" windowHeight="0" windowWidth="0" guid="{3014FF2E-FE8D-40DE-AB79-914253CDCC26}" name="Carvajal"/>
    <customWorkbookView activeSheetId="0" maximized="1" windowHeight="0" windowWidth="0" guid="{22FC5C8B-F969-4BDC-BCB8-FF2BCE3E803A}" name="Kennedy Central"/>
    <customWorkbookView activeSheetId="0" maximized="1" windowHeight="0" windowWidth="0" guid="{A43F538C-62E3-4A8B-9E4E-306D25701A5D}" name="Patio Bonito"/>
    <customWorkbookView activeSheetId="0" maximized="1" windowHeight="0" windowWidth="0" guid="{D4602E98-F668-4065-977B-37E5116EB3EB}" name="Class"/>
  </customWorkbookViews>
</workbook>
</file>

<file path=xl/sharedStrings.xml><?xml version="1.0" encoding="utf-8"?>
<sst xmlns="http://schemas.openxmlformats.org/spreadsheetml/2006/main" count="8994" uniqueCount="2139">
  <si>
    <t>BOGOTÁ</t>
  </si>
  <si>
    <t>LOCALIDAD</t>
  </si>
  <si>
    <t>SEDE</t>
  </si>
  <si>
    <t>HORA</t>
  </si>
  <si>
    <t>ACTIVIDAD</t>
  </si>
  <si>
    <t>ESTRATEGIA</t>
  </si>
  <si>
    <t>MES</t>
  </si>
  <si>
    <t>DIA</t>
  </si>
  <si>
    <t xml:space="preserve">
FECHA CAMPAÑA
</t>
  </si>
  <si>
    <t>DETALLE DE LA ACTIVIDAD</t>
  </si>
  <si>
    <t>LOGROS
JUSTIFICACION</t>
  </si>
  <si>
    <t xml:space="preserve">DIRECCIÓN </t>
  </si>
  <si>
    <t>LINK DE GOOGLE MAPS</t>
  </si>
  <si>
    <t>COORDENADAS</t>
  </si>
  <si>
    <t>BARRIO</t>
  </si>
  <si>
    <t>BENEFICIARIOS O ASISTENTES</t>
  </si>
  <si>
    <t>LÍDER Y CELULAR</t>
  </si>
  <si>
    <t>LOGISTICA (Vecinos contactados, espacio, sillas, publicidad, refrigerios)</t>
  </si>
  <si>
    <t>SUR</t>
  </si>
  <si>
    <t>BOGOTA. D.C. - LOCALIDAD  8 KENNEDY</t>
  </si>
  <si>
    <t>Kennedy Central</t>
  </si>
  <si>
    <t>10:00 AM</t>
  </si>
  <si>
    <t>TERRITORIO</t>
  </si>
  <si>
    <t>POLITICO COMUNITARIA</t>
  </si>
  <si>
    <t>Diciembre</t>
  </si>
  <si>
    <t>Lanzamiento de campaña en Kennedy</t>
  </si>
  <si>
    <t>Templo Kennedy Central</t>
  </si>
  <si>
    <t>Class</t>
  </si>
  <si>
    <t>Templo Class</t>
  </si>
  <si>
    <t>Patio Bonito</t>
  </si>
  <si>
    <t>Templo Patio Bonito</t>
  </si>
  <si>
    <t>8:00 PM</t>
  </si>
  <si>
    <t>SEGUIMIENTO</t>
  </si>
  <si>
    <t>Reunión con líderes Patio Bonito para seguimiento de preparativos de reuniones campaña 13 de diciembre</t>
  </si>
  <si>
    <t>Virtual</t>
  </si>
  <si>
    <t>Hamilton Liz (Delegado Político)</t>
  </si>
  <si>
    <t>9:00 PM</t>
  </si>
  <si>
    <t>Reunión con líderes Kennedy Central para seguimiento de preparativos de reuniones campaña 14 de diciembre</t>
  </si>
  <si>
    <t>Jenny García (Delegado Político)</t>
  </si>
  <si>
    <t>Carvajal</t>
  </si>
  <si>
    <t>Reunión con líderes Carvajal para seguimiento de preparativos de reuniones campaña 16 de diciembre</t>
  </si>
  <si>
    <t>Reunión con líderes Kennedy Central para seguimiento de preparativos de reuniones campaña 16 de diciembre</t>
  </si>
  <si>
    <t>Sergio Osorio (Delagado Político)</t>
  </si>
  <si>
    <t>11:00AM</t>
  </si>
  <si>
    <t>MT - VILLA HERMOSA MALLA VIAL (3822) Reunión con vecinos del sector + MT - VILLA HERMOSA TAPAS TELECOMUNICACIONES</t>
  </si>
  <si>
    <t>1. La vía fue incluida en un contrato para mantenimiento.
2. Se realiza intervención con jornada de embellecimiento para mitigar el punto critico, con el apoyo de la Alcaldía Local de Kennedy.
3, Se logro colocar tapa de comunicaciones que llevaba muhchos años, geneando gran riesgo</t>
  </si>
  <si>
    <t>Cra. 87f #40-28</t>
  </si>
  <si>
    <t>google.com/maps/place/Casa+Hamilton/@4.6348379,-74.168413,3a,75y,207.37h,90t/data=!3m5!1e1!3m3!1sYHLoVj54sjcWE-C48KDXpQ!2e0!6shttps:%2F%2Fstreetviewpixels-pa.googleapis.com%2Fv1%2Fthumbnail%3Fcb_client%3Dmaps_sv.tactile%26w%3D900%26h%3D600%26pitch%3D0%26panoid%3DYHLoVj54sjcWE-C48KDXpQ%26yaw%3D207.36768!4m14!1m7!3m6!1s0x8e3f9d766b7b07b1:0x84c12dc578b81adc!2sCasa+Hamilton!8m2!3d4.6348284!4d-74.168418!16s%2Fg%2F11fl0wbbvf!3m5!1s0x8e3f9d766b7b07b1:0x84c12dc578b81adc!8m2!3d4.6348284!4d-74.168418!16s%2Fg%2F11fl0wbbvf?entry=ttu&amp;g_ep=EgoyMDI1MTEyMy4xIKXMDSoASAFQAw%3D%3D</t>
  </si>
  <si>
    <t>4.635074351599803, -74.16845019045742</t>
  </si>
  <si>
    <t xml:space="preserve">Villa Hermosa </t>
  </si>
  <si>
    <t>Paula Alarcón (3504846700)</t>
  </si>
  <si>
    <t>12:30 M</t>
  </si>
  <si>
    <t>ALMUERZO</t>
  </si>
  <si>
    <t>N/A</t>
  </si>
  <si>
    <t xml:space="preserve">Almuerzo </t>
  </si>
  <si>
    <t>Restaurante desayunadero de la 87  en el segundo piso (al frente del CAI Patio Bonito)</t>
  </si>
  <si>
    <t xml:space="preserve">calle 26 sur con carrera 87 </t>
  </si>
  <si>
    <t>https://www.google.com/maps/@4.6389535,-74.1608905,3a,22.8y,177.68h,99.58t/data=!3m7!1e1!3m5!1sGuilCb6sP05z17gXhzckHQ!2e0!6shttps:%2F%2Fstreetviewpixels-pa.googleapis.com%2Fv1%2Fthumbnail%3Fcb_client%3Dmaps_sv.tactile%26w%3D900%26h%3D600%26pitch%3D-9.575314414106757%26panoid%3DGuilCb6sP05z17gXhzckHQ%26yaw%3D177.68235465223438!7i16384!8i8192?entry=ttu&amp;g_ep=EgoyMDI1MTEyMy4xIKXMDSoASAFQAw%3D%3D</t>
  </si>
  <si>
    <t>4.638945840164796, -74.1609951750653</t>
  </si>
  <si>
    <t>2:00PM</t>
  </si>
  <si>
    <t>MT - CIUDADELA PRIMAVERA MALLA VIAL Y CANCHA (248)</t>
  </si>
  <si>
    <t>1. Calle 6ta
2. Mantenimiento de cancha</t>
  </si>
  <si>
    <t>Cra. 91c #2-90</t>
  </si>
  <si>
    <t>Ciudadela Primavera</t>
  </si>
  <si>
    <t>Ana Temilda Guerrero (3124899155)</t>
  </si>
  <si>
    <t>4:00PM</t>
  </si>
  <si>
    <t>MT - TINTAL BASURAS PUNTO CRITICO (2738)</t>
  </si>
  <si>
    <t>1. Se realiza intervención con jornada de embellecimiento para mitigar el punto critico, con el apoyo de la Alcaldía Local de Kennedy.
2, Jornada Opam con más de 60 beneficiados</t>
  </si>
  <si>
    <t>Calle 6d # 88d - 82
Salon Santa Fe 2</t>
  </si>
  <si>
    <t>https://www.google.com/maps/place/Centro+Comercial+Ciudad+Tintal/@4.6484322,-74.1566005,3a,75y,259.88h,91.84t/data=!3m7!1e1!3m5!1sPvz2ZZ_LEPMtw1hCPni5xw!2e0!6shttps:%2F%2Fstreetviewpixels-pa.googleapis.com%2Fv1%2Fthumbnail%3Fcb_client%3Dmaps_sv.tactile%26w%3D900%26h%3D600%26pitch%3D-1.8368268512086843%26panoid%3DPvz2ZZ_LEPMtw1hCPni5xw%26yaw%3D259.882344672206!7i16384!8i8192!4m10!1m2!2m1!1sciudad+tintal!3m6!1s0x8e3f9c48a6b9e475:0xb493c62a8721eed2!8m2!3d4.6525882!4d-74.1601199!15sCg1jaXVkYWQgdGludGFskgEPc2hvcHBpbmdfY2VudGVy4AEA!16s%2Fg%2F1ptxhhfkq?entry=ttu&amp;g_ep=EgoyMDI1MTEyMy4xIKXMDSoASAFQAw%3D%3D</t>
  </si>
  <si>
    <t>4.652533182459536, -74.15123604371226</t>
  </si>
  <si>
    <t>Tintal</t>
  </si>
  <si>
    <t>Luz Elena Garzón ( 3144359628)</t>
  </si>
  <si>
    <t>8:00 AM</t>
  </si>
  <si>
    <t>ENSEÑANZA</t>
  </si>
  <si>
    <t>AFINIDAD</t>
  </si>
  <si>
    <t>Domingo</t>
  </si>
  <si>
    <t>Reunion de Afinidad Objetivo
Que los hnos puedan compartir con  nuestros representantes, y ellos puedan motivarlos a activar sus referidos y a participar activamente del bingo
Logística
Invitar a los hnos para que al finalizar el culto suban, 
Enviaremos una invitación a los líderes que tienen menos de 5 referidos para que asistan
Contaremos con  sonido y cabina con micrófono
En el televisor se proyectarán  videos de la leyes del partido, para que mientras nuestros representantes suban puedan los asistentes verlos
Activación de líderes, en info mira</t>
  </si>
  <si>
    <t>AV CR 80 NO 42C 83 SUR</t>
  </si>
  <si>
    <t>4.622006495658455, -74.16497448186743</t>
  </si>
  <si>
    <t>google.com/maps/place/Iglesia+de+Dios+Ministerial+de+Jesucristo+Internacional+-+IDMJI+-+CGMJI+BTA+EL+OLIVO/@4.6215758,-74.164928,3a,75y,316.8h,90t/data=!3m7!1e1!3m5!1sJwIftdN6Rl-LMLqtdi_3Nw!2e0!6shttps:%2F%2Fstreetviewpixels-pa.googleapis.com%2Fv1%2Fthumbnail%3Fcb_client%3Dmaps_sv.tactile%26w%3D900%26h%3D600%26pitch%3D0%26panoid%3DJwIftdN6Rl-LMLqtdi_3Nw%26yaw%3D316.80283!7i16384!8i8192!4m14!1m7!3m6!1s0x8e3f9e842a6a8335:0xe8f39c19a9ab6da3!2sIglesia+de+Dios+Ministerial+de+Jesucristo+Internacional+-+IDMJI+-+CGMJI+BTA+EL+OLIVO!8m2!3d4.6216536!4d-74.1650013!16s%2Fg%2F1tdksvtw!3m5!1s0x8e3f9e842a6a8335:0xe8f39c19a9ab6da3!8m2!3d4.6216536!4d-74.1650013!16s%2Fg%2F1tdksvtw?entry=ttu&amp;g_ep=EgoyMDI1MTEwOS4wIKXMDSoASAFQAw%3D%3D</t>
  </si>
  <si>
    <t xml:space="preserve">Pendiente confirmar con delegado </t>
  </si>
  <si>
    <t>11:00 AM</t>
  </si>
  <si>
    <t>1:30 PM</t>
  </si>
  <si>
    <t>En la sede</t>
  </si>
  <si>
    <t>Kennedy</t>
  </si>
  <si>
    <t>Definir por congreso y Concejo nùmero de asistentes para confirmar a la lìder</t>
  </si>
  <si>
    <t>Jenny García - Delegada Política 3108524285</t>
  </si>
  <si>
    <t>3:00 PM</t>
  </si>
  <si>
    <t>MT - ROMA IV 1ER SECTOR MALLA VIAL (1969) Reunión con sector comercial
y habitantes de Roma + MT - CASABLANCA JORNADA OPAM (5646)</t>
  </si>
  <si>
    <t>1. En este sector se está gestionando arreglo de 3 segmentos viales, del cual 1 la Alcaldía ya està ejecutando su arreglo
2. Jornada Opam
3. Visita con Secretaría de Movilidad para abordar problemáticas de movilidad
4. Jornada de OPAM
5. Arreglo de paradero del SITP</t>
  </si>
  <si>
    <t xml:space="preserve">Calle 58C#78K21
Salón comunal rubí 2
</t>
  </si>
  <si>
    <t>https://maps.app.goo.gl/jzrd7SQfeCSpVLPRA</t>
  </si>
  <si>
    <t>Roma</t>
  </si>
  <si>
    <t>5.30 PM</t>
  </si>
  <si>
    <t>MT - LAS MARGARITAS ZONAS DE CESION (4329)</t>
  </si>
  <si>
    <t xml:space="preserve">1. Trabajo en entrega de zonas de cesión, se logrò un parque
2. Embellecimiento de parque
3. Jornada personalización del SITP </t>
  </si>
  <si>
    <t>Cra 89a No 46-45 sur</t>
  </si>
  <si>
    <t>4.634426583502856, -74.17797154061991</t>
  </si>
  <si>
    <t>https://www.google.com/maps/@4.6341727,-74.1779911,3a,75y,356.8h,87.57t/data=!3m7!1e1!3m5!1sMhvKblnUolqsI7uZqgsS9g!2e0!6shttps:%2F%2Fstreetviewpixels-pa.googleapis.com%2Fv1%2Fthumbnail%3Fcb_client%3Dmaps_sv.tactile%26w%3D900%26h%3D600%26pitch%3D2.4308615552782413%26panoid%3DMhvKblnUolqsI7uZqgsS9g%26yaw%3D356.7964580580785!7i16384!8i8192?entry=ttu&amp;g_ep=EgoyMDI1MTEyMy4xIKXMDSoASAFQAw%3D%3D</t>
  </si>
  <si>
    <t>Las Margaritas</t>
  </si>
  <si>
    <t>Rafael Gutierrez (3114901573)</t>
  </si>
  <si>
    <t>7:00 AM</t>
  </si>
  <si>
    <t>ALABANZA</t>
  </si>
  <si>
    <t>Martes</t>
  </si>
  <si>
    <t>REUNION EN EL SEGUNDO PISO CON LIDERES QUE NO TIENEN REFERIDOS Y CON LOS QUE SOLO TIENEN 5 REFERIDOS</t>
  </si>
  <si>
    <t>1. Saludo de los representantes
2..contar que se ha hecho en territorio y motivar a los lideres a activar sus referidos.
3. Explicacion de como votar, inscripciones de cedulas, presentacion de publicidad de candidatos</t>
  </si>
  <si>
    <t>Av. Boyacá #25 Sur NO 35</t>
  </si>
  <si>
    <t>4.616503452100983, -74.14045373278768</t>
  </si>
  <si>
    <t>google.com/maps/place/Iglesia+De+Dios+Ministerial+De+Jesucristo+Internacional+-+IDMJI+-CARVAJAL/@4.6162521,-74.1430179,17z/data=!3m1!4b1!4m6!3m5!1s0x8e3f9ebb73ed00eb:0x84ff2c16af65e299!8m2!3d4.6162468!4d-74.140443!16s%2Fg%2F1ptwb97lz?entry=ttu&amp;g_ep=EgoyMDI1MTEyMy4xIKXMDSoASAFQAw%3D%3D</t>
  </si>
  <si>
    <t>Sergio Osorio (Delagado Político) 3505621182</t>
  </si>
  <si>
    <t>MT - CARVAJAL PARE ACOSTADO MAL PARQUEO PARQUE MARACANA</t>
  </si>
  <si>
    <t>1. Arreglo de pare
2, ARREGLO TAPA TELCOMUNCIACIONES
3, Arrglo de arreglo vanti en el Parque</t>
  </si>
  <si>
    <t>Cra 72 p #37b-10 sur carvajal</t>
  </si>
  <si>
    <t>https://maps.app.goo.gl/xS5efNYhdefHghuv9</t>
  </si>
  <si>
    <t>4.615524863281549, -74.1456626069883</t>
  </si>
  <si>
    <t>Carmen Garzón</t>
  </si>
  <si>
    <t>12:00 M</t>
  </si>
  <si>
    <t>Almuerzo</t>
  </si>
  <si>
    <t>2:00 PM</t>
  </si>
  <si>
    <t>MT - AMERICAS CLÍNICA OCCIDENTE MALLA VIAL (2052)</t>
  </si>
  <si>
    <t>1. Arreglo de 2 hundimientos</t>
  </si>
  <si>
    <t>carrera 71a bis #5a25</t>
  </si>
  <si>
    <t>https://maps.app.goo.gl/VxzbReTCnYvUc91L7</t>
  </si>
  <si>
    <t>4.628287390266298, -74.13407056035354</t>
  </si>
  <si>
    <t>Americas Central</t>
  </si>
  <si>
    <t>Gloria Rincón</t>
  </si>
  <si>
    <t>4:00 PM</t>
  </si>
  <si>
    <t>MT - MANDALAY OBRAS DE RENOVACIÓN EAAB (3269)</t>
  </si>
  <si>
    <t>1. Nivelaciòn de vìa tras arreglo de Acueducto</t>
  </si>
  <si>
    <t>Avenida De Las Américas # 73 – 67</t>
  </si>
  <si>
    <t>https://maps.app.goo.gl/gc1LMZ72Lqdxi2nT6</t>
  </si>
  <si>
    <t>4.630632908010167, -74.14153391665295</t>
  </si>
  <si>
    <t>Mandalay</t>
  </si>
  <si>
    <t>Jimmy Gutierrez</t>
  </si>
  <si>
    <t>6:00 PM</t>
  </si>
  <si>
    <t>Reunión con DP para seguimiento de preparativos de reuniones campaña enero</t>
  </si>
  <si>
    <t>Fernando Zamora - Lorena Garzón</t>
  </si>
  <si>
    <t>8:00 am</t>
  </si>
  <si>
    <t>BINGO</t>
  </si>
  <si>
    <t>sábado</t>
  </si>
  <si>
    <t>Bingo</t>
  </si>
  <si>
    <t>Jenny García (3108524285)</t>
  </si>
  <si>
    <t xml:space="preserve">Reunion Identidad y Conviccion y motivacion a personas recientes en la iglesia </t>
  </si>
  <si>
    <t>Afinidad</t>
  </si>
  <si>
    <t>Cra. 80a #56-51</t>
  </si>
  <si>
    <t>https://www.google.com/maps/place/IDMJI+Class+Roma/@4.6141834,-74.1760423,3a,75y,329.85h,84.86t/data=!3m7!1e1!3m5!1s_5pKrbVhz2n3AEOMoun0Lg!2e0!6shttps:%2F%2Fstreetviewpixels-pa.googleapis.com%2Fv1%2Fthumbnail%3Fcb_client%3Dmaps_sv.tactile%26w%3D900%26h%3D600%26pitch%3D5.144541014976355%26panoid%3D_5pKrbVhz2n3AEOMoun0Lg%26yaw%3D329.8452991252842!7i16384!8i8192!4m14!1m7!3m6!1s0x8e3f9f3434c2710b:0x65030ca5b65a340e!2sIDMJI+Class+Roma!8m2!3d4.6142421!4d-74.1762168!16s%2Fg%2F11fq5t0q39!3m5!1s0x8e3f9f3434c2710b:0x65030ca5b65a340e!8m2!3d4.6142421!4d-74.1762168!16s%2Fg%2F11fq5t0q39?entry=ttu&amp;g_ep=EgoyMDI1MTEyMy4xIKXMDSoASAFQAw%3D%3D</t>
  </si>
  <si>
    <t>4.614423894411722, -74.17613097327387</t>
  </si>
  <si>
    <t>Bryan Rodríguez (3202378579)</t>
  </si>
  <si>
    <t>6:30 PM</t>
  </si>
  <si>
    <t xml:space="preserve">Micro reunion con líderes que tienen de 0 a 5 referidos; objetivo motivarlos a hablar del partido </t>
  </si>
  <si>
    <t>Albeiro Rodriguez (3124215077)</t>
  </si>
  <si>
    <t>BOGOTA. D.C. - LOCALIDAD 8 KENNEDY</t>
  </si>
  <si>
    <t>Actividad de afinidad - activación de líderes y referidos [PENDIENTE DELEGADO DESCRIBIR LA ACTIVIDAD]</t>
  </si>
  <si>
    <t>https://maps.app.goo.gl/B7Vvnj17Ra5gpNUL9</t>
  </si>
  <si>
    <t>Enero</t>
  </si>
  <si>
    <t>Viernes</t>
  </si>
  <si>
    <t>Cra 95A #39 SUR NO.38C</t>
  </si>
  <si>
    <t>https://maps.app.goo.gl/aGBx2P51EGsbTbt19</t>
  </si>
  <si>
    <t>4.646227879789345, -74.17302253463195</t>
  </si>
  <si>
    <t>Hamilton Liz (3125621911)</t>
  </si>
  <si>
    <t>Actividad de afinidad - activación de líderes y referidos Colaboradores de la iglesia</t>
  </si>
  <si>
    <t>KR 80A # 56 35 SUR CLASS ROMA</t>
  </si>
  <si>
    <t>https://www.google.com/maps?q=4.614135243,-74.17617048</t>
  </si>
  <si>
    <t>4.614295606307947, -74.17625633511189</t>
  </si>
  <si>
    <t>CLASS ROMA</t>
  </si>
  <si>
    <t>MT – PORTAL DE CALI REDES DE ACUEDUCTO (2015)</t>
  </si>
  <si>
    <t>1. Limpieza de sumideros y de caja por medio del vactor
2. Limpieza de punto critico de basura</t>
  </si>
  <si>
    <t>CARRERA 82B#54B 11SUR CASA 91</t>
  </si>
  <si>
    <t>https://maps.app.goo.gl/L7WTUHHDCAwqR5Z87</t>
  </si>
  <si>
    <t>4.620655888758921, -74.17926693629067</t>
  </si>
  <si>
    <t>Portal de Cali</t>
  </si>
  <si>
    <t>Blanca</t>
  </si>
  <si>
    <t>MT - VEGAS DE SANTA ANA MALLA VIAL E INUNDACIONES RÍO TUNJUELO (5509)</t>
  </si>
  <si>
    <t>1. Jornada de personalización de Tu Llave
2. Mesa de trabajo con el Acueducto por afectaciones en las redes de alcantarillado</t>
  </si>
  <si>
    <t>Diagonal 57 A bis # 81 C - 27 sur</t>
  </si>
  <si>
    <t>https://maps.app.goo.gl/C5huNCbBnyA9KYG67</t>
  </si>
  <si>
    <t>4.616694700593081, -74.17972714463525</t>
  </si>
  <si>
    <t>Vegas de Santa Ana</t>
  </si>
  <si>
    <t>Aldemar Rodriguez</t>
  </si>
  <si>
    <t>4:30 PM</t>
  </si>
  <si>
    <t>Reunión con vecinos y familiares</t>
  </si>
  <si>
    <t>Rendición de cuentas</t>
  </si>
  <si>
    <t xml:space="preserve">Diagonal 56B sur #81J - 72 </t>
  </si>
  <si>
    <t>https://maps.app.goo.gl/KnubUPfDcHNqzmx5A</t>
  </si>
  <si>
    <t>4.618603925849968, -74.18148190073752</t>
  </si>
  <si>
    <t>Salem Samaria</t>
  </si>
  <si>
    <t xml:space="preserve">Liliana Malagon 
</t>
  </si>
  <si>
    <t>Actividad de afinidad - activación de líderes y referidos - Colaboradores de la iglesia</t>
  </si>
  <si>
    <t>Miércoles</t>
  </si>
  <si>
    <t>VISITA MICROEMPRESA</t>
  </si>
  <si>
    <t>1. Ley de micronegocios
2. Gestión en solicitudes puntuales de vecinos</t>
  </si>
  <si>
    <t>Cl. 33 Sur #89d-53</t>
  </si>
  <si>
    <t>https://www.google.com/maps/@4.643407,-74.165419,3a,75y,276.93h,87.2t/data=!3m7!1e1!3m5!1s_zx3abQgk9whm3wZQIl9RA!2e0!6shttps:%2F%2Fstreetviewpixels-pa.googleapis.com%2Fv1%2Fthumbnail%3Fcb_client%3Dmaps_sv.tactile%26w%3D900%26h%3D600%26pitch%3D2.8031195662346704%26panoid%3D_zx3abQgk9whm3wZQIl9RA%26yaw%3D276.92928112065755!7i16384!8i8192?entry=ttu&amp;g_ep=EgoyMDI2MDEwNy4wIKXMDSoASAFQAw%3D%3D</t>
  </si>
  <si>
    <t>4.643631506000829, -74.16557307731713</t>
  </si>
  <si>
    <t>Unir 1</t>
  </si>
  <si>
    <t>ALVARO GARZÓN</t>
  </si>
  <si>
    <t>Riveras de Occidente</t>
  </si>
  <si>
    <t>1. Gestión de arreglo de vía</t>
  </si>
  <si>
    <t xml:space="preserve">Cra. 93b  # 26 Sur - 1 
</t>
  </si>
  <si>
    <t>https://www.google.com/maps/@4.6473158,-74.1676827,3a,75y,215.87h,79.72t/data=!3m7!1e1!3m5!1sL-INdquaOGG3IsrmzWzolw!2e0!6shttps:%2F%2Fstreetviewpixels-pa.googleapis.com%2Fv1%2Fthumbnail%3Fcb_client%3Dmaps_sv.tactile%26w%3D900%26h%3D600%26pitch%3D10.282519976709054%26panoid%3DL-INdquaOGG3IsrmzWzolw%26yaw%3D215.86822430098266!7i16384!8i8192?entry=ttu&amp;g_ep=EgoyMDI1MTIwOS4wIKXMDSoASAFQAw%3D%3D</t>
  </si>
  <si>
    <t>4.647150036969973, -74.16782757241296</t>
  </si>
  <si>
    <t>VERONICA AVILA</t>
  </si>
  <si>
    <t>Jueves</t>
  </si>
  <si>
    <t>Actividad de afinidad - activación de líderes y referidos 
Microreunión Focalizada MRF
MRF: Líderes activos, con 0 referidos activos, pero con referidos inactivos.</t>
  </si>
  <si>
    <t>AV CR 80 NO 42C 83 SUR KENNEDY</t>
  </si>
  <si>
    <t>https://maps.app.goo.gl/UiBexu9Axhn6zuEZ6</t>
  </si>
  <si>
    <t>4.621764992515213, -74.16489171361977</t>
  </si>
  <si>
    <t>Los Olivos</t>
  </si>
  <si>
    <t>MT - CIUDAD DE CALI AFECTACIÓN POR SEMÁFORO (5109)</t>
  </si>
  <si>
    <t>1. Se asignó un auxiliar de tránsito desde el 22 de agosto. 
2. Confirmado el retiro del semáforo para el 19 de octubre de 2025 o hasta entregar la obra de la av Cali.</t>
  </si>
  <si>
    <t>Cra. 86c Bis #42 - 32</t>
  </si>
  <si>
    <t>https://maps.app.goo.gl/9j3GGhx4THnQhm1N6</t>
  </si>
  <si>
    <t>4.6318622196069965, -74.16833461172479</t>
  </si>
  <si>
    <t>Ciudad de Cali</t>
  </si>
  <si>
    <t>ORLANDO MARULANDA LEON
3045831717</t>
  </si>
  <si>
    <t>ALMUERZO	ALMUERZO</t>
  </si>
  <si>
    <t>MT - CIUDAD KENNEDY OCCIDENTAL INSEGURIDAD POR RETIRO DE REJAS DE INGRESO (6236</t>
  </si>
  <si>
    <t xml:space="preserve">1. Se esta gestionando con el DADEP la administración de las bahías por parte de la JAC 
2. Se realizaron dos mesas de trabajo para fortalecer el frente de seguridad
3. Se esta gestionando con la ALK el arreglo de la bahía, ya que es un segmento local.  </t>
  </si>
  <si>
    <t>Av calle 43 #79d 01
Salón comunal nuevo Kennedy 2 sector</t>
  </si>
  <si>
    <t>https://maps.app.goo.gl/3r17ZACt9RpwC6Kr7</t>
  </si>
  <si>
    <t>4.619368374284227, -74.16620313683892</t>
  </si>
  <si>
    <t>Nuevo Kennedy</t>
  </si>
  <si>
    <t>MIGUEL ADRIEL GUERRERO SANCHEZ
3214929228</t>
  </si>
  <si>
    <t>3:30 PM</t>
  </si>
  <si>
    <t>MT - JORNADA OPAM PARQUE HOLANDA (6172)</t>
  </si>
  <si>
    <t xml:space="preserve">Visita empresa INGEPAR
1. Se realizó jornada de salud y bienestar animal con OPAM, se beneficiarion cerca de 40 personas con sus animales de compañía. </t>
  </si>
  <si>
    <t>Cra. 88b #53 - 51 sur</t>
  </si>
  <si>
    <t>4.629549105441344, -74.18311837297175</t>
  </si>
  <si>
    <t>Bosa Brasilia</t>
  </si>
  <si>
    <t xml:space="preserve">NUBIA LILIANA PARRA GUERRERO
3202930363
</t>
  </si>
  <si>
    <t>5:00 PM</t>
  </si>
  <si>
    <t>7:00 PM</t>
  </si>
  <si>
    <t xml:space="preserve">Actividad de afinidad - activación de líderes y referidos:
REUNION CON LIDERES EN EL SEGUNDO PISO DE CARVAJAL, SE VA A INVITAR APROXIMADAMENTE 30 PERSONAS QUE AUN NO SE HAN ACTIVADO COMO LIDERES, QUE NO TIENE REFERIDOS, PARA REALIZAR ACTIVIDAD DENTRO DE LA REUNION, ASI M ISMO SE DARA A CONOCER A LOS CANDIDATOS Y SE REALIZARA PEDAGOGIA ELECTORAL </t>
  </si>
  <si>
    <t>AV. BOYACÁ # 35 — 25 SUR CARVAJAL (COSTADO OCCIDENTAL)</t>
  </si>
  <si>
    <t>https://maps.app.goo.gl/1KebB9j3ZXbtfCe99</t>
  </si>
  <si>
    <t>4.616396511798349, -74.14035717367963</t>
  </si>
  <si>
    <t>MT – AMERICAS OCCIDENTAL REDUCTORES DE VELOCIDAD</t>
  </si>
  <si>
    <t>1. Se logró la intervención de la vía que tenía un deterioro por unos reductores de velocidad en plastico que estaba generando grietas en las casas. 
2. Se esta gestionando una luminaria.</t>
  </si>
  <si>
    <t>Cruce entre la Calle 1 con Carrera 73B Bis</t>
  </si>
  <si>
    <t>https://maps.app.goo.gl/vSWMtHstraS7geEn8</t>
  </si>
  <si>
    <t>4.62369146930814, -74.14308836286854</t>
  </si>
  <si>
    <t>Amercias Occidental</t>
  </si>
  <si>
    <t>FRANZ JAIR RODRIGUEZ MENDOZA
3005588503</t>
  </si>
  <si>
    <t>MT - VILLA ALSACIA MALA DISPOSICIÓN DE RESIDUOS EN CANECAS METALICAS (6239)</t>
  </si>
  <si>
    <t>1. Se realizó una jornada de embellecimiento para mititgar un punto critico</t>
  </si>
  <si>
    <t>Calle 10 #72A-20</t>
  </si>
  <si>
    <t>https://maps.app.goo.gl/PySex4MEm2rvJmzp8</t>
  </si>
  <si>
    <t>4.641044868522982, -74.13599881970931</t>
  </si>
  <si>
    <t>Castilla</t>
  </si>
  <si>
    <t>ANA EULALIA BECERRA RODRIGUEZ
3132151731</t>
  </si>
  <si>
    <t>FERIA DE SERVICIOS</t>
  </si>
  <si>
    <t xml:space="preserve">Se realizo mesa de trabajo en cancha de castilla para tratar temas de seguridad, embellecimiento del parque y temas de basuras </t>
  </si>
  <si>
    <t>CRA 77#9-57</t>
  </si>
  <si>
    <t>https://maps.app.goo.gl/KVJQYUw7kRwMkiRL7</t>
  </si>
  <si>
    <t>4.642127999972338, -74.13932701774873</t>
  </si>
  <si>
    <t>CASTILLA</t>
  </si>
  <si>
    <t xml:space="preserve">MARIA LUISA ARIAS Y SERGIO OSORIO </t>
  </si>
  <si>
    <t xml:space="preserve">Actividad de afinidad - Microreunión activación de líderes y referidos </t>
  </si>
  <si>
    <t>Reunión con familiares y referidos</t>
  </si>
  <si>
    <t>1. Se esta gestionando la via, se encuentra en el banco de iniciativas de la ALK
2. Jornada de personalización de tarjeta tu llave</t>
  </si>
  <si>
    <t xml:space="preserve">Cl 58sur # 78j-10 </t>
  </si>
  <si>
    <t>https://maps.app.goo.gl/nn48M362V2t6aEPVA</t>
  </si>
  <si>
    <t>4.607838431900593, -74.1753985093171</t>
  </si>
  <si>
    <t>Villa de los Sauces</t>
  </si>
  <si>
    <t>LILIANA ANDREA TOCA SANCHEZ
3115822253</t>
  </si>
  <si>
    <t>Localidad</t>
  </si>
  <si>
    <t>11:30 AM</t>
  </si>
  <si>
    <t>Reunión empresario de corabastos</t>
  </si>
  <si>
    <t>Reunión empresario de corabastos: Fabio Andrés Cortes</t>
  </si>
  <si>
    <t>Av. Cdad. de Villavicencio #78n-04 78n-4</t>
  </si>
  <si>
    <t>https://maps.app.goo.gl/ZnJBkzPBi2Kxv9p66</t>
  </si>
  <si>
    <t>4.617573360722535, -74.16373565415444</t>
  </si>
  <si>
    <t xml:space="preserve"> Fabio Andrés Cortes 3178081946</t>
  </si>
  <si>
    <t>Actividad de Juventudes</t>
  </si>
  <si>
    <t>Cristian Gomez</t>
  </si>
  <si>
    <t>Calle 53 sur # 81 h 06  urbanización el Carmelo manzana 2</t>
  </si>
  <si>
    <t>https://maps.app.goo.gl/H8D8VUaLYi1yLTHx5</t>
  </si>
  <si>
    <t>4.620706011569686, -74.17642719761761</t>
  </si>
  <si>
    <t>Carmelo</t>
  </si>
  <si>
    <t>Mary Mendez</t>
  </si>
  <si>
    <t>1. Se logró crear la zona segura
2. Resalto Parabolico</t>
  </si>
  <si>
    <t>Cra 78b 57a 11 sur</t>
  </si>
  <si>
    <t>https://maps.app.goo.gl/jFjERfhfKHaf2x9d7</t>
  </si>
  <si>
    <t>4.608147230641861, -74.17265049548041</t>
  </si>
  <si>
    <t>Roma IV</t>
  </si>
  <si>
    <t>MIGUEL MOJICA
(líder externo)</t>
  </si>
  <si>
    <t>Reunión con empresario de jeans</t>
  </si>
  <si>
    <t xml:space="preserve">Calle 54c Sur #81g-75 segundo piso </t>
  </si>
  <si>
    <t>https://maps.app.goo.gl/t1EZ8Ds19F9NQ2FZ7</t>
  </si>
  <si>
    <t>4.6193644171812815, -74.17833044658433</t>
  </si>
  <si>
    <t>Villa zarzamora</t>
  </si>
  <si>
    <t>Ricardo Gutiérrez</t>
  </si>
  <si>
    <t>Visita empresa JJD world logistic sas</t>
  </si>
  <si>
    <t>Visita a empresarios</t>
  </si>
  <si>
    <t>Av cra 80 # 10 D 15</t>
  </si>
  <si>
    <t>https://maps.app.goo.gl/JSxrPgzNoZP8dazP6</t>
  </si>
  <si>
    <t>4.646747173213774, -74.14127981799767</t>
  </si>
  <si>
    <t>Lagos de Castilla</t>
  </si>
  <si>
    <t>John Jairo Díaz  3227864558</t>
  </si>
  <si>
    <t>Visita empresa Pastelería Cikoloto</t>
  </si>
  <si>
    <t>Calle 8 sur #70-61</t>
  </si>
  <si>
    <t>https://maps.app.goo.gl/8XDAgEpW3qmTAY6o8</t>
  </si>
  <si>
    <t>4.617694311523241, -74.13265038891345</t>
  </si>
  <si>
    <t xml:space="preserve">Americas </t>
  </si>
  <si>
    <t>Rocio Aranzalez</t>
  </si>
  <si>
    <t>Recorrido comerciantes:
Carrera 70 b # 2 a 30 pet shop
Avenida calle 3 # 71a 10 ferretería
Calle 3 # 71-26 minimercado San Mateo</t>
  </si>
  <si>
    <t>Visita a comerciantes</t>
  </si>
  <si>
    <t>Carrera 70 b # 2 a 30 pet shop</t>
  </si>
  <si>
    <t>https://maps.app.goo.gl/WVMzAxVeqE5J4Yyo6</t>
  </si>
  <si>
    <t>4.624319497943808, -74.13238940425539</t>
  </si>
  <si>
    <t>Techo</t>
  </si>
  <si>
    <t>Reunión de campaña</t>
  </si>
  <si>
    <t>Familia y vecinos de la líder</t>
  </si>
  <si>
    <t>K71#2a-66 portales de techo 3</t>
  </si>
  <si>
    <t>https://maps.app.goo.gl/d1vwx5sg4Fe3bHqr9</t>
  </si>
  <si>
    <t>4.625148355052766, -74.13321287541976</t>
  </si>
  <si>
    <t xml:space="preserve">https://maps.app.goo.gl/aGBx2P51EGsbTbt19
</t>
  </si>
  <si>
    <t>Recorrido con vecinos y comerciantes</t>
  </si>
  <si>
    <t>Compartir ley de micronegocios</t>
  </si>
  <si>
    <t>Cl. 26 Sur 
CAI Patio Bonito</t>
  </si>
  <si>
    <t>https://maps.app.goo.gl/1rW3gNnmxuUEsaT56</t>
  </si>
  <si>
    <t>4.639081957557648, -74.16072218742319</t>
  </si>
  <si>
    <t>Mary Preciado</t>
  </si>
  <si>
    <t>MT - CIUDAD GRANADA FERIA DE EMPLEO (3672) + MT - CIUDAD GRANADA JORNADA DE OPAM (3300)</t>
  </si>
  <si>
    <t>1. Feria de empleo, se beneficiaron cerca de 15 personas
2. Jornada de bienestar y salud animal</t>
  </si>
  <si>
    <t>carrera 92 # 40a sur - 16</t>
  </si>
  <si>
    <t>https://www.google.com/maps/place/Sal%C3%B3n+comunal+barrio+ciudad+granada/@4.6420065,-74.1720249,3a,75y,72.47h,80.3t/data=!3m7!1e1!3m5!1sRBbyxs1JKhMDCNWVVWGwJw!2e0!6shttps:%2F%2Fstreetviewpixels-pa.googleapis.com%2Fv1%2Fthumbnail%3Fcb_client%3Dmaps_sv.tactile%26w%3D900%26h%3D600%26pitch%3D9.69712405910603%26panoid%3DRBbyxs1JKhMDCNWVVWGwJw%26yaw%3D72.46767932186751!7i16384!8i8192!4m6!3m5!1s0x8e3f9dcb60b081ef:0x7b579bf0f00710f4!8m2!3d4.6433739!4d-74.1717385!16s%2Fg%2F11d_wwmg4k?entry=ttu&amp;g_ep=EgoyMDI2MDEyMS4wIKXMDSoASAFQAw%3D%3D</t>
  </si>
  <si>
    <t>4.641935589580969, -74.17199601687463</t>
  </si>
  <si>
    <t>Ciudad Granada</t>
  </si>
  <si>
    <t>Isaura Porras</t>
  </si>
  <si>
    <t>MT - UNIR 1 PARQUE (2763)</t>
  </si>
  <si>
    <t>1. El operador "Mi Bus" realiza acciones para mitigar le ruido del taller.
2. SDIS realiza la respectiva gestión con la tropa social, indica que no se encontró algún habitante de calle en la zona. Adjunto acta del recorrido.
3. Se logra el mantenimiento de la tapa de EAAB.
4. Se logra jornada de salud animal gratuita, beneficiando a 50 animales de compañía</t>
  </si>
  <si>
    <t>Cl. 34 Bis Sur #90C-41</t>
  </si>
  <si>
    <t>https://maps.app.goo.gl/QCEJXrLWdmR4Tz8x6</t>
  </si>
  <si>
    <t>4.643977838589568, -74.16696084276202</t>
  </si>
  <si>
    <t>MARIA HERMENCIA SANCHEZ CASTRO
3212923898</t>
  </si>
  <si>
    <t>9:00 AM</t>
  </si>
  <si>
    <t>Sábado</t>
  </si>
  <si>
    <t>MT - SINAI MALLA VIAL DETERIORADA FABRICA RECICLAJE Y SALÓN (2011) +  MT - SINAÍ PARQUE TRANSMILENIO Y EXCRETAS (1788)</t>
  </si>
  <si>
    <t>1. SE REALIZÓ JORNADA DE PERSONALIZACIÓN DE TARJETAS
2. Se realizó una jornada de bienestar y salud animal con OPAM
3. Se realizó una jornada de sensibilización de excretas</t>
  </si>
  <si>
    <t>Traversal 78n con calle 43f rente a la bomba de gasolina a un lado del piquetiadero Don Jorge</t>
  </si>
  <si>
    <t>https://maps.app.goo.gl/XuwCLhnDQbtb4r8U7</t>
  </si>
  <si>
    <t>4.615687256292251, -74.16462957726137</t>
  </si>
  <si>
    <t>Sinaí</t>
  </si>
  <si>
    <t>DAIRO GARCIA CALDERON
3196422287</t>
  </si>
  <si>
    <t>10:30 AM</t>
  </si>
  <si>
    <t xml:space="preserve">Calle 44B sur #73c17
</t>
  </si>
  <si>
    <t>https://maps.app.goo.gl/mua9Z8ES2D4hQGwT8</t>
  </si>
  <si>
    <t>4.60802119604895, -74.15991591959741</t>
  </si>
  <si>
    <t>Lago Timiza</t>
  </si>
  <si>
    <t>Claudia Nieto
3102215612</t>
  </si>
  <si>
    <t>2:30 PM</t>
  </si>
  <si>
    <t>Reunion de identidad y convicción</t>
  </si>
  <si>
    <t>5:30 PM</t>
  </si>
  <si>
    <t>MT - CASABLANCA ANDENES Y PARADERO SITP (4620)</t>
  </si>
  <si>
    <t>1. Se logró la intervención del paradero del SITP que se encontraba en malas condiciones
2. Se logró jornada de personalización de Tu Llave
3. Se logró una jornada de bienestar y salud animal con OPAM</t>
  </si>
  <si>
    <t>Cl. 47b Sur #15 
Salón Social Casablanca etapa 1
detrás del centro comercial de Casablanca</t>
  </si>
  <si>
    <t>https://maps.app.goo.gl/MMSyTqmrbFrsqDpW7</t>
  </si>
  <si>
    <t>4.617411979584148, -74.16745234381071</t>
  </si>
  <si>
    <t>Casablanca</t>
  </si>
  <si>
    <t>- TERESA DE JESUS PORTELA GRISALES
3153137308
- LILIANA SICACHÁ
- LUIS MOYA</t>
  </si>
  <si>
    <t>ESTUDIO BIBLICO</t>
  </si>
  <si>
    <t>Febrero</t>
  </si>
  <si>
    <t>Cra. 80 #42C-83 SUR</t>
  </si>
  <si>
    <t>https://www.google.com/maps/place/Iglesia+de+Dios+Ministerial+de+Jesucristo+Internacional+-+IDMJI+-+CGMJI+BTA+EL+OLIVO/@4.6215697,-74.1649254,3a,75y,316.96h,90t/data=!3m7!1e1!3m5!1sJwIftdN6Rl-LMLqtdi_3Nw!2e0!6shttps:%2F%2Fstreetviewpixels-pa.googleapis.com%2Fv1%2Fthumbnail%3Fcb_client%3Dmaps_sv.tactile%26w%3D900%26h%3D600%26pitch%3D0%26panoid%3DJwIftdN6Rl-LMLqtdi_3Nw%26yaw%3D316.9615!7i16384!8i8192!4m10!1m2!2m1!1sidmji+kennedy!3m6!1s0x8e3f9e842a6a8335:0xe8f39c19a9ab6da3!8m2!3d4.6216536!4d-74.1650013!15sCg1pZG1qaSBrZW5uZWR5IgOIAQGSARBjaHJpc3RpYW5fY2h1cmNo4AEA!16s%2Fg%2F1tdksvtw?entry=ttu&amp;g_ep=EgoyMDI2MDEyOC4wIKXMDSoASAFQAw%3D%3D</t>
  </si>
  <si>
    <t>4.623059676758325, -74.16483460364921</t>
  </si>
  <si>
    <t>Reunión referidos líder Ana Elsy  Ibarra</t>
  </si>
  <si>
    <t>Mesas de trabajo de manejo de excretas anímales por problemática en el sector</t>
  </si>
  <si>
    <t>Calle 42 a sur # 21</t>
  </si>
  <si>
    <t>https://maps.app.goo.gl/xPBZcKwAEYCeuHnb9</t>
  </si>
  <si>
    <t>4.638962500694809, -74.17299220425517</t>
  </si>
  <si>
    <t>Dindalito</t>
  </si>
  <si>
    <t>Ana Elcy</t>
  </si>
  <si>
    <t>LIBERTAD RELIGIOSA</t>
  </si>
  <si>
    <t>Reunión líderes Sector Religioso</t>
  </si>
  <si>
    <t>Gestión en libertad religiosa</t>
  </si>
  <si>
    <t>https://www.google.com/maps/place/Restaurante+y+Piqueteadero+Don+Jorge/@4.6174935,-74.1638475,3a,75y,70.5h,90t/data=!3m7!1e1!3m5!1sA-86IPQE2qnpsRBlxjE1rA!2e0!6shttps:%2F%2Fstreetviewpixels-pa.googleapis.com%2Fv1%2Fthumbnail%3Fcb_client%3Dmaps_sv.tactile%26w%3D900%26h%3D600%26pitch%3D0%26panoid%3DA-86IPQE2qnpsRBlxjE1rA%26yaw%3D70.49593!7i16384!8i8192!4m14!1m7!3m6!1s0x8e3f9e8f3f9f6d89:0xa4f20f88ccc7423c!2sRestaurante+y+Piqueteadero+Don+Jorge!8m2!3d4.617527!4d-74.1637425!16s%2Fg%2F1q5bnjdf6!3m5!1s0x8e3f9e8f3f9f6d89:0xa4f20f88ccc7423c!8m2!3d4.617527!4d-74.1637425!16s%2Fg%2F1q5bnjdf6?entry=ttu&amp;g_ep=EgoyMDI2MDEyOC4wIKXMDSoASAFQAw%3D%3D</t>
  </si>
  <si>
    <t>4.61776225166584, -74.16374252528091</t>
  </si>
  <si>
    <t>Lorena Garzón</t>
  </si>
  <si>
    <t>Iglesia de Dios Ministerial de Jesucristo Internacional - IDMJI - CGMJI BTA EL OLIVO</t>
  </si>
  <si>
    <t xml:space="preserve">REUNION CON LIDERES EN EL SEGUNDO PISO DE CARVAJAL, SE VA A INVITAR APROXIMADAMENTE 30 PERSONAS QUE AUN NO SE HAN ACTIVADO COMO LIDERES, QUE NO TIENE REFERIDOS, PARA REALIZAR ACTIVIDAD DENTRO DE LA REUNION, ASI M ISMO SE DARA A CONOCER A LOS CANDIDATOS Y SE REALIZARA PEDAGOGIA ELECTORAL </t>
  </si>
  <si>
    <t>Turismauro - visita empleados</t>
  </si>
  <si>
    <t>Av. de las Américas #73 - 67</t>
  </si>
  <si>
    <t>https://maps.app.goo.gl/cB7JaP7nsRn5M2kH7</t>
  </si>
  <si>
    <t>4.630632984407078, -74.14150494162887</t>
  </si>
  <si>
    <t>Sebastian Angel</t>
  </si>
  <si>
    <t>MT - LUCERNA PROVIVIENDA OCCIDENTAL HUECO EN LA VIA CIV 8008866 (3271)</t>
  </si>
  <si>
    <t>1. Se logró el arrrglo de un hueco por una mala coxion de las redes de alcantarillado</t>
  </si>
  <si>
    <t xml:space="preserve"> CALLE 38 A #72K - 27</t>
  </si>
  <si>
    <t>https://maps.app.goo.gl/aSmy6cu3dtProg2x9</t>
  </si>
  <si>
    <t>4.612541218524758, -74.14481479087371</t>
  </si>
  <si>
    <t>Lucerna</t>
  </si>
  <si>
    <t xml:space="preserve">Silvia Cabuya
</t>
  </si>
  <si>
    <t>REPROGRAMAR LA ACTIVIDAD DE CORABASTOS</t>
  </si>
  <si>
    <t>MT - TINTALITO PUNTO DE ARROJO (3691)</t>
  </si>
  <si>
    <t>1. Se realiza intervención con jornada de embellecimiento para mitigar el punto critico, con el apoyo de la Alcaldía Local de Kennedy.</t>
  </si>
  <si>
    <t>Carrera 88 #42 f -28 sur</t>
  </si>
  <si>
    <t>https://maps.app.goo.gl/1MEcLnm21ZnJyyPQ7</t>
  </si>
  <si>
    <t>4.6340966883902395, -74.17175924765361</t>
  </si>
  <si>
    <t>Tintalito</t>
  </si>
  <si>
    <t>MERCEDES LAVERDE
3208267021</t>
  </si>
  <si>
    <t>Reunión Corabastos</t>
  </si>
  <si>
    <t>febrero</t>
  </si>
  <si>
    <t xml:space="preserve">Reunion empresa Industrias Fagor </t>
  </si>
  <si>
    <t>Reunion empresa Industrias Fagor</t>
  </si>
  <si>
    <t>Cl. 17 # 68D-37</t>
  </si>
  <si>
    <t>https://maps.app.goo.gl/FvPfN3pEXvNrxZ418</t>
  </si>
  <si>
    <t>4.64333674677587, -74.12046455911158</t>
  </si>
  <si>
    <t>Wilson Gonzalez
(3142772157</t>
  </si>
  <si>
    <t xml:space="preserve">Recorrido negocios Carolina </t>
  </si>
  <si>
    <t>Reunion con micro empresarios del teritorio</t>
  </si>
  <si>
    <t>CRA 72J #48A-05 SUR ( BARRIO BOITA)</t>
  </si>
  <si>
    <t>https://n9.cl/b6mjt</t>
  </si>
  <si>
    <t>4.6026756513418094, -74.15159897573301</t>
  </si>
  <si>
    <t>BOITA</t>
  </si>
  <si>
    <t>Carolina montañez y sandra montañez( 3134235526)</t>
  </si>
  <si>
    <t>Reunión con familia y vecinos</t>
  </si>
  <si>
    <t>CRA 79G #13-46 BARRIO VISION DE COLOMBIA</t>
  </si>
  <si>
    <t>https://n9.cl/xmofw</t>
  </si>
  <si>
    <t>4.652583589262143, -74.13565376906922</t>
  </si>
  <si>
    <t>BARRIO VISION COLOMBIA</t>
  </si>
  <si>
    <t>Betzabe Soto
‪3134295319‬</t>
  </si>
  <si>
    <t>Recorrido comerciantes Britalia</t>
  </si>
  <si>
    <t xml:space="preserve">1.  Se logró socializar la oferta para micronegocios por parte de la ALK
2. Se hicieron dos jornadas de control de vectores en mayo y agosto, y se programó una tercera en noviembre.
</t>
  </si>
  <si>
    <t>Cl. 46 Sur #81H-02</t>
  </si>
  <si>
    <t>https://www.google.com/maps/place/CAI+Britalia/@4.6211355,-74.1690507,3a,75y,218.9h,90t/data=!3m7!1e1!3m5!1szw4On_LJNelxB2pAe1nXtw!2e0!6shttps:%2F%2Fstreetviewpixels-pa.googleapis.com%2Fv1%2Fthumbnail%3Fcb_client%3Dmaps_sv.tactile%26w%3D900%26h%3D600%26pitch%3D0%26panoid%3Dzw4On_LJNelxB2pAe1nXtw%26yaw%3D218.89775!7i13312!8i6656!4m14!1m7!3m6!1s0x8e3f9e7e08282575:0xfd33c97a6ca0ed32!2sCAI+Britalia!8m2!3d4.6210238!4d-74.16914!16s%2Fg%2F1tfyfmg8!3m5!1s0x8e3f9e7e08282575:0xfd33c97a6ca0ed32!8m2!3d4.6210238!4d-74.16914!16s%2Fg%2F1tfyfmg8?entry=ttu&amp;g_ep=EgoyMDI2MDEyOC4wIKXMDSoASAFQAw%3D%3D</t>
  </si>
  <si>
    <t>4.621355308060035, -74.16916146162264</t>
  </si>
  <si>
    <t>Britalia</t>
  </si>
  <si>
    <t>NILCE SALGADO CALVO
3202012650
CLARA MERCEDES LUMPAQUE ESTRADA
3058167240</t>
  </si>
  <si>
    <t>Reunión amigos y familiares líderes Maximino y Nidia Perez</t>
  </si>
  <si>
    <t xml:space="preserve">1. Arreglo de la diagonal 2 con avenida Americas. </t>
  </si>
  <si>
    <t>Calle   35. b sur # 78 L 10. Hogares colombianos Kennedy</t>
  </si>
  <si>
    <t>https://maps.app.goo.gl/imQytweSDJCY7Ggf7</t>
  </si>
  <si>
    <t>4.626264036320334, -74.1524467330908</t>
  </si>
  <si>
    <t>Hogares Colombianos</t>
  </si>
  <si>
    <t>Nidia Peréz y Maximino Leal</t>
  </si>
  <si>
    <t>Reunión con familia y vecinos Parqueadero líderes Zamudio</t>
  </si>
  <si>
    <t>Sin logros</t>
  </si>
  <si>
    <t>Cra. 82B # 40B - 32 Sur</t>
  </si>
  <si>
    <t>https://maps.app.goo.gl/v7WXrGLnAGri7yM79</t>
  </si>
  <si>
    <t>4.630658607756646, -74.16462309227619</t>
  </si>
  <si>
    <t>El Amparo</t>
  </si>
  <si>
    <t>Zamudio</t>
  </si>
  <si>
    <t xml:space="preserve">Reunión amigos y familiares líder Luis Gonzales </t>
  </si>
  <si>
    <t>Calle 41B Bis #81K Sur 58, piso 3</t>
  </si>
  <si>
    <t>https://maps.app.goo.gl/zZnrYcZpbJmjqxtN8</t>
  </si>
  <si>
    <t>4.628945761253632, -74.16581151783406</t>
  </si>
  <si>
    <t xml:space="preserve">Luis Gonzales </t>
  </si>
  <si>
    <t>8:30 AM</t>
  </si>
  <si>
    <t>Marzo</t>
  </si>
  <si>
    <t>Reunion con referidos líder Erik Mejía</t>
  </si>
  <si>
    <t xml:space="preserve">1. Retiro de cableado suelto que provocó un accidente 
2. Gestiones y acercamiento de la zona segura con la Policia Comunitaria. </t>
  </si>
  <si>
    <t>Calle 43 a sur # 68 g 75</t>
  </si>
  <si>
    <t>https://maps.app.goo.gl/8G1SkPYquTEpnUZTA</t>
  </si>
  <si>
    <t>4.60102642092423, -74.14282697405903</t>
  </si>
  <si>
    <t>San Andrés</t>
  </si>
  <si>
    <t>No se requiere refrigerios</t>
  </si>
  <si>
    <t>Erik Mejía</t>
  </si>
  <si>
    <t>9:30 am</t>
  </si>
  <si>
    <t>Reunion con referidos líder Sara Nobsa - Carvajal</t>
  </si>
  <si>
    <t>1. Arreglo de paradero en Casablanca
2. Jornadas OPAM
3. Arreglo bocacalle con av abastos</t>
  </si>
  <si>
    <t xml:space="preserve">Salón Comunal Barrio Calarca 
Cl. 46 Sur #80-1 80 57, Bogotá </t>
  </si>
  <si>
    <t>https://maps.app.goo.gl/YVRrJX4K931KoPiX7</t>
  </si>
  <si>
    <t>4.620070298973961, -74.16785976987457</t>
  </si>
  <si>
    <t>Calarca</t>
  </si>
  <si>
    <t xml:space="preserve">Sara Nobsa </t>
  </si>
  <si>
    <t>Recorrido Castilla Líder Aleyda</t>
  </si>
  <si>
    <t>1. Feria de Servicios (+200 personas beneficiadas)</t>
  </si>
  <si>
    <t xml:space="preserve">Cra 78 No 8c-11 </t>
  </si>
  <si>
    <t>https://maps.app.goo.gl/J8FeDEHqMeHohLzK6</t>
  </si>
  <si>
    <t>4.641089793869016, -74.14043634658422</t>
  </si>
  <si>
    <t>Aleyda Triana</t>
  </si>
  <si>
    <t>Reunion con referidos hermana Gilma - Carvajal</t>
  </si>
  <si>
    <t>Calle 12 A #71B-60. Casa 166 Jardines de Alsacia</t>
  </si>
  <si>
    <t>Jardines de Alsacia</t>
  </si>
  <si>
    <t>Gilma Perez</t>
  </si>
  <si>
    <t>AÑO</t>
  </si>
  <si>
    <t>COD MES</t>
  </si>
  <si>
    <t>MES INICIO</t>
  </si>
  <si>
    <t>CÓDIGO SEGUIMIENTO</t>
  </si>
  <si>
    <t>TIPO DE ACTIVIDAD</t>
  </si>
  <si>
    <t xml:space="preserve">TEMA
</t>
  </si>
  <si>
    <t>SUBTEMA</t>
  </si>
  <si>
    <t>DESCRIPCIÓN Y/O ACTIVIDAD</t>
  </si>
  <si>
    <t>ENTIDADES</t>
  </si>
  <si>
    <t xml:space="preserve">BARRIO </t>
  </si>
  <si>
    <t>ZONA</t>
  </si>
  <si>
    <t>IGLESIA</t>
  </si>
  <si>
    <t>COORDENADAS - IGLESIA</t>
  </si>
  <si>
    <t>TIPO DE GESTIÓN</t>
  </si>
  <si>
    <t>NOMBRE DEL BENEFICIARIO  Y/O LÍDER</t>
  </si>
  <si>
    <t>GÉNERO</t>
  </si>
  <si>
    <t xml:space="preserve">CÉDULA </t>
  </si>
  <si>
    <t>DIRECCIÓN DEL BARRIO</t>
  </si>
  <si>
    <t>COORDENADAS DE LA REUNIÓN/ GESTIÓN</t>
  </si>
  <si>
    <t xml:space="preserve">CORREO </t>
  </si>
  <si>
    <t xml:space="preserve">TELEFONO </t>
  </si>
  <si>
    <t>PRIORIZACIÓN</t>
  </si>
  <si>
    <t>BENEFICIADO</t>
  </si>
  <si>
    <t xml:space="preserve">ESTADO ACTUAL DEL TRÁMITE </t>
  </si>
  <si>
    <t>RESULTADOS DE LA GESTIÓN</t>
  </si>
  <si>
    <t>OBSERVACIONES</t>
  </si>
  <si>
    <t>FECHA DE INICIO</t>
  </si>
  <si>
    <t xml:space="preserve">FECHA DE CIERRE </t>
  </si>
  <si>
    <t>ENCARGADO</t>
  </si>
  <si>
    <t>NOMBRE DEL ASESOR ENCARGADO|</t>
  </si>
  <si>
    <t>CIUDAD</t>
  </si>
  <si>
    <t>DEPARTAMENTO</t>
  </si>
  <si>
    <t>LINK DE EVIDENCIA</t>
  </si>
  <si>
    <t>SEMANA</t>
  </si>
  <si>
    <t>CONTACTADO POR AFINIDAD</t>
  </si>
  <si>
    <t>Apoyo Ciudadano</t>
  </si>
  <si>
    <t>Salud</t>
  </si>
  <si>
    <t>Citas médicas</t>
  </si>
  <si>
    <t>Requerimiento cita neumología pediátrica
Datos clínicos de importancia Asma infantil crónica.</t>
  </si>
  <si>
    <t>Secretaría Distrital de Salud</t>
  </si>
  <si>
    <t>Sur</t>
  </si>
  <si>
    <t>08.Kennedy</t>
  </si>
  <si>
    <t>Gestión 2024</t>
  </si>
  <si>
    <t>Lian Samuel Victoria Sánchez</t>
  </si>
  <si>
    <t xml:space="preserve">Hombre </t>
  </si>
  <si>
    <t>Calle 10b # 81f-92</t>
  </si>
  <si>
    <t>4.650055904649422, -74.14550204826222</t>
  </si>
  <si>
    <t>jaime.victoria2671@correo.policia.gov.co</t>
  </si>
  <si>
    <t>Tramites</t>
  </si>
  <si>
    <t>Interno</t>
  </si>
  <si>
    <t>Finalizado</t>
  </si>
  <si>
    <t>Positivo</t>
  </si>
  <si>
    <t>Asesor</t>
  </si>
  <si>
    <t>Angie Benitez</t>
  </si>
  <si>
    <t>Bogotá</t>
  </si>
  <si>
    <t>Cundinamarca</t>
  </si>
  <si>
    <t>202400007_Lian Samuel Victoria Sánchez</t>
  </si>
  <si>
    <t>NO</t>
  </si>
  <si>
    <t>Educación</t>
  </si>
  <si>
    <t>Cupo estudiantil a menor migrante venezolana</t>
  </si>
  <si>
    <t>Secretaría de Educación del Distrito</t>
  </si>
  <si>
    <t>Andalucia 1er sector</t>
  </si>
  <si>
    <t>Nombres del estudiante: 
Daniela Stefani Guzamana Mendez
Pasaporte: 172513001 
Correo: tovaryuliath@gmail.com
Grado: Décimo 
Acudiente
Nombres: Yuliath Celiana Tovar Guzamana
PPT: 7109640
Correo: tovaryuliath@gmail.com
Contacto: 3213646592
Líder que hizo la solicitud: Antonio Castaño
Celular: 3178294782</t>
  </si>
  <si>
    <t>Mujer</t>
  </si>
  <si>
    <t>4.65544903829502, -74.13812385348416</t>
  </si>
  <si>
    <t>tovaryuliath@gmail.com
Correo: tovaryuliath@gmail.com</t>
  </si>
  <si>
    <t>Contacto: 3213646592</t>
  </si>
  <si>
    <t>Externos</t>
  </si>
  <si>
    <t>202400025_Yuliath Celiana Tovar Guzamana</t>
  </si>
  <si>
    <t>cupo escolar</t>
  </si>
  <si>
    <t>Maritza Lopez Castañeda, solicita ayuda con un cupo Estudiantil</t>
  </si>
  <si>
    <t xml:space="preserve">08.Kennedy Central </t>
  </si>
  <si>
    <t xml:space="preserve">Maritza Lopez Castañeda </t>
  </si>
  <si>
    <t>maritzalopez2808@gmail.com</t>
  </si>
  <si>
    <t>El enlace nos colabora con el cupo escolar en el colegio jornada tarde, pero la acudiente no acepto y prefirió continuar en el  mismo colegio.</t>
  </si>
  <si>
    <t>Katherine Galindo</t>
  </si>
  <si>
    <t xml:space="preserve">Maritza López Castañeda </t>
  </si>
  <si>
    <t>Procedimientos y exámenes</t>
  </si>
  <si>
    <t xml:space="preserve">Solicitud: verificación diagnóstico y tratamiento a realizar ya que el primer concepto indican que no le harán tratamiento Diagnóstico: cáncer de hígado (no conocen que tipo de cáncer, solo hicieron una biopsia y no pudieron identificar el cáncer).
Tiempo de solicitud: lleva 2 meses en la clínica sin respuesta </t>
  </si>
  <si>
    <t>Superintendencia de Salud</t>
  </si>
  <si>
    <t>08.Class</t>
  </si>
  <si>
    <t xml:space="preserve">Gerardo Ávila </t>
  </si>
  <si>
    <t>calle 56a sur # 78 N 48 manzana 44 interior 1 apto 101</t>
  </si>
  <si>
    <t>4.6131323776124855, -74.17500280572317</t>
  </si>
  <si>
    <t xml:space="preserve">Falleció la persona. </t>
  </si>
  <si>
    <t xml:space="preserve">202400079_Gerardo Ávila </t>
  </si>
  <si>
    <t xml:space="preserve">La familia de un adulto mayor con discapacidad solicita apoyo ya que se encuentra delicado de salud y solicitan ayuda para ingresarlo en un geratrico donde lo puedan cuidar. </t>
  </si>
  <si>
    <t>Secretaría Distrital de Integración Social</t>
  </si>
  <si>
    <t>08.Patio Bonito</t>
  </si>
  <si>
    <t>Gildardo Ayala</t>
  </si>
  <si>
    <t>4.638160202192498, -74.16295192449837</t>
  </si>
  <si>
    <t>Negativo</t>
  </si>
  <si>
    <t>No se le puede brindar algún tipo de apoyo ya que la persona no se encuentra en Bogotá</t>
  </si>
  <si>
    <t>Fernando Zamora</t>
  </si>
  <si>
    <t>202400082_Gildardo Ayala</t>
  </si>
  <si>
    <t>La Sra Yolanda Garzón solicita cita con especialista en oftamología por primera vez, lleva mas de 6 meses esperando la cita y esta perdiendo la vista</t>
  </si>
  <si>
    <t>Tierra Buena</t>
  </si>
  <si>
    <t>Yolanda Garzón</t>
  </si>
  <si>
    <t>calle 26 sur #95a49</t>
  </si>
  <si>
    <t>4.650076195336499, -74.16991540572303</t>
  </si>
  <si>
    <t>Se programa la cita correspondiente</t>
  </si>
  <si>
    <t>202400086_Yolanda Garzón</t>
  </si>
  <si>
    <t>Diagnóstico: tuvo un accidente practicando el deporte de clavados en natación. 
Solicitudes:  
* Cita: Resonancia de Orbitas, esta cita está agendado para el 6 de abril, pero se necesita urgente o anticiparla porque sus ojos están afectados por el accidente. 
* Cita: Neurocirugía 1a vez, para esta cita dicen que no hay agenda.</t>
  </si>
  <si>
    <t>Ciudad de cali - patio bonito</t>
  </si>
  <si>
    <t>Nombre de la menor:  Viviana Marulanda Valenzuela. 
Datos de la acudiente: Emilse Valenzuela - celular: 312 4310711</t>
  </si>
  <si>
    <t>1.141.327.972</t>
  </si>
  <si>
    <t>Carrera 86c bis No 42-51 sur</t>
  </si>
  <si>
    <t>4.632030395354502, -74.16841293455875</t>
  </si>
  <si>
    <t>emilce095@gmail.com</t>
  </si>
  <si>
    <t>312 4310711</t>
  </si>
  <si>
    <t>202400090_Emilse Valenzuela</t>
  </si>
  <si>
    <t>Diagnóstico: hiperplasia de próstata 
Control por especialista en Urologia</t>
  </si>
  <si>
    <t xml:space="preserve">Las margaritas </t>
  </si>
  <si>
    <t>Raúl Hernández</t>
  </si>
  <si>
    <t>19.437.301</t>
  </si>
  <si>
    <t>Calle 46 sur # 86-41
Casa 384 alamedas de san José 2 zona las margaritas localidad de Kennedy</t>
  </si>
  <si>
    <t>4.628496889205801, -74.17446470572308</t>
  </si>
  <si>
    <t>dianis6413@gmail.com</t>
  </si>
  <si>
    <t>202400091_Raúl Hernández</t>
  </si>
  <si>
    <t>Entrega de equipos médicos</t>
  </si>
  <si>
    <t>Diagnóstico: Trombosis en pierna. 
Solicitud: silla de ruedas. 
contexto: fueron presencialmente que ya no hay ese servicio. la justificación fue una resolución.</t>
  </si>
  <si>
    <t xml:space="preserve">José Antonio Mendoza Vera </t>
  </si>
  <si>
    <t>Dirección :carrera 89 a 45a 38 sur 
Barrio : margaritas etapa 1, torre 23, apto 201</t>
  </si>
  <si>
    <t>4.634271482873386, -74.17697183455873</t>
  </si>
  <si>
    <t xml:space="preserve">albam6075@gmail.com </t>
  </si>
  <si>
    <t>celular: 3114688767 - hija</t>
  </si>
  <si>
    <t>Pendiente</t>
  </si>
  <si>
    <t xml:space="preserve">No llamaron a la persona ni le hicieron la gestión. La persona ya está recuperada y no requiere el servicio. </t>
  </si>
  <si>
    <t xml:space="preserve">202400093_José Antonio Mendoza Vera </t>
  </si>
  <si>
    <t>Programación de cirugías</t>
  </si>
  <si>
    <t>Descripción del caso: Desde el mes de junio del año 2023 he venido presentando dolor severo continuo en parte abdominal y espalda baja del lado izquierdo por lo que me han visto doctores y ginecólogos, enviándome diferentes exámenes (ecografías transvaginales, antígeno carcinoembrionario, antígeno de cáncer de ovario, pruebas de embarazo exámenes de orina, exámenes de sangre en general) después de múltiples citas y al ver que los medicamentos no han dado ningún resultado, la ginecóloga Adriana Farias me dio orden de cirugía ( CISTECTOMIA DE OVARIO POR LAPAROSCOPIA) el día 06 de febrero de 2024, realice la autorización y me dieron el código asignado pero a la fecha no ha subido al sistema y debo seguir esperando a que me llamen para asignarme la clínica y la fecha de cirugía, yo sigo con dolores severos por lo que he acudido de urgencias a la clínica Colombia y al Hospital mayor Medery, verificando en nuevas ecografías que además del quiste en ovario izquierdo tengo endometriosis severa  pero me dicen que no es una urgencia vital y por tanto no me pueden operar de urgencias, mi estado de salud es deplorable y mi calidad de vida va en descenso día a día al punto de tener que mandarme inyectar medicamentos fuertes como tramadol y dipirona, agradezco de corazón, la colaboración que me puedan brindar para agilizar mi cirugía de ovario izquierdo.</t>
  </si>
  <si>
    <t>Gina Lorena Lopez Mantilla</t>
  </si>
  <si>
    <t>Calle 8C 80 – 38 int 3  apto 512 conjunto Bosques de Bavaria Barrio Castilla</t>
  </si>
  <si>
    <t>4.642836139522496, -74.14436504859762</t>
  </si>
  <si>
    <t>glorenalopez@hotmail.com</t>
  </si>
  <si>
    <t>301 5813744</t>
  </si>
  <si>
    <t>202400104_Gina Lorena Lopez Mantilla</t>
  </si>
  <si>
    <t>Abril</t>
  </si>
  <si>
    <t xml:space="preserve">“Reciba un cordial saludo concejal, mi nombre es Martha Elizabeth Barbosa Sastoque y me encuentro en el régimen subsidiado a través de capital salud, desde el 23 de agosto del año 2023 llevo solicitando cita para optometría y me dieron el código de 890207. Asimismo, desde el 14 de agosto de 2023 estoy solicitando cita de otorrinolaringología a través del código 890282. Le agradecería si me ayudan a gestionar estas dos citas ya que llevo hace varios meses tratando de solicitarlas”.  </t>
  </si>
  <si>
    <t>Los periodistas</t>
  </si>
  <si>
    <t>Martha Elizabeth Barbosa Sastoque</t>
  </si>
  <si>
    <t>Trav 78 h bis N 41-86 sur</t>
  </si>
  <si>
    <t>4.616787189394192, -74.15697963455875</t>
  </si>
  <si>
    <t>marelizbar1970@gmail.com</t>
  </si>
  <si>
    <t>PENDIENTE LINK</t>
  </si>
  <si>
    <t xml:space="preserve">Diagnóstico: tumor benigno del tejido conjuntivo del abdomen. 
Solicitud: Biopsia cerrada intraabdominal. 
Tiempo de solicitud: Me han dilatado la solicitud más de un mes y nada que me hacen la biopsia, me remiten un lugar a otro y no me practican el procedimiento que me ordenó el médico. </t>
  </si>
  <si>
    <t>El amparo</t>
  </si>
  <si>
    <t xml:space="preserve">Flower Alegrías Carbonero </t>
  </si>
  <si>
    <t>calle 42#80g02</t>
  </si>
  <si>
    <t>4.6243384512631875, -74.16436231524406</t>
  </si>
  <si>
    <t xml:space="preserve">floweralegrias979@gmail.com </t>
  </si>
  <si>
    <t>311 5010594</t>
  </si>
  <si>
    <t xml:space="preserve">Diagnóstico: EPOC crónico, hipertensa, pasada un poco de peso.
La señora depende del oxígeno las 24 horas debido a su avanzada edad, también se le
dificulta caminar.
Solicitud: cita pendiente con especialista en psiquiatria y solicitud de pañales talla XL. </t>
  </si>
  <si>
    <t>Alcalá</t>
  </si>
  <si>
    <t>Rosa Matilde Sastoque de Barbosa.</t>
  </si>
  <si>
    <t>calle 30 sur #52-55</t>
  </si>
  <si>
    <t>4.604939983787324, -74.1276540345588</t>
  </si>
  <si>
    <t xml:space="preserve">familiabarbosa321f@gmail.com
</t>
  </si>
  <si>
    <t>302 4382399</t>
  </si>
  <si>
    <t xml:space="preserve">Diagnóstico:secuelas de un acidente
Solicitud: una consulta con  especialista otorrinolaringología y otra con especialista en neurología 
Tiempo de solicitud:casi un año </t>
  </si>
  <si>
    <t>Vegas de santa ana</t>
  </si>
  <si>
    <t>Familiar: Yudit Rojas 
Paciente: Jhon Javier Gomez Sanchez</t>
  </si>
  <si>
    <t xml:space="preserve">cra 81 j 57A- 95 sur </t>
  </si>
  <si>
    <t>4.618483796471932, -74.18145065077307</t>
  </si>
  <si>
    <t>Gómezjaver200@gmail.com</t>
  </si>
  <si>
    <t>Solicita una terapia</t>
  </si>
  <si>
    <t xml:space="preserve">María Luzmila Rodríguez </t>
  </si>
  <si>
    <t xml:space="preserve">Calle 6a 88 51 Fase 2 </t>
  </si>
  <si>
    <t>4.645569756879411, -74.15779493455871</t>
  </si>
  <si>
    <t xml:space="preserve">202400149_María Luzmila Rodríguez </t>
  </si>
  <si>
    <t>Cementerios</t>
  </si>
  <si>
    <t>Solicitud de registro de defunsión que tiene reserva</t>
  </si>
  <si>
    <t>Registraduría</t>
  </si>
  <si>
    <t>Boita</t>
  </si>
  <si>
    <t>Diana Jaraba</t>
  </si>
  <si>
    <t xml:space="preserve">calle 42 f sur #72h 95 </t>
  </si>
  <si>
    <t>4.604087866462173, -74.14844373455881</t>
  </si>
  <si>
    <t>jarababogada@gmail.com</t>
  </si>
  <si>
    <t>301 6455867</t>
  </si>
  <si>
    <t>Diagnóstico: manguito tirador derecho
Solicitud: cita con el cirujano para realizar cirugía 
Tiempo de solicitud: 9 meses</t>
  </si>
  <si>
    <t>María Engracia Romero de Penagos</t>
  </si>
  <si>
    <t>carrera 87#57 a 09 sur</t>
  </si>
  <si>
    <t>4.624477670996924, -74.18776833455878</t>
  </si>
  <si>
    <t>alejandrarodriguezpenagos@hotmail.com</t>
  </si>
  <si>
    <t xml:space="preserve">Solicitud:  Que le realicen los exámenes para generar el diagnostico, al paciente solo le indican bacterias o parasitos estomacales, le indicaron que podría ser cancer pero no le han realizado los exámenes correspondientes 
Tiempo de solicitud: 4 meses
Nota:  requiere atención porque presuntamente tiene síntomas cancerígenos sin embargo la EPS no le han dado las ordenes para los exámenes y descartar o confirmar esa circunstancia </t>
  </si>
  <si>
    <t>Bosa Linda</t>
  </si>
  <si>
    <t xml:space="preserve">José María Arango Reinosa </t>
  </si>
  <si>
    <t>Carrera 85 #55 - 29</t>
  </si>
  <si>
    <t>4.648494761362429, -74.14854919752344</t>
  </si>
  <si>
    <t>doraba.arango1975@gmail.com</t>
  </si>
  <si>
    <t>Solicitud: cita con oftalmología</t>
  </si>
  <si>
    <t>Palenque</t>
  </si>
  <si>
    <t>Alis Peña de Chitiva</t>
  </si>
  <si>
    <t>cra 78 f # 42 c 04 sur</t>
  </si>
  <si>
    <t>4.614946771581417, -74.15955886339442</t>
  </si>
  <si>
    <t>juanchitiva@hotmail.com</t>
  </si>
  <si>
    <t>Medicamentos</t>
  </si>
  <si>
    <t xml:space="preserve">Diagnóstico: trastornos mentales y del comportamiento debido a uso del tabaco: síndrome de dependencia 
Solicitud: La hna sufre de depresión y ansiedad, la EPS no le hace entrega de orden de medicamentos ya que no hay agenda con el psiquiatra; por lo cual el hijo debe llevarla de manera mensual a urgencias psiquiátricas para que le entreguen medicamentos por cada mes; se solicita cita y seguimiento con psiquiatría con el fin de que le hagan entrega de ordenes de medicamentos crónicos sin necesidad de asistir a urgencias 
Tiempo de solicitud: 4 meses
</t>
  </si>
  <si>
    <t>Pastranita</t>
  </si>
  <si>
    <t>Nubia Rodriguez Mendez</t>
  </si>
  <si>
    <t>Transversal 78L ·50 sur -17 apto 401</t>
  </si>
  <si>
    <t>4.614045683632616, -74.16940289575687</t>
  </si>
  <si>
    <t>richardjokerazul@gmail.com</t>
  </si>
  <si>
    <t>3059293551 (Hno Ricardo - hijo)</t>
  </si>
  <si>
    <t xml:space="preserve">Ya se asignó cita, faltarían los medicamentos. </t>
  </si>
  <si>
    <t>Cupo para el colegio Debora Arango
Motivo: me gustaría el cambio del colegio ya que este Debora Arango me queda más cerca de mi residencia, que el colegio Romulo Gallego</t>
  </si>
  <si>
    <t>Mayelli Abonia Camacho 
Cedula: 29.507.889
Alanna Samai Cuesta Abonia
Tarjeta de identidad 1.030.677.352</t>
  </si>
  <si>
    <t xml:space="preserve"> 29.507.889</t>
  </si>
  <si>
    <t>Calle 53a # 81i-21 sur</t>
  </si>
  <si>
    <t>4.616576475077917, -74.17434200880973</t>
  </si>
  <si>
    <t>mayaboca17@gmail.com</t>
  </si>
  <si>
    <t>Se hizo la gestión a través del DILE de Kennedy por medio de la edilesa</t>
  </si>
  <si>
    <t>Mayo</t>
  </si>
  <si>
    <t>Diagnóstico: enfermedad de Chagas aguda que afecta el corazón 
Solicitud; consulta de primera vez por especialista en cirugía cardiovascular.</t>
  </si>
  <si>
    <t xml:space="preserve">Celia Matilde Forero rojas
Acudiente: Luz Marina Valenzuela </t>
  </si>
  <si>
    <t>Kra 86c bis #42 - 51 sur</t>
  </si>
  <si>
    <t>4.633140133136534, -74.16639663455871</t>
  </si>
  <si>
    <t>luzmari2909@hotmail.com</t>
  </si>
  <si>
    <t>3213032240 / 3124310711</t>
  </si>
  <si>
    <t>Diagnóstico: hipertensa, sufre del corazón, tiroides , triglicedeos, catarata densa en los ojos. 
Solicitud: 
1. medicamentos para hipertensión. 
2. Cita con oftalmología.</t>
  </si>
  <si>
    <t xml:space="preserve">Villa Nelly </t>
  </si>
  <si>
    <t>Otilia Sosa Gracia</t>
  </si>
  <si>
    <t xml:space="preserve">calle 42 g #80 b 21 sur </t>
  </si>
  <si>
    <t>4.622008710619711, -74.16559977688753</t>
  </si>
  <si>
    <t>elsyyg@gmail.com</t>
  </si>
  <si>
    <t>En Proceso</t>
  </si>
  <si>
    <t>Diagnóstico: leve de Autismo, TDH elevada con hiperactiva. 
Solicitud puntual:Agilizar una cita con el especialista Neurólogo pediatra para que pueda revisar los exámenes examinar el niño y así obtener un diagnóstico definitivo, y acceder a un tratamiento. Tengo la orden desde septiembre 29 del 2023 y no asido posible la cita con el especialista por motivos de que hay agenda. Mi hijo tiene dificultades para adaptarse a los entornos sociales.</t>
  </si>
  <si>
    <t>08.Carvajal</t>
  </si>
  <si>
    <t xml:space="preserve"> Mateo Alejandro Díaz Montañez </t>
  </si>
  <si>
    <t>CL 64 C SUR 27 13 CANDELARIA</t>
  </si>
  <si>
    <t>4.615132307907278, -74.13793253984731</t>
  </si>
  <si>
    <t>NA</t>
  </si>
  <si>
    <t xml:space="preserve">Solicita una cita con el Fisiatra, una con el Endocrinólogo y otra cirugía oral – Odontólogo </t>
  </si>
  <si>
    <t>Santa Sofía</t>
  </si>
  <si>
    <t>Digna María Vargas de Castillo</t>
  </si>
  <si>
    <t>Cra 29A # 75-30</t>
  </si>
  <si>
    <t>4.622839368592367, -74.08538886819075</t>
  </si>
  <si>
    <t>hanavicolombia@gmail.com</t>
  </si>
  <si>
    <t>Se programo la cita correspondiente</t>
  </si>
  <si>
    <t>202400284_Digna María Vargas de Castillo</t>
  </si>
  <si>
    <t>Solicita una cita con Endocrinólogo</t>
  </si>
  <si>
    <t>José Nicolás Castillo Moreno</t>
  </si>
  <si>
    <t>202400285_José Nicolás Castillo Moreno</t>
  </si>
  <si>
    <t>Tratamientos</t>
  </si>
  <si>
    <t>Diagnóstico: cáncer de mama
Solicitud : recibir la tercer  quimioterapia en el tiempo estipulado por el oncólogo.</t>
  </si>
  <si>
    <t>Villa Alsacia</t>
  </si>
  <si>
    <t xml:space="preserve">Margarita López Ramírez </t>
  </si>
  <si>
    <t>carrera 72 A bis A #11B - 27</t>
  </si>
  <si>
    <t>4.644586969759896, -74.13433423455866</t>
  </si>
  <si>
    <t>mlopezr1@educacionbogota.edu.co</t>
  </si>
  <si>
    <t>La persona también hizo gestión por su parte</t>
  </si>
  <si>
    <t>Junio</t>
  </si>
  <si>
    <t>El ciudadano Álvaro Silva Castro indica que no le han entregado un medicamento indispensable para mejorar su salud</t>
  </si>
  <si>
    <t>Álvaro Silva Castro</t>
  </si>
  <si>
    <t>Calle 8a#92-71</t>
  </si>
  <si>
    <t>4.655349208446909, -74.1568137619685</t>
  </si>
  <si>
    <t>alvarosilva7@hotmail.com</t>
  </si>
  <si>
    <t>Se hace traslado a la entidad</t>
  </si>
  <si>
    <t>202400382_Álvaro Silva Castro</t>
  </si>
  <si>
    <t>Julio</t>
  </si>
  <si>
    <t>Traslado caso de paciente con catarata requiere cita de oftalmología</t>
  </si>
  <si>
    <t>07.Bosa Recreo</t>
  </si>
  <si>
    <t>Cleotilde Sanabria</t>
  </si>
  <si>
    <t>Calle 48  Sur 88C-49</t>
  </si>
  <si>
    <t>4.6317774265560585, -74.17887255569696</t>
  </si>
  <si>
    <t xml:space="preserve">cleotildesanabriagonzales@gmail.com </t>
  </si>
  <si>
    <t>Se asigna cita médica</t>
  </si>
  <si>
    <t>Maicol Quiroga</t>
  </si>
  <si>
    <t>Solicita una cita con especialista por dolor constante en la espalda desde hace 3 meses</t>
  </si>
  <si>
    <t>Altamar</t>
  </si>
  <si>
    <t>Rita Leonor Sánchez Gonzales</t>
  </si>
  <si>
    <t>Cl. 42b Sur #87i-20</t>
  </si>
  <si>
    <t>4.63471293116785, -74.17096643390632</t>
  </si>
  <si>
    <t>jazmincilla@hotmail.es</t>
  </si>
  <si>
    <t>Se programa la cita solicitada</t>
  </si>
  <si>
    <t>202400422_Rita Leonor Sánchez Gonzales</t>
  </si>
  <si>
    <t>Solcita información sobre el proceso de admisión de su hijo en la universidad distrital y la agencia Atenea</t>
  </si>
  <si>
    <t xml:space="preserve">Kelly Cecilia Boya Escobar </t>
  </si>
  <si>
    <t>cll. 47 # 80 - 56</t>
  </si>
  <si>
    <t>4.619868541173852, -74.16889470515919</t>
  </si>
  <si>
    <t>kellyboya0112@gmail.com</t>
  </si>
  <si>
    <t>La respuesta a la petición fue negativa, ya que indica que no aplica al proceso satisfactoriamente y que debe hacer el proceso cuando hayan nuevas convocatorias</t>
  </si>
  <si>
    <t xml:space="preserve">202400423_Kelly Cecilia Boya Escobar </t>
  </si>
  <si>
    <t>Caso salud: - Electrocardiograma de ritmo o de superficie. 
- Consulta por primera vez por optometría.</t>
  </si>
  <si>
    <t xml:space="preserve">Palenque </t>
  </si>
  <si>
    <t>Ana Teresa Vargas Florez</t>
  </si>
  <si>
    <t xml:space="preserve">Calle 42f #78c 03 </t>
  </si>
  <si>
    <t>4.613273106566682, -74.16032417657928</t>
  </si>
  <si>
    <t xml:space="preserve">anateresavargas0124@gmail.com </t>
  </si>
  <si>
    <t xml:space="preserve">celular: 3015584177 - 3152405466 (hermano de la paciente). </t>
  </si>
  <si>
    <t>Se hace el traslado a la entidad a través de oficio</t>
  </si>
  <si>
    <t>Servicio militar</t>
  </si>
  <si>
    <t>Asesoría para obtener la libreta militar</t>
  </si>
  <si>
    <t>Secretaría Distrital de Seguridad, Convivencia y Justicia</t>
  </si>
  <si>
    <t>Ayacucho II sector</t>
  </si>
  <si>
    <t>Jorge Enrique Alba Balaguera</t>
  </si>
  <si>
    <t>CRA 78p bis #6-35sur</t>
  </si>
  <si>
    <t>4.62934032753972, -74.1510866900773</t>
  </si>
  <si>
    <t>joalba2748@gmail.com</t>
  </si>
  <si>
    <t>313 4256455</t>
  </si>
  <si>
    <t xml:space="preserve">Es un referido </t>
  </si>
  <si>
    <t>Solicitud de cita para paciente con cancer</t>
  </si>
  <si>
    <t>Henry Enrique Herrera Molina</t>
  </si>
  <si>
    <t>Cra 89c # 38d 19 sur</t>
  </si>
  <si>
    <t>4.639966868831216, -74.16820810362483</t>
  </si>
  <si>
    <t>henryh_m@hotmail.com</t>
  </si>
  <si>
    <t>Se hace el traslado a la entidad</t>
  </si>
  <si>
    <t>202400449_Henry Enrique Herrera Molina</t>
  </si>
  <si>
    <t>Educación inclusiva para una menor con discapacidad cognitiva. La solicitud es: un colegio público o privado con más inclusión y personalizado.</t>
  </si>
  <si>
    <t xml:space="preserve">Villa Andrea </t>
  </si>
  <si>
    <t>Acudiente: Heidi Isabel Díaz montaña
Menor: Danna Sofia Bernal Díaz</t>
  </si>
  <si>
    <t>Cra 81i #51b19 sur</t>
  </si>
  <si>
    <t>4.6215075899432865, -74.1757500002634</t>
  </si>
  <si>
    <t>didita8016@hotmail.com</t>
  </si>
  <si>
    <t xml:space="preserve">3115918677 mamá
3134154612 papá </t>
  </si>
  <si>
    <t>Niñez</t>
  </si>
  <si>
    <t>202400529_Danna Sofia Bernal Díaz</t>
  </si>
  <si>
    <t>Solicitud: 1. Cita para que le lean los exámenes y que le digan cual es el paso por seguir.
2. Una ecografía Doppler para tejidos blandos.</t>
  </si>
  <si>
    <t>Gran britalia</t>
  </si>
  <si>
    <t>Blanca Nubia Torres Quesada</t>
  </si>
  <si>
    <t>Cr. 80d # 25 sur 21</t>
  </si>
  <si>
    <t>4.618815166790833, -74.17421029323631</t>
  </si>
  <si>
    <t xml:space="preserve"> blancanubiatorresquesada@gmail.com</t>
  </si>
  <si>
    <t>202400533_Blanca Nubia Torres Quesada</t>
  </si>
  <si>
    <t>Asesoría legal</t>
  </si>
  <si>
    <t xml:space="preserve">Seguimiento a un fallo de tutela donde se reconoce la entrega de procedimientos, citas, valoraciones, suministros de medicamentos e insumos requeridos, historia clínica, tratamiento integral. </t>
  </si>
  <si>
    <t>Esperanza Rodriguez Rodríguez (mamá). 
Nombre de beneficiario: José sebastian colorado rodriguez. CC.1022439924, edad: 26 años</t>
  </si>
  <si>
    <t>Carrera 79 no 10d 95 torre 22 apto 301</t>
  </si>
  <si>
    <t>4.64577355426377, -74.13958390354676</t>
  </si>
  <si>
    <t>esroro51@hotmail.com</t>
  </si>
  <si>
    <t xml:space="preserve">Referida de líder Luz Marina Valenzuela. 
Diagnóstico: Síndrome de dawn y epilepsia. Tratamiento de la epilepsia.  
Problemática: no le dan citas ni órdenes, porque lo retiraron del sistema de salud, no le entregaron historia clínica y no le entregan certificado de discapacidad. No le entregan los medicamentos porque lo retiraron del sistema. Les ha tocado pagar médicos particulares y comprar los medicamentos. </t>
  </si>
  <si>
    <t>202400539_Esperanza Rodríguez Rodríguez.</t>
  </si>
  <si>
    <t>Agosto</t>
  </si>
  <si>
    <t>ASI</t>
  </si>
  <si>
    <t>asesoría</t>
  </si>
  <si>
    <t>Ciudadana solicita asesoría para el ingreso a ruta de atención de un caso de abuso sexual infantil</t>
  </si>
  <si>
    <t>Secretaría Distrital de la Mujer</t>
  </si>
  <si>
    <t>Tierrabuena</t>
  </si>
  <si>
    <t xml:space="preserve">Claudia Milena Peña Chinchilla </t>
  </si>
  <si>
    <t>1.022.957.582</t>
  </si>
  <si>
    <t xml:space="preserve">Cll 2 # 93d-38 </t>
  </si>
  <si>
    <t>4.64995909588834, -74.16720645316468</t>
  </si>
  <si>
    <t>clauss5227@hotmail.com</t>
  </si>
  <si>
    <t>Adicional se envía caso al ICBF número de radicado 1764238399</t>
  </si>
  <si>
    <t>Claudia Milena Peña Chinchilla</t>
  </si>
  <si>
    <t>Se solicita atención por ingreso a urgencias código blanco</t>
  </si>
  <si>
    <t>Se activó código blanco, aunque la atención no fue tan rápida</t>
  </si>
  <si>
    <t>202400555 Claudia Peña</t>
  </si>
  <si>
    <t>Consulta con especialista en neurología</t>
  </si>
  <si>
    <t xml:space="preserve">Vegas de Santa Ana </t>
  </si>
  <si>
    <t>Jhon Javer Gómez Sánchez</t>
  </si>
  <si>
    <t>Cra 81j 57A-95 sur</t>
  </si>
  <si>
    <t>4.6171796399123695, -74.18151054578377</t>
  </si>
  <si>
    <t>Gomezjaver200@gmail.com</t>
  </si>
  <si>
    <t xml:space="preserve">Solicitud de una trabajadora del líder Ricardo de Class - empresa satélite. </t>
  </si>
  <si>
    <t>202400557_Jhon Javer Gómez Sánchez</t>
  </si>
  <si>
    <t>Autorización de equipo para respirar y operación de cataratas urgente</t>
  </si>
  <si>
    <t>Catalina 2</t>
  </si>
  <si>
    <t>Jesús María Rubio Moreno</t>
  </si>
  <si>
    <t>calle 53 sur #77 L 19</t>
  </si>
  <si>
    <t>4.607398309351572, -74.16894927522681</t>
  </si>
  <si>
    <t>molinajesus1948@gmail.com</t>
  </si>
  <si>
    <t>02/0//2024</t>
  </si>
  <si>
    <t xml:space="preserve">Procedimiento para tumor: laparotomia exploratoria </t>
  </si>
  <si>
    <t xml:space="preserve">El amparo </t>
  </si>
  <si>
    <t>Flover Alegrias Carbonero</t>
  </si>
  <si>
    <t>4.624592336997663, -74.16324787477785</t>
  </si>
  <si>
    <t>Solicita una cita para la hija, ya que no hay agenda y deben retirarle el yeso del brazo</t>
  </si>
  <si>
    <t>Villa Nelly</t>
  </si>
  <si>
    <t>Emily Luciana Zamora Soler</t>
  </si>
  <si>
    <t>Av Cra 80 # 42 c 43 sur</t>
  </si>
  <si>
    <t>4.621885468172792, -74.16461452249965</t>
  </si>
  <si>
    <t>soler2612@hotmail.com</t>
  </si>
  <si>
    <t>Se da la atención solicitada a la ciudadano</t>
  </si>
  <si>
    <t>No registra evidencia</t>
  </si>
  <si>
    <t>Ciudadano requiere información sobre el proceso de condonación del fondo FEST de la secretaría de educación</t>
  </si>
  <si>
    <t>Fernando José Zamora Camacho</t>
  </si>
  <si>
    <t>fernandozamora23@gmail.com</t>
  </si>
  <si>
    <t>Se da la información al ciudadano</t>
  </si>
  <si>
    <t>Subsidios</t>
  </si>
  <si>
    <t>Solicuta el bono de adulto mayor</t>
  </si>
  <si>
    <t>La Amistad</t>
  </si>
  <si>
    <t>Javier Salazar</t>
  </si>
  <si>
    <t>Tv. 78k Cl. 41a Sur</t>
  </si>
  <si>
    <t>4.619432539007697, -74.15741903309089</t>
  </si>
  <si>
    <t>Septiembre</t>
  </si>
  <si>
    <t>Pensión</t>
  </si>
  <si>
    <t>Solicitud: Asesoría si es posible tener la pensión anticipada por hija con discapacidad múltiple.</t>
  </si>
  <si>
    <t>Congreso</t>
  </si>
  <si>
    <t>Heidy Díaz montaña</t>
  </si>
  <si>
    <t xml:space="preserve"> Cra81i#51b-19sur</t>
  </si>
  <si>
    <t>4.6232507314447355, -74.17655846123692</t>
  </si>
  <si>
    <t xml:space="preserve">Se hizo la asesoría con apoyo de la UTL de la Senadora Ana Paola Agudelo </t>
  </si>
  <si>
    <t>Solicita una cita con Ginecología</t>
  </si>
  <si>
    <t>Ciudad Tintal Etapa 1</t>
  </si>
  <si>
    <t>YASMITH CASTILLO VARGAS</t>
  </si>
  <si>
    <t>Calle 8A # 92-71 Casa 144</t>
  </si>
  <si>
    <t>4.653401033562285, -74.16289061194358</t>
  </si>
  <si>
    <t>202400658_Traslado DP Ciudadano_Yasmith Castillo Vargas</t>
  </si>
  <si>
    <t>Solicita un medicamento que la EPS no le ha querido entregar</t>
  </si>
  <si>
    <t>Valeria Alejandra Pinto Castillo</t>
  </si>
  <si>
    <t>cra 18 b #48 62</t>
  </si>
  <si>
    <t>202400674_Traslado DP Ciudadano_Valeria Alejandra Pinto Castillo</t>
  </si>
  <si>
    <t xml:space="preserve">Alternativas para servicio militar </t>
  </si>
  <si>
    <t>Otras</t>
  </si>
  <si>
    <t>Ciudad Kennedy occidental</t>
  </si>
  <si>
    <t>Jonnier Andrei Moreno Villamil</t>
  </si>
  <si>
    <t>Cr 79g #42 d 64 sur</t>
  </si>
  <si>
    <t>4.621044686663726, -74.16485883250803</t>
  </si>
  <si>
    <t xml:space="preserve">jonniermoreno20@gmail.com </t>
  </si>
  <si>
    <t>202400680_Jonnier Andrei Moreno Villamil</t>
  </si>
  <si>
    <t>La ciudadana solicita que la hija sea atendida para que le puedan retirar el yeso</t>
  </si>
  <si>
    <t>Solcita una cita con espacialista ya que no le ha sido posible que le asignen una y la persona esta perdiendo la visión</t>
  </si>
  <si>
    <t>Once de Noviembre</t>
  </si>
  <si>
    <t>Digna María Vargas Chala</t>
  </si>
  <si>
    <t>4.6691489859988, -74.0699650387149</t>
  </si>
  <si>
    <t xml:space="preserve">hanavicolombia@gmail.com
dinavar2852@gmail.com
</t>
  </si>
  <si>
    <t>202400779_Traslado DP Ciudadano_Digna María Vargas Chala</t>
  </si>
  <si>
    <t>Octubre</t>
  </si>
  <si>
    <t>Seguimiento a un fallo de tutela de segunda instancia, donde se reconoce la entrega de procedimientos, citas, valoraciones, suministros de medicamentos e insumos requeridos, historia clínica, tratamiento integral, reafilación y ceritificado de discapacidad a una persona con síndrome de Down y epilepsia</t>
  </si>
  <si>
    <t>202400818_Esperanza Rodriguez Rodríguez</t>
  </si>
  <si>
    <t>Cupo escolar a estudiante con discapacidad cognitiva, la institución de interés es IED Carlos Artura Torres</t>
  </si>
  <si>
    <t>Villa Andrea Kennedy</t>
  </si>
  <si>
    <t>Nombre de acudiente: Heidy Díaz Montaña
Estudiante: Danna Sofia Bernal Díaz</t>
  </si>
  <si>
    <t>Cra 81i #51b-19sur</t>
  </si>
  <si>
    <t>4.62188485449497, -74.17577730957824</t>
  </si>
  <si>
    <t>Solicitud: cita con especialista de córnea para que pueda revisar la ecografía ocular y se pueda autorizar la cirugía de trasplante de córnea.</t>
  </si>
  <si>
    <t xml:space="preserve">Hogares colombianos </t>
  </si>
  <si>
    <t xml:space="preserve">Andrés Felipe Cortés Pérez </t>
  </si>
  <si>
    <t>1.030.649.545</t>
  </si>
  <si>
    <t xml:space="preserve">calle 35 b sur #78 L 10 </t>
  </si>
  <si>
    <t>4.626198766914959, -74.1522995172186</t>
  </si>
  <si>
    <t>andres.perez051913@hotmail.com</t>
  </si>
  <si>
    <t xml:space="preserve">El caso llegó a través de la mamá Nidia Peréz 3153813601. </t>
  </si>
  <si>
    <t xml:space="preserve">202400899_Andrés Felipe Cortés Pérez </t>
  </si>
  <si>
    <t>Emprendimiento y empleo</t>
  </si>
  <si>
    <t xml:space="preserve">Permiso para venta informal al frente de su casa en espacio público los fines de semana. </t>
  </si>
  <si>
    <t>Secretaría Distrital de Desarrollo Económico</t>
  </si>
  <si>
    <t>Jackeline</t>
  </si>
  <si>
    <t xml:space="preserve">Nidia Flor Alba Pulido Bravo </t>
  </si>
  <si>
    <t xml:space="preserve">Carrera 77V #46 B 61 sur </t>
  </si>
  <si>
    <t>4.609503874779034, -74.1639743845991</t>
  </si>
  <si>
    <t>nidiapulido575@gmail.com</t>
  </si>
  <si>
    <t xml:space="preserve">Noviembre </t>
  </si>
  <si>
    <t>Solicitud:  Atencion Prioritoaria para Oncologia y Radioterapia</t>
  </si>
  <si>
    <t>Miguel Antonio Garzon Martinez</t>
  </si>
  <si>
    <t>Carrera 88D Nro. 34A - 50 Sur</t>
  </si>
  <si>
    <t>4.640730736949674, -74.16461974789914</t>
  </si>
  <si>
    <t>dinalinda5@hotma.com</t>
  </si>
  <si>
    <t>3108186090 - 3143934301</t>
  </si>
  <si>
    <t>2024009445_Miguel Antonio Garzon Martinez</t>
  </si>
  <si>
    <t xml:space="preserve">Solicitud salud: Electronistagmografía o fotoelectronistagmografia. Porque dicen que no hay agenda. </t>
  </si>
  <si>
    <t>Celia Matilde Forero Rojas</t>
  </si>
  <si>
    <t>28.190.396</t>
  </si>
  <si>
    <t>Cra 86c bis No 42-51 sur</t>
  </si>
  <si>
    <t>4.632149188331498, -74.16842888638683</t>
  </si>
  <si>
    <t>Luzmari2909@hotmail.com</t>
  </si>
  <si>
    <t xml:space="preserve">Es la madre de Emilse y Luz Marina Valenzuela </t>
  </si>
  <si>
    <t>202401021_Celia Matilde Forero Rojas</t>
  </si>
  <si>
    <t>Solicitud salud: procedimiento adenomectomía o protatectomía transversal. Cirugía por Inflamación de la próstata</t>
  </si>
  <si>
    <t>Timiza</t>
  </si>
  <si>
    <t>Héctor Enrique Prieto Guasca</t>
  </si>
  <si>
    <t>Carrera 72 L # 50 48 sur</t>
  </si>
  <si>
    <t>4.609958391954326, -74.1483186367533</t>
  </si>
  <si>
    <t>Eprieto671@gmail.com</t>
  </si>
  <si>
    <t xml:space="preserve">Se hace traslado a través de oficio, fue por solicitud de la delegada política de Kennedy Central. </t>
  </si>
  <si>
    <t>202401024_Héctor Enrique Prieto Guasca</t>
  </si>
  <si>
    <t>Solicitud cupo por falla en el aplicativo con el documento de identidad</t>
  </si>
  <si>
    <t xml:space="preserve">Nathin Vanessa Leal Moscoso </t>
  </si>
  <si>
    <t>Cll57a sur #81-28</t>
  </si>
  <si>
    <t>4.616994655590592, -74.17976931686992</t>
  </si>
  <si>
    <t>moscosovanessa47@gmail.com</t>
  </si>
  <si>
    <t>Se menciona que el trámite se realiza a partir del 20 de enero</t>
  </si>
  <si>
    <t>202001059 Nathin Vanessa Leal Moscoso</t>
  </si>
  <si>
    <t>Solicitud: Adquirir silla de ruedas</t>
  </si>
  <si>
    <t xml:space="preserve">Prados de Castilla </t>
  </si>
  <si>
    <t>Merardo Beltrán González</t>
  </si>
  <si>
    <t xml:space="preserve">Cra 90 # 6 a 47 </t>
  </si>
  <si>
    <t>4.650913110462878, -74.15816209814646</t>
  </si>
  <si>
    <t>Idalidmendezsamchez@gmail.com</t>
  </si>
  <si>
    <t>Se  realiza traslado a la entidad</t>
  </si>
  <si>
    <t>Luz Marina Fino</t>
  </si>
  <si>
    <t>Traslado D.P Merardo Beltrán González  - 202401077</t>
  </si>
  <si>
    <t xml:space="preserve">Solicitud:  silla de ruedas </t>
  </si>
  <si>
    <t>Alcaldias Locales</t>
  </si>
  <si>
    <t>4.650913110462878, -74.15816209814647</t>
  </si>
  <si>
    <t>Servicios públicos</t>
  </si>
  <si>
    <t>Solicitud: Dar respuesta y solución al radicado E-2024-112137 de la comunidad Pinar del Rio 2do sector zona 8 Kennedy, sobre la problemática de taponamiento de sumideros de aguas lluvias en Calle 40 bis B sur desde la carrera 82 hasta la carrera 86 avenida Ciudad de Cali.</t>
  </si>
  <si>
    <t>Empresa de Acueducto y Alcantarillado de Bogotá -ESP</t>
  </si>
  <si>
    <t xml:space="preserve">Pinar del Rio 2do sector </t>
  </si>
  <si>
    <t>Alonso de Jesús Correa Sanches</t>
  </si>
  <si>
    <t xml:space="preserve">Carrera 82 D No. 40 – 62 sur </t>
  </si>
  <si>
    <t>4.6136946890630695, -74.19736157559124</t>
  </si>
  <si>
    <t xml:space="preserve">cb08kennedyalonso@gmail.com </t>
  </si>
  <si>
    <t>202401079_Alonso de Jesús Correa Sanches</t>
  </si>
  <si>
    <t xml:space="preserve">Traslado de salud: Solicitud de adenomectomía por ablación de próstata. </t>
  </si>
  <si>
    <t xml:space="preserve">Asdrúbal Novoa Villalba </t>
  </si>
  <si>
    <t>Carrera 78 sur #42 a 15</t>
  </si>
  <si>
    <t>4.611547136394427, -74.16001694598356</t>
  </si>
  <si>
    <t>asnvill@yahoo.es</t>
  </si>
  <si>
    <t>3102295199 - 3005544552</t>
  </si>
  <si>
    <t>Se hace traslado a través de enlace</t>
  </si>
  <si>
    <t>202401100_Asdrúbal Novoa Villalba</t>
  </si>
  <si>
    <t>Traslado derecho de petición para revisión del caso, ya que hace un mes le dieron la tarjeta y no ha podido retirar su subsidio</t>
  </si>
  <si>
    <t>Las Acacias</t>
  </si>
  <si>
    <t>Alba Salinas Torres</t>
  </si>
  <si>
    <t>Calle 40 # 99 d 14 sur</t>
  </si>
  <si>
    <t>4.649753904708582, -74.17608594574662</t>
  </si>
  <si>
    <t>albasalinas1059@gmail.com</t>
  </si>
  <si>
    <t>Se envia por medio del enlace, [RESPUESTA]
"En atención al caso de la ciudadana Alba Salinas Torres, identificada con CC No. 51.569.838 a quien se ubica en el número 3144623780, correo electrónico: albasalinas1059@gmail.com, reside en la dirección: Calle 40 No. 99 D - 14 Sur, Barrio: Las Acacias, Patio Bonito; y manifiesta que " vivía en la localidad de Ciudad Bolívar y recibía el subsidio tipo c, ahora vive en la localidad de Kennedy, pero cuando fue a retirar le dicen que aparece como inactiva ", razón por la que requiere solución por parte de la Secretaría Distrital de Integración Social. 
En este sentido, los profesionales de atención de la Subdirección Local de Kennedy verificaron el Sistema de Información y Registro de Beneficiarios de la Secretaría Distrital de Integración Social – SIRBE, se evidenció que la ciudadana actualmente no se encuentra en atención de los servicios sociales que presta la Entidad. No obstante, se identificó que la ciudadana fue beneficiaria desde el Proyecto de Inversión 7937 “G eneración de oportunidades para la inclusión social y productiva de las personas mayores en Bogotá D.C. ” Servicio de “ Apoyos Económicos para Persona Mayor ”  en la localidad de Ciudad Bolívar hasta el 27 de Noviembre de 2024, fecha en la cual fue egresada del Servicio por encontrarse inscrita y activa como  beneficiaria del programa Colombia Mayor en el municipio de Fresno del Departamento de Tolima.
Así las cosas, con el fin de brindar atención al caso, el día 24 de diciembre de 2024, se estableció contacto con la ciudadana al número abonado, logrando concretar una cita para el mismo día en las instalaciones del Centro de Desarrollo Comunitario Kennedy  - CDC- ubicado en la Carrera 80 No.43- 43 Sur. Donde una vez cumplida la cita por parte de la ciudadana, se logró realizar proceso de focalización para su ingreso desde el Proyecto de Inversión 7953  “ Generación del bien-estar alimentario y nutricional en Bogotá D.C" . Servicio de “ Comedores Comunitarios ”. De igual modo, dado que la ciudadana actualmente reúne las condiciones necesarias que configuran una emergencia social, se le informó que puede acercarse al nuevamente al CDC a partir del 15 de enero del 2025 para realizar atención desde el servicio de ”Respuesta Social” mediante el cual le será entregado un bono canjeable por alimentos por valor de $150.000."</t>
  </si>
  <si>
    <t>El ciudadano solicita la condonación o la disminción de intereses por la devolución del subsidio de sostenimiento de Jovenes a la E</t>
  </si>
  <si>
    <t>Agencia Atenea</t>
  </si>
  <si>
    <t xml:space="preserve">Jhon Freddy Ortega Villalobos </t>
  </si>
  <si>
    <t>jhonvicorte@hotmail.com</t>
  </si>
  <si>
    <t>202500001_El ciudadano solicita la condonación o la disminción de intereses por la devolución del subsidio de sostenimiento de Jovenes a la E</t>
  </si>
  <si>
    <t>El ciudadano solicita asistencia social ya que esta pasando por una situación dificil economicamente, tiene un bebe de pocos años de edad</t>
  </si>
  <si>
    <t>202500002_El ciudadano solicita asistencia social ya que esta pasando por una situación dificil economicamente, tiene un bebe de pocos años de edad</t>
  </si>
  <si>
    <t>Solicitud de traslado de colegio. El estudiandiente se encontraba en Tom Adam’s y solicita el traslado para el Colegio manuel cepeda.</t>
  </si>
  <si>
    <t xml:space="preserve">Estudiante: Faber Jafet Lopera Sierra
Acudiente: Ana Maryeth Sierra Armero
</t>
  </si>
  <si>
    <t>TI. 1.104.946.542</t>
  </si>
  <si>
    <t>Calle 48a Sur #79b-15</t>
  </si>
  <si>
    <t>4.616405120645921, -74.1685495054107</t>
  </si>
  <si>
    <t>faberloperasierra@gmail.com</t>
  </si>
  <si>
    <t>320 3029490</t>
  </si>
  <si>
    <t>202500003_Faber Jafet Lopera Sierra</t>
  </si>
  <si>
    <t xml:space="preserve">Solicitud: Citas médicas para tratamiento oncológico </t>
  </si>
  <si>
    <t>Gestión 2025</t>
  </si>
  <si>
    <t xml:space="preserve">Óscar Oviedo Acero </t>
  </si>
  <si>
    <t>Carrera 98 # 0 - 41</t>
  </si>
  <si>
    <t>4.65169742970834, -74.17040005767151</t>
  </si>
  <si>
    <t>olosorio1972@gmail.com</t>
  </si>
  <si>
    <t xml:space="preserve">Se solicitó a través de enlace el 24 de diciembre de 2024, sin embargo, no se ha hecho el requerimiento. La persona se encuentra en UCI el 7/01/2025, se procede a hacer oficio con copia a supersalud para que se le garanticen todas las atenciones. </t>
  </si>
  <si>
    <t>202500005_Óscar Oviedo Acero</t>
  </si>
  <si>
    <t xml:space="preserve">Asesoría jurídica a Nicol Tatiana Laverde Prado sobre cómo reclamar una indemnización por seguro SOAT a causa de la muerte de su padre por accidente de tránsito. </t>
  </si>
  <si>
    <t>Nicol Tatiana Laverde Prado</t>
  </si>
  <si>
    <t>Calle 42 f sur #78 b 28</t>
  </si>
  <si>
    <t>4.613342770999458, -74.16011984603308</t>
  </si>
  <si>
    <t>niicoltaatiana22@gmail.com</t>
  </si>
  <si>
    <t>202500015_Nicol Tatiana Laverde Prado</t>
  </si>
  <si>
    <t>Cupos escolares</t>
  </si>
  <si>
    <t>Solicitud: cambio de jornada tarde a la mañana por temas de seguridad de la menor y por facilidad de los padres debido a sus trabajos.</t>
  </si>
  <si>
    <t>Villa Andrea</t>
  </si>
  <si>
    <t>Mayelli Abonia</t>
  </si>
  <si>
    <t>Calle 53a # 81- 21sur</t>
  </si>
  <si>
    <t>4.618911218396922, -74.1754592319063</t>
  </si>
  <si>
    <t xml:space="preserve">mayaboca17@gmail.com </t>
  </si>
  <si>
    <t>202500072_Mayelli Abonia</t>
  </si>
  <si>
    <t>La Sra Natalia Zapata solicita un cupo a un colegio cercano ya que en donde le dieron cupo queda muy lejos al lugar de residencia</t>
  </si>
  <si>
    <t>Natalia Zapata</t>
  </si>
  <si>
    <t xml:space="preserve">carrera 98 Bis # 42A93 sur </t>
  </si>
  <si>
    <t>4.6461056119038835, -74.17790138992412</t>
  </si>
  <si>
    <t>n/A</t>
  </si>
  <si>
    <t>Solicitud: 
- Ecografía de abdomen total. 
- Radiografía de senos paranasales.</t>
  </si>
  <si>
    <t>San Andres</t>
  </si>
  <si>
    <t>Jose Alzamora Hernández</t>
  </si>
  <si>
    <t xml:space="preserve"> Calle 43 a sur #72 a 73 </t>
  </si>
  <si>
    <t>4.6022865607799055, -74.1472455644179</t>
  </si>
  <si>
    <t>josealzamorah@gmail.com</t>
  </si>
  <si>
    <t>celular: 3223761671
Celular esposa: 3108723215</t>
  </si>
  <si>
    <t>202500162_ Jose Alzamora Hernández</t>
  </si>
  <si>
    <t>Cupo</t>
  </si>
  <si>
    <t>Solicita un cupo escolar</t>
  </si>
  <si>
    <t>Osorio</t>
  </si>
  <si>
    <t>Solangie Martinez Rubiano</t>
  </si>
  <si>
    <t>Calle 2 #93D-45</t>
  </si>
  <si>
    <t>alejo21475@gmail.com</t>
  </si>
  <si>
    <t>biopsia de lengua ensivional</t>
  </si>
  <si>
    <t>class</t>
  </si>
  <si>
    <t>Briceida callejas</t>
  </si>
  <si>
    <t>calle 51  sur # 79d- 09</t>
  </si>
  <si>
    <t>4.616805259678949, -74.16987020361948</t>
  </si>
  <si>
    <t>brisscallejas.g@hotmail.com</t>
  </si>
  <si>
    <t>Solicitu de  TAC de columna cervical</t>
  </si>
  <si>
    <t>Deivid Enrique Barranco Guerrero</t>
  </si>
  <si>
    <t>Carrera 88 N 5-41</t>
  </si>
  <si>
    <t>4.6411717255702865, -74.16212016339438</t>
  </si>
  <si>
    <r>
      <rPr>
        <rFont val="&quot;Arial Narrow&quot;, sans-serif"/>
        <b/>
        <color rgb="FF1155CC"/>
        <u/>
      </rPr>
      <t>barrancoenrique15@gmail.com</t>
    </r>
    <r>
      <rPr>
        <rFont val="Arial"/>
      </rPr>
      <t>.</t>
    </r>
  </si>
  <si>
    <t xml:space="preserve">Solicitud: gestionar agenda para una cirugía priooritaria, pero no hay agenda. El procedimiento es una glosectomia radical via abierta. </t>
  </si>
  <si>
    <t>Casa blanca</t>
  </si>
  <si>
    <t xml:space="preserve">Briceda Callejas Gonzalez </t>
  </si>
  <si>
    <t>Calle 51 sur 79 D 09 Bloque FA | 5 apto 304</t>
  </si>
  <si>
    <t>4.616078367822084, -74.17077445989494</t>
  </si>
  <si>
    <t xml:space="preserve">202500328_Briceda Callejas Gonzalez </t>
  </si>
  <si>
    <t xml:space="preserve">Violencia Intrafamiliar </t>
  </si>
  <si>
    <t>Solicitud de verificación del proceso de restablecimiento de derechos de un menor de edad y de la resolución emitida por la Comisaría de Familia de Medellín, remitida a la entidad competente.</t>
  </si>
  <si>
    <t>Personería Distrital</t>
  </si>
  <si>
    <t>Andres Felipe Montañez</t>
  </si>
  <si>
    <t>calle 48 a sur # 72j - 70</t>
  </si>
  <si>
    <t>4.602860103144236, -74.15209881728678</t>
  </si>
  <si>
    <t xml:space="preserve">Solicitudes: 1. Trámite para certificación médica de discapacidad emitida por la EPS Salud Total. 2. Lectura de examen para generar un dictamen médico oficial, lleva 8 meses tratando de que le den el diagnóstico. </t>
  </si>
  <si>
    <t>Catalina</t>
  </si>
  <si>
    <t xml:space="preserve">Jairo Andrés Rodríguez </t>
  </si>
  <si>
    <t xml:space="preserve">Calle 54 a sur #78 f 20 </t>
  </si>
  <si>
    <t>4.610765101226499, -74.1702505037046</t>
  </si>
  <si>
    <t xml:space="preserve">andresrodriguez.19@outlook.com </t>
  </si>
  <si>
    <t xml:space="preserve">202500398_Jairo Andrés Rodríguez </t>
  </si>
  <si>
    <t>Desde el 18 de noviembre de 2024 se dio inicio al proceso de solicitud para la cirugía de cambio de rodilla izquierda cementada. La paciente requiere agendar nuevamente las citas médicas necesarias para realizar los exámenes prequirúrgicos y poder proceder con la intervención. Está afiliada al régimen subsidiado, bajo la EPS Coosalud, pero en Bogotá es atendida por la IPS SUDRED según directriz de la misma EPS</t>
  </si>
  <si>
    <t>Barranquillita</t>
  </si>
  <si>
    <t>Maria Soleda Moreno de Quiñonez</t>
  </si>
  <si>
    <t xml:space="preserve">carrera 86 c bis Nº 40-45 sur
</t>
  </si>
  <si>
    <t>4.633789564504882, -74.16584100341763</t>
  </si>
  <si>
    <t>erikapuertas06@gmail.com</t>
  </si>
  <si>
    <t>Abuso Sexual</t>
  </si>
  <si>
    <t>Solicitud de seguimiento a las mesas de trabajo y los compromisos con el caso presentado</t>
  </si>
  <si>
    <t>08.Kennedy Central</t>
  </si>
  <si>
    <t>4.62161, -74.16491</t>
  </si>
  <si>
    <t>Zulein Estefanía Jurado Morales</t>
  </si>
  <si>
    <t>Calle Transversal 78IBISA Calle 41C S en Kennedy</t>
  </si>
  <si>
    <t>4.6193322596252155, -74.15860789321484</t>
  </si>
  <si>
    <t>Leidy Diana Soler G</t>
  </si>
  <si>
    <t>202500582 EDUCACIÓN Zulein Estefanía Jurado Morales</t>
  </si>
  <si>
    <t>Solicitud de medicamentos: Fluticasona suspensión nasal, fluticasona propionato + salmeterol polvo para inhalación, levocetirizina diclorhidrato + montelukast capsula. 
Tiempo de solicitud: desde noviembre de 2024.</t>
  </si>
  <si>
    <t xml:space="preserve">Saucedal </t>
  </si>
  <si>
    <t>Angela María Marentes</t>
  </si>
  <si>
    <t xml:space="preserve">Calle 36 #83 b 08 sur </t>
  </si>
  <si>
    <t>4.634662903470555, -74.16182094912699</t>
  </si>
  <si>
    <t>angelamariamarentes@gmail.com</t>
  </si>
  <si>
    <t>202500583_Angela María Marentes</t>
  </si>
  <si>
    <t>Hacienda</t>
  </si>
  <si>
    <t>Impuesto predial</t>
  </si>
  <si>
    <t>Traslado: Se presenta una solicitud para revisar el valor del impuesto predial, considerado injustificado y excesivo en comparación con otros bienes inmuebles de proporciones similares. Se solicita que, de ser procedente, se ajusten los valores correspondientes y se evalúe la posibilidad de generar saldos a favor o la devolución del dinero.</t>
  </si>
  <si>
    <t>Secretaría Distrital de Hacienda</t>
  </si>
  <si>
    <t xml:space="preserve">Villa Andrea Kennedy </t>
  </si>
  <si>
    <t>Blanca Lilia Orduña Sierra</t>
  </si>
  <si>
    <t>Cra 81i #51c-03</t>
  </si>
  <si>
    <t>4.621953180365622, -74.1756934037369</t>
  </si>
  <si>
    <t>Blancaliliak19@gmail.com</t>
  </si>
  <si>
    <t>202500592_ Blanca Lilia Orduña Sierra</t>
  </si>
  <si>
    <t>Solicitud de intervención cusodia de un menor de edad</t>
  </si>
  <si>
    <t>Dairo García</t>
  </si>
  <si>
    <t>Trasversal 78 h bis a 43 - 27 sur</t>
  </si>
  <si>
    <t>4.616059552266472, -74.163354490591</t>
  </si>
  <si>
    <t>dairogarciacalderon@hotmail.com</t>
  </si>
  <si>
    <t>3142486135 - 3196422287</t>
  </si>
  <si>
    <t>Traslado derecho de petición Pablo Vidal Esteban Villabona, tiene cancer de estomago y requiere un alimento especial que no se la ha entregado la EPS</t>
  </si>
  <si>
    <t xml:space="preserve">Pastranita 2 sector
</t>
  </si>
  <si>
    <t>Pablo vidal Esteban Villabona</t>
  </si>
  <si>
    <t xml:space="preserve">Calle 49sur #78G 04
</t>
  </si>
  <si>
    <t>4.612959347471619, -74.17165208822214</t>
  </si>
  <si>
    <t>emilijacas1975@gmail.com</t>
  </si>
  <si>
    <t>Requiere: procedimientos de curación de lesión en piel o tejido celular subcutáneo (código 869500) y valoración por clínica de heridas HOK</t>
  </si>
  <si>
    <t>El ciudadano requiere un medicamento para su tratamiento</t>
  </si>
  <si>
    <t>Socorro</t>
  </si>
  <si>
    <t>Gelmo William Marriaga Ríos</t>
  </si>
  <si>
    <t>Carrera 77v bis b  # 4935 sur</t>
  </si>
  <si>
    <t>4.61007107791511, -74.16617246108856</t>
  </si>
  <si>
    <t>ruthestermarriagarios@gmail.com</t>
  </si>
  <si>
    <t>Victimas del Conflicto Armado</t>
  </si>
  <si>
    <t>Desplazamiento forzado</t>
  </si>
  <si>
    <t>Solicitud de atención y orientación integral a tres ciudadanos víctimas de desplazamiento forzado provenientes del municipio de Tibú, Norte de Santander.</t>
  </si>
  <si>
    <t>Alta Consejeria TIC</t>
  </si>
  <si>
    <t>Wilfer Ezneyr Guerrero Pérez, Luz Marina Guerrero Pérez y Álvaro Lobo Torrado</t>
  </si>
  <si>
    <t>1093781311, 60434000, 88175482</t>
  </si>
  <si>
    <t>Carrera 93A #40-16</t>
  </si>
  <si>
    <t>4.630066894742304, -74.17739150690518</t>
  </si>
  <si>
    <t>3115288095 / 3229292419</t>
  </si>
  <si>
    <t>La consejería proporcionó rutas de atención, direcciones de los Centros de Encuentro para la Paz y puntos de atención a víctimas, indicando los servicios disponibles y pasos a seguir. La entidad da por atendida la solicitud.</t>
  </si>
  <si>
    <t>Wilfer Ezneyr Guerrero Pérez</t>
  </si>
  <si>
    <t>Cita</t>
  </si>
  <si>
    <t>Traslado derecho de petición Víctor Manuel Pardo Díaz</t>
  </si>
  <si>
    <t xml:space="preserve">Victor Manuel pardo días
</t>
  </si>
  <si>
    <t xml:space="preserve">Cra 80i No 48a-16 sur </t>
  </si>
  <si>
    <t>4.6206625470939935, -74.17117954574654</t>
  </si>
  <si>
    <t>victormanuelpardo1612@gmail.com</t>
  </si>
  <si>
    <t>Cita con especialista</t>
  </si>
  <si>
    <t>Traslado derecho de petición Rosa Elena Ramírez Cárdenas - 202500943, cita para sutura</t>
  </si>
  <si>
    <t>Chicala</t>
  </si>
  <si>
    <t>Rosa Elena Ramírez Cárdenas</t>
  </si>
  <si>
    <t>Cra. 87 Bis # 40C-53</t>
  </si>
  <si>
    <t>4.634056176886599, -74.1680030035653</t>
  </si>
  <si>
    <t>rosaelena.ramirez.03@gmail.com</t>
  </si>
  <si>
    <t>Traslado derecho de petición Moisés Antonio Velarde Ladino - 202500944 solicita cita para cirujia</t>
  </si>
  <si>
    <t>Moisés Antonio velarde ladino</t>
  </si>
  <si>
    <t xml:space="preserve">Solicitud de cita </t>
  </si>
  <si>
    <t>tiene Capital salud, Subsidiado, y requiere una cita por Hipoacusia bilateral Cita de otología, pero no ha sido posible conseguirla, la orden la tengo desde el 30 de abril.</t>
  </si>
  <si>
    <t xml:space="preserve">Las Margaritas </t>
  </si>
  <si>
    <t>Steven Navarro Parrales</t>
  </si>
  <si>
    <t>Carrera. 89a #45a 38</t>
  </si>
  <si>
    <t>4.694219180863009, -74.11030757749724</t>
  </si>
  <si>
    <t>navarro456123@gmail.com</t>
  </si>
  <si>
    <t xml:space="preserve">3016288659‬‬ </t>
  </si>
  <si>
    <t>Solicitud de medicamento polietilenglicol 400/propilenglicol gel oftálmico gotas para los ojos, sin entrega desde hace más de 4 meses</t>
  </si>
  <si>
    <t>María de Jesús Méndez Martinez</t>
  </si>
  <si>
    <t>Calle 53 Sur #82H-06</t>
  </si>
  <si>
    <t>4.621809316706806, -74.17697803249638</t>
  </si>
  <si>
    <t>marymendezmartinez730@gmail.com</t>
  </si>
  <si>
    <t xml:space="preserve">Alexandra García  </t>
  </si>
  <si>
    <t>Solicita cita de otología por diagnóstico de hipoacusia bilateral</t>
  </si>
  <si>
    <t>Masculino</t>
  </si>
  <si>
    <t>Cra. 89A #45A-38 Sur</t>
  </si>
  <si>
    <t>4.634533758020684, -74.1770417044698</t>
  </si>
  <si>
    <t>Solicita entrega del medicamento carboximetilcelulosa sódica liquigel 1% solución oftálmica, ordenado hace más de 2 meses para tratar entropión y triquiasis palpebral</t>
  </si>
  <si>
    <t>El Carmelo</t>
  </si>
  <si>
    <t>4.620952549090315, -74.17641244232873</t>
  </si>
  <si>
    <t>Álvaro Martínez Roa</t>
  </si>
  <si>
    <t>Calle 53 Sur #81H-06</t>
  </si>
  <si>
    <t>4.634533758020684, -74.1770417044699</t>
  </si>
  <si>
    <t>alvaromartinezroa29@gmail.com</t>
  </si>
  <si>
    <t>Es preciso informar que el pasado 12 de junio de 2025, se trasladó a la EPS SALUD
TOTAL, donde se recibe respuesta, donde se informa:
De acuerdo con su actual requerimiento, donde solicita OPORTUNIDAD EN
ENTREGA DE MEDICAMENTOS a favor del señor ALVARO MARTINEZ ROA C
19223377 se trasladó el caso al área médica de nuestra EAPB, quienes indican:
Se anexan soportes de la entrega de los medicamentos solicitados dando
cumplimiento al requerimiento hecho por el protegido.</t>
  </si>
  <si>
    <t>Cita médica</t>
  </si>
  <si>
    <t>Solicita cita con especialista en otología debido a hipoacusia bilateral y requerimientos prequirúrgicos.</t>
  </si>
  <si>
    <t>4.634544451777012, -74.17706316214107</t>
  </si>
  <si>
    <t>Solicita entrega de medicamentos: semaglutida, sacubitrilo/valsartán, empagliflozina/metformina y levotiroxina por diagnóstico de falla cardíaca y diabetes.</t>
  </si>
  <si>
    <t>Puente Aranda</t>
  </si>
  <si>
    <t>María Elvira Mora de Deaza</t>
  </si>
  <si>
    <t>Femenino</t>
  </si>
  <si>
    <t>Calle 3B #40C-44</t>
  </si>
  <si>
    <t>4.6135495709338326, -74.11134081796291</t>
  </si>
  <si>
    <t>mariainesdeazam@gmail.com</t>
  </si>
  <si>
    <t>3133670591 - 3132589352</t>
  </si>
  <si>
    <t>Solicitud de entrega del medicamento ácido valproico para convulsiones. Se ha intentado en varias farmacias sin éxito.</t>
  </si>
  <si>
    <t>Ciudad Jardín Sur</t>
  </si>
  <si>
    <t>José Miguel Deaza Gil</t>
  </si>
  <si>
    <t>Calle 3b #40 c-44</t>
  </si>
  <si>
    <t>4.613485406491816, -74.11131936029123</t>
  </si>
  <si>
    <t>Trámites</t>
  </si>
  <si>
    <t>Sí</t>
  </si>
  <si>
    <t>Enviado</t>
  </si>
  <si>
    <t>Pendiente de respuesta institucional</t>
  </si>
  <si>
    <t>Especialista y Medicamentos</t>
  </si>
  <si>
    <t>Solicitud de cita con neurólogo y entrega de medicamentos. La ciudadana lleva dos meses esperando la atención sin obtener respuesta. Requiere atención por diagnóstico de hemorragia subaracnoidea y antecedentes de diabetes e hipertensión. Medicamentos: Levotiroxina 100 mcg, Biocalcium, Levotiroxina 50 mcg, Glucoquick agujas, Apidra Solostar, Lantus 100/ml, Calcitriol, Losart/Hidroclorotiazida, C-G-MET G-Tabs 100 mg, Jardiance 10 mg.</t>
  </si>
  <si>
    <t>Patio Bonito 3 sector</t>
  </si>
  <si>
    <t>María Fidelia Hernández de Urrea</t>
  </si>
  <si>
    <t>Calle 5b norte #87f - 38</t>
  </si>
  <si>
    <t>4.642980791707799, -74.1590596269862</t>
  </si>
  <si>
    <t>Cita especialista</t>
  </si>
  <si>
    <t>Solicita cita neurologia desde octubre del 2024</t>
  </si>
  <si>
    <t>Restrepo</t>
  </si>
  <si>
    <t>Ariana Rojas</t>
  </si>
  <si>
    <t>calle 13 sur 24 g 38</t>
  </si>
  <si>
    <t>4.592160633739742, -74.10227917273365</t>
  </si>
  <si>
    <t>olagos.826@gmail.com</t>
  </si>
  <si>
    <t>Entrega de medicamentos y agenda de cirujia</t>
  </si>
  <si>
    <t>Rosalia Munoz Molina</t>
  </si>
  <si>
    <t xml:space="preserve">Cra 87H 54D 45 sur </t>
  </si>
  <si>
    <t>4.627128411754784, -74.18453213771159</t>
  </si>
  <si>
    <t>solicita empleo</t>
  </si>
  <si>
    <t>Traslado derecho de petición Norly Chimunja, solicita empleo e información sobre las rutas de empleo del distrito</t>
  </si>
  <si>
    <t xml:space="preserve">Norly Chimunja
</t>
  </si>
  <si>
    <t>Kra97#38-23</t>
  </si>
  <si>
    <t>4.647626698230966, -74.17303787863385</t>
  </si>
  <si>
    <t>norlyjimenez09@gmail.com</t>
  </si>
  <si>
    <t>Bono adulto mayor</t>
  </si>
  <si>
    <t>Traslado derecho de petición Hernando Rubio Guzmán bono adulto mayor</t>
  </si>
  <si>
    <t>Argelia</t>
  </si>
  <si>
    <t>Hernando Rubio Guzmán</t>
  </si>
  <si>
    <t>frubiogusman@gmail.com</t>
  </si>
  <si>
    <t>Solcita medicamentos</t>
  </si>
  <si>
    <t>Nueva York</t>
  </si>
  <si>
    <t xml:space="preserve">Salvador Gonzalez Parra
</t>
  </si>
  <si>
    <t xml:space="preserve">calle 39d sur #72-56
</t>
  </si>
  <si>
    <t>4.606053490749763, -74.14318645924023</t>
  </si>
  <si>
    <t>adrianaluciagon@gmail.com</t>
  </si>
  <si>
    <t xml:space="preserve">Afiliación </t>
  </si>
  <si>
    <t>Indica la ciudadana que tiene problemas para ser atendida por parte de la eps a la que pertenece</t>
  </si>
  <si>
    <t>Gutiérrez Sarmiento Ibone lorena</t>
  </si>
  <si>
    <t>KR 68c # 11 31 sur</t>
  </si>
  <si>
    <t>4.616470891596857, -74.12799344535694</t>
  </si>
  <si>
    <t>onekfir@hotmail.com</t>
  </si>
  <si>
    <t>304 2017919</t>
  </si>
  <si>
    <t>Acompañamiento interprete</t>
  </si>
  <si>
    <t>Indica que requiere un interprete para una cita</t>
  </si>
  <si>
    <t>Rosa Elvira Villada Restrepo</t>
  </si>
  <si>
    <t>Carrera 72F Bis #39-52 Sur</t>
  </si>
  <si>
    <t>4.607618561153369, -74.14310367643046</t>
  </si>
  <si>
    <t>pachovillada@live.com</t>
  </si>
  <si>
    <t>Solicita reprogramación urgente de procedimiento de reparación de defecto de tabique interauricular cancelado sin justificación. Riesgo de ACV isquémico y otros efectos adversos.</t>
  </si>
  <si>
    <t>Valladolid</t>
  </si>
  <si>
    <t>Juan Sebastian Otalora Castillo</t>
  </si>
  <si>
    <t>Hombre</t>
  </si>
  <si>
    <t>Carrera 81 c # 8 a 26</t>
  </si>
  <si>
    <t>4.611092628192117, -74.19099256382435</t>
  </si>
  <si>
    <t>luzamparo0216@gmail.com</t>
  </si>
  <si>
    <t>Le asignan cita exitosamente</t>
  </si>
  <si>
    <t>Juan Sebastián Otalora Castillo (Kennedy)</t>
  </si>
  <si>
    <t>Traslado derecho de petición Pedro Fuentes requiere programar cirujia</t>
  </si>
  <si>
    <t xml:space="preserve">Pedro  Fuentes  
</t>
  </si>
  <si>
    <t>CRA  78 BIS 42B  21  SUR</t>
  </si>
  <si>
    <t>4.612806406652739, -74.1591571745821</t>
  </si>
  <si>
    <t>PEDROFUENTES2325@GMAIL.COM</t>
  </si>
  <si>
    <t>321 2555587</t>
  </si>
  <si>
    <t>Solicita cita de pediatria y oftamología (hija recien nacida)</t>
  </si>
  <si>
    <t>Bosa Porvenir</t>
  </si>
  <si>
    <t>Daniel Reyes</t>
  </si>
  <si>
    <t>Carrera 97C #49-78 Sur</t>
  </si>
  <si>
    <t>4.642071049155192, -74.1841886727337</t>
  </si>
  <si>
    <t>dydykyl@hotmail.com</t>
  </si>
  <si>
    <t>Animales</t>
  </si>
  <si>
    <t>Se solicita a secretaria de salud (zoonosis) la atención y recogida de un perro callejero que ha mordido a varias personas en la zona</t>
  </si>
  <si>
    <t>Bosa Brasil</t>
  </si>
  <si>
    <t>Davis Santiago Mendoza Parra</t>
  </si>
  <si>
    <t>AV. Tintal - CL 49 Sur</t>
  </si>
  <si>
    <t>4.6345171550103785, -74.18000255043707</t>
  </si>
  <si>
    <t>Ambiente</t>
  </si>
  <si>
    <t>Tala de arboles</t>
  </si>
  <si>
    <t>Asunto: Traslado derecho de petición – Comunidad Rincón de los Ángeles – Prioridad en tratamiento silvicultural y recuperación del andén</t>
  </si>
  <si>
    <t>Jardín Botánico José Celestino Mutis  JBB</t>
  </si>
  <si>
    <t>Rincon de los Angeles</t>
  </si>
  <si>
    <t>Calle 6A #75-72</t>
  </si>
  <si>
    <t>4.632184471220997, -74.14484358992394</t>
  </si>
  <si>
    <t>Seguridad</t>
  </si>
  <si>
    <t>Traslado derecho de petición – Comunidad Edificio Multifamiliar Pensil B – Solicitud de atención integral y recuperación del espacio público (Kennedy)</t>
  </si>
  <si>
    <t>Policía Nacional</t>
  </si>
  <si>
    <t>Floralia</t>
  </si>
  <si>
    <t>SANDRA MILENA MONROY</t>
  </si>
  <si>
    <t>Carrera 68 D # 26 – 20</t>
  </si>
  <si>
    <t>4.610304566200473, -74.1312659291356</t>
  </si>
  <si>
    <t>multifamiliarpensilb@gmail.com</t>
  </si>
  <si>
    <t>Traslado derecho de petición Hernando Tafur Martínez</t>
  </si>
  <si>
    <t>Horizonte Occidente</t>
  </si>
  <si>
    <t>Hernando Tafur Martínez</t>
  </si>
  <si>
    <t>Carrera 87I No. 42F-39 Sur</t>
  </si>
  <si>
    <t>4.634036186374089, -74.17242601812879</t>
  </si>
  <si>
    <t>jennytafur30@gmail.com</t>
  </si>
  <si>
    <t>Cita primera vez</t>
  </si>
  <si>
    <t>Asunto: Traslado derecho de petición Sergio Youseff Osorio Infante</t>
  </si>
  <si>
    <t>Sergio Youseff Osorio Infante</t>
  </si>
  <si>
    <t>cra 73 #8b-58</t>
  </si>
  <si>
    <t>4.640135594108166, -74.13814121875946</t>
  </si>
  <si>
    <t>sergio_lks@hotmail.com</t>
  </si>
  <si>
    <t>Solicita agilización de citas, tratamiento y cirugía para cáncer gástrico. Ha tenido estudios recientes como endoscopia y orden de control con cirugía general. Tiene 75 años.</t>
  </si>
  <si>
    <t>Ayacucho</t>
  </si>
  <si>
    <t xml:space="preserve">07.Bosa Estación </t>
  </si>
  <si>
    <t>Jairo Beltrán Durán</t>
  </si>
  <si>
    <t>Carrera 79A #26-14 Sur</t>
  </si>
  <si>
    <t>4.6247, -74.1702</t>
  </si>
  <si>
    <t>ednabeltrancas@gmail.com</t>
  </si>
  <si>
    <t>3134299053 / 3132340519</t>
  </si>
  <si>
    <t>Solicita cita con oculista por fuertes dolores en los ojos. Lleva más de 6 meses intentando obtenerla sin éxito.</t>
  </si>
  <si>
    <t>Roma Kennedy</t>
  </si>
  <si>
    <t>José Indalecio Niño Velandia</t>
  </si>
  <si>
    <t>Carrera 78H #57B-46 Sur</t>
  </si>
  <si>
    <t>4.6242, -74.1903</t>
  </si>
  <si>
    <t>Joseni-o2424@hotmail.com</t>
  </si>
  <si>
    <t>Vanti</t>
  </si>
  <si>
    <t>Traslado derecho de petición Amanda Gaviria solicitud de Vanti</t>
  </si>
  <si>
    <t>Lituania</t>
  </si>
  <si>
    <t>Amanda Gaviria</t>
  </si>
  <si>
    <t xml:space="preserve">Transversal 113c #67a-32
</t>
  </si>
  <si>
    <t>4.709936076994207, -74.13543127458212</t>
  </si>
  <si>
    <t>Impuesto Predial</t>
  </si>
  <si>
    <t>Traslado derecho de petición Leidy Milena Garzón Deaza  dudas sobre el cobro</t>
  </si>
  <si>
    <t xml:space="preserve">Leidy Milena Garzón </t>
  </si>
  <si>
    <t xml:space="preserve">KR 90ª 4 – 55 </t>
  </si>
  <si>
    <t>4.646976094779873, -74.16252310006976</t>
  </si>
  <si>
    <t>lmgarzond@gmail.com</t>
  </si>
  <si>
    <t>Citas</t>
  </si>
  <si>
    <t>Ciudadano solicita apoyo con los copagos de las citas, ya que no cuenta con los recursos</t>
  </si>
  <si>
    <t>Jorge Andrés Diaz Blanco</t>
  </si>
  <si>
    <t>Cra 94 A # 6C 59</t>
  </si>
  <si>
    <t>4.654357871017766, -74.16124456108851</t>
  </si>
  <si>
    <t>1237miguevale@gmail.com</t>
  </si>
  <si>
    <t xml:space="preserve">Ciudadano solicita con urgencia medicamentos para su tratamiento </t>
  </si>
  <si>
    <t>Gran Colombiano</t>
  </si>
  <si>
    <t>Paola Mora Cruz</t>
  </si>
  <si>
    <t>Calle 42 b sur No 78 p 04</t>
  </si>
  <si>
    <t>4.619153187186014, -74.1621727475951</t>
  </si>
  <si>
    <t>paolamoracruz@gmail.com</t>
  </si>
  <si>
    <t>Asunto: Traslado derecho de petición Luz Dary Pimiento De Gaitan</t>
  </si>
  <si>
    <t>Luz Dary Pimiento De Gaitan</t>
  </si>
  <si>
    <t>Calle 42 sur # 78M 50 Local 112 – 113</t>
  </si>
  <si>
    <t>4.6194063537012395, -74.16058752160052</t>
  </si>
  <si>
    <t>Gobierno</t>
  </si>
  <si>
    <t>Reconocimiento conjunto</t>
  </si>
  <si>
    <t>Traslado derecho de petición residentes Conjunto Residencial Plazuela de De San Esteban (Kennedy - Rincon de los Angeles)</t>
  </si>
  <si>
    <t>Secretaría Distrital de Gobierno</t>
  </si>
  <si>
    <t xml:space="preserve">Nidia Ruth Báez Álvarez 
</t>
  </si>
  <si>
    <t xml:space="preserve">Carrera 78a#6b -28
</t>
  </si>
  <si>
    <t>4.632520987334038, -74.14514579387163</t>
  </si>
  <si>
    <t>psanesteban.ph@gmail.com</t>
  </si>
  <si>
    <t>Procedimiento</t>
  </si>
  <si>
    <t>Solicitud urgente de reprogramación de biopsia en Fundación Shaio debido a falta de agenda oportuna; exámenes prequirúrgicos están próximos a vencerse, lo que retrasaría cirugía de cabeza y cuello</t>
  </si>
  <si>
    <t xml:space="preserve">Maria Elinor Ramírez cruz
</t>
  </si>
  <si>
    <t xml:space="preserve">Calle 7 #90-41
</t>
  </si>
  <si>
    <t>4.651510568543864, -74.1565419472912</t>
  </si>
  <si>
    <t>ramirezelinor253@gmail.com</t>
  </si>
  <si>
    <t>Asunto: Traslado derecho de petición Yenifer Serna Restrepo para entrega de medicamentos</t>
  </si>
  <si>
    <t xml:space="preserve">Yenifer Serna Restrepo </t>
  </si>
  <si>
    <t>cra 80 #42f 39 sur</t>
  </si>
  <si>
    <t>4.623040270085073, -74.16369007602692</t>
  </si>
  <si>
    <t>yennis1226@hotmail.com</t>
  </si>
  <si>
    <t>Perdida de la visión por tumor de fosas nasales, osteomielitis craneal.colgajo craneal
Correo az06182231@gmail.com</t>
  </si>
  <si>
    <t xml:space="preserve">José Luis Martínez Vivanco </t>
  </si>
  <si>
    <t>Carrera 98 #2-20</t>
  </si>
  <si>
    <t>4.651676021338152, -74.16849967584919</t>
  </si>
  <si>
    <t>az06182231@gmail.com</t>
  </si>
  <si>
    <t>Cita con especilista</t>
  </si>
  <si>
    <t>Traslado derecho de petición Martha Lucía Vélez Valencia</t>
  </si>
  <si>
    <t>El Rosario</t>
  </si>
  <si>
    <t>Martha Lucia Velez Valencia</t>
  </si>
  <si>
    <t>Calle 38 b sur # 90 a 29</t>
  </si>
  <si>
    <t>4.641347706494881, -74.16941392982316</t>
  </si>
  <si>
    <t>mayralejandraestrada26@gmail.com</t>
  </si>
  <si>
    <t>Cobros en el recibo de Vanti no asociados al servicio publico</t>
  </si>
  <si>
    <t xml:space="preserve">Asunto: Traslado derecho de petición Leidy Milena Garzón </t>
  </si>
  <si>
    <t>Tierra buena</t>
  </si>
  <si>
    <t>Solicita algun apoyo economico</t>
  </si>
  <si>
    <t>Asunto: Traslado derecho de petición Medardo López, apoyo económico.</t>
  </si>
  <si>
    <t>Medardo López</t>
  </si>
  <si>
    <t>Carrera 81C #46B-23 Sur</t>
  </si>
  <si>
    <t>4.626406534149228, -74.16537547400088</t>
  </si>
  <si>
    <t>Yenifer Serna Restrepo</t>
  </si>
  <si>
    <t>Carrera 80 #42F-39 Sur</t>
  </si>
  <si>
    <t>4.622108344007263, -74.16392370283646</t>
  </si>
  <si>
    <t>Traslados</t>
  </si>
  <si>
    <t>Asunto: Traslado derecho de petición Yuli García Rodríguez, traslado escolar.</t>
  </si>
  <si>
    <t>Danubio Azul</t>
  </si>
  <si>
    <t>Yuli García Rodríguez</t>
  </si>
  <si>
    <t>Calle 56 Sur #81J-40 Interior 7 Apto 501</t>
  </si>
  <si>
    <t>4.618882011271389, -74.18004550098783</t>
  </si>
  <si>
    <t>dahumada1406@hotmail.com</t>
  </si>
  <si>
    <t>Asunto: Traslado derecho de petición Mayelli Abonia Camacho, traslado escolar.</t>
  </si>
  <si>
    <t>Mayelli Abonia Camacho</t>
  </si>
  <si>
    <t>Calle 53A #81I-21 Sur</t>
  </si>
  <si>
    <t>4.615358379371368, -74.17399786795244</t>
  </si>
  <si>
    <t>Asunto: Traslado derecho de petición Elsa María Romero Dussan, traslado escolar.</t>
  </si>
  <si>
    <t>Villa Sonia</t>
  </si>
  <si>
    <t>Elsa María Romero Dussan</t>
  </si>
  <si>
    <t>Procedimiento medico</t>
  </si>
  <si>
    <t>Asunto: Traslado derecho de petición Ángela María Marentes</t>
  </si>
  <si>
    <t>Ángela María Marentes</t>
  </si>
  <si>
    <t>39.666.543</t>
  </si>
  <si>
    <t>Calle 42 Bis #21-87</t>
  </si>
  <si>
    <t>4.619009577860889, -74.1610391452982</t>
  </si>
  <si>
    <t>Otros</t>
  </si>
  <si>
    <t>Traslado derecho de petición Karen Johanna Plata Uni, desea actualizar su certificado de discapacidad</t>
  </si>
  <si>
    <t>Karen Johanna Plata Uni</t>
  </si>
  <si>
    <t>carrera 81a #42f34 sur</t>
  </si>
  <si>
    <t>4.626560791286601, -74.16441046108861</t>
  </si>
  <si>
    <t>karenplata83@gmail.com</t>
  </si>
  <si>
    <t>Cita con especialistas</t>
  </si>
  <si>
    <t>Asunto: Traslado derecho de petición María Herlinda Sanabria Díaz</t>
  </si>
  <si>
    <t>La Margarita</t>
  </si>
  <si>
    <t>María Herlinda Sanabria Díaz</t>
  </si>
  <si>
    <t>Carrera 89A #46-45 Sur</t>
  </si>
  <si>
    <t>4.710890324915653, -74.09764448934257</t>
  </si>
  <si>
    <t>Asunto: Traslado derecho de petición Magola Delgado Ordóñez</t>
  </si>
  <si>
    <t>Las vegas 2 sector</t>
  </si>
  <si>
    <t>Magola Delgado Ordóñez</t>
  </si>
  <si>
    <t>Calle 42G Sur #88H-23</t>
  </si>
  <si>
    <t>4.635708832733582, -74.1736633758492</t>
  </si>
  <si>
    <t>leidy21julieth@gmail.com</t>
  </si>
  <si>
    <t>Cupo escolar</t>
  </si>
  <si>
    <t>Solicita cupo escolar</t>
  </si>
  <si>
    <t xml:space="preserve">Leidy Natalia Cortes Padilla
</t>
  </si>
  <si>
    <t xml:space="preserve">Calle 5 b # 73-41
</t>
  </si>
  <si>
    <t>4.629323102891885, -74.14135823167179</t>
  </si>
  <si>
    <t xml:space="preserve">leidy_natalia0412@outlook.es
</t>
  </si>
  <si>
    <t>https://drive.google.com/drive/folders/15YrlfImX5FxcyQrt94GKb1NtnZ1dpp7C?usp=sharing</t>
  </si>
  <si>
    <t>Osorio III</t>
  </si>
  <si>
    <t>Erika Jhoana Muñoz Ríos</t>
  </si>
  <si>
    <t>4.649913315102186, -74.16771016157753</t>
  </si>
  <si>
    <t>stickmaxx@gmail.com</t>
  </si>
  <si>
    <t>https://drive.google.com/drive/folders/1jMetsA1qDLtS_UVnHR21fRtvsHbKNnXb?usp=sharing</t>
  </si>
  <si>
    <t>Apoyo economico</t>
  </si>
  <si>
    <t>El ciudada refiere tener escasos recursos y solicitar una ayuda economica</t>
  </si>
  <si>
    <t>Miguel Antonio Cabrera Serrano</t>
  </si>
  <si>
    <t>Calle 54B Sur #80A-21</t>
  </si>
  <si>
    <t>4.6155011826813945, -74.17496355568304</t>
  </si>
  <si>
    <t>cabreraserrano.miguelantonio@gmail.com</t>
  </si>
  <si>
    <t>https://drive.google.com/drive/folders/1miEAHMRklQ_HGpSfo95M-Q2Mr_2fpHOl?usp=sharing</t>
  </si>
  <si>
    <t>Integración Social</t>
  </si>
  <si>
    <t xml:space="preserve">Gestionar apoyo economico </t>
  </si>
  <si>
    <t>Marsella nueva</t>
  </si>
  <si>
    <t>16.Galán</t>
  </si>
  <si>
    <t>Orlando Arismendi</t>
  </si>
  <si>
    <t>Carrera 71 # 6c-21.</t>
  </si>
  <si>
    <t>4.631823158938194, -74.13286519288052</t>
  </si>
  <si>
    <t>arismendy1967@yahoo.com</t>
  </si>
  <si>
    <t>Jeferson Vanegas</t>
  </si>
  <si>
    <t>1. 202501968 - Traslado Orlando Arismendi</t>
  </si>
  <si>
    <t>La ciudadana solicita apoyo ya que ella tiene 71 años y cuida de su mamá</t>
  </si>
  <si>
    <t>Chucua La Vaca</t>
  </si>
  <si>
    <t>Patricia fajardo</t>
  </si>
  <si>
    <t>⁠cra.81a#42f34 sur</t>
  </si>
  <si>
    <t>4.626528709648138, -74.16438900283639</t>
  </si>
  <si>
    <t xml:space="preserve">⁠⁠patyshona123@gmail.com
</t>
  </si>
  <si>
    <t>https://drive.google.com/drive/folders/1ghpqLmlVbVHpHpumakZLB1mUfrTotoXi?usp=sharing</t>
  </si>
  <si>
    <t>Asunto: Traslado derecho de petición Flover Alegrías Carbonero - 202502049</t>
  </si>
  <si>
    <t>Flover Alegrías Carbonero</t>
  </si>
  <si>
    <t>Calle 42 #80G-02</t>
  </si>
  <si>
    <t>4.61711832360828, -74.15983990104831</t>
  </si>
  <si>
    <t>floweralegrias979@gmail.com</t>
  </si>
  <si>
    <t>https://drive.google.com/drive/folders/1aLB9m0VDbZ4Ja4ZsWj2JAUa2yoMjVD_L?usp=drive_link</t>
  </si>
  <si>
    <t>Cita medica</t>
  </si>
  <si>
    <t xml:space="preserve">Asunto: Traslado derecho de petición María Ruth Suárez </t>
  </si>
  <si>
    <t>María Ruth Suárez</t>
  </si>
  <si>
    <t>Carrera 81 No. 43-59 Sur</t>
  </si>
  <si>
    <t>4.625993497543685, -74.17023788755579</t>
  </si>
  <si>
    <t>eduar12mh@gmail.com</t>
  </si>
  <si>
    <t>https://drive.google.com/drive/folders/1IBJes2U3xm2hQwb60dtRxB4cDjbw-Qwu?usp=drive_link</t>
  </si>
  <si>
    <t>Afiliación eps</t>
  </si>
  <si>
    <t>Asunto: Traslado derecho de petición José Rodulfo Jiménez Rodríguez</t>
  </si>
  <si>
    <t>José Rodulfo Jiménez Rodríguez</t>
  </si>
  <si>
    <t>Carrera 80I #48-16 Sur</t>
  </si>
  <si>
    <t>4.621041956488285, -74.1708976317348</t>
  </si>
  <si>
    <t>josejimenez789809@gmail.com</t>
  </si>
  <si>
    <t>https://drive.google.com/drive/folders/1cK3YFXcNQJRAppmdS1dId1c5gTNs-DZg?usp=drive_link</t>
  </si>
  <si>
    <t>Procedimientos</t>
  </si>
  <si>
    <t xml:space="preserve">FERNANDO salud solicitud del Concejal </t>
  </si>
  <si>
    <t xml:space="preserve">Kennedy </t>
  </si>
  <si>
    <t xml:space="preserve">Se tramita por medio de enlace </t>
  </si>
  <si>
    <t>Solicitud cita continuación de tratamiento</t>
  </si>
  <si>
    <t>Transplante</t>
  </si>
  <si>
    <t>Solicita un transplante de riñón</t>
  </si>
  <si>
    <t>Pío XII</t>
  </si>
  <si>
    <t>4.616471370018856, -74.14042154834621</t>
  </si>
  <si>
    <t>Ovimar Jiménez Cerón</t>
  </si>
  <si>
    <t xml:space="preserve">Calle 6B #79C - 81
</t>
  </si>
  <si>
    <t>4.63607460763042, -74.15048949252437</t>
  </si>
  <si>
    <t>gonzalezkarito20@gmail.com</t>
  </si>
  <si>
    <t>202502386 | Ovimar Jiménez Cerón</t>
  </si>
  <si>
    <t>Insumos de maternidad</t>
  </si>
  <si>
    <t xml:space="preserve">FERNANDO </t>
  </si>
  <si>
    <t>Olarte</t>
  </si>
  <si>
    <t>4.600897951869742, -74.18110347114369</t>
  </si>
  <si>
    <t>Olga Lucía Leal Niño</t>
  </si>
  <si>
    <t>Carrera 72 # 56-16</t>
  </si>
  <si>
    <t>4.600919573309919, -74.16408139825826</t>
  </si>
  <si>
    <t>lucileal3114553358@gmail.com</t>
  </si>
  <si>
    <t>5/01/26 La Secretaría de Salud traslada a Capital Salud</t>
  </si>
  <si>
    <t>202502407 | Olga Lucía Leal</t>
  </si>
  <si>
    <t>Solicitud de acceso a bono o ayuda económica para adulta mayor en situación de vulnerabilidad.</t>
  </si>
  <si>
    <t>Rosa María Chala Prieto</t>
  </si>
  <si>
    <t>Calle 49B Sur #79D-09 Bloque 1 Apto 104 Int. 1</t>
  </si>
  <si>
    <t>4.626500, -74.157800</t>
  </si>
  <si>
    <t>Juanricardocaita@yahoo.com</t>
  </si>
  <si>
    <t>Teléfono corresponde al hijo (Juan Ricardo), acudiente</t>
  </si>
  <si>
    <t>Diego Silva</t>
  </si>
  <si>
    <t>https://concejobogotagovco-my.sharepoint.com/:f:/g/personal/dasilvav_concejobogota_gov_co/IgBNLWnDoMqcTpZmPAl8PzfUAURR0hHzBndc5n_scCxHy3U?e=6iZMXx</t>
  </si>
  <si>
    <t>Solicitud de realización de electronistagmografía para adaptación de prótesis auditiva por hipoacusia</t>
  </si>
  <si>
    <t>Kennedy Casablanca Etapa II</t>
  </si>
  <si>
    <t>Inés Lozano de Torres</t>
  </si>
  <si>
    <t>Calle 49B Sur #79B-15 Blq 2 Int 5 Apto 404</t>
  </si>
  <si>
    <t>4.609900, -74.167800</t>
  </si>
  <si>
    <t>monitl1208@gmail.com</t>
  </si>
  <si>
    <t>https://concejobogotagovco-my.sharepoint.com/:f:/g/personal/dasilvav_concejobogota_gov_co/IgC0tnwUxBIwT5gyS-esm48eAczxAycw8HG-CUeZxWWfGy4?e=QeOKS3</t>
  </si>
  <si>
    <t>Solicitud de asignación de cupo escolar para dos menores en institución oficial del Distrito.</t>
  </si>
  <si>
    <t>El Porvenir</t>
  </si>
  <si>
    <t>Karim Luciana Ladino Gómez / Joel Smith Ladino Gómez</t>
  </si>
  <si>
    <t>1141357004 / 1141371105</t>
  </si>
  <si>
    <t>Calle 54 #94-21</t>
  </si>
  <si>
    <t>4.652300, -74.153900</t>
  </si>
  <si>
    <t>zoraidagomezg@hotmail.com</t>
  </si>
  <si>
    <t>Beneficiarios: dos menores. No se informó nombre del acudiente ni teléfono; se deja correo como canal principal.</t>
  </si>
  <si>
    <r>
      <rPr>
        <rFont val="Arial"/>
        <color rgb="FF1155CC"/>
        <u/>
      </rPr>
      <t>202502472 – Traslado derecho de petición – Solicitud de cupo escolar (Karim Luciana Ladino Gómez y Joel Smith Ladino Gómez).docx</t>
    </r>
  </si>
  <si>
    <t>Hábitat</t>
  </si>
  <si>
    <t>Solicitud de apoyo institucional para mejoramiento de vivienda y acompañamiento social por condición de discapacidad.</t>
  </si>
  <si>
    <t>Caja de Vivienda Popular - CVP</t>
  </si>
  <si>
    <t>Gestion 2026</t>
  </si>
  <si>
    <t>Billy Alejandro Forero</t>
  </si>
  <si>
    <t>Calle 41 Sur #80J-39</t>
  </si>
  <si>
    <t>4.637200, -74.165400</t>
  </si>
  <si>
    <t>bforeronuse@gmail.com</t>
  </si>
  <si>
    <r>
      <rPr>
        <rFont val="Arial"/>
        <color rgb="FF1155CC"/>
        <u/>
      </rPr>
      <t>KENNEDY 202600013 Traslado derecho de petición – Solicitud de apoyo para mejoramiento de vivienda y acompañamiento social (Billy Alejandro Forero)</t>
    </r>
  </si>
  <si>
    <t>Solicitud de programación y gestión de cirugía por lumbago no especificado según indicación médica</t>
  </si>
  <si>
    <t>Chicalá</t>
  </si>
  <si>
    <t>Moisés Antonio Velarde Ladino</t>
  </si>
  <si>
    <t>Carrera 87 Bis #53-30 Sur Apto 301</t>
  </si>
  <si>
    <t>4.631900, -74.186700</t>
  </si>
  <si>
    <t>andreavelardeyera@gmail.com</t>
  </si>
  <si>
    <r>
      <rPr>
        <rFont val="Arial"/>
        <color rgb="FF1155CC"/>
        <u/>
      </rPr>
      <t>KENNEDY 202600014 – Traslado derecho de petición – Moisés Antonio Velarde Ladino</t>
    </r>
  </si>
  <si>
    <t>Solicitud de asignación prioritaria de consulta de control o seguimiento con especialista en oculoplastia por ausencia de agenda y tiempo de espera superior a 4 meses</t>
  </si>
  <si>
    <t>Carrera 81A #42F-34 Sur</t>
  </si>
  <si>
    <r>
      <rPr>
        <rFont val="Arial"/>
        <color rgb="FF1155CC"/>
        <u/>
      </rPr>
      <t>KENNEDY 202600020 Traslado derecho de petición – Karen Johanna Plata Uni</t>
    </r>
  </si>
  <si>
    <t>Solicitud de entrega oportuna de medicamento y vitamina formulados para manejo de esclerosis múltiple, con retraso desde el 04 de noviembre de 2025</t>
  </si>
  <si>
    <t>Leonardo Espitia Arévalo</t>
  </si>
  <si>
    <t>Calle 38 Sur #78-14</t>
  </si>
  <si>
    <t>leozip120@gmail.com</t>
  </si>
  <si>
    <r>
      <rPr>
        <rFont val="Arial"/>
        <color rgb="FF1155CC"/>
        <u/>
      </rPr>
      <t>KENNEDY 202600030 Traslado derecho de petición – Leonardo Espitia Arévalo</t>
    </r>
  </si>
  <si>
    <t>Solicitud de asignación de equipo de oxígeno portátil por diagnóstico de síndrome antisintetasa con compromiso pulmonar crónico, requerido para desplazamientos a tratamientos y controles</t>
  </si>
  <si>
    <t>Catalina II</t>
  </si>
  <si>
    <t>Nilsen Nacira Naranjo Germán</t>
  </si>
  <si>
    <t>Kra 77G Bis A #54D-84 Sur</t>
  </si>
  <si>
    <t>nicho1129@hotmail.com</t>
  </si>
  <si>
    <r>
      <rPr>
        <rFont val="Arial"/>
        <color rgb="FF1155CC"/>
        <u/>
      </rPr>
      <t>KENNEDY 202600032 Traslado derecho de petición – Nilsen Nacira Naranjo Germán</t>
    </r>
  </si>
  <si>
    <t>Solicitud de programación y autorización de segunda fase de cirugía con Gamma Knife por tumor benigno de las meninges cerebrales, con retraso de 14 meses desde la primera intervención</t>
  </si>
  <si>
    <t>Luz Stella Manrique Arévalo</t>
  </si>
  <si>
    <t>Transversal 64A #43-61 Sur</t>
  </si>
  <si>
    <t>luzstellamanrique6@gmail.com</t>
  </si>
  <si>
    <r>
      <rPr>
        <rFont val="Arial"/>
        <color rgb="FF1155CC"/>
        <u/>
      </rPr>
      <t>KENNEDY 202600049 Traslado derecho de petición – Luz Stella Manrique Arévalo</t>
    </r>
  </si>
  <si>
    <t>Solicitud de apoyo económico y acompañamiento institucional para cuidadora principal de persona con discapacidad.</t>
  </si>
  <si>
    <t>Tierra Buena – Reservado Uno</t>
  </si>
  <si>
    <t>Gladys Jeanet Castillo Figueroa</t>
  </si>
  <si>
    <t>Carrera 98 Sur #2-20</t>
  </si>
  <si>
    <t>4.628900, -74.183200</t>
  </si>
  <si>
    <t>Solicitud prioritaria de autorización y programación de cirugía pediátrica (herniorrafía inguinal unilateral vía laparoscópica) y citas con anestesiología y cirugía, ordenadas por el Hospital Pediátrico La Misericordia HOMI</t>
  </si>
  <si>
    <t>Calandaima – Tierra Buena</t>
  </si>
  <si>
    <t>Jeremic Andres Caldas Mejia</t>
  </si>
  <si>
    <t>Carrera 93B #34-15 Sur</t>
  </si>
  <si>
    <t>alissonjineth94@gmail.com</t>
  </si>
  <si>
    <r>
      <rPr>
        <rFont val="Arial"/>
        <color rgb="FF1155CC"/>
        <u/>
      </rPr>
      <t>KENNEDY 202600131 Traslado derecho de petición – Jeremic Andres Caldas Mejia</t>
    </r>
  </si>
  <si>
    <t>Solicitud de asignación de ruta escolar por distancia entre vivienda y la institución educativa.</t>
  </si>
  <si>
    <t>Julián Estupiñán</t>
  </si>
  <si>
    <t>Carrera 78M #56B-08</t>
  </si>
  <si>
    <t>4.645800, -74.100900</t>
  </si>
  <si>
    <t>abril_2325@hotmail.com</t>
  </si>
  <si>
    <r>
      <rPr>
        <rFont val="Arial"/>
        <color rgb="FF1155CC"/>
        <u/>
      </rPr>
      <t>KENNEDY 202600155 – Traslado derecho de petición – Solicitud de asignación de ruta escolar (Julián Estupiñán)</t>
    </r>
  </si>
  <si>
    <t>Solicitud de programación de cirugía por luxación de hombro izquierdo, con tiempo prolongado de espera entre uno y seis meses</t>
  </si>
  <si>
    <t>Jhon Edisson Parrado Bohórquez</t>
  </si>
  <si>
    <t>Calle 49 Sur #89-33</t>
  </si>
  <si>
    <t>jhonparrado86@gmail.com</t>
  </si>
  <si>
    <r>
      <rPr>
        <rFont val="Arial"/>
        <color rgb="FF1155CC"/>
        <u/>
      </rPr>
      <t>KENNEDY 202600156 Traslado derecho de petición – Jhon Edisson Parrado Bohórquez</t>
    </r>
  </si>
  <si>
    <t>Solicitud urgente de entrega completa y oportuna de medicamentos para control de epilepsia en paciente con síndrome de Down, con incumplimiento reiterado en fechas y cantidades formuladas</t>
  </si>
  <si>
    <t>Jose Sebastián Colorado Rodríguez</t>
  </si>
  <si>
    <t>Carrera 79 #10D-95 Torre 22 Apto 301</t>
  </si>
  <si>
    <r>
      <rPr>
        <rFont val="Arial"/>
        <color rgb="FF1155CC"/>
        <u/>
      </rPr>
      <t>KENNEDY 202600158 Traslado derecho de petición – Jose Sebastián Colorado Rodríguez</t>
    </r>
  </si>
  <si>
    <t>Solicitud de entrega de medicamentos Lactulosa y Levotiroxina sódica para paciente con diagnóstico de mieloma múltiple</t>
  </si>
  <si>
    <t>Roma Ruby</t>
  </si>
  <si>
    <t>Ricardo Angarita Vivas</t>
  </si>
  <si>
    <t>Kra 78K #57I-02 Sur</t>
  </si>
  <si>
    <r>
      <rPr>
        <rFont val="Arial"/>
        <color rgb="FF1155CC"/>
        <u/>
      </rPr>
      <t>KENNEDY 202600159 Traslado derecho de petición – Ricardo Angarita Vivas</t>
    </r>
  </si>
  <si>
    <t>Apoyo Económico</t>
  </si>
  <si>
    <t>tiene un hijo con discapacidad, es ciudadadora requiere apoyo económico</t>
  </si>
  <si>
    <t>Patio Bonito 2 Sector</t>
  </si>
  <si>
    <t>Sol María García Pérez</t>
  </si>
  <si>
    <t>1977solg@gmail.com</t>
  </si>
  <si>
    <t>Solicitud urgente de asignación de cita con neurología pediátrica para menor con diagnóstico de retraso motriz</t>
  </si>
  <si>
    <t>Gran Britalia</t>
  </si>
  <si>
    <t>Erick Matías Ortega Rico</t>
  </si>
  <si>
    <t>Cra 83 #48A-08 Sur</t>
  </si>
  <si>
    <t>angiecarde164@gmail.com</t>
  </si>
  <si>
    <r>
      <rPr>
        <rFont val="Arial"/>
        <color rgb="FF1155CC"/>
        <u/>
      </rPr>
      <t>KENNEDY 202600165 Traslado derecho de petición – Erick Matías Ortega Rico</t>
    </r>
  </si>
  <si>
    <t>Solicitud urgente de entrega de medicamentos para paciente con diagnóstico de migraña complicada</t>
  </si>
  <si>
    <t>Visión de Colombia</t>
  </si>
  <si>
    <t>María Betzabe Soto de Chavarro</t>
  </si>
  <si>
    <t>Cra 79G #13-46</t>
  </si>
  <si>
    <t>betzabesoto24@gmail.com</t>
  </si>
  <si>
    <r>
      <rPr>
        <rFont val="Arial"/>
        <color rgb="FF1155CC"/>
        <u/>
      </rPr>
      <t>KENNEDY 202600166 Traslado derecho de petición – María Betzabe Soto de Chavarro</t>
    </r>
  </si>
  <si>
    <t>Solicitud de asignación de cita con cardiología para valoración y seguimiento especializado por patología cardíaca</t>
  </si>
  <si>
    <t>Heidy Geraldine Moncada Mahecha</t>
  </si>
  <si>
    <t>Calle 10 #81A-20 Torre 4 Apto 202</t>
  </si>
  <si>
    <t>heidygeraldinemon@gmail.com</t>
  </si>
  <si>
    <r>
      <rPr>
        <rFont val="Arial"/>
        <color rgb="FF1155CC"/>
        <u/>
      </rPr>
      <t>KENNEDY 202600167 Traslado derecho de petición – Heidy Geraldine Moncada Mahecha</t>
    </r>
  </si>
  <si>
    <t>Solicitud de consulta de control y seguimiento con especialista en cirugía maxilofacial por trastorno de la articulación temporomaxilar (K07.6)</t>
  </si>
  <si>
    <t>Estados Unidos</t>
  </si>
  <si>
    <t>Luis Hernando Gualteros Duarte</t>
  </si>
  <si>
    <t>Kra 79D #41-42 Sur</t>
  </si>
  <si>
    <t>gualteros.luish@gmail.com</t>
  </si>
  <si>
    <r>
      <rPr>
        <rFont val="Arial"/>
        <color rgb="FF1155CC"/>
        <u/>
      </rPr>
      <t>KENNEDY 202600236 Traslado derecho de petición – Luis Hernando Gualteros Duarte</t>
    </r>
  </si>
  <si>
    <t>Solicitud de resonancia magnética de columna y cita por primera vez con neurocirugía por lumbago y lesión intracraneal</t>
  </si>
  <si>
    <t>Hilda Marleny Hidalgo Garnica</t>
  </si>
  <si>
    <t>Carrera 81D #42A-33 Sur</t>
  </si>
  <si>
    <r>
      <rPr>
        <rFont val="Arial"/>
        <color rgb="FF1155CC"/>
        <u/>
      </rPr>
      <t>KENNEDY 202600240 Traslado derecho de petición – Hilda Marleny Hidalgo Garnica</t>
    </r>
  </si>
  <si>
    <t>Solicitud de asignación de citas con Medicina Interna y Ginecología y Obstetricia por diagnóstico de necrosis septal</t>
  </si>
  <si>
    <t>Rincón de Venecia</t>
  </si>
  <si>
    <t>Aurora Cardona Puerta</t>
  </si>
  <si>
    <t>Carrera 61 #49-31 Sur</t>
  </si>
  <si>
    <t>auroracardonap@hotmail.com</t>
  </si>
  <si>
    <r>
      <rPr>
        <rFont val="Arial"/>
        <color rgb="FF1155CC"/>
        <u/>
      </rPr>
      <t>KENNEDY 202600241 Traslado derecho de petición – Aurora Cardona Puerta</t>
    </r>
  </si>
  <si>
    <t>Solicitud de intervención por dilación y negativas reiteradas en autorización y entrega completa de medicamentos formulados por cambio en políticas del PAC preferencial de Famisanar</t>
  </si>
  <si>
    <t>Sandy Paola Carvajal Sánchez</t>
  </si>
  <si>
    <t>Calle 34 Bis Sur #95A-70</t>
  </si>
  <si>
    <t>4.626000, -74.198000</t>
  </si>
  <si>
    <t>sandypcsm@gmail.com</t>
  </si>
  <si>
    <r>
      <rPr>
        <rFont val="Arial"/>
        <color rgb="FF1155CC"/>
        <u/>
      </rPr>
      <t>KENNEDY 202600242 Traslado derecho de petición – Sandy Paola Carvajal Sánchez</t>
    </r>
  </si>
  <si>
    <t>Solicitud de asignación de cita para resonancia magnética de cerebro ordenada el 8 de enero, sin programación a la fecha</t>
  </si>
  <si>
    <t>Stella Martínez Guerrero</t>
  </si>
  <si>
    <t>Cll. 7F #79C-15</t>
  </si>
  <si>
    <t>4.629500, -74.157000</t>
  </si>
  <si>
    <t>guerrerostella13@gmail.com</t>
  </si>
  <si>
    <r>
      <rPr>
        <rFont val="Arial"/>
        <color rgb="FF1155CC"/>
        <u/>
      </rPr>
      <t>KENNEDY 202600243 Traslado derecho de petición – Stella Martínez Guerrero</t>
    </r>
  </si>
  <si>
    <t>Solicitud urgente de traslado de EPS, en espera desde hace más de un mes, paciente con diabetes e hipertensión</t>
  </si>
  <si>
    <t>Los Periodistas Kennedy</t>
  </si>
  <si>
    <t>Alba Luci Muñoz Santacruz</t>
  </si>
  <si>
    <t>Transversal 78 I Bis A #41-03 Sur</t>
  </si>
  <si>
    <t>4.628500, -74.167000</t>
  </si>
  <si>
    <r>
      <rPr>
        <rFont val="Arial"/>
        <color rgb="FF1155CC"/>
        <u/>
      </rPr>
      <t>KENNEDY 202600294 Traslado derecho de petición – Alba Luci Muñoz Santacruz</t>
    </r>
  </si>
  <si>
    <t>Solicitud de entrega de medicamentos para paciente con diabetes mellitus insulinodependiente, con más de 2 meses de retraso</t>
  </si>
  <si>
    <t>Carimagua Primer Sector</t>
  </si>
  <si>
    <t>Myriam Rubio Chavarro</t>
  </si>
  <si>
    <t>Calle 39 Bis A Sur #72J-52</t>
  </si>
  <si>
    <t>4.623000, -74.155000</t>
  </si>
  <si>
    <t>rubio-miryam@hotmal.com</t>
  </si>
  <si>
    <r>
      <rPr>
        <rFont val="Arial"/>
        <color rgb="FF1155CC"/>
        <u/>
      </rPr>
      <t>KENNEDY 202600295 Traslado derecho de petición – Myriam Rubio Chavarro</t>
    </r>
  </si>
  <si>
    <t>#</t>
  </si>
  <si>
    <t>Nombre Gestión</t>
  </si>
  <si>
    <t>Ubicación</t>
  </si>
  <si>
    <t>Barrio</t>
  </si>
  <si>
    <t>Iglesia</t>
  </si>
  <si>
    <t>Temas</t>
  </si>
  <si>
    <r>
      <rPr>
        <rFont val="system-ui, -apple-system, &quot;Segoe UI&quot;, Roboto, &quot;Helvetica Neue&quot;, &quot;Noto Sans&quot;, &quot;Liberation Sans&quot;, Arial, sans-serif, &quot;Apple Color Emoji&quot;, &quot;Segoe UI Emoji&quot;, &quot;Segoe UI Symbol&quot;, &quot;Noto Color Emoji&quot;"/>
        <b/>
        <color rgb="FF1155CC"/>
        <sz val="12.0"/>
        <u/>
      </rPr>
      <t>Fecha</t>
    </r>
  </si>
  <si>
    <t>Estado</t>
  </si>
  <si>
    <t>Tiene Logros</t>
  </si>
  <si>
    <t>Gestión en Bancada</t>
  </si>
  <si>
    <t>Acciones</t>
  </si>
  <si>
    <t>Solicitante</t>
  </si>
  <si>
    <t>Beneficiarios</t>
  </si>
  <si>
    <t>Envíos</t>
  </si>
  <si>
    <t>TEM - BOSA Y KENNEDY - CIERRE</t>
  </si>
  <si>
    <t>BOGOTA D.C. / BOGOTA. D.C.</t>
  </si>
  <si>
    <t>VILLA NELLY III</t>
  </si>
  <si>
    <t>KENNEDY</t>
  </si>
  <si>
    <t>ESPACIO PÚBLICO</t>
  </si>
  <si>
    <t>EN TRAMITE</t>
  </si>
  <si>
    <t>No</t>
  </si>
  <si>
    <t>FERNANDO JOSE ZAMORA CAMACHO</t>
  </si>
  <si>
    <t>MT - MARGARITAS BAJA PRESION DEL AGUA (7439)</t>
  </si>
  <si>
    <t>BOGOTA D.C. / BOGOTA. D.C. / LOCALIDAD 8 KENNEDY</t>
  </si>
  <si>
    <t>SERVICIOS PÚBLICOS</t>
  </si>
  <si>
    <t>RAFAEL ENRIQUE GUTIERREZ USAQUEN</t>
  </si>
  <si>
    <t>MT - VALLADOLID MALLA VIAL MAL ESTADO (7388)</t>
  </si>
  <si>
    <t>MALLA VIAL, MOVILIDAD</t>
  </si>
  <si>
    <t>MT - PARQUE URBANIZACION GRAN BRITALIA MALLA Y GRA...</t>
  </si>
  <si>
    <t>BRITALIA</t>
  </si>
  <si>
    <t>AMBIENTE</t>
  </si>
  <si>
    <t>CLARA MERCEDES LUMPAQUE ESTRADA</t>
  </si>
  <si>
    <t>MT - CASTILLA TERRA ESPACIO PÚBLICO Y VIA EN MAL E...</t>
  </si>
  <si>
    <t>MARÍA PAZ</t>
  </si>
  <si>
    <t>CHEPE PINILLA GUTIERRES</t>
  </si>
  <si>
    <t>MT - FERIA DE SERVICIOS CASTILLA KENNEDY (6351)</t>
  </si>
  <si>
    <t>VALLADOLID</t>
  </si>
  <si>
    <t>ANIMALES, EDUCACIÓN, SALUD, SERVICIOS PÚBLICOS</t>
  </si>
  <si>
    <t>DIANA LUCIA REAL MARROQUIN</t>
  </si>
  <si>
    <t>MT - NUEVO TECHO PARQUE MANTENIMIENTO (6277)</t>
  </si>
  <si>
    <t>DEPORTE, NIÑEZ</t>
  </si>
  <si>
    <t>ANGELICA MARIA MUNERA GONZALEZ</t>
  </si>
  <si>
    <t>MT - CIUDAD KENNEDY OCCIDENTAL INSEGURIDAD POR RET...</t>
  </si>
  <si>
    <t>INSEGURIDAD</t>
  </si>
  <si>
    <t>MIGUEL ADRIEL GUERRERO SANCHEZ</t>
  </si>
  <si>
    <t>MT - TIMIZA ZONA DE CESIÓN PARQUE DE PROXIMIDAD (...</t>
  </si>
  <si>
    <t>FERIAS</t>
  </si>
  <si>
    <t>ESPACIO PÚBLICO, INSEGURIDAD, PARQUES</t>
  </si>
  <si>
    <t>LEIDY MARCELA NEIRA ARIAS</t>
  </si>
  <si>
    <t>LAS MARGARITAS</t>
  </si>
  <si>
    <t>ANIMALES</t>
  </si>
  <si>
    <t>NUBIA LILIANA PARRA GUERRERO</t>
  </si>
  <si>
    <t>MT_VERGEL ORIENTAL MALLA VIAL CIV 8014267 (6012)</t>
  </si>
  <si>
    <t>VÍAS</t>
  </si>
  <si>
    <t>MT - NUEVA CASTILLA PROBLEMAS EN LA PRESTACIÓN DEL...</t>
  </si>
  <si>
    <t>NUEVA CASTILLA</t>
  </si>
  <si>
    <t>HERNAN FRANCISCO MONTES</t>
  </si>
  <si>
    <t>MT - CASABLANCA JORNADA OPAM (5646)</t>
  </si>
  <si>
    <t>CASA BLANCA</t>
  </si>
  <si>
    <t>TERESA DE JESUS PORTELA GRISALES</t>
  </si>
  <si>
    <t>MT - KENNEDY CENTRAL SEGURIDAD VIAL ZONA ESCOLAR (...</t>
  </si>
  <si>
    <t>AYACUCHO PRIMER SECTOR</t>
  </si>
  <si>
    <t>MOVILIDAD</t>
  </si>
  <si>
    <t>OLGA LUCIA SAENZ GOMEZ</t>
  </si>
  <si>
    <t>MT - CATALINA II SECTOR ANDENES EN MAL ESTADO (51...</t>
  </si>
  <si>
    <t>LAS LUCES</t>
  </si>
  <si>
    <t>ANDENES, ESPACIO PÚBLICO</t>
  </si>
  <si>
    <t>LUCIA EISINENA CABEZAS</t>
  </si>
  <si>
    <t>CIUDAD DE CALI</t>
  </si>
  <si>
    <t>ORLANDO MARULANDA LEON</t>
  </si>
  <si>
    <t>MT - FRANCISCO JOSÉ DE CALDAS MALLA VIAL CIV 80044...</t>
  </si>
  <si>
    <t>MALLA VIAL</t>
  </si>
  <si>
    <t>ANDENES, TRANSPORTE PÚBLICO</t>
  </si>
  <si>
    <t>RAFAEL GUTIERREZ</t>
  </si>
  <si>
    <t>MT - EL AMPARO CALLEJÓN ENTRE CAYETANO Y HUMEDAL (...</t>
  </si>
  <si>
    <t>LA ESPERANZA</t>
  </si>
  <si>
    <t>MALLA VIAL, PARQUES</t>
  </si>
  <si>
    <t>JHONNY ANDRES BOSSA BERMUDEZ</t>
  </si>
  <si>
    <t>MT - CASTILLA JORNADA OPAM (3825)</t>
  </si>
  <si>
    <t>MT - VILLA NELLY VIA SIN PAVIMENTAR (3823)</t>
  </si>
  <si>
    <t>MT - VILLA NELLY MALLA VIAL BOCACALLE (3805)</t>
  </si>
  <si>
    <t>MT - CASTILLA RINCON DE LOS ANGELES PARQUE MAL EST...</t>
  </si>
  <si>
    <t>DEPORTE, MOVILIDAD, NIÑEZ</t>
  </si>
  <si>
    <t>MT - ORGANIZACIONES DE RECICLADORES KENNEDY (3274)</t>
  </si>
  <si>
    <t>LOMBARDIA</t>
  </si>
  <si>
    <t>SCHEYMAN JULIAN SCARPETTA ZAMBRANO</t>
  </si>
  <si>
    <t>MT - ESTADOS UNIDOS SOCAVON EAAB (3221)</t>
  </si>
  <si>
    <t>MT - LAS MARGARITAS PROBLEMATICA DEL METRO (2761)</t>
  </si>
  <si>
    <t>MT - CLASS MALLA VIAL Y REDUCTORES VELOCIDAD (2723...</t>
  </si>
  <si>
    <t>MT - PATIO BONITO PARQUE SAN DIONISIO (2717)</t>
  </si>
  <si>
    <t>DEPORTE, NIÑEZ, SERVICIOS PÚBLICOS</t>
  </si>
  <si>
    <t>MT - CIUDAD ROMA BERTHA HERNANDEZ PARQUE Y SEGURID...</t>
  </si>
  <si>
    <t>CIUDAD ROMA</t>
  </si>
  <si>
    <t>ANGIE FERNANDA BENITEZ PULIDO</t>
  </si>
  <si>
    <t>MT - PINAR DEL RIO MALLA VIAL Y ESQUINA DE ARROJO...</t>
  </si>
  <si>
    <t>MT - GRAN BRITALIA CAMBIO SENTIDO VIAL (2013)</t>
  </si>
  <si>
    <t>GRAN BRITALIA</t>
  </si>
  <si>
    <t>EMPRENDIMIENTO Y EMPLEO, MOVILIDAD</t>
  </si>
  <si>
    <t>MT - SINAI MALLA VIAL DETERIORADA FABRICA RECICLAJ...</t>
  </si>
  <si>
    <t>SINAÍ</t>
  </si>
  <si>
    <t>MOVILIDAD, PLANEACIÓN</t>
  </si>
  <si>
    <t>MT - MARGARITAS COLEGIO NELSON MANDELA (1967)</t>
  </si>
  <si>
    <t>DEPORTE, EDUCACIÓN</t>
  </si>
  <si>
    <t>MT - SINAÍ PARQUE TRANSMILENIO Y EXCRETAS (1788)</t>
  </si>
  <si>
    <t>AMBIENTE, MOVILIDAD, SERVICIOS PÚBLICOS</t>
  </si>
  <si>
    <t>MT COMPLEJO ACUÁTICO</t>
  </si>
  <si>
    <t>DEPORTE</t>
  </si>
  <si>
    <t>BENEFICIARIOS</t>
  </si>
  <si>
    <t>VOLANTEO</t>
  </si>
  <si>
    <t>Roma sector comercial (Paula Velasquez)</t>
  </si>
  <si>
    <t xml:space="preserve">Maracaná (Carmen Garzón) </t>
  </si>
  <si>
    <t>Roma 4 sector (Bryan Rodriguez)</t>
  </si>
  <si>
    <t>MICROREUNIÓN</t>
  </si>
  <si>
    <t>diciembre</t>
  </si>
  <si>
    <t>Microreunión con hermanos menos 10 referi</t>
  </si>
  <si>
    <t xml:space="preserve">Microreunión </t>
  </si>
  <si>
    <t>Jenny García (DP)</t>
  </si>
  <si>
    <t>Sergio Osorio (DP)</t>
  </si>
  <si>
    <t>7:30 PM</t>
  </si>
  <si>
    <t>https://www.google.com/maps/place/Iglesia+de+Dios+Ministerial+de+Jesucristo+Internacional+-+IDMJI+-+CGMJI+BGT+PATIO+BONITO/@4.6459614,-74.1729512,3a,75y,2.26h,90t/data=!3m7!1e1!3m5!1sM3OspZ9UMH1_tuM0OG22Nw!2e0!6shttps:%2F%2Fstreetviewpixels-pa.googleapis.com%2Fv1%2Fthumbnail%3Fcb_client%3Dmaps_sv.tactile%26w%3D900%26h%3D600%26pitch%3D0%26panoid%3DM3OspZ9UMH1_tuM0OG22Nw%26yaw%3D2.26188!7i16384!8i8192!4m14!1m7!3m6!1s0x8e3f9dcb205cea4b:0xc5b44d64b0ce5139!2sIglesia+de+Dios+Ministerial+de+Jesucristo+Internacional+-+IDMJI+-+CGMJI+BGT+PATIO+BONITO!8m2!3d4.6460354!4d-74.1729367!16s%2Fg%2F11c3j5dn0q!3m5!1s0x8e3f9dcb205cea4b:0xc5b44d64b0ce5139!8m2!3d4.6460354!4d-74.1729367!16s%2Fg%2F11c3j5dn0q?entry=ttu&amp;g_ep=EgoyMDI1MTEyMy4xIKXMDSoASAFQAw%3D%3D</t>
  </si>
  <si>
    <t>Hamilton Liz (DP)</t>
  </si>
  <si>
    <t>enero</t>
  </si>
  <si>
    <t>9:30 AM</t>
  </si>
  <si>
    <t>Volanteo Ciudadela Primavera</t>
  </si>
  <si>
    <t>Logros: 1. Areglo de vía
2. Mantenimiento de Cancha
3.Jornadas SITP</t>
  </si>
  <si>
    <t>Carrera 90 a # 4 - 55</t>
  </si>
  <si>
    <t xml:space="preserve">https://www.google.com/maps/place/Cra.+90a+%23+4-55,+Bogot%C3%A1/@4.646679,-74.1623741,3a,75y,137.7h,90t/data=!3m7!1e1!3m5!1suWVL2SWJoVmDqNza0_56dA!2e0!6shttps:%2F%2Fstreetviewpixels-pa.googleapis.com%2Fv1%2Fthumbnail%3Fcb_client%3Dmaps_sv.tactile%26w%3D900%26h%3D600%26pitch%3D0%26panoid%3DuWVL2SWJoVmDqNza0_56dA%26yaw%3D137.7034!7i16384!8i8192!4m10!1m2!2m1!1sCarrera+90+a+%23+4+-+55!3m6!1s0x8e3f9c365233aeed:0x27e0a40c036847a2!8m2!3d4.6467299!4d-74.1624712!15sChVDYXJyZXJhIDkwIGEgIyA0IC0gNTWSAQpzdWJwcmVtaXNl4AEA!16s%2Fg%2F11t7njd0l3?entry=ttu&amp;g_ep=EgoyMDI1MTIwOS4wIKXMDSoASAFQAw%3D%3D </t>
  </si>
  <si>
    <t>4.6469223676252485, -74.16246051105125</t>
  </si>
  <si>
    <t>Ana Temilda Guerrero</t>
  </si>
  <si>
    <t>Volanteo zona Roma</t>
  </si>
  <si>
    <t xml:space="preserve">Logros: 1.Visita Secretaría de Movilidad
2. Jornada de salud animal
3. Feria de Servicios
</t>
  </si>
  <si>
    <t>Calle 57AS #56B-70S</t>
  </si>
  <si>
    <t xml:space="preserve">https://www.google.com/maps/place/Centro+Social+Comunidad+Roma+4+1+sector/@4.6081099,-74.1723756,3a,75y,81.18h,90t/data=!3m7!1e1!3m5!1sZlWC1pSYaAhP2whTuJVRJg!2e0!6shttps:%2F%2Fstreetviewpixels-pa.googleapis.com%2Fv1%2Fthumbnail%3Fcb_client%3Dmaps_sv.tactile%26w%3D900%26h%3D600%26pitch%3D0%26panoid%3DZlWC1pSYaAhP2whTuJVRJg%26yaw%3D81.17883!7i16384!8i8192!4m10!1m2!2m1!1ssal%C3%B3n+comunal+de+roma+4+etapa+1+sector!3m6!1s0x8e3f9e5fea3ce405:0xbd10c76fe465d0cf!8m2!3d4.6081149!4d-74.1722805!15sCidzYWzDs24gY29tdW5hbCBkZSByb21hIDQgZXRhcGEgMSBzZWN0b3JaKSInc2Fsw7NuIGNvbXVuYWwgZGUgcm9tYSA0IGV0YXBhIDEgc2VjdG9ykgEQY29tbXVuaXR5X2NlbnRlcpoBI0NoWkRTVWhOTUc5blMwVk1NelIyVG5WaWJXWjZla1ZCRUFF4AEA-gEECAAQPA!16s%2Fg%2F1ptxxl3t2?entry=ttu&amp;g_ep=EgoyMDI1MTIwOS4wIKXMDSoASAFQAw%3D%3D </t>
  </si>
  <si>
    <t>4.608227188618564, -74.17236096674831</t>
  </si>
  <si>
    <t>Bryan Rodriguez</t>
  </si>
  <si>
    <t>Volanteo Parque Maracaná</t>
  </si>
  <si>
    <t>Logro: 1. Arreglo de señal de tránsito
2. Arreglo de daño en parque por valvula de gas
3. Gestión de reposición de tapa de energía</t>
  </si>
  <si>
    <t>Cra. 72q #35b sur-65</t>
  </si>
  <si>
    <t>https://www.google.com/maps/place/Parque+Maracan%C3%A1/@4.6175826,-74.1444726,3a,75y,72.45h,82.34t/data=!3m7!1e1!3m5!1sGkS9bosxBylOZRzEzDaVmQ!2e0!6shttps:%2F%2Fstreetviewpixels-pa.googleapis.com%2Fv1%2Fthumbnail%3Fcb_client%3Dmaps_sv.tactile%26w%3D900%26h%3D600%26pitch%3D7.660931717408033%26panoid%3DGkS9bosxBylOZRzEzDaVmQ%26yaw%3D72.45102116472239!7i16384!8i8192!4m14!1m7!3m6!1s0x8e3f9ebd1c23c2b7:0x94daa9c80824dddb!2sParque+Maracan%C3%A1!8m2!3d4.6168351!4d-74.144807!16s%2Fg%2F11c1rcptjz!3m5!1s0x8e3f9ebd1c23c2b7:0x94daa9c80824dddb!8m2!3d4.6168351!4d-74.144807!16s%2Fg%2F11c1rcptjz?entry=ttu&amp;g_ep=EgoyMDI1MTIwOS4wIKXMDSoASAFQAw%3D%3D</t>
  </si>
  <si>
    <t>4.617081045970417, -74.1447426668778</t>
  </si>
  <si>
    <t>Andrés Caicedo
Carmen Garzón</t>
  </si>
  <si>
    <t>Volanteo arreglo vía Corabastos</t>
  </si>
  <si>
    <t>Logro: 1. Gestión de arreglo de vía</t>
  </si>
  <si>
    <t>Diagonal 2 con calle 26</t>
  </si>
  <si>
    <t>https://www.google.com/maps/place/Corabastos+-+Central+de+Abastos+Nacional/@4.6308474,-74.1536847,3a,75y,355.5h,79.05t/data=!3m7!1e1!3m5!1sLHxcBIsBWE9b1IBd5mM12Q!2e0!6shttps:%2F%2Fstreetviewpixels-pa.googleapis.com%2Fv1%2Fthumbnail%3Fcb_client%3Dmaps_sv.tactile%26w%3D900%26h%3D600%26pitch%3D10.95431592800982%26panoid%3DLHxcBIsBWE9b1IBd5mM12Q%26yaw%3D355.503021920716!7i16384!8i8192!4m10!1m2!2m1!1scorabastos!3m6!1s0x8e3f9e832c0c7055:0xcbd1a812e6c3912d!8m2!3d4.6300314!4d-74.1592464!15sCgpjb3JhYmFzdG9zWgwiCmNvcmFiYXN0b3OSARFmcmVzaF9mb29kX21hcmtldJoBI0NoWkRTVWhOTUc5blMwVkpRMEZuU1VSS2FITTJMVU5CRUFF4AEA-gEECAAQSQ!16s%2Fg%2F11cm0pl6fq?entry=ttu&amp;g_ep=EgoyMDI1MTIwOS4wIKXMDSoASAFQAw%3D%3D</t>
  </si>
  <si>
    <t>4.6306810694937965, -74.1537913527754</t>
  </si>
  <si>
    <t>Olga Saenz</t>
  </si>
  <si>
    <t>Volanteo de la gestión en la zona de Casablanca</t>
  </si>
  <si>
    <t>Logros: 
1. Arreglo del paradero
2. Jornadas Opam
3. Jornada de personalización tu llave</t>
  </si>
  <si>
    <t>KR 79 - CL 46A Sur</t>
  </si>
  <si>
    <t>https://maps.app.goo.gl/uDVE47Pzcr3jdVTk8</t>
  </si>
  <si>
    <t>4.616796208498318, -74.1668810856337</t>
  </si>
  <si>
    <t>Liliana Sicacha
Teresa Portela 
Luis Moya</t>
  </si>
  <si>
    <t>Volanteo de la gestión en la zona de Ciudad Granada y Los Almendros</t>
  </si>
  <si>
    <t>Logros: 
1. Siembra de arboles 
2. Luminarias
3. Vía afectada por arreglo del acueducto</t>
  </si>
  <si>
    <t>https://maps.app.goo.gl/AKBVmaknkc7gUHqy9</t>
  </si>
  <si>
    <t>4.646061212802785, -74.17293040913589</t>
  </si>
  <si>
    <t>Ciudad Granada y Los Almendros</t>
  </si>
  <si>
    <t>Paula Coronado</t>
  </si>
  <si>
    <t>Volanteo de la gestión en la zona de Pastranita 2 sector</t>
  </si>
  <si>
    <t>Logros: 
1. Socavon</t>
  </si>
  <si>
    <t>CALLE 49 SUR #78G-27</t>
  </si>
  <si>
    <t>https://maps.app.goo.gl/zW5ureAC1BgBzS1U8</t>
  </si>
  <si>
    <t>4.612818018470261, -74.16640030425549</t>
  </si>
  <si>
    <t>Pastranita 2 sector</t>
  </si>
  <si>
    <t>Sandra</t>
  </si>
  <si>
    <t>Volanteo de la gestión en la zona de Villa Andriana y Villa Claudia</t>
  </si>
  <si>
    <t>Logros: 
1. Se gestiono y solcionó inconvenientes con la prestación del servicio del agua</t>
  </si>
  <si>
    <t>CLL 19 sur # 69 55</t>
  </si>
  <si>
    <t>https://maps.app.goo.gl/T3EMr2fBAN8U5zAw7</t>
  </si>
  <si>
    <t>4.615839002087795, -74.12992418750464</t>
  </si>
  <si>
    <t>Villa Adriana y Villa Claudia</t>
  </si>
  <si>
    <t>Jimmy</t>
  </si>
  <si>
    <t>Volanteo Kennedy Central</t>
  </si>
  <si>
    <t>Logros: 
1. Arreglo del hueco al rededor de la iglesia
2. Mantenimiento de la red de EAAB
3. Mantenimiento de las canecas de basura, jornada de sensibilización menajo de basuras</t>
  </si>
  <si>
    <t>https://maps.app.goo.gl/FiNCRWcJA3pi2Z6S6</t>
  </si>
  <si>
    <t>4.621929097119992, -74.16481729815158</t>
  </si>
  <si>
    <t>Villa Nelly y estados unidos</t>
  </si>
  <si>
    <t>Jenny García</t>
  </si>
  <si>
    <t>Volanteo Villa Hermosa</t>
  </si>
  <si>
    <t>Logros: 1. Gestión en punto crítico de basura 
2. Arreglo de tapas telecomunicaciones
3. Arreglo tapa acueducto</t>
  </si>
  <si>
    <t>https://maps.app.goo.gl/RqjsgZJyEmDciLBq6</t>
  </si>
  <si>
    <t>4.634988789585417, -74.1684287569707</t>
  </si>
  <si>
    <t>Samyr</t>
  </si>
  <si>
    <t>Volanteo Americas Occidental</t>
  </si>
  <si>
    <t>Logros: 1.Arreglo de 2 hundimientos</t>
  </si>
  <si>
    <t>Av. de las Américas #71C - 29</t>
  </si>
  <si>
    <t>https://maps.app.goo.gl/wzGPBs1sjMTTAyZ29</t>
  </si>
  <si>
    <t>4.6295913082322135, -74.1356781458372</t>
  </si>
  <si>
    <t>Americas Occidental</t>
  </si>
  <si>
    <t>Gloria</t>
  </si>
  <si>
    <t>Volanteo Margaritas - Parque las Margaritas etapa 1</t>
  </si>
  <si>
    <t>Jornada personalización del SITP, intervención de parque, mesas de trabajo zonas de cesión</t>
  </si>
  <si>
    <t>Volanteo Lucerna</t>
  </si>
  <si>
    <t>Arreglo de hundimiento</t>
  </si>
  <si>
    <t>Silvia Cabuya</t>
  </si>
  <si>
    <t>Volanteo Américas Occidental</t>
  </si>
  <si>
    <t>Arreglo de huecos reductores de velocidad e iluminación</t>
  </si>
  <si>
    <t>Franz</t>
  </si>
  <si>
    <t>Volanteo logros generales</t>
  </si>
  <si>
    <t>Lugar confirma el delegado</t>
  </si>
  <si>
    <t>Volanteo Dintalito</t>
  </si>
  <si>
    <t>Recuperación punto crítico de basura</t>
  </si>
  <si>
    <t>Carrera 87i con Calle 42f Sur</t>
  </si>
  <si>
    <t>Mercedes Laverde</t>
  </si>
  <si>
    <t>Volanteo Tintal</t>
  </si>
  <si>
    <t>Recuperación punto crítico de basura, arreglo de pompeyano y jornada salud animal</t>
  </si>
  <si>
    <t>Cra. 94 #6c-30</t>
  </si>
  <si>
    <t>https://www.google.com/maps/place/Centro+Comercial+Ciudad+Tintal/@4.6526255,-74.1602425,3a,75y,95.78h,90t/data=!3m7!1e1!3m5!1sUU8BXkWBym95F7Ob-RmGiQ!2e0!6shttps:%2F%2Fstreetviewpixels-pa.googleapis.com%2Fv1%2Fthumbnail%3Fcb_client%3Dmaps_sv.tactile%26w%3D900%26h%3D600%26pitch%3D0%26panoid%3DUU8BXkWBym95F7Ob-RmGiQ%26yaw%3D95.78156!7i16384!8i8192!4m14!1m7!3m6!1s0x8e3f9c48a6b9e475:0xb493c62a8721eed2!2sCentro+Comercial+Ciudad+Tintal!8m2!3d4.6525882!4d-74.1601199!16s%2Fg%2F1ptxhhfkq!3m5!1s0x8e3f9c48a6b9e475:0xb493c62a8721eed2!8m2!3d4.6525882!4d-74.1601199!16s%2Fg%2F1ptxhhfkq?entry=ttu&amp;g_ep=EgoyMDI2MDEyOC4wIKXMDSoASAFQAw%3D%3D</t>
  </si>
  <si>
    <t>4.652855458281603, -74.16017814064253</t>
  </si>
  <si>
    <t>Luz Elena Garzón</t>
  </si>
  <si>
    <t>Volanteo Portal de Cali - Milenio Plaza</t>
  </si>
  <si>
    <t>Volanteo Castilla</t>
  </si>
  <si>
    <t>Feria de servicios, mesas de trabajo atención a parques y vías</t>
  </si>
  <si>
    <t>Volanteo Carvajal</t>
  </si>
  <si>
    <t>Arreglo de paradero, gestión de tapa, iluminación, mesas de trabajo sobre vías en mal estado</t>
  </si>
  <si>
    <t>Cra. 72 #25 Sur NO 35</t>
  </si>
  <si>
    <t>https://www.google.com/maps/place/Iglesia+De+Dios+Ministerial+De+Jesucristo+Internacional+-+IDMJI+-CARVAJAL/@4.6161268,-74.1403318,3a,75y,313.09h,90t/data=!3m7!1e1!3m5!1ssosNWnRPyjh6hBwSX61BIw!2e0!6shttps:%2F%2Fstreetviewpixels-pa.googleapis.com%2Fv1%2Fthumbnail%3Fcb_client%3Dmaps_sv.tactile%26w%3D900%26h%3D600%26pitch%3D0%26panoid%3DsosNWnRPyjh6hBwSX61BIw%26yaw%3D313.09277!7i16384!8i8192!4m14!1m7!3m6!1s0x8e3f9ebb73ed00eb:0x84ff2c16af65e299!2sIglesia+De+Dios+Ministerial+De+Jesucristo+Internacional+-+IDMJI+-CARVAJAL!8m2!3d4.6162468!4d-74.140443!16s%2Fg%2F1ptwb97lz!3m5!1s0x8e3f9ebb73ed00eb:0x84ff2c16af65e299!8m2!3d4.6162468!4d-74.140443!16s%2Fg%2F1ptwb97lz?entry=ttu&amp;g_ep=EgoyMDI2MDEyOC4wIKXMDSoASAFQAw%3D%3D</t>
  </si>
  <si>
    <t>4.616524840158024, -74.14046446162256</t>
  </si>
  <si>
    <t>Sergio Osorio</t>
  </si>
  <si>
    <t>Templo</t>
  </si>
  <si>
    <t>Total líderes</t>
  </si>
  <si>
    <t>0 referidos</t>
  </si>
  <si>
    <t>1–4 referidos</t>
  </si>
  <si>
    <t>5–9 referidos</t>
  </si>
  <si>
    <t>10 o más</t>
  </si>
  <si>
    <t>Actividad</t>
  </si>
  <si>
    <t>Class Roma</t>
  </si>
  <si>
    <t>Entrega de manillas y convocatoria</t>
  </si>
  <si>
    <t>Reunión Comité de Logística y Montaje</t>
  </si>
  <si>
    <t>Bosa Estación</t>
  </si>
  <si>
    <t>Reunión Comité de Control de Ingreso y Aforo</t>
  </si>
  <si>
    <t>Bosa Recreo</t>
  </si>
  <si>
    <t>Reunión Comité de Acomodación</t>
  </si>
  <si>
    <t>TOTAL GENERAL</t>
  </si>
  <si>
    <t>Reunión Comité de Bienestar y Refrigerios</t>
  </si>
  <si>
    <t>Reunión Comité de Salud (Primeros Auxilios)</t>
  </si>
  <si>
    <t>Día D</t>
  </si>
  <si>
    <t>Comités</t>
  </si>
  <si>
    <t>Líder activos</t>
  </si>
  <si>
    <t>Manillas a entregar</t>
  </si>
  <si>
    <t>Comité de Control de Ingreso y Aforo</t>
  </si>
  <si>
    <t>Comité de Logística y Montaje</t>
  </si>
  <si>
    <t>Comité de Acomodación</t>
  </si>
  <si>
    <t>Comité de Bienestar y Refrigerios</t>
  </si>
  <si>
    <t>Comité de Salud (Primeros Auxilios)</t>
  </si>
  <si>
    <t xml:space="preserve">Total por templo </t>
  </si>
  <si>
    <t>Total Líderes + Comités</t>
  </si>
  <si>
    <t>Total</t>
  </si>
  <si>
    <t>Comité de Salud (Primeros Auxilios, uno por templo)</t>
  </si>
  <si>
    <t xml:space="preserve">Punto de InfoMIRA PI -  activación de líderes y referidos </t>
  </si>
  <si>
    <t>Miercoles</t>
  </si>
  <si>
    <t>Punto de InfoMIRA PI y Microreunión Focalizada MRF
MRF: Líderes activos, con 0 referidos activos, pero con referidos inactivos.</t>
  </si>
  <si>
    <t>Punto de InfoMIRA PI y Microreunión Focalizada MRF
MRF: Líderes inactivos, inscritos como testigos</t>
  </si>
  <si>
    <t>Lunes</t>
  </si>
  <si>
    <t>Punto de InfoMIRA PI y Microreunión Focalizada MRF
MRF: Hermanos que apoyan labores en la iglesia</t>
  </si>
  <si>
    <t>Punto de InfoMIRA PI y Microreunión Focalizada MRF
MRF: Entre 1 y 4 referidos activos, con referidos inactivos.</t>
  </si>
  <si>
    <t>Punto de InfoMIRA PI y Microreunión Focalizada MRF
MRF: Entre 5 y 9 referidos activos, con referidos inactivos.</t>
  </si>
  <si>
    <t>Punto de InfoMIRA PI y Microreunión Focalizada MRF
MRF: Líderes Activos, con 0 referidos activos e inactivos</t>
  </si>
  <si>
    <t>Calle 44a Sur # 78i-11</t>
  </si>
  <si>
    <t>MT - GRAN BRITALIA CAMBIO SENTIDO VIAL (2013) + MT - PARQUE URBANIZACION GRAN BRITALIA MALLA Y GRADAS (6909)</t>
  </si>
  <si>
    <t>Calle 47a Sur # 81c - 1 [NO CONFIRMADA]</t>
  </si>
  <si>
    <t>https://maps.app.goo.gl/AVcgc4CWqhMvQAnX8</t>
  </si>
  <si>
    <t>4.622657480162949, -74.17097046203773</t>
  </si>
  <si>
    <t>KR 79 B 46 70 SUR [NO CONFIRMADA]</t>
  </si>
  <si>
    <t>Categoría líderes activos</t>
  </si>
  <si>
    <t>N° líderes</t>
  </si>
  <si>
    <t>Meta referidos (5 por líder)</t>
  </si>
  <si>
    <t>Meta referidos (8 por líder)</t>
  </si>
  <si>
    <t>Meta referidos (10 por líder)</t>
  </si>
  <si>
    <t>0 referidos activos</t>
  </si>
  <si>
    <t>Entre 1 y 4 referidos activos</t>
  </si>
  <si>
    <t>Entre 5 y 9 referidos activos</t>
  </si>
  <si>
    <t>10 o más referidos activos</t>
  </si>
  <si>
    <t>TOTAL líderes activos</t>
  </si>
  <si>
    <t>Referidos activos HOY (total, sin desglose)</t>
  </si>
  <si>
    <t>45% Líderes INACTIVOS (585 hoy)</t>
  </si>
  <si>
    <t>Meta hasta el 28 de febrero</t>
  </si>
  <si>
    <t>Programados fin de semana</t>
  </si>
  <si>
    <t>Faltantes programar</t>
  </si>
  <si>
    <t>5 referidos por cada líder activado</t>
  </si>
  <si>
    <t>8 referidos por cada líder activado</t>
  </si>
  <si>
    <t>10 referidos por cada líder activado</t>
  </si>
  <si>
    <t>Base</t>
  </si>
  <si>
    <t>proyección</t>
  </si>
  <si>
    <t>total</t>
  </si>
  <si>
    <t>Cantidad</t>
  </si>
  <si>
    <t xml:space="preserve">Afinidad </t>
  </si>
  <si>
    <t>Microreunión Focalizada MRF
MRF: Entre 1 y 4 referidos activos, con referidos inactivos.</t>
  </si>
  <si>
    <t>11 Microreuniones Focalizadas MRF</t>
  </si>
  <si>
    <t>Microreunión Focalizada MRF
MRF: Entre 5 y 9 referidos activos, con referidos inactivos.</t>
  </si>
  <si>
    <t>Microreunión Focalizada MRF
MRF: Hermanos que apoyan labores en la iglesia</t>
  </si>
  <si>
    <t>Microreunión Focalizada MRF
MRF: Líderes activos, con 0 referidos activos, pero con referidos inactivos.</t>
  </si>
  <si>
    <t>Microreunión Focalizada MRF
MRF: Líderes inactivos, inscritos como testigos</t>
  </si>
  <si>
    <t>Total Afinidad</t>
  </si>
  <si>
    <t>Territorio</t>
  </si>
  <si>
    <t>Reuniónes de campaña - Territorio</t>
  </si>
  <si>
    <t>Total Territorio</t>
  </si>
  <si>
    <t>Total Afinifad + Territorio</t>
  </si>
  <si>
    <t>INDICACIONES GENERALES A TENER PRESENTE AL MOMENTO DE VALIDAR Y DILIGENCIAR LA MATRIZ DE AGENDA DE CAMPAÑA ELECCIONES CONGRESO 2026</t>
  </si>
  <si>
    <t>OBJETIVO</t>
  </si>
  <si>
    <t>Movilizar la estructura política - comunitaria del Partido MIRA en Bogotá a través de la ejecución de 560 
reuniones de impacto en 19 localidades , capitalizando el liderazgo y la base de los beneficiarios de las 
1200 Mesas de Trabajo (2025). 
El objetivo final es asegurar una meta de 30.000 votos efectivos en las elecciones al Congreso de 2026</t>
  </si>
  <si>
    <t>RECOMENDACIONES</t>
  </si>
  <si>
    <t xml:space="preserve">la campaña dara inicio formal el 8 de dicembre 2025 y concluira el 8 de marzo 2026 dia de las elecciones. La agenda esta programada para dar inicio en las iglesias(Afinidad) y en territorio el 09/12/2025.
Las reuniones se agendan 5 por turno de cada fecha asignada a cada iglesia y territorio.
El día lunes no hay agenda. Es descanso para él o los candidatos.
El dia miercoles en la mañana No sé agenda. Se reúne el equipo de campaña. Se agendan reuniones a partir de las 2Pm.
El domingo se agendan reuniones a partir de las 2Pm en territorio. En los cultos de la mañana se organiza actividad de afinidad para la visita del candidato.
Para el senador Manuel Virguez, se agendaran 36 reuniones distribuidas de acuerdo a las mas asistidas con promedio de aistencia de mas de 60 personas y logros. En la matriz de agendamiento se marcaran las fechas ya designadas por iglesia y con las reuniones que segun el luker arrojan los criterios antes mensionados. ES IMPONTANTE EN LA PESTAÑA " LOGROS-JUSTIFICAR" CONSIGNAR LA INFORMACION PARA PROCEDER A SUBIRLE AL HNO MANUEL LAS REUNIONES. ES UNA SOLICTUD DE LA OFIICNA DEL SENADOR
Nota: En caso que el Hno manuel no pueda asistir a alguna de las reuniones agendadas para él, la reunion NO SE CANCELA y sera el candidatos a Cámara quien la asumira.
</t>
  </si>
  <si>
    <t>Estructura de la Matriz donde se 
Agenda</t>
  </si>
  <si>
    <t>En la matriz se encuentran los campos a diligenciar con las fechas establecidas para cada iglesia y territorio. Simpre se debe agendar afinidad y territorio. El ejemplo es que si un dia viernes que es alabanza le corresponde ese dia fecha de vista del candidato, se prepara y organiza actividad de afinidad en el horario que corresponda. (7am/5Pm/7Pm/6pm/).</t>
  </si>
  <si>
    <t>Tiempo de reunión</t>
  </si>
  <si>
    <t>1 hora en promedio dependiendo del tipo de reunion, la cantidad de persona que asisten, la distancia entre una y otra reunion</t>
  </si>
  <si>
    <t># de Asistentes</t>
  </si>
  <si>
    <t xml:space="preserve">Para los dias que se hacen 5 reuniones, y que 3 seran las mas asistidas agendadas para los candidatos, se recomienda 50 personas
en promedio. Esto tiene como principio el que debido a las mesas realizadas en territorio, muchas de las reunions seran fruto del trabajo que ya la gestion fue positiva y la reunion  que se agende podra recoger no solo unamesa sino varias. Lo anterior no es impedimento para hacer reuniones donde la aistencia sera por debajo de ese promedio. Es claro que todo dependera de las dinamixas en cada territorio y de el liderazgo de nuestros hnos.
Las otras dos pueden estar por debajo de 20 asitentes.
</t>
  </si>
  <si>
    <t>Responsable de la reunión</t>
  </si>
  <si>
    <t>UAN/UTLS/DELEGADO POLÍTICO/EDIL SI CORRESPONDE</t>
  </si>
  <si>
    <t>Logística</t>
  </si>
  <si>
    <t>Lugar disponible. Direccion., sillas, sonido, refrigerios, publicidad del candidato, comunicaciones.
Para el tema de los refrigerios de acuerdo al numero de asistentes que cada iglesia agende segun sus fechas asignadas se consolidara y se proyectara el presupuesto para garantizar los refrigerios en cada reunion.</t>
  </si>
  <si>
    <t>Espacio entre reuniones</t>
  </si>
  <si>
    <t>No programar de forma inmediata el paso de una reunión a otra. Prever los siguientes espacios:
* Media hora de desplazamiento entre una reunión y otra
* Hora de almuerzo. En la matriz de la agenda se solicita colocar una fila donde se establezca la hora del almuerzo y el lugar donde sera.
*</t>
  </si>
  <si>
    <t>Agenda sugerida para las reuniones</t>
  </si>
  <si>
    <t>CONTENIDO</t>
  </si>
  <si>
    <t>TIEMPO
(minutos)</t>
  </si>
  <si>
    <t>*Saludo por parte del Líder que organiza</t>
  </si>
  <si>
    <t>*Presentación y Saludo por parte del candidato.</t>
  </si>
  <si>
    <t>* Rendición de cuentas (logros en temas relevantes para los asistentes). Mesas de trabajo</t>
  </si>
  <si>
    <t>* Propuestas (relevantes para los asistentes)</t>
  </si>
  <si>
    <t>* Preguntas de asistentes</t>
  </si>
  <si>
    <t>* Pedagogía electoral - entrega publicidad para quienes quieran apoyarnos pegándole en sus casas, empresas o comercios.</t>
  </si>
  <si>
    <t>* Comunicaciones (contenido para redes y difusión del evento)</t>
  </si>
  <si>
    <t>TIEMPO TOTAL</t>
  </si>
  <si>
    <t>Otras 
Recomendaciones</t>
  </si>
  <si>
    <r>
      <rPr>
        <rFont val="Arial"/>
        <color theme="1"/>
        <sz val="11.0"/>
      </rPr>
      <t xml:space="preserve">Confirmar las reuniones 8 días con los delegados y líderes antes de su realización.
Reuniones previas con equipos de trabajo para verificar lo siguiente:
Objetivo de la reunión y temas a tratar. 
Gestiones realizadas
Confirmación de asistentes (8, 4 y 1 dia antes)
Lugar disponible y dirección. 
Refrigerios
Publicidad
Equipo que acompaña las reuniones.(candidato a camara-representante-dupla-lideres)
Si es un Recorridos en el comercio, sector o comunidad referenciar el Pv mas cercano para impulsar inscripcion de cédulas
SE recomienda realizar mínimo 2 avanzadas por parte del líder del territorio concretando visita con los candidatos. Es importante que el dia de la reunion o rrecorrido la comunidad este informada de la visita deñ candidato y equipo d ecampaña
Los equipos que asistan a acompañar las reuniones, se recomienda se han los necesrios para apoyar la logistica y desarrollo de la agenda en territorio. Es fundamental siempre garantizar la sistencia de personas externas a la reunion. Nos permite crecer y dar a conecr al partido, su gestion y nuestros candidatos. 
Nota: De acuerdo a lo anterior, Sabemos del esfuerzo y dispocion de nuestros lideres en ayudar a la convocatoria de las reuniones, por esa razon reconocemos en ellos su liderezgo y su tsbajo voluntario en pro del partido. El resultado sera la suma de la diligencia y pwlnificacion del trbajo.
En los dias diferentes a la agenda de campaña en cada territorio, se debe programar una agenda alterna o paralela, con el fin de que se garantice trabajó de campaña continuamente. Es importante todo el tiempo de campaña estar en territorio socilaizando la publicidad del candidatos correspondiente, haciendo pedagogia electoral, socializando la labor del partido. Se recomienda hacer una pestaña en el excel de la matriz general de la agenda de campaña donde se llebe control de las actividades continuas y diarias que cada localidad en su terriotrio realizara.
El día que le corresponde la agenda a cada localidad y su respectiva iglesia, como el candidato visita los diferentes horarios de culto y segun el horario de culto que corresponda, se debe organizar y garantizar actividades de afinidad con la finalidad de hacer mucha pedagogia electoral y activacion de referidos.
El dia que corresponda hacer 5 reuniones(martes,jueves,viernes o sabado), se debe establecer cuales son las 3 reuniones mas importantes a las que se recomienda asistir por parte del candidato. Las otras dos las acompañara el edil o el concejal o la dupla si es necesario. Esta validacion queda a criterio del equipo de cada territorio.
Los asesores de UAN/UTLs garantizaran que la agenda de campaña por localidad e iglesia se diligencien en la matriz asignada. Si desean hacer cambios de forma en la matriz, asignar columnas nuevas, modificar fechas entre iglesias de la misma localidad se prodra hacer dejando la anotacion. Lo anterior es necesraio para la consolidacion de la agenda a nivel distrital.
SE SOLICITA A TODAS LAS DUPLAS Y QUIENES VALIDEN E INTERACTUEN CON LA MATRIZ, COLOCAR UNA FILA DONDE SE DOLIGENCIA LA HORA DEL ALMUERZO Y EL LUGAR QUE RECOMIENDAN O SE PREVEA IR A ALMORZAR. Este punto es importante por que en diferentes ocasiones a la hora del almuerzo se ha visitado hnos de la iglesia que tienen sus restaurantes o tambien perosnas externas referidos de hnos y alli tambien esta la oportunidad de presentar al candidato a camara.
1. Colocar una columna del nombre de líder el número de teléfono 
2. Colocar el contexto de las reuniones de manera detallada 
5. Por favor verificar muy bien las direcciones. 
6. Colocar el nombre del candidato o candidatos que acompaña en la reunión en la columna correspondiente
Culminado el porceso de agendamiento y previo al inicio de la agenda se colocara una columna que dice resumen posterior a la Reunión ( Columna). Es importante, para hacer el seguimiento a los compromisos, trámites o propuestas que arrojen cada reunión. 
</t>
    </r>
    <r>
      <rPr>
        <rFont val="Arial"/>
        <b/>
        <color theme="1"/>
        <sz val="11.0"/>
      </rPr>
      <t xml:space="preserve">AFINIDAD
</t>
    </r>
    <r>
      <rPr>
        <rFont val="Arial"/>
        <color theme="1"/>
        <sz val="11.0"/>
      </rPr>
      <t xml:space="preserve">Siempre que haya visitas a la iglesia por partte del candidatos a Cámara, se deben organizar actividades que impulsen este pilar de la campaña y de la votacion asiganda como meta a cada templo. En las recientes reuniones de pastores se les socializó y entrego un kit de herramientas que sirven de base para estar constantemente motivando a los hnos lideres y sus referidos. Tambien recordar la importancia de la pedagogia electoral, de enseñarle a los hnos, a los adultos mayores como votar. Es perentorio mitigar, reducir el alto porcentaje en cada eleccion de los votos nulos.
</t>
    </r>
  </si>
  <si>
    <r>
      <rPr>
        <rFont val="system-ui, -apple-system, &quot;Segoe UI&quot;, Roboto, &quot;Helvetica Neue&quot;, &quot;Noto Sans&quot;, &quot;Liberation Sans&quot;, Arial, sans-serif, &quot;Apple Color Emoji&quot;, &quot;Segoe UI Emoji&quot;, &quot;Segoe UI Symbol&quot;, &quot;Noto Color Emoji&quot;"/>
        <b/>
        <color rgb="FF1155CC"/>
        <sz val="12.0"/>
        <u/>
      </rPr>
      <t>Fecha</t>
    </r>
  </si>
  <si>
    <t>MT - CASTILLA FALTA DE SEÑALIZACIÓN EN VIA (7311)</t>
  </si>
  <si>
    <t>CARVAJAL</t>
  </si>
  <si>
    <t>SIRLEY ANDREA FANDIÑO LOPEZ</t>
  </si>
  <si>
    <t>JORNADA OPAM BOITA</t>
  </si>
  <si>
    <t>TIMIZA</t>
  </si>
  <si>
    <t>EUTALIA LATORRE ROCHA</t>
  </si>
  <si>
    <t>MT - JORNADA OPAM TIMIZA</t>
  </si>
  <si>
    <t>CIUDADELA PRIMAVERA</t>
  </si>
  <si>
    <t>ANGIE LORENA GARZON DEAZA</t>
  </si>
  <si>
    <t>MT - BOCACALLES EN MAL ESTADO CARVAJAL</t>
  </si>
  <si>
    <t>JUAN SEBASTIAN MARQUEZ SANCHEZ</t>
  </si>
  <si>
    <t>MT - FERIA DE SERVICIOS CLASS ROMA (7028)</t>
  </si>
  <si>
    <t>KENNEDY CLASS ROMA</t>
  </si>
  <si>
    <t>MASCOTAS, SALUD</t>
  </si>
  <si>
    <t>MT - PARQUE PROBLEMA DE EXCRETAS DINDALITO (6924)</t>
  </si>
  <si>
    <t>VEGAS 1</t>
  </si>
  <si>
    <t>PATIO BONITO</t>
  </si>
  <si>
    <t>ANIMALES, PARQUE, RECREACION</t>
  </si>
  <si>
    <t>RUBY MARITHZA CALLEJAS APONTE</t>
  </si>
  <si>
    <t>MT - CORAZONES PRODUCTIVOS (6923)</t>
  </si>
  <si>
    <t>EMPRENDIMIENTO Y EMPLEO</t>
  </si>
  <si>
    <t>ERICK EDUARDO MERCADO LOBO</t>
  </si>
  <si>
    <t>MT - TIERRA BUENA MALA DISPOSICIÓN DE RESIDUOS VE...</t>
  </si>
  <si>
    <t>BASURAS, ESPACIO PÚBLICO, SERVICIOS PÚBLICOS</t>
  </si>
  <si>
    <t>MARTHA JOSEFINA GARCIA AVILA</t>
  </si>
  <si>
    <t>MT - VILLA ALSACIA MALA DISPOSICIÓN DE RESIDUOS E...</t>
  </si>
  <si>
    <t>VILLA ALSACIA</t>
  </si>
  <si>
    <t>BASURAS, SERVICIOS PÚBLICOS</t>
  </si>
  <si>
    <t>ANA EULALIA BECERRA RODRIGUEZ</t>
  </si>
  <si>
    <t>MT - PATIO BONITO II SECTOR PARQUE EN MAL ESTADO (...</t>
  </si>
  <si>
    <t>MAGALY GONZALEZ TIQUE</t>
  </si>
  <si>
    <t>MT - PARQUE CIUDAD DE CALI BANCAS Y MATERAS (6132)</t>
  </si>
  <si>
    <t>AMBIENTE, SALUD</t>
  </si>
  <si>
    <t>CARMEN ROSA PITO</t>
  </si>
  <si>
    <t>MT - KENNEDY PROTOCOLOS DE PREVENCION DE RIESGOS C...</t>
  </si>
  <si>
    <t>EDUCACIÓN, NIÑEZ</t>
  </si>
  <si>
    <t>YOSSEF ANDREY ACERO</t>
  </si>
  <si>
    <t>MT - CARIMAGUA SOLICITUD ARREGLO PARADERO SITP 036...</t>
  </si>
  <si>
    <t>MARIA FANNY CONTRERAS RIAÑO</t>
  </si>
  <si>
    <t>MT - CIUDAD ROMA CARRERA 78P PASTELERIA (5946)</t>
  </si>
  <si>
    <t>ROMA</t>
  </si>
  <si>
    <t>GESSICA NATALIA BARRERO MOSCOSO</t>
  </si>
  <si>
    <t>MT - CASTILLA CÁMARA DE INSPECCIÓN DE RED DE TEL...</t>
  </si>
  <si>
    <t>SERGIO YOUSEFF OSORIO INFANTE</t>
  </si>
  <si>
    <t>MT - VILLA CLAUDIA OBRAS AV. 68 Y REDES DE ACUEDUC...</t>
  </si>
  <si>
    <t>VILLA CLAUDIA</t>
  </si>
  <si>
    <t>MOVILIDAD, SERVICIOS PÚBLICOS</t>
  </si>
  <si>
    <t>JIMMY ALEXANDER GUTIERREZ SARMIENTO</t>
  </si>
  <si>
    <t>MT - VEGAS DE SANTA ANA MALLA VIAL E INUNDACIONES...</t>
  </si>
  <si>
    <t>ALUMBRADO PÚBLICO, MALLA VIAL</t>
  </si>
  <si>
    <t>MT - VEGAS DE SANTA ANA VIAS EN MAL ESTADO (5324)</t>
  </si>
  <si>
    <t>BOSA</t>
  </si>
  <si>
    <t>LETICIA ROA ZAMBRANO</t>
  </si>
  <si>
    <t>MT - CARVAJAL DE ILUMINACIÓN, BASURAS E INSEGURID...</t>
  </si>
  <si>
    <t>SEGURIDAD, SERVICIOS PÚBLICOS</t>
  </si>
  <si>
    <t>DIEGO ANDRÉS ROJAS PINTO</t>
  </si>
  <si>
    <t>MT - LUCERNA BASURAS COLEGIO SANTO DOMINGO (5185)</t>
  </si>
  <si>
    <t>CARIMAGUA</t>
  </si>
  <si>
    <t>JULIANA LIZETH REINA JARA</t>
  </si>
  <si>
    <t>MT - CARVAJAL POSTE EN MAL ESTADO (5184)</t>
  </si>
  <si>
    <t>JHOANA MILENA CARDENAS PAEZ</t>
  </si>
  <si>
    <t>MT - CREACION DE JUNTA DE ACCIÓN COMUNAL URBANIZAC...</t>
  </si>
  <si>
    <t>PARTICIPACIÓN</t>
  </si>
  <si>
    <t>MT - BOITÁ MAL PARQUEO EN VÍA DE BUSES (5136)</t>
  </si>
  <si>
    <t>BOITÁ</t>
  </si>
  <si>
    <t>DAVID EDUARDO PISSA</t>
  </si>
  <si>
    <t>MT - CASTILLA CONTENEDORES DE BASURA (5112)</t>
  </si>
  <si>
    <t>SANTANDER</t>
  </si>
  <si>
    <t>MARIA ELIZABETH NARVAEZ GARZON</t>
  </si>
  <si>
    <t>MT - LA MAGDALENA SEGURIDAD VIAL IED TERESA MARTÍ...</t>
  </si>
  <si>
    <t>EDUCACIÓN, MOVILIDAD</t>
  </si>
  <si>
    <t>MT - FLORALIA INSEGURIDAD Y HABITANTES DE CALLE (4...</t>
  </si>
  <si>
    <t>FLORALIA</t>
  </si>
  <si>
    <t>HABITANTES DE CALLE, INSEGURIDAD, PARQUES, SERVICIOS PÚBLICOS</t>
  </si>
  <si>
    <t>MT - CLASS ROMA VIA DETERIORADA CON EMPOZAMIENTO (...</t>
  </si>
  <si>
    <t>MT - LOS ALMENDROS ANDENES (4470)</t>
  </si>
  <si>
    <t>PARQUES</t>
  </si>
  <si>
    <t>LAURA MELISSA FORERO ESTRADA</t>
  </si>
  <si>
    <t>MT - KENNEDY CLUB DEPORTIVO NEVERLAND GYMNASTICS (...</t>
  </si>
  <si>
    <t>ESPERANZA</t>
  </si>
  <si>
    <t>MARLEY YESENIA CORTES AVILA</t>
  </si>
  <si>
    <t>MT - EL CASTILLO VIA AVENIDA CASTILLA CAMBUCHE EST...</t>
  </si>
  <si>
    <t>LA GLORIA</t>
  </si>
  <si>
    <t>STEVE LOPEZ OJEDA</t>
  </si>
  <si>
    <t>MT - VILLA ALEXANDRA SOLICITUD DE VIA (4342)</t>
  </si>
  <si>
    <t>VILLA ALEXANDRA</t>
  </si>
  <si>
    <t>MARIA DEL TRANSITO MORA ROMERO</t>
  </si>
  <si>
    <t>MT - VILLA ALSACIA PASO PEATONAL EDEN (4135)</t>
  </si>
  <si>
    <t>CALANDAIMA</t>
  </si>
  <si>
    <t>MT - LA CAMPIÑA VIA EN MAL ESTADO (4134)</t>
  </si>
  <si>
    <t>MT - TINTAL MALLA VIAL DETERIORADA POMPEYANO (3914...</t>
  </si>
  <si>
    <t>SPRING</t>
  </si>
  <si>
    <t>ANDREA URRUTIA CASTAÑEDA</t>
  </si>
  <si>
    <t>MT - TINTAL JORNADA OPAM (3844)</t>
  </si>
  <si>
    <t>MT - CLASS ROMA JORNADA OPAM (3843)</t>
  </si>
  <si>
    <t>JAL_202500095_GC_3842_LA LLANURA_JORNADA OPAM</t>
  </si>
  <si>
    <t>CERRADA SATISFACTORIAMENTE</t>
  </si>
  <si>
    <t>MT - VILLA HERMOSA MALLA VIAL (3822)</t>
  </si>
  <si>
    <t>MT - CARVAJAL PARE ACOSTADO MAL PARQUEO PARQUE MAR...</t>
  </si>
  <si>
    <t>MT - UNIR 1 MALLA VIAL AFECTADA "TITO" (3820)</t>
  </si>
  <si>
    <t>MT - VILLA HERMOSA TAPAS TELECOMUNICACIONES Y PARQ...</t>
  </si>
  <si>
    <t>DEPORTE, MOVILIDAD, SERVICIOS PÚBLICOS</t>
  </si>
  <si>
    <t>MT - LA LLANURA SEGURIDAD (3818)</t>
  </si>
  <si>
    <t>LA LLANURA</t>
  </si>
  <si>
    <t>SEGURIDAD</t>
  </si>
  <si>
    <t>OLGA PATRICIA TORRES BUITRAGO</t>
  </si>
  <si>
    <t>MT - TIERRA BUENA MALLA VIAL CANECAS (3816)</t>
  </si>
  <si>
    <t>AMBIENTE, MOVILIDAD</t>
  </si>
  <si>
    <t>MT - RIVERAS DE OCCIDENTE MEXICANA MALLA VIAL (381...</t>
  </si>
  <si>
    <t>MT - CIUDAD GRANADA BELLAVISTA VIA REDUCTORES Y SU...</t>
  </si>
  <si>
    <t>MT - MARSELLA LUMINARIAS (3809)</t>
  </si>
  <si>
    <t>MT - CLASS ROMA MALLA VIAL CIV 8008535 (3808)</t>
  </si>
  <si>
    <t>MT - CLASS HUNDIMIENTOS AV AGOBERTO (3807)</t>
  </si>
  <si>
    <t>MT - CARVAJA ARREGLO PARADERO SITP (3702)</t>
  </si>
  <si>
    <t>MT - VILLA DE LOS SAUCES RUBI ARREGLO DE VÍA (3701...</t>
  </si>
  <si>
    <t>MT - BARRANQUILLITA SANTA MÓNICA TAPA ACUEDUCTO (3...</t>
  </si>
  <si>
    <t>MT - CASTILLA INUNDACION, BASURAS E INSEGURIDAD (3...</t>
  </si>
  <si>
    <t>MT - BAVARIA 2 SECTOR EMBELLECIMIENTO PARQUE E IN...</t>
  </si>
  <si>
    <t>DEPORTE, NIÑEZ, SEGURIDAD</t>
  </si>
  <si>
    <t>MT - CARVAJAL CONTENEDOR DE BASURA (3692)</t>
  </si>
  <si>
    <t>MERCEDES LAVERDE</t>
  </si>
  <si>
    <t>MT - BOITÁ PROBLEMÁTICAS DE SEGURIDAD (3673)</t>
  </si>
  <si>
    <t>MT - CIUDAD GRANADA FERIA DE EMPLEO (3672)</t>
  </si>
  <si>
    <t>MT - CARVAJAL RECOLECCION DE RESIDUOS COLEGIO (367...</t>
  </si>
  <si>
    <t>MT - CARVAJAL TAPA DE TELECOMUNICACIONES (3669)</t>
  </si>
  <si>
    <t>MT - CIUDAD GRANADA JORNADA DE OPAM (3300)</t>
  </si>
  <si>
    <t>MT - RIVERA 1 SECTOR MALLA VIAL (3273)</t>
  </si>
  <si>
    <t>RIVERA 1 SECTOR</t>
  </si>
  <si>
    <t>SEGUNDO ANTONIO SALAMANCA GALAN</t>
  </si>
  <si>
    <t>MT - LUCERNA PROVIVIENDA OCCIDENTAL HUECO EN LA VI...</t>
  </si>
  <si>
    <t>MT - CLASS ROMA MALLA VIAL CIV 8008199 (2951)</t>
  </si>
  <si>
    <t>MT - CIUDAD GALÁN MALLA VIAL Y BASURAS (2769)</t>
  </si>
  <si>
    <t>MT - AMERICAS OCCIDENTAL REDUCTORES DE VELOCIDAD (...</t>
  </si>
  <si>
    <t>MT - CIUDAD GRANADA SIEMBRA DE ARBOLES (2745)</t>
  </si>
  <si>
    <t>MT - RIVERAS DE OCCIDENTE VIA EN MAL ESTADO CRA 93...</t>
  </si>
  <si>
    <t>MT - KENNEDY CENTRAL BASURAS Y VÍA EN MAL ESTADO (...</t>
  </si>
  <si>
    <t>KENEDY CENTRAL</t>
  </si>
  <si>
    <t>MARTHA ELENA DUQUE LONDOÑO</t>
  </si>
  <si>
    <t>MT - SAN ANDRÉS SEGURIDAD (2729)</t>
  </si>
  <si>
    <t>MT - VILLA ADRIANA AFECTACIONES DEL EAAB (2727)</t>
  </si>
  <si>
    <t>MT - VILLA ALSACIA PODA Y VIA (2475)</t>
  </si>
  <si>
    <t>MOVILIDAD, SEGURIDAD, SERVICIOS PÚBLICOS</t>
  </si>
  <si>
    <t>MT - CIUDADELA PRIMAVERA RUTA SITP (2133)</t>
  </si>
  <si>
    <t>EL LISTÓN</t>
  </si>
  <si>
    <t>SUBSIDIOS</t>
  </si>
  <si>
    <t>FERNANDO JOSÉ ZAMORA CAMACHO</t>
  </si>
  <si>
    <t>AMERICAS CENTRAL</t>
  </si>
  <si>
    <t>MARIA GLORIA RINCON GARZON</t>
  </si>
  <si>
    <t>MT - PORTAL DE CALI REDES DE ACUEDUCTO (2015)</t>
  </si>
  <si>
    <t>MT - ROMA IV 1ER SECTOR MALLA VIAL (1969)</t>
  </si>
  <si>
    <t>ROMA IV 1ER SECTOR</t>
  </si>
  <si>
    <t>JAL_202400009_GC_1968_ROMA IV SECTOR_FRENTE DE SEG...</t>
  </si>
  <si>
    <t>EMPRENDIMIENTO Y EMPLEO, SEGURIDAD</t>
  </si>
  <si>
    <t>MT - ROMA SECTOR COMERCIAL CONTENEDORES (1081)</t>
  </si>
  <si>
    <t>MT - PASTRANITA 2 SECTOR DAÑO EN VÍA POR REDES AC...</t>
  </si>
  <si>
    <t>MT - ROMA REDUCTORES DE VELOCIDAD (964)</t>
  </si>
  <si>
    <t>DEPORTE, MOVILIDAD, SEGURIDAD</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</si>
</sst>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h:mm am/pm"/>
    <numFmt numFmtId="166" formatCode="d/M/yyyy"/>
    <numFmt numFmtId="167" formatCode="yyyy-mm-dd"/>
    <numFmt numFmtId="168" formatCode="d/m/yyyy"/>
    <numFmt numFmtId="169" formatCode="0.0%"/>
  </numFmts>
  <fonts count="88">
    <font>
      <sz val="10.0"/>
      <color rgb="FF000000"/>
      <name val="Arial"/>
      <scheme val="minor"/>
    </font>
    <font>
      <b/>
      <sz val="12.0"/>
      <color rgb="FFFFFFFF"/>
      <name val="Arial Narrow"/>
    </font>
    <font>
      <b/>
      <sz val="10.0"/>
      <color rgb="FFFFFFFF"/>
      <name val="Arial Narrow"/>
    </font>
    <font>
      <sz val="10.0"/>
      <color theme="1"/>
      <name val="Arial"/>
    </font>
    <font>
      <sz val="10.0"/>
      <color rgb="FF000000"/>
      <name val="Arial"/>
    </font>
    <font>
      <color theme="1"/>
      <name val="Arial"/>
    </font>
    <font>
      <u/>
      <sz val="10.0"/>
      <color rgb="FF0000FF"/>
      <name val="Arial"/>
    </font>
    <font>
      <color theme="1"/>
      <name val="Arial"/>
      <scheme val="minor"/>
    </font>
    <font>
      <u/>
      <sz val="10.0"/>
      <color rgb="FF0000FF"/>
      <name val="Arial"/>
    </font>
    <font>
      <u/>
      <sz val="10.0"/>
      <color rgb="FF0000FF"/>
      <name val="Arial"/>
    </font>
    <font>
      <sz val="10.0"/>
      <color rgb="FFFF0000"/>
      <name val="Arial"/>
    </font>
    <font>
      <sz val="10.0"/>
      <color rgb="FF0000FF"/>
      <name val="Arial"/>
    </font>
    <font>
      <u/>
      <sz val="10.0"/>
      <color rgb="FF000000"/>
      <name val="Arial"/>
    </font>
    <font>
      <u/>
      <sz val="10.0"/>
      <color rgb="FF0000FF"/>
      <name val="Arial"/>
    </font>
    <font>
      <u/>
      <sz val="10.0"/>
      <color rgb="FF000000"/>
      <name val="Arial"/>
    </font>
    <font>
      <u/>
      <sz val="10.0"/>
      <color rgb="FF0000FF"/>
      <name val="Arial"/>
    </font>
    <font>
      <u/>
      <sz val="10.0"/>
      <color rgb="FF0000FF"/>
      <name val="Arial"/>
    </font>
    <font>
      <u/>
      <sz val="10.0"/>
      <color rgb="FF0000FF"/>
      <name val="Arial"/>
    </font>
    <font>
      <u/>
      <sz val="10.0"/>
      <color rgb="FF0000FF"/>
      <name val="Arial"/>
    </font>
    <font>
      <u/>
      <sz val="10.0"/>
      <color rgb="FF000000"/>
      <name val="Arial"/>
    </font>
    <font>
      <u/>
      <sz val="10.0"/>
      <color rgb="FF0000FF"/>
      <name val="Arial"/>
    </font>
    <font>
      <u/>
      <sz val="10.0"/>
      <color rgb="FF000000"/>
      <name val="Arial"/>
    </font>
    <font>
      <sz val="10.0"/>
      <color rgb="FF1155CC"/>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1155CC"/>
      <name val="Arial"/>
    </font>
    <font>
      <sz val="11.0"/>
      <color rgb="FF111827"/>
      <name val="Inter"/>
    </font>
    <font>
      <u/>
      <sz val="10.0"/>
      <color rgb="FF1155CC"/>
      <name val="Arial"/>
    </font>
    <font>
      <u/>
      <sz val="10.0"/>
      <color rgb="FF1155CC"/>
      <name val="Arial"/>
    </font>
    <font>
      <u/>
      <sz val="10.0"/>
      <color rgb="FF0000FF"/>
      <name val="Arial"/>
    </font>
    <font>
      <u/>
      <sz val="10.0"/>
      <color rgb="FF0000FF"/>
      <name val="Arial"/>
    </font>
    <font>
      <u/>
      <sz val="10.0"/>
      <color theme="1"/>
      <name val="Arial"/>
    </font>
    <font>
      <u/>
      <sz val="10.0"/>
      <color rgb="FF0000FF"/>
      <name val="Arial"/>
    </font>
    <font>
      <u/>
      <color rgb="FF1155CC"/>
      <name val="Arial"/>
    </font>
    <font>
      <u/>
      <sz val="10.0"/>
      <color rgb="FF0000FF"/>
      <name val="Arial"/>
    </font>
    <font>
      <u/>
      <sz val="10.0"/>
      <color rgb="FF0000FF"/>
      <name val="Arial"/>
    </font>
    <font>
      <u/>
      <color rgb="FF0000FF"/>
      <name val="Arial"/>
    </font>
    <font>
      <u/>
      <color rgb="FF0000FF"/>
      <name val="Arial"/>
    </font>
    <font>
      <u/>
      <color rgb="FF0000FF"/>
      <name val="Arial"/>
    </font>
    <font>
      <sz val="11.0"/>
      <color theme="1"/>
      <name val="MontserratVariable"/>
    </font>
    <font>
      <b/>
      <color rgb="FFFFFFFF"/>
      <name val="Arial"/>
    </font>
    <font>
      <u/>
      <color theme="1"/>
      <name val="Arial"/>
    </font>
    <font>
      <u/>
      <color rgb="FF0000FF"/>
      <name val="Arial"/>
    </font>
    <font>
      <u/>
      <color theme="1"/>
      <name val="Arial"/>
    </font>
    <font>
      <color rgb="FF1F1F1F"/>
      <name val="Arial"/>
    </font>
    <font>
      <u/>
      <color rgb="FF1155CC"/>
      <name val="Arial"/>
    </font>
    <font>
      <u/>
      <color rgb="FF1155CC"/>
      <name val="Arial"/>
    </font>
    <font>
      <b/>
      <color rgb="FFFF0000"/>
      <name val="Arial"/>
    </font>
    <font>
      <color rgb="FFFF0000"/>
      <name val="Arial"/>
    </font>
    <font>
      <u/>
      <color theme="1"/>
      <name val="Arial"/>
    </font>
    <font>
      <u/>
      <color theme="1"/>
      <name val="Arial"/>
    </font>
    <font>
      <u/>
      <color rgb="FF1155CC"/>
      <name val="Arial"/>
    </font>
    <font>
      <u/>
      <color rgb="FF1155CC"/>
      <name val="Arial"/>
    </font>
    <font>
      <b/>
      <sz val="12.0"/>
      <color rgb="FF000000"/>
      <name val="System-ui"/>
    </font>
    <font>
      <b/>
      <u/>
      <sz val="12.0"/>
      <color rgb="FF0000FF"/>
      <name val="System-ui"/>
    </font>
    <font>
      <sz val="12.0"/>
      <color rgb="FF000000"/>
      <name val="System-ui"/>
    </font>
    <font>
      <u/>
      <sz val="10.0"/>
      <color rgb="FF1155CC"/>
      <name val="Arial"/>
    </font>
    <font>
      <color rgb="FF000000"/>
      <name val="Arial"/>
    </font>
    <font>
      <u/>
      <sz val="10.0"/>
      <color rgb="FF0000FF"/>
      <name val="Arial"/>
    </font>
    <font>
      <u/>
      <color rgb="FF0000FF"/>
      <name val="Arial"/>
    </font>
    <font>
      <u/>
      <color rgb="FF0000FF"/>
      <name val="Arial"/>
    </font>
    <font>
      <u/>
      <sz val="10.0"/>
      <color rgb="FF0000FF"/>
      <name val="Arial"/>
    </font>
    <font>
      <u/>
      <sz val="10.0"/>
      <color rgb="FF0000FF"/>
      <name val="Arial"/>
    </font>
    <font>
      <u/>
      <color rgb="FF1155CC"/>
      <name val="Arial"/>
    </font>
    <font>
      <u/>
      <sz val="10.0"/>
      <color rgb="FF0000FF"/>
      <name val="Arial"/>
    </font>
    <font>
      <b/>
      <color theme="1"/>
      <name val="Arial"/>
      <scheme val="minor"/>
    </font>
    <font/>
    <font>
      <u/>
      <sz val="10.0"/>
      <color rgb="FF1155CC"/>
      <name val="Arial"/>
    </font>
    <font>
      <u/>
      <sz val="10.0"/>
      <color rgb="FF0000FF"/>
      <name val="Arial"/>
    </font>
    <font>
      <u/>
      <sz val="10.0"/>
      <color rgb="FF0000FF"/>
      <name val="Arial"/>
    </font>
    <font>
      <u/>
      <color rgb="FF1155CC"/>
      <name val="Arial"/>
    </font>
    <font>
      <u/>
      <sz val="10.0"/>
      <color rgb="FF0000FF"/>
      <name val="Arial"/>
    </font>
    <font>
      <u/>
      <sz val="10.0"/>
      <color rgb="FF1155CC"/>
      <name val="Arial"/>
    </font>
    <font>
      <sz val="12.0"/>
      <color theme="1"/>
      <name val="Arial"/>
      <scheme val="minor"/>
    </font>
    <font>
      <b/>
      <sz val="12.0"/>
      <color theme="1"/>
      <name val="Arial"/>
      <scheme val="minor"/>
    </font>
    <font>
      <b/>
      <sz val="11.0"/>
      <color theme="1"/>
      <name val="Arial"/>
      <scheme val="minor"/>
    </font>
    <font>
      <b/>
      <sz val="9.0"/>
      <color theme="1"/>
      <name val="Arial"/>
      <scheme val="minor"/>
    </font>
    <font>
      <b/>
      <sz val="15.0"/>
      <color rgb="FF3F3F3F"/>
      <name val="Calibri"/>
    </font>
    <font>
      <b/>
      <sz val="11.0"/>
      <color theme="1"/>
      <name val="Calibri"/>
    </font>
    <font>
      <sz val="12.0"/>
      <color theme="1"/>
      <name val="Arial"/>
    </font>
    <font>
      <sz val="11.0"/>
      <color theme="1"/>
      <name val="Arial"/>
    </font>
    <font>
      <sz val="12.0"/>
      <color theme="1"/>
      <name val="Calibri"/>
    </font>
    <font>
      <sz val="11.0"/>
      <color theme="1"/>
      <name val="Calibri"/>
    </font>
    <font>
      <b/>
      <sz val="12.0"/>
      <color theme="1"/>
      <name val="Calibri"/>
    </font>
  </fonts>
  <fills count="20">
    <fill>
      <patternFill patternType="none"/>
    </fill>
    <fill>
      <patternFill patternType="lightGray"/>
    </fill>
    <fill>
      <patternFill patternType="solid">
        <fgColor rgb="FF1C4587"/>
        <bgColor rgb="FF1C4587"/>
      </patternFill>
    </fill>
    <fill>
      <patternFill patternType="solid">
        <fgColor rgb="FF00FF00"/>
        <bgColor rgb="FF00FF00"/>
      </patternFill>
    </fill>
    <fill>
      <patternFill patternType="solid">
        <fgColor rgb="FFFF9900"/>
        <bgColor rgb="FFFF9900"/>
      </patternFill>
    </fill>
    <fill>
      <patternFill patternType="solid">
        <fgColor rgb="FFD9D9D9"/>
        <bgColor rgb="FFD9D9D9"/>
      </patternFill>
    </fill>
    <fill>
      <patternFill patternType="solid">
        <fgColor rgb="FFFFFFFF"/>
        <bgColor rgb="FFFFFFFF"/>
      </patternFill>
    </fill>
    <fill>
      <patternFill patternType="solid">
        <fgColor rgb="FFCFE2F3"/>
        <bgColor rgb="FFCFE2F3"/>
      </patternFill>
    </fill>
    <fill>
      <patternFill patternType="solid">
        <fgColor rgb="FFF9FAFB"/>
        <bgColor rgb="FFF9FAFB"/>
      </patternFill>
    </fill>
    <fill>
      <patternFill patternType="solid">
        <fgColor rgb="FFD9EAD3"/>
        <bgColor rgb="FFD9EAD3"/>
      </patternFill>
    </fill>
    <fill>
      <patternFill patternType="solid">
        <fgColor rgb="FF083C92"/>
        <bgColor rgb="FF083C92"/>
      </patternFill>
    </fill>
    <fill>
      <patternFill patternType="solid">
        <fgColor rgb="FFFF0000"/>
        <bgColor rgb="FFFF0000"/>
      </patternFill>
    </fill>
    <fill>
      <patternFill patternType="solid">
        <fgColor rgb="FFFFF2CC"/>
        <bgColor rgb="FFFFF2CC"/>
      </patternFill>
    </fill>
    <fill>
      <patternFill patternType="solid">
        <fgColor rgb="FFFF00FF"/>
        <bgColor rgb="FFFF00FF"/>
      </patternFill>
    </fill>
    <fill>
      <patternFill patternType="solid">
        <fgColor rgb="FF999999"/>
        <bgColor rgb="FF999999"/>
      </patternFill>
    </fill>
    <fill>
      <patternFill patternType="solid">
        <fgColor rgb="FFFCE5CD"/>
        <bgColor rgb="FFFCE5CD"/>
      </patternFill>
    </fill>
    <fill>
      <patternFill patternType="solid">
        <fgColor rgb="FFF4CCCC"/>
        <bgColor rgb="FFF4CCCC"/>
      </patternFill>
    </fill>
    <fill>
      <patternFill patternType="solid">
        <fgColor rgb="FFFFD966"/>
        <bgColor rgb="FFFFD966"/>
      </patternFill>
    </fill>
    <fill>
      <patternFill patternType="solid">
        <fgColor rgb="FF9FC5E8"/>
        <bgColor rgb="FF9FC5E8"/>
      </patternFill>
    </fill>
    <fill>
      <patternFill patternType="solid">
        <fgColor rgb="FFEFEFEF"/>
        <bgColor rgb="FFEFEFEF"/>
      </patternFill>
    </fill>
  </fills>
  <borders count="61">
    <border/>
    <border>
      <left style="thin">
        <color rgb="FF000000"/>
      </left>
      <right style="thin">
        <color rgb="FF000000"/>
      </right>
      <top style="thin">
        <color rgb="FF000000"/>
      </top>
    </border>
    <border>
      <left style="thin">
        <color rgb="FF999999"/>
      </left>
      <right style="thin">
        <color rgb="FF999999"/>
      </right>
      <top style="thin">
        <color rgb="FF999999"/>
      </top>
    </border>
    <border>
      <left/>
      <right/>
      <top/>
    </border>
    <border>
      <left style="medium">
        <color rgb="FF0000FF"/>
      </left>
      <right style="thin">
        <color rgb="FF000000"/>
      </right>
      <top style="medium">
        <color rgb="FF0000FF"/>
      </top>
    </border>
    <border>
      <left style="thin">
        <color rgb="FF000000"/>
      </left>
      <right style="thin">
        <color rgb="FF000000"/>
      </right>
      <top style="medium">
        <color rgb="FF0000FF"/>
      </top>
    </border>
    <border>
      <left style="thin">
        <color rgb="FF000000"/>
      </left>
      <right style="medium">
        <color rgb="FF0000FF"/>
      </right>
      <top style="medium">
        <color rgb="FF0000FF"/>
      </top>
    </border>
    <border>
      <left style="medium">
        <color rgb="FF0000FF"/>
      </left>
      <right style="thin">
        <color rgb="FF000000"/>
      </right>
      <top style="medium">
        <color rgb="FF0000FF"/>
      </top>
      <bottom style="medium">
        <color rgb="FF0000FF"/>
      </bottom>
    </border>
    <border>
      <left style="thin">
        <color rgb="FF000000"/>
      </left>
      <right style="thin">
        <color rgb="FF000000"/>
      </right>
      <top style="medium">
        <color rgb="FF0000FF"/>
      </top>
      <bottom style="medium">
        <color rgb="FF0000FF"/>
      </bottom>
    </border>
    <border>
      <left style="thin">
        <color rgb="FF000000"/>
      </left>
      <right style="medium">
        <color rgb="FF0000FF"/>
      </right>
      <top style="medium">
        <color rgb="FF0000FF"/>
      </top>
      <bottom style="medium">
        <color rgb="FF0000FF"/>
      </bottom>
    </border>
    <border>
      <left style="medium">
        <color rgb="FF0000FF"/>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FF"/>
      </right>
      <bottom style="thin">
        <color rgb="FF000000"/>
      </bottom>
    </border>
    <border>
      <left style="medium">
        <color rgb="FF0000FF"/>
      </left>
      <right style="thin">
        <color rgb="FF000000"/>
      </right>
      <top style="thin">
        <color rgb="FF000000"/>
      </top>
      <bottom style="thin">
        <color rgb="FF000000"/>
      </bottom>
    </border>
    <border>
      <left style="thin">
        <color rgb="FF000000"/>
      </left>
      <right style="medium">
        <color rgb="FF0000FF"/>
      </right>
      <top style="thin">
        <color rgb="FF000000"/>
      </top>
      <bottom style="thin">
        <color rgb="FF000000"/>
      </bottom>
    </border>
    <border>
      <left style="medium">
        <color rgb="FF0000FF"/>
      </left>
      <right style="thin">
        <color rgb="FF000000"/>
      </right>
      <top style="thin">
        <color rgb="FF000000"/>
      </top>
      <bottom style="medium">
        <color rgb="FF0000FF"/>
      </bottom>
    </border>
    <border>
      <left style="thin">
        <color rgb="FF000000"/>
      </left>
      <right style="thin">
        <color rgb="FF000000"/>
      </right>
      <top style="thin">
        <color rgb="FF000000"/>
      </top>
      <bottom style="medium">
        <color rgb="FF0000FF"/>
      </bottom>
    </border>
    <border>
      <left style="thin">
        <color rgb="FF000000"/>
      </left>
      <right style="medium">
        <color rgb="FF0000FF"/>
      </right>
      <top style="thin">
        <color rgb="FF000000"/>
      </top>
      <bottom style="medium">
        <color rgb="FF0000FF"/>
      </bottom>
    </border>
    <border>
      <left style="medium">
        <color rgb="FF0000FF"/>
      </left>
      <right style="thin">
        <color rgb="FF000000"/>
      </right>
      <top style="medium">
        <color rgb="FF0000FF"/>
      </top>
      <bottom style="thin">
        <color rgb="FF000000"/>
      </bottom>
    </border>
    <border>
      <left style="thin">
        <color rgb="FF000000"/>
      </left>
      <right style="thin">
        <color rgb="FF000000"/>
      </right>
      <top style="medium">
        <color rgb="FF0000FF"/>
      </top>
      <bottom style="thin">
        <color rgb="FF000000"/>
      </bottom>
    </border>
    <border>
      <left style="thin">
        <color rgb="FF000000"/>
      </left>
      <right style="medium">
        <color rgb="FF0000FF"/>
      </right>
      <top style="medium">
        <color rgb="FF0000FF"/>
      </top>
      <bottom style="thin">
        <color rgb="FF000000"/>
      </bottom>
    </border>
    <border>
      <left style="thin">
        <color rgb="FF000000"/>
      </left>
      <right style="medium">
        <color rgb="FF0000FF"/>
      </right>
      <top style="thin">
        <color rgb="FF000000"/>
      </top>
    </border>
    <border>
      <left style="medium">
        <color rgb="FF0000FF"/>
      </left>
      <right style="thin">
        <color rgb="FF000000"/>
      </right>
      <top style="medium">
        <color rgb="FF0000FF"/>
      </top>
      <bottom style="thin">
        <color rgb="FF0000FF"/>
      </bottom>
    </border>
    <border>
      <left style="thin">
        <color rgb="FF000000"/>
      </left>
      <right style="thin">
        <color rgb="FF000000"/>
      </right>
      <top style="medium">
        <color rgb="FF0000FF"/>
      </top>
      <bottom style="thin">
        <color rgb="FF0000FF"/>
      </bottom>
    </border>
    <border>
      <left style="thin">
        <color rgb="FF000000"/>
      </left>
      <right style="thin">
        <color rgb="FF000000"/>
      </right>
      <top style="thin">
        <color rgb="FF000000"/>
      </top>
      <bottom style="thin">
        <color rgb="FF0000FF"/>
      </bottom>
    </border>
    <border>
      <left style="thin">
        <color rgb="FF000000"/>
      </left>
      <right style="medium">
        <color rgb="FF0000FF"/>
      </right>
      <top style="medium">
        <color rgb="FF0000FF"/>
      </top>
      <bottom style="thin">
        <color rgb="FF0000FF"/>
      </bottom>
    </border>
    <border>
      <left style="medium">
        <color rgb="FF0000FF"/>
      </left>
      <right style="thin">
        <color rgb="FF000000"/>
      </right>
    </border>
    <border>
      <left style="thin">
        <color rgb="FF000000"/>
      </left>
      <right style="thin">
        <color rgb="FF000000"/>
      </right>
    </border>
    <border>
      <left style="thin">
        <color rgb="FF000000"/>
      </left>
      <right style="medium">
        <color rgb="FF0000FF"/>
      </right>
    </border>
    <border>
      <left style="medium">
        <color rgb="FF0000FF"/>
      </left>
      <right style="thin">
        <color rgb="FF000000"/>
      </right>
      <top style="thin">
        <color rgb="FF000000"/>
      </top>
    </border>
    <border>
      <left style="thick">
        <color rgb="FF0000FF"/>
      </left>
      <right style="thin">
        <color rgb="FF000000"/>
      </right>
      <top style="thick">
        <color rgb="FF0000FF"/>
      </top>
    </border>
    <border>
      <left style="thin">
        <color rgb="FF000000"/>
      </left>
      <right style="thin">
        <color rgb="FF000000"/>
      </right>
      <top style="thick">
        <color rgb="FF0000FF"/>
      </top>
    </border>
    <border>
      <left style="thick">
        <color rgb="FF0000FF"/>
      </left>
      <right style="thin">
        <color rgb="FF000000"/>
      </right>
      <top style="thin">
        <color rgb="FF000000"/>
      </top>
      <bottom style="thin">
        <color rgb="FF000000"/>
      </bottom>
    </border>
    <border>
      <left style="thick">
        <color rgb="FF0000FF"/>
      </left>
      <right style="thin">
        <color rgb="FF000000"/>
      </right>
      <top style="thin">
        <color rgb="FF000000"/>
      </top>
      <bottom style="thick">
        <color rgb="FF0000FF"/>
      </bottom>
    </border>
    <border>
      <left style="thin">
        <color rgb="FF000000"/>
      </left>
      <right style="thin">
        <color rgb="FF000000"/>
      </right>
      <top style="thin">
        <color rgb="FF000000"/>
      </top>
      <bottom style="thick">
        <color rgb="FF0000FF"/>
      </bottom>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top style="thin">
        <color rgb="FFFFFFFF"/>
      </top>
      <bottom style="thin">
        <color rgb="FFFFFFFF"/>
      </bottom>
    </border>
    <border>
      <left style="thin">
        <color rgb="FFFFFFFF"/>
      </left>
      <right style="thin">
        <color rgb="FFFFFFFF"/>
      </right>
      <bottom style="thin">
        <color rgb="FFFFFFFF"/>
      </bottom>
    </border>
    <border>
      <left style="thin">
        <color rgb="FFFFFFFF"/>
      </left>
      <right style="thin">
        <color rgb="FFFFFFFF"/>
      </right>
    </border>
    <border>
      <left style="thin">
        <color rgb="FF000000"/>
      </left>
      <top style="thin">
        <color rgb="FF000000"/>
      </top>
    </border>
    <border>
      <top style="thin">
        <color rgb="FF000000"/>
      </top>
    </border>
    <border>
      <right style="thin">
        <color rgb="FF000000"/>
      </right>
      <top style="thin">
        <color rgb="FF000000"/>
      </top>
    </border>
    <border>
      <left style="dotted">
        <color rgb="FF000000"/>
      </left>
      <right style="dotted">
        <color rgb="FF000000"/>
      </right>
      <top style="dotted">
        <color rgb="FF000000"/>
      </top>
      <bottom style="dotted">
        <color rgb="FF000000"/>
      </bottom>
    </border>
    <border>
      <left style="dotted">
        <color rgb="FF000000"/>
      </left>
      <bottom style="dotted">
        <color rgb="FF000000"/>
      </bottom>
    </border>
    <border>
      <bottom style="dotted">
        <color rgb="FF000000"/>
      </bottom>
    </border>
    <border>
      <right style="dotted">
        <color rgb="FF000000"/>
      </right>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dotted">
        <color rgb="FF000000"/>
      </left>
      <right style="dotted">
        <color rgb="FF000000"/>
      </right>
      <top style="dotted">
        <color rgb="FF000000"/>
      </top>
    </border>
    <border>
      <left style="dotted">
        <color rgb="FF000000"/>
      </left>
      <right style="dotted">
        <color rgb="FF000000"/>
      </right>
    </border>
    <border>
      <left style="dotted">
        <color rgb="FF000000"/>
      </left>
      <right style="dotted">
        <color rgb="FF000000"/>
      </right>
      <bottom style="dotted">
        <color rgb="FF000000"/>
      </bottom>
    </border>
  </borders>
  <cellStyleXfs count="1">
    <xf borderId="0" fillId="0" fontId="0" numFmtId="0" applyAlignment="1" applyFont="1"/>
  </cellStyleXfs>
  <cellXfs count="63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2" fillId="2" fontId="1" numFmtId="0" xfId="0" applyAlignment="1" applyBorder="1" applyFont="1">
      <alignment horizontal="center" readingOrder="0" shrinkToFit="0" vertical="center" wrapText="1"/>
    </xf>
    <xf borderId="3" fillId="2" fontId="1" numFmtId="0" xfId="0" applyAlignment="1" applyBorder="1" applyFont="1">
      <alignment horizontal="center" shrinkToFit="0" vertical="center" wrapText="1"/>
    </xf>
    <xf borderId="1" fillId="2" fontId="2" numFmtId="0" xfId="0" applyAlignment="1" applyBorder="1" applyFont="1">
      <alignment horizontal="center" readingOrder="0" shrinkToFit="0" vertical="center" wrapText="1"/>
    </xf>
    <xf borderId="4" fillId="0" fontId="3" numFmtId="0" xfId="0" applyAlignment="1" applyBorder="1" applyFont="1">
      <alignment horizontal="center" readingOrder="0"/>
    </xf>
    <xf borderId="5" fillId="0" fontId="4" numFmtId="0" xfId="0" applyAlignment="1" applyBorder="1" applyFont="1">
      <alignment horizontal="center" readingOrder="0" shrinkToFit="0" wrapText="1"/>
    </xf>
    <xf borderId="5" fillId="0" fontId="3" numFmtId="0" xfId="0" applyAlignment="1" applyBorder="1" applyFont="1">
      <alignment horizontal="center" readingOrder="0" shrinkToFit="0" wrapText="1"/>
    </xf>
    <xf borderId="5" fillId="0" fontId="3" numFmtId="0" xfId="0" applyAlignment="1" applyBorder="1" applyFont="1">
      <alignment horizontal="center" readingOrder="0"/>
    </xf>
    <xf borderId="5" fillId="0" fontId="3" numFmtId="0" xfId="0" applyAlignment="1" applyBorder="1" applyFont="1">
      <alignment horizontal="center" readingOrder="0" shrinkToFit="0" vertical="bottom" wrapText="1"/>
    </xf>
    <xf borderId="5" fillId="0" fontId="5" numFmtId="0" xfId="0" applyAlignment="1" applyBorder="1" applyFont="1">
      <alignment horizontal="center" readingOrder="0"/>
    </xf>
    <xf borderId="5" fillId="3" fontId="5" numFmtId="164" xfId="0" applyAlignment="1" applyBorder="1" applyFill="1" applyFont="1" applyNumberFormat="1">
      <alignment horizontal="center" readingOrder="0"/>
    </xf>
    <xf borderId="5" fillId="0" fontId="3" numFmtId="0" xfId="0" applyAlignment="1" applyBorder="1" applyFont="1">
      <alignment horizontal="center" readingOrder="0" shrinkToFit="0" vertical="center" wrapText="1"/>
    </xf>
    <xf borderId="5" fillId="0" fontId="3" numFmtId="0" xfId="0" applyAlignment="1" applyBorder="1" applyFont="1">
      <alignment readingOrder="0" shrinkToFit="0" wrapText="1"/>
    </xf>
    <xf borderId="5" fillId="0" fontId="3" numFmtId="0" xfId="0" applyAlignment="1" applyBorder="1" applyFont="1">
      <alignment shrinkToFit="0" wrapText="1"/>
    </xf>
    <xf borderId="5" fillId="0" fontId="3" numFmtId="0" xfId="0" applyAlignment="1" applyBorder="1" applyFont="1">
      <alignment horizontal="center" shrinkToFit="0" vertical="center" wrapText="1"/>
    </xf>
    <xf borderId="5" fillId="0" fontId="3" numFmtId="0" xfId="0" applyAlignment="1" applyBorder="1" applyFont="1">
      <alignment horizontal="center" shrinkToFit="0" wrapText="0"/>
    </xf>
    <xf borderId="5" fillId="0" fontId="3" numFmtId="1" xfId="0" applyAlignment="1" applyBorder="1" applyFont="1" applyNumberFormat="1">
      <alignment horizontal="center" vertical="center"/>
    </xf>
    <xf borderId="5" fillId="0" fontId="3" numFmtId="1" xfId="0" applyBorder="1" applyFont="1" applyNumberFormat="1"/>
    <xf borderId="6" fillId="0" fontId="3" numFmtId="0" xfId="0" applyAlignment="1" applyBorder="1" applyFont="1">
      <alignment horizontal="center"/>
    </xf>
    <xf borderId="5" fillId="0" fontId="3" numFmtId="0" xfId="0" applyAlignment="1" applyBorder="1" applyFont="1">
      <alignment horizontal="center" shrinkToFit="0" wrapText="1"/>
    </xf>
    <xf borderId="7" fillId="4" fontId="3" numFmtId="0" xfId="0" applyAlignment="1" applyBorder="1" applyFill="1" applyFont="1">
      <alignment horizontal="center" readingOrder="0"/>
    </xf>
    <xf borderId="8" fillId="4" fontId="4" numFmtId="0" xfId="0" applyAlignment="1" applyBorder="1" applyFont="1">
      <alignment horizontal="center" readingOrder="0" shrinkToFit="0" wrapText="1"/>
    </xf>
    <xf borderId="8" fillId="4" fontId="3" numFmtId="0" xfId="0" applyAlignment="1" applyBorder="1" applyFont="1">
      <alignment horizontal="center" readingOrder="0" shrinkToFit="0" wrapText="1"/>
    </xf>
    <xf borderId="8" fillId="4" fontId="3" numFmtId="0" xfId="0" applyAlignment="1" applyBorder="1" applyFont="1">
      <alignment horizontal="center" readingOrder="0"/>
    </xf>
    <xf borderId="8" fillId="4" fontId="3" numFmtId="0" xfId="0" applyAlignment="1" applyBorder="1" applyFont="1">
      <alignment horizontal="center" readingOrder="0" shrinkToFit="0" vertical="bottom" wrapText="1"/>
    </xf>
    <xf borderId="8" fillId="4" fontId="5" numFmtId="0" xfId="0" applyAlignment="1" applyBorder="1" applyFont="1">
      <alignment horizontal="center" readingOrder="0"/>
    </xf>
    <xf borderId="8" fillId="3" fontId="5" numFmtId="164" xfId="0" applyAlignment="1" applyBorder="1" applyFont="1" applyNumberFormat="1">
      <alignment horizontal="center" readingOrder="0"/>
    </xf>
    <xf borderId="8" fillId="4" fontId="3" numFmtId="0" xfId="0" applyAlignment="1" applyBorder="1" applyFont="1">
      <alignment horizontal="center" readingOrder="0" shrinkToFit="0" vertical="center" wrapText="1"/>
    </xf>
    <xf borderId="8" fillId="4" fontId="3" numFmtId="0" xfId="0" applyAlignment="1" applyBorder="1" applyFont="1">
      <alignment readingOrder="0" shrinkToFit="0" vertical="center" wrapText="1"/>
    </xf>
    <xf borderId="8" fillId="4" fontId="3" numFmtId="0" xfId="0" applyAlignment="1" applyBorder="1" applyFont="1">
      <alignment readingOrder="0" shrinkToFit="0" wrapText="1"/>
    </xf>
    <xf borderId="8" fillId="4" fontId="3" numFmtId="1" xfId="0" applyAlignment="1" applyBorder="1" applyFont="1" applyNumberFormat="1">
      <alignment horizontal="center" readingOrder="0" vertical="center"/>
    </xf>
    <xf borderId="8" fillId="4" fontId="3" numFmtId="1" xfId="0" applyAlignment="1" applyBorder="1" applyFont="1" applyNumberFormat="1">
      <alignment readingOrder="0" shrinkToFit="0" wrapText="1"/>
    </xf>
    <xf borderId="9" fillId="4" fontId="3" numFmtId="0" xfId="0" applyAlignment="1" applyBorder="1" applyFont="1">
      <alignment horizontal="center"/>
    </xf>
    <xf borderId="8" fillId="4" fontId="3" numFmtId="0" xfId="0" applyAlignment="1" applyBorder="1" applyFont="1">
      <alignment readingOrder="0"/>
    </xf>
    <xf borderId="10" fillId="0" fontId="3" numFmtId="0" xfId="0" applyAlignment="1" applyBorder="1" applyFont="1">
      <alignment horizontal="center" readingOrder="0"/>
    </xf>
    <xf borderId="11" fillId="0" fontId="4" numFmtId="0" xfId="0" applyAlignment="1" applyBorder="1" applyFont="1">
      <alignment horizontal="center" readingOrder="0" shrinkToFit="0" wrapText="1"/>
    </xf>
    <xf borderId="11" fillId="0" fontId="3" numFmtId="0" xfId="0" applyAlignment="1" applyBorder="1" applyFont="1">
      <alignment horizontal="center" readingOrder="0" shrinkToFit="0" wrapText="1"/>
    </xf>
    <xf borderId="11" fillId="0" fontId="3" numFmtId="0" xfId="0" applyAlignment="1" applyBorder="1" applyFont="1">
      <alignment horizontal="center" readingOrder="0"/>
    </xf>
    <xf borderId="11" fillId="0" fontId="3" numFmtId="0" xfId="0" applyAlignment="1" applyBorder="1" applyFont="1">
      <alignment horizontal="center" readingOrder="0" shrinkToFit="0" vertical="bottom" wrapText="1"/>
    </xf>
    <xf borderId="11" fillId="0" fontId="5" numFmtId="0" xfId="0" applyAlignment="1" applyBorder="1" applyFont="1">
      <alignment horizontal="center" readingOrder="0"/>
    </xf>
    <xf borderId="11" fillId="0" fontId="5" numFmtId="0" xfId="0" applyAlignment="1" applyBorder="1" applyFont="1">
      <alignment horizontal="center"/>
    </xf>
    <xf borderId="11" fillId="3" fontId="5" numFmtId="164" xfId="0" applyAlignment="1" applyBorder="1" applyFont="1" applyNumberFormat="1">
      <alignment horizontal="center"/>
    </xf>
    <xf borderId="11" fillId="0" fontId="3" numFmtId="0" xfId="0" applyAlignment="1" applyBorder="1" applyFont="1">
      <alignment horizontal="center" readingOrder="0" shrinkToFit="0" vertical="center" wrapText="1"/>
    </xf>
    <xf borderId="12" fillId="0" fontId="3" numFmtId="0" xfId="0" applyAlignment="1" applyBorder="1" applyFont="1">
      <alignment horizontal="center" readingOrder="0" shrinkToFit="0" wrapText="1"/>
    </xf>
    <xf borderId="11" fillId="0" fontId="6" numFmtId="0" xfId="0" applyAlignment="1" applyBorder="1" applyFont="1">
      <alignment horizontal="center" readingOrder="0" shrinkToFit="0" vertical="center" wrapText="1"/>
    </xf>
    <xf borderId="11" fillId="0" fontId="3" numFmtId="1" xfId="0" applyAlignment="1" applyBorder="1" applyFont="1" applyNumberFormat="1">
      <alignment horizontal="center" readingOrder="0" vertical="center"/>
    </xf>
    <xf borderId="11" fillId="0" fontId="3" numFmtId="1" xfId="0" applyAlignment="1" applyBorder="1" applyFont="1" applyNumberFormat="1">
      <alignment horizontal="center" readingOrder="0" shrinkToFit="0" vertical="center" wrapText="1"/>
    </xf>
    <xf borderId="13" fillId="0" fontId="3" numFmtId="0" xfId="0" applyAlignment="1" applyBorder="1" applyFont="1">
      <alignment horizontal="center"/>
    </xf>
    <xf borderId="0" fillId="0" fontId="7" numFmtId="0" xfId="0" applyAlignment="1" applyFont="1">
      <alignment horizontal="center"/>
    </xf>
    <xf borderId="14" fillId="0" fontId="3" numFmtId="0" xfId="0" applyAlignment="1" applyBorder="1" applyFont="1">
      <alignment horizontal="center" readingOrder="0"/>
    </xf>
    <xf borderId="12" fillId="0" fontId="4" numFmtId="0" xfId="0" applyAlignment="1" applyBorder="1" applyFont="1">
      <alignment horizontal="center" readingOrder="0" shrinkToFit="0" wrapText="1"/>
    </xf>
    <xf borderId="12" fillId="0" fontId="3" numFmtId="0" xfId="0" applyAlignment="1" applyBorder="1" applyFont="1">
      <alignment horizontal="center" readingOrder="0"/>
    </xf>
    <xf borderId="12" fillId="0" fontId="3" numFmtId="0" xfId="0" applyAlignment="1" applyBorder="1" applyFont="1">
      <alignment horizontal="center" readingOrder="0" shrinkToFit="0" vertical="bottom" wrapText="1"/>
    </xf>
    <xf borderId="12" fillId="0" fontId="5" numFmtId="0" xfId="0" applyAlignment="1" applyBorder="1" applyFont="1">
      <alignment horizontal="center" readingOrder="0"/>
    </xf>
    <xf borderId="12" fillId="3" fontId="5" numFmtId="164" xfId="0" applyAlignment="1" applyBorder="1" applyFont="1" applyNumberFormat="1">
      <alignment horizontal="center"/>
    </xf>
    <xf borderId="12" fillId="0" fontId="3" numFmtId="0" xfId="0" applyAlignment="1" applyBorder="1" applyFont="1">
      <alignment horizontal="center" readingOrder="0" shrinkToFit="0" vertical="center" wrapText="1"/>
    </xf>
    <xf borderId="12" fillId="0" fontId="3" numFmtId="0" xfId="0" applyAlignment="1" applyBorder="1" applyFont="1">
      <alignment readingOrder="0" shrinkToFit="0" vertical="center" wrapText="1"/>
    </xf>
    <xf borderId="12" fillId="0" fontId="8" numFmtId="0" xfId="0" applyAlignment="1" applyBorder="1" applyFont="1">
      <alignment readingOrder="0" shrinkToFit="0" vertical="center" wrapText="1"/>
    </xf>
    <xf borderId="12" fillId="0" fontId="3" numFmtId="1" xfId="0" applyAlignment="1" applyBorder="1" applyFont="1" applyNumberFormat="1">
      <alignment horizontal="center" vertical="center"/>
    </xf>
    <xf borderId="12" fillId="0" fontId="3" numFmtId="1" xfId="0" applyAlignment="1" applyBorder="1" applyFont="1" applyNumberFormat="1">
      <alignment horizontal="center" readingOrder="0" shrinkToFit="0" vertical="center" wrapText="1"/>
    </xf>
    <xf borderId="15" fillId="0" fontId="3" numFmtId="0" xfId="0" applyAlignment="1" applyBorder="1" applyFont="1">
      <alignment horizontal="center"/>
    </xf>
    <xf borderId="12" fillId="0" fontId="3" numFmtId="1" xfId="0" applyAlignment="1" applyBorder="1" applyFont="1" applyNumberFormat="1">
      <alignment horizontal="center" readingOrder="0" vertical="center"/>
    </xf>
    <xf borderId="12" fillId="0" fontId="3" numFmtId="1" xfId="0" applyAlignment="1" applyBorder="1" applyFont="1" applyNumberFormat="1">
      <alignment horizontal="center" readingOrder="0" shrinkToFit="0" wrapText="1"/>
    </xf>
    <xf borderId="16" fillId="0" fontId="3" numFmtId="0" xfId="0" applyAlignment="1" applyBorder="1" applyFont="1">
      <alignment horizontal="center" readingOrder="0"/>
    </xf>
    <xf borderId="17" fillId="0" fontId="4" numFmtId="0" xfId="0" applyAlignment="1" applyBorder="1" applyFont="1">
      <alignment horizontal="center" readingOrder="0" shrinkToFit="0" wrapText="1"/>
    </xf>
    <xf borderId="17" fillId="0" fontId="3" numFmtId="0" xfId="0" applyAlignment="1" applyBorder="1" applyFont="1">
      <alignment horizontal="center" readingOrder="0" shrinkToFit="0" wrapText="1"/>
    </xf>
    <xf borderId="17" fillId="0" fontId="3" numFmtId="0" xfId="0" applyAlignment="1" applyBorder="1" applyFont="1">
      <alignment horizontal="center" readingOrder="0"/>
    </xf>
    <xf borderId="17" fillId="0" fontId="3" numFmtId="0" xfId="0" applyAlignment="1" applyBorder="1" applyFont="1">
      <alignment horizontal="center" readingOrder="0" shrinkToFit="0" vertical="bottom" wrapText="1"/>
    </xf>
    <xf borderId="17" fillId="0" fontId="5" numFmtId="0" xfId="0" applyAlignment="1" applyBorder="1" applyFont="1">
      <alignment horizontal="center" readingOrder="0"/>
    </xf>
    <xf borderId="17" fillId="3" fontId="5" numFmtId="164" xfId="0" applyAlignment="1" applyBorder="1" applyFont="1" applyNumberFormat="1">
      <alignment horizontal="center"/>
    </xf>
    <xf borderId="17" fillId="0" fontId="3" numFmtId="0" xfId="0" applyAlignment="1" applyBorder="1" applyFont="1">
      <alignment horizontal="center" readingOrder="0" shrinkToFit="0" vertical="center" wrapText="1"/>
    </xf>
    <xf borderId="17" fillId="0" fontId="3" numFmtId="0" xfId="0" applyAlignment="1" applyBorder="1" applyFont="1">
      <alignment readingOrder="0" shrinkToFit="0" wrapText="1"/>
    </xf>
    <xf borderId="17" fillId="0" fontId="9" numFmtId="0" xfId="0" applyAlignment="1" applyBorder="1" applyFont="1">
      <alignment readingOrder="0" shrinkToFit="0" wrapText="1"/>
    </xf>
    <xf borderId="17" fillId="0" fontId="3" numFmtId="1" xfId="0" applyAlignment="1" applyBorder="1" applyFont="1" applyNumberFormat="1">
      <alignment horizontal="center" readingOrder="0" vertical="center"/>
    </xf>
    <xf borderId="17" fillId="0" fontId="3" numFmtId="1" xfId="0" applyAlignment="1" applyBorder="1" applyFont="1" applyNumberFormat="1">
      <alignment horizontal="center" readingOrder="0" shrinkToFit="0" wrapText="1"/>
    </xf>
    <xf borderId="18" fillId="0" fontId="3" numFmtId="0" xfId="0" applyAlignment="1" applyBorder="1" applyFont="1">
      <alignment horizontal="center"/>
    </xf>
    <xf borderId="19" fillId="5" fontId="3" numFmtId="0" xfId="0" applyAlignment="1" applyBorder="1" applyFill="1" applyFont="1">
      <alignment horizontal="center"/>
    </xf>
    <xf borderId="20" fillId="5" fontId="4" numFmtId="0" xfId="0" applyAlignment="1" applyBorder="1" applyFont="1">
      <alignment horizontal="center" shrinkToFit="0" wrapText="1"/>
    </xf>
    <xf borderId="20" fillId="5" fontId="3" numFmtId="0" xfId="0" applyAlignment="1" applyBorder="1" applyFont="1">
      <alignment horizontal="center" shrinkToFit="0" wrapText="1"/>
    </xf>
    <xf borderId="12" fillId="5" fontId="3" numFmtId="0" xfId="0" applyAlignment="1" applyBorder="1" applyFont="1">
      <alignment horizontal="center" readingOrder="0" vertical="bottom"/>
    </xf>
    <xf borderId="20" fillId="5" fontId="3" numFmtId="0" xfId="0" applyAlignment="1" applyBorder="1" applyFont="1">
      <alignment horizontal="center" readingOrder="0" shrinkToFit="0" vertical="bottom" wrapText="1"/>
    </xf>
    <xf borderId="20" fillId="5" fontId="3" numFmtId="0" xfId="0" applyAlignment="1" applyBorder="1" applyFont="1">
      <alignment horizontal="center" readingOrder="0" shrinkToFit="0" wrapText="1"/>
    </xf>
    <xf borderId="20" fillId="5" fontId="3" numFmtId="0" xfId="0" applyAlignment="1" applyBorder="1" applyFont="1">
      <alignment horizontal="center" readingOrder="0"/>
    </xf>
    <xf borderId="20" fillId="3" fontId="3" numFmtId="164" xfId="0" applyAlignment="1" applyBorder="1" applyFont="1" applyNumberFormat="1">
      <alignment horizontal="center"/>
    </xf>
    <xf borderId="20" fillId="5" fontId="4" numFmtId="0" xfId="0" applyAlignment="1" applyBorder="1" applyFont="1">
      <alignment horizontal="center" readingOrder="0" shrinkToFit="0" vertical="center" wrapText="1"/>
    </xf>
    <xf borderId="20" fillId="5" fontId="10" numFmtId="0" xfId="0" applyAlignment="1" applyBorder="1" applyFont="1">
      <alignment horizontal="center" readingOrder="0" shrinkToFit="0" vertical="center" wrapText="1"/>
    </xf>
    <xf borderId="20" fillId="5" fontId="3" numFmtId="0" xfId="0" applyAlignment="1" applyBorder="1" applyFont="1">
      <alignment readingOrder="0" shrinkToFit="0" wrapText="1"/>
    </xf>
    <xf borderId="20" fillId="5" fontId="4" numFmtId="0" xfId="0" applyAlignment="1" applyBorder="1" applyFont="1">
      <alignment readingOrder="0" shrinkToFit="0" wrapText="1"/>
    </xf>
    <xf borderId="20" fillId="5" fontId="11" numFmtId="0" xfId="0" applyAlignment="1" applyBorder="1" applyFont="1">
      <alignment horizontal="center" readingOrder="0" shrinkToFit="0" vertical="center" wrapText="1"/>
    </xf>
    <xf borderId="20" fillId="5" fontId="10" numFmtId="1" xfId="0" applyAlignment="1" applyBorder="1" applyFont="1" applyNumberFormat="1">
      <alignment horizontal="center" readingOrder="0" shrinkToFit="0" vertical="center" wrapText="1"/>
    </xf>
    <xf borderId="20" fillId="5" fontId="3" numFmtId="1" xfId="0" applyBorder="1" applyFont="1" applyNumberFormat="1"/>
    <xf borderId="21" fillId="5" fontId="3" numFmtId="0" xfId="0" applyAlignment="1" applyBorder="1" applyFont="1">
      <alignment horizontal="center"/>
    </xf>
    <xf borderId="14" fillId="5" fontId="3" numFmtId="0" xfId="0" applyAlignment="1" applyBorder="1" applyFont="1">
      <alignment horizontal="center"/>
    </xf>
    <xf borderId="12" fillId="5" fontId="3" numFmtId="0" xfId="0" applyAlignment="1" applyBorder="1" applyFont="1">
      <alignment horizontal="center" shrinkToFit="0" vertical="bottom" wrapText="1"/>
    </xf>
    <xf borderId="12" fillId="5" fontId="3" numFmtId="0" xfId="0" applyAlignment="1" applyBorder="1" applyFont="1">
      <alignment horizontal="center" shrinkToFit="0" wrapText="1"/>
    </xf>
    <xf borderId="12" fillId="5" fontId="3" numFmtId="0" xfId="0" applyAlignment="1" applyBorder="1" applyFont="1">
      <alignment horizontal="center" readingOrder="0" shrinkToFit="0" vertical="bottom" wrapText="1"/>
    </xf>
    <xf borderId="12" fillId="5" fontId="3" numFmtId="0" xfId="0" applyAlignment="1" applyBorder="1" applyFont="1">
      <alignment horizontal="center" readingOrder="0" shrinkToFit="0" wrapText="1"/>
    </xf>
    <xf borderId="12" fillId="5" fontId="3" numFmtId="0" xfId="0" applyAlignment="1" applyBorder="1" applyFont="1">
      <alignment horizontal="center" readingOrder="0"/>
    </xf>
    <xf borderId="12" fillId="5" fontId="3" numFmtId="0" xfId="0" applyAlignment="1" applyBorder="1" applyFont="1">
      <alignment horizontal="center"/>
    </xf>
    <xf borderId="12" fillId="3" fontId="3" numFmtId="164" xfId="0" applyAlignment="1" applyBorder="1" applyFont="1" applyNumberFormat="1">
      <alignment horizontal="center"/>
    </xf>
    <xf borderId="12" fillId="5" fontId="4" numFmtId="0" xfId="0" applyAlignment="1" applyBorder="1" applyFont="1">
      <alignment horizontal="center" readingOrder="0" shrinkToFit="0" vertical="center" wrapText="1"/>
    </xf>
    <xf borderId="12" fillId="5" fontId="10" numFmtId="0" xfId="0" applyAlignment="1" applyBorder="1" applyFont="1">
      <alignment horizontal="center" readingOrder="0" shrinkToFit="0" vertical="center" wrapText="1"/>
    </xf>
    <xf borderId="11" fillId="5" fontId="3" numFmtId="0" xfId="0" applyAlignment="1" applyBorder="1" applyFont="1">
      <alignment readingOrder="0" shrinkToFit="0" wrapText="1"/>
    </xf>
    <xf borderId="11" fillId="5" fontId="4" numFmtId="0" xfId="0" applyAlignment="1" applyBorder="1" applyFont="1">
      <alignment horizontal="center" readingOrder="0" shrinkToFit="0" wrapText="1"/>
    </xf>
    <xf borderId="12" fillId="5" fontId="11" numFmtId="0" xfId="0" applyAlignment="1" applyBorder="1" applyFont="1">
      <alignment horizontal="center" readingOrder="0" shrinkToFit="0" vertical="center" wrapText="1"/>
    </xf>
    <xf borderId="11" fillId="5" fontId="3" numFmtId="0" xfId="0" applyAlignment="1" applyBorder="1" applyFont="1">
      <alignment shrinkToFit="0" wrapText="1"/>
    </xf>
    <xf borderId="11" fillId="5" fontId="10" numFmtId="1" xfId="0" applyAlignment="1" applyBorder="1" applyFont="1" applyNumberFormat="1">
      <alignment horizontal="center" readingOrder="0" shrinkToFit="0" vertical="center" wrapText="1"/>
    </xf>
    <xf borderId="11" fillId="5" fontId="3" numFmtId="1" xfId="0" applyAlignment="1" applyBorder="1" applyFont="1" applyNumberFormat="1">
      <alignment vertical="bottom"/>
    </xf>
    <xf borderId="13" fillId="5" fontId="3" numFmtId="0" xfId="0" applyAlignment="1" applyBorder="1" applyFont="1">
      <alignment horizontal="center"/>
    </xf>
    <xf borderId="12" fillId="5" fontId="3" numFmtId="0" xfId="0" applyAlignment="1" applyBorder="1" applyFont="1">
      <alignment horizontal="center" shrinkToFit="0" vertical="center" wrapText="1"/>
    </xf>
    <xf borderId="12" fillId="5" fontId="3" numFmtId="0" xfId="0" applyAlignment="1" applyBorder="1" applyFont="1">
      <alignment horizontal="center" readingOrder="0" shrinkToFit="0" vertical="center" wrapText="1"/>
    </xf>
    <xf borderId="12" fillId="5" fontId="3" numFmtId="0" xfId="0" applyAlignment="1" applyBorder="1" applyFont="1">
      <alignment horizontal="center" readingOrder="0" vertical="center"/>
    </xf>
    <xf borderId="12" fillId="5" fontId="3" numFmtId="0" xfId="0" applyAlignment="1" applyBorder="1" applyFont="1">
      <alignment horizontal="center" vertical="center"/>
    </xf>
    <xf borderId="12" fillId="3" fontId="3" numFmtId="164" xfId="0" applyAlignment="1" applyBorder="1" applyFont="1" applyNumberFormat="1">
      <alignment horizontal="center" vertical="center"/>
    </xf>
    <xf borderId="11" fillId="5" fontId="3" numFmtId="0" xfId="0" applyAlignment="1" applyBorder="1" applyFont="1">
      <alignment horizontal="center" readingOrder="0" shrinkToFit="0" vertical="center" wrapText="1"/>
    </xf>
    <xf borderId="12" fillId="5" fontId="3" numFmtId="0" xfId="0" applyAlignment="1" applyBorder="1" applyFont="1">
      <alignment horizontal="center" readingOrder="0" shrinkToFit="0" vertical="center" wrapText="1"/>
    </xf>
    <xf borderId="11" fillId="5" fontId="4" numFmtId="0" xfId="0" applyAlignment="1" applyBorder="1" applyFont="1">
      <alignment horizontal="center" readingOrder="0" shrinkToFit="0" vertical="center" wrapText="1"/>
    </xf>
    <xf borderId="11" fillId="5" fontId="3" numFmtId="0" xfId="0" applyAlignment="1" applyBorder="1" applyFont="1">
      <alignment horizontal="center" readingOrder="0" shrinkToFit="0" vertical="center" wrapText="0"/>
    </xf>
    <xf borderId="11" fillId="5" fontId="3" numFmtId="1" xfId="0" applyAlignment="1" applyBorder="1" applyFont="1" applyNumberFormat="1">
      <alignment horizontal="center" readingOrder="0" shrinkToFit="0" vertical="center" wrapText="1"/>
    </xf>
    <xf borderId="11" fillId="5" fontId="4" numFmtId="0" xfId="0" applyAlignment="1" applyBorder="1" applyFont="1">
      <alignment horizontal="center" readingOrder="0" shrinkToFit="0" wrapText="1"/>
    </xf>
    <xf borderId="11" fillId="5" fontId="12" numFmtId="0" xfId="0" applyAlignment="1" applyBorder="1" applyFont="1">
      <alignment horizontal="center" readingOrder="0" shrinkToFit="0" wrapText="1"/>
    </xf>
    <xf borderId="11" fillId="5" fontId="10" numFmtId="0" xfId="0" applyAlignment="1" applyBorder="1" applyFont="1">
      <alignment horizontal="center" readingOrder="0" shrinkToFit="0" vertical="center" wrapText="1"/>
    </xf>
    <xf borderId="11" fillId="5" fontId="3" numFmtId="1" xfId="0" applyAlignment="1" applyBorder="1" applyFont="1" applyNumberFormat="1">
      <alignment horizontal="center" readingOrder="0" vertical="center"/>
    </xf>
    <xf borderId="16" fillId="5" fontId="3" numFmtId="0" xfId="0" applyAlignment="1" applyBorder="1" applyFont="1">
      <alignment horizontal="center"/>
    </xf>
    <xf borderId="17" fillId="5" fontId="3" numFmtId="0" xfId="0" applyAlignment="1" applyBorder="1" applyFont="1">
      <alignment horizontal="center" shrinkToFit="0" vertical="bottom" wrapText="1"/>
    </xf>
    <xf borderId="17" fillId="5" fontId="3" numFmtId="0" xfId="0" applyAlignment="1" applyBorder="1" applyFont="1">
      <alignment horizontal="center" shrinkToFit="0" wrapText="1"/>
    </xf>
    <xf borderId="17" fillId="5" fontId="3" numFmtId="0" xfId="0" applyAlignment="1" applyBorder="1" applyFont="1">
      <alignment horizontal="center" readingOrder="0" vertical="bottom"/>
    </xf>
    <xf borderId="17" fillId="5" fontId="3" numFmtId="0" xfId="0" applyAlignment="1" applyBorder="1" applyFont="1">
      <alignment horizontal="center" readingOrder="0" shrinkToFit="0" vertical="bottom" wrapText="1"/>
    </xf>
    <xf borderId="17" fillId="5" fontId="3" numFmtId="0" xfId="0" applyAlignment="1" applyBorder="1" applyFont="1">
      <alignment horizontal="center" readingOrder="0" shrinkToFit="0" wrapText="1"/>
    </xf>
    <xf borderId="17" fillId="5" fontId="3" numFmtId="0" xfId="0" applyAlignment="1" applyBorder="1" applyFont="1">
      <alignment horizontal="center" readingOrder="0"/>
    </xf>
    <xf borderId="17" fillId="5" fontId="3" numFmtId="0" xfId="0" applyAlignment="1" applyBorder="1" applyFont="1">
      <alignment horizontal="center"/>
    </xf>
    <xf borderId="17" fillId="3" fontId="3" numFmtId="164" xfId="0" applyAlignment="1" applyBorder="1" applyFont="1" applyNumberFormat="1">
      <alignment horizontal="center"/>
    </xf>
    <xf borderId="17" fillId="5" fontId="3" numFmtId="0" xfId="0" applyAlignment="1" applyBorder="1" applyFont="1">
      <alignment readingOrder="0" shrinkToFit="0" wrapText="1"/>
    </xf>
    <xf borderId="17" fillId="5" fontId="4" numFmtId="0" xfId="0" applyAlignment="1" applyBorder="1" applyFont="1">
      <alignment horizontal="center" readingOrder="0" shrinkToFit="0" wrapText="1"/>
    </xf>
    <xf borderId="11" fillId="5" fontId="13" numFmtId="0" xfId="0" applyAlignment="1" applyBorder="1" applyFont="1">
      <alignment horizontal="center" readingOrder="0" shrinkToFit="0" vertical="center" wrapText="1"/>
    </xf>
    <xf borderId="17" fillId="5" fontId="3" numFmtId="0" xfId="0" applyAlignment="1" applyBorder="1" applyFont="1">
      <alignment horizontal="center" readingOrder="0" shrinkToFit="0" vertical="center" wrapText="0"/>
    </xf>
    <xf borderId="1" fillId="5" fontId="3" numFmtId="1" xfId="0" applyAlignment="1" applyBorder="1" applyFont="1" applyNumberFormat="1">
      <alignment horizontal="center" readingOrder="0" vertical="center"/>
    </xf>
    <xf borderId="17" fillId="5" fontId="3" numFmtId="1" xfId="0" applyAlignment="1" applyBorder="1" applyFont="1" applyNumberFormat="1">
      <alignment readingOrder="0" shrinkToFit="0" vertical="bottom" wrapText="1"/>
    </xf>
    <xf borderId="18" fillId="5" fontId="3" numFmtId="0" xfId="0" applyAlignment="1" applyBorder="1" applyFont="1">
      <alignment horizontal="center"/>
    </xf>
    <xf borderId="19" fillId="0" fontId="3" numFmtId="0" xfId="0" applyAlignment="1" applyBorder="1" applyFont="1">
      <alignment horizontal="center" readingOrder="0"/>
    </xf>
    <xf borderId="20" fillId="0" fontId="3" numFmtId="0" xfId="0" applyAlignment="1" applyBorder="1" applyFont="1">
      <alignment horizontal="center" readingOrder="0" shrinkToFit="0" vertical="bottom" wrapText="1"/>
    </xf>
    <xf borderId="20" fillId="0" fontId="3" numFmtId="0" xfId="0" applyAlignment="1" applyBorder="1" applyFont="1">
      <alignment horizontal="center" readingOrder="0" shrinkToFit="0" wrapText="1"/>
    </xf>
    <xf borderId="20" fillId="0" fontId="3" numFmtId="0" xfId="0" applyAlignment="1" applyBorder="1" applyFont="1">
      <alignment horizontal="center" readingOrder="0" vertical="bottom"/>
    </xf>
    <xf borderId="20" fillId="0" fontId="3" numFmtId="0" xfId="0" applyAlignment="1" applyBorder="1" applyFont="1">
      <alignment horizontal="center" readingOrder="0"/>
    </xf>
    <xf borderId="20" fillId="0" fontId="5" numFmtId="0" xfId="0" applyAlignment="1" applyBorder="1" applyFont="1">
      <alignment horizontal="center"/>
    </xf>
    <xf borderId="20" fillId="3" fontId="5" numFmtId="164" xfId="0" applyAlignment="1" applyBorder="1" applyFont="1" applyNumberFormat="1">
      <alignment horizontal="center"/>
    </xf>
    <xf borderId="20" fillId="0" fontId="4" numFmtId="0" xfId="0" applyAlignment="1" applyBorder="1" applyFont="1">
      <alignment horizontal="center" readingOrder="0" shrinkToFit="0" vertical="center" wrapText="1"/>
    </xf>
    <xf borderId="20" fillId="0" fontId="3" numFmtId="0" xfId="0" applyAlignment="1" applyBorder="1" applyFont="1">
      <alignment readingOrder="0" shrinkToFit="0" wrapText="1"/>
    </xf>
    <xf borderId="20" fillId="0" fontId="14" numFmtId="0" xfId="0" applyAlignment="1" applyBorder="1" applyFont="1">
      <alignment horizontal="center" readingOrder="0" shrinkToFit="0" wrapText="1"/>
    </xf>
    <xf borderId="20" fillId="0" fontId="15" numFmtId="0" xfId="0" applyAlignment="1" applyBorder="1" applyFont="1">
      <alignment horizontal="center" readingOrder="0" shrinkToFit="0" vertical="center" wrapText="1"/>
    </xf>
    <xf borderId="20" fillId="0" fontId="3" numFmtId="0" xfId="0" applyAlignment="1" applyBorder="1" applyFont="1">
      <alignment horizontal="center" readingOrder="0" shrinkToFit="0" vertical="center" wrapText="0"/>
    </xf>
    <xf borderId="12" fillId="0" fontId="4" numFmtId="0" xfId="0" applyAlignment="1" applyBorder="1" applyFont="1">
      <alignment horizontal="center" readingOrder="0" shrinkToFit="0" vertical="center" wrapText="1"/>
    </xf>
    <xf borderId="20" fillId="0" fontId="3" numFmtId="1" xfId="0" applyAlignment="1" applyBorder="1" applyFont="1" applyNumberFormat="1">
      <alignment readingOrder="0" shrinkToFit="0" vertical="bottom" wrapText="1"/>
    </xf>
    <xf borderId="21" fillId="0" fontId="3" numFmtId="0" xfId="0" applyAlignment="1" applyBorder="1" applyFont="1">
      <alignment horizontal="center"/>
    </xf>
    <xf borderId="11" fillId="0" fontId="3" numFmtId="0" xfId="0" applyAlignment="1" applyBorder="1" applyFont="1">
      <alignment horizontal="center" readingOrder="0" vertical="bottom"/>
    </xf>
    <xf borderId="12" fillId="0" fontId="5" numFmtId="0" xfId="0" applyAlignment="1" applyBorder="1" applyFont="1">
      <alignment horizontal="center"/>
    </xf>
    <xf borderId="0" fillId="6" fontId="4" numFmtId="0" xfId="0" applyAlignment="1" applyFill="1" applyFont="1">
      <alignment horizontal="center" readingOrder="0" shrinkToFit="0" vertical="center" wrapText="1"/>
    </xf>
    <xf borderId="11" fillId="0" fontId="16" numFmtId="0" xfId="0" applyAlignment="1" applyBorder="1" applyFont="1">
      <alignment horizontal="center" readingOrder="0" shrinkToFit="0" wrapText="1"/>
    </xf>
    <xf borderId="11" fillId="0" fontId="3" numFmtId="1" xfId="0" applyAlignment="1" applyBorder="1" applyFont="1" applyNumberFormat="1">
      <alignment readingOrder="0" shrinkToFit="0" vertical="bottom" wrapText="1"/>
    </xf>
    <xf borderId="12" fillId="0" fontId="3" numFmtId="0" xfId="0" applyAlignment="1" applyBorder="1" applyFont="1">
      <alignment horizontal="center" readingOrder="0" vertical="bottom"/>
    </xf>
    <xf borderId="12" fillId="0" fontId="3" numFmtId="0" xfId="0" applyAlignment="1" applyBorder="1" applyFont="1">
      <alignment shrinkToFit="0" wrapText="0"/>
    </xf>
    <xf borderId="12" fillId="0" fontId="3" numFmtId="1" xfId="0" applyAlignment="1" applyBorder="1" applyFont="1" applyNumberFormat="1">
      <alignment shrinkToFit="0" vertical="bottom" wrapText="1"/>
    </xf>
    <xf borderId="12" fillId="0" fontId="17" numFmtId="0" xfId="0" applyAlignment="1" applyBorder="1" applyFont="1">
      <alignment horizontal="center" readingOrder="0" shrinkToFit="0" wrapText="1"/>
    </xf>
    <xf borderId="12" fillId="0" fontId="3" numFmtId="0" xfId="0" applyAlignment="1" applyBorder="1" applyFont="1">
      <alignment readingOrder="0" shrinkToFit="0" wrapText="0"/>
    </xf>
    <xf borderId="12" fillId="0" fontId="3" numFmtId="1" xfId="0" applyAlignment="1" applyBorder="1" applyFont="1" applyNumberFormat="1">
      <alignment readingOrder="0" shrinkToFit="0" vertical="bottom" wrapText="1"/>
    </xf>
    <xf borderId="1" fillId="0" fontId="3" numFmtId="0" xfId="0" applyAlignment="1" applyBorder="1" applyFont="1">
      <alignment horizontal="center" readingOrder="0" vertical="bottom"/>
    </xf>
    <xf borderId="1" fillId="0" fontId="3" numFmtId="0" xfId="0" applyAlignment="1" applyBorder="1" applyFont="1">
      <alignment horizontal="center" readingOrder="0" shrinkToFit="0" vertical="bottom" wrapText="1"/>
    </xf>
    <xf borderId="1" fillId="0" fontId="3" numFmtId="0" xfId="0" applyAlignment="1" applyBorder="1" applyFont="1">
      <alignment horizontal="center" readingOrder="0" shrinkToFit="0" wrapText="1"/>
    </xf>
    <xf borderId="1" fillId="0" fontId="3" numFmtId="0" xfId="0" applyAlignment="1" applyBorder="1" applyFont="1">
      <alignment horizontal="center" readingOrder="0" shrinkToFit="0" vertical="center" wrapText="1"/>
    </xf>
    <xf borderId="11" fillId="0" fontId="18" numFmtId="0" xfId="0" applyAlignment="1" applyBorder="1" applyFont="1">
      <alignment horizontal="center" readingOrder="0" shrinkToFit="0" wrapText="1"/>
    </xf>
    <xf borderId="1" fillId="0" fontId="3" numFmtId="1" xfId="0" applyAlignment="1" applyBorder="1" applyFont="1" applyNumberFormat="1">
      <alignment readingOrder="0" shrinkToFit="0" vertical="bottom" wrapText="1"/>
    </xf>
    <xf borderId="22" fillId="0" fontId="3" numFmtId="0" xfId="0" applyAlignment="1" applyBorder="1" applyFont="1">
      <alignment horizontal="center"/>
    </xf>
    <xf borderId="17" fillId="0" fontId="3" numFmtId="0" xfId="0" applyAlignment="1" applyBorder="1" applyFont="1">
      <alignment horizontal="center" readingOrder="0" vertical="bottom"/>
    </xf>
    <xf borderId="17" fillId="0" fontId="5" numFmtId="0" xfId="0" applyAlignment="1" applyBorder="1" applyFont="1">
      <alignment horizontal="center"/>
    </xf>
    <xf borderId="12" fillId="0" fontId="3" numFmtId="0" xfId="0" applyAlignment="1" applyBorder="1" applyFont="1">
      <alignment readingOrder="0" shrinkToFit="0" wrapText="1"/>
    </xf>
    <xf borderId="12" fillId="0" fontId="19" numFmtId="0" xfId="0" applyAlignment="1" applyBorder="1" applyFont="1">
      <alignment horizontal="center" readingOrder="0" shrinkToFit="0" wrapText="1"/>
    </xf>
    <xf borderId="12" fillId="0" fontId="20" numFmtId="0" xfId="0" applyAlignment="1" applyBorder="1" applyFont="1">
      <alignment horizontal="center" readingOrder="0" shrinkToFit="0" vertical="center" wrapText="1"/>
    </xf>
    <xf borderId="12" fillId="0" fontId="3" numFmtId="0" xfId="0" applyAlignment="1" applyBorder="1" applyFont="1">
      <alignment horizontal="center" readingOrder="0" shrinkToFit="0" vertical="center" wrapText="0"/>
    </xf>
    <xf borderId="17" fillId="0" fontId="3" numFmtId="1" xfId="0" applyAlignment="1" applyBorder="1" applyFont="1" applyNumberFormat="1">
      <alignment readingOrder="0" shrinkToFit="0" vertical="bottom" wrapText="1"/>
    </xf>
    <xf borderId="8" fillId="4" fontId="5" numFmtId="164" xfId="0" applyAlignment="1" applyBorder="1" applyFont="1" applyNumberFormat="1">
      <alignment horizontal="center" readingOrder="0"/>
    </xf>
    <xf borderId="8" fillId="4" fontId="3" numFmtId="1" xfId="0" applyAlignment="1" applyBorder="1" applyFont="1" applyNumberFormat="1">
      <alignment horizontal="center" vertical="center"/>
    </xf>
    <xf borderId="23" fillId="0" fontId="3" numFmtId="0" xfId="0" applyAlignment="1" applyBorder="1" applyFont="1">
      <alignment horizontal="center" readingOrder="0" vertical="center"/>
    </xf>
    <xf borderId="24" fillId="0" fontId="4" numFmtId="0" xfId="0" applyAlignment="1" applyBorder="1" applyFont="1">
      <alignment horizontal="center" readingOrder="0" shrinkToFit="0" vertical="center" wrapText="1"/>
    </xf>
    <xf borderId="24" fillId="0" fontId="3" numFmtId="0" xfId="0" applyAlignment="1" applyBorder="1" applyFont="1">
      <alignment horizontal="center" readingOrder="0" shrinkToFit="0" vertical="center" wrapText="1"/>
    </xf>
    <xf borderId="24" fillId="0" fontId="3" numFmtId="0" xfId="0" applyAlignment="1" applyBorder="1" applyFont="1">
      <alignment horizontal="center" readingOrder="0" vertical="center"/>
    </xf>
    <xf borderId="24" fillId="0" fontId="5" numFmtId="0" xfId="0" applyAlignment="1" applyBorder="1" applyFont="1">
      <alignment horizontal="center" readingOrder="0" vertical="center"/>
    </xf>
    <xf borderId="25" fillId="0" fontId="5" numFmtId="0" xfId="0" applyAlignment="1" applyBorder="1" applyFont="1">
      <alignment horizontal="center" readingOrder="0"/>
    </xf>
    <xf borderId="24" fillId="3" fontId="5" numFmtId="164" xfId="0" applyAlignment="1" applyBorder="1" applyFont="1" applyNumberFormat="1">
      <alignment horizontal="center" readingOrder="0" vertical="center"/>
    </xf>
    <xf borderId="12" fillId="0" fontId="3" numFmtId="0" xfId="0" applyAlignment="1" applyBorder="1" applyFont="1">
      <alignment horizontal="center" readingOrder="0" shrinkToFit="0" wrapText="1"/>
    </xf>
    <xf borderId="12" fillId="0" fontId="21" numFmtId="0" xfId="0" applyAlignment="1" applyBorder="1" applyFont="1">
      <alignment horizontal="center" readingOrder="0" shrinkToFit="0" vertical="center" wrapText="1"/>
    </xf>
    <xf borderId="24" fillId="0" fontId="3" numFmtId="1" xfId="0" applyAlignment="1" applyBorder="1" applyFont="1" applyNumberFormat="1">
      <alignment horizontal="center" readingOrder="0" vertical="center"/>
    </xf>
    <xf borderId="24" fillId="0" fontId="3" numFmtId="1" xfId="0" applyAlignment="1" applyBorder="1" applyFont="1" applyNumberFormat="1">
      <alignment horizontal="center" readingOrder="0" shrinkToFit="0" vertical="center" wrapText="1"/>
    </xf>
    <xf borderId="26" fillId="0" fontId="3" numFmtId="0" xfId="0" applyAlignment="1" applyBorder="1" applyFont="1">
      <alignment horizontal="center"/>
    </xf>
    <xf borderId="27" fillId="0" fontId="3" numFmtId="0" xfId="0" applyAlignment="1" applyBorder="1" applyFont="1">
      <alignment horizontal="center" readingOrder="0" vertical="center"/>
    </xf>
    <xf borderId="28" fillId="0" fontId="4" numFmtId="0" xfId="0" applyAlignment="1" applyBorder="1" applyFont="1">
      <alignment horizontal="center" readingOrder="0" shrinkToFit="0" vertical="center" wrapText="1"/>
    </xf>
    <xf borderId="28" fillId="0" fontId="3" numFmtId="0" xfId="0" applyAlignment="1" applyBorder="1" applyFont="1">
      <alignment horizontal="center" readingOrder="0" shrinkToFit="0" vertical="center" wrapText="1"/>
    </xf>
    <xf borderId="28" fillId="0" fontId="3" numFmtId="0" xfId="0" applyAlignment="1" applyBorder="1" applyFont="1">
      <alignment horizontal="center" readingOrder="0" vertical="center"/>
    </xf>
    <xf borderId="28" fillId="0" fontId="5" numFmtId="0" xfId="0" applyAlignment="1" applyBorder="1" applyFont="1">
      <alignment horizontal="center" readingOrder="0" vertical="center"/>
    </xf>
    <xf borderId="28" fillId="0" fontId="5" numFmtId="0" xfId="0" applyAlignment="1" applyBorder="1" applyFont="1">
      <alignment horizontal="center" readingOrder="0"/>
    </xf>
    <xf borderId="28" fillId="3" fontId="5" numFmtId="164" xfId="0" applyAlignment="1" applyBorder="1" applyFont="1" applyNumberFormat="1">
      <alignment horizontal="center" readingOrder="0" vertical="center"/>
    </xf>
    <xf borderId="11" fillId="0" fontId="3" numFmtId="0" xfId="0" applyAlignment="1" applyBorder="1" applyFont="1">
      <alignment readingOrder="0" shrinkToFit="0" wrapText="1"/>
    </xf>
    <xf borderId="11" fillId="0" fontId="4" numFmtId="0" xfId="0" applyAlignment="1" applyBorder="1" applyFont="1">
      <alignment horizontal="center" readingOrder="0" shrinkToFit="0" wrapText="1"/>
    </xf>
    <xf borderId="12" fillId="0" fontId="22" numFmtId="0" xfId="0" applyAlignment="1" applyBorder="1" applyFont="1">
      <alignment horizontal="center" readingOrder="0" shrinkToFit="0" vertical="center" wrapText="1"/>
    </xf>
    <xf borderId="28" fillId="0" fontId="3" numFmtId="1" xfId="0" applyAlignment="1" applyBorder="1" applyFont="1" applyNumberFormat="1">
      <alignment horizontal="center" readingOrder="0" vertical="center"/>
    </xf>
    <xf borderId="28" fillId="0" fontId="3" numFmtId="1" xfId="0" applyAlignment="1" applyBorder="1" applyFont="1" applyNumberFormat="1">
      <alignment horizontal="center" readingOrder="0" shrinkToFit="0" vertical="center" wrapText="1"/>
    </xf>
    <xf borderId="29" fillId="0" fontId="3" numFmtId="0" xfId="0" applyAlignment="1" applyBorder="1" applyFont="1">
      <alignment horizontal="center"/>
    </xf>
    <xf borderId="19" fillId="0" fontId="3" numFmtId="0" xfId="0" applyAlignment="1" applyBorder="1" applyFont="1">
      <alignment horizontal="center" readingOrder="0" vertical="center"/>
    </xf>
    <xf borderId="20" fillId="0" fontId="3" numFmtId="0" xfId="0" applyAlignment="1" applyBorder="1" applyFont="1">
      <alignment horizontal="center" readingOrder="0" shrinkToFit="0" vertical="center" wrapText="1"/>
    </xf>
    <xf borderId="20" fillId="0" fontId="3" numFmtId="0" xfId="0" applyAlignment="1" applyBorder="1" applyFont="1">
      <alignment horizontal="center" readingOrder="0" vertical="center"/>
    </xf>
    <xf borderId="20" fillId="0" fontId="5" numFmtId="0" xfId="0" applyAlignment="1" applyBorder="1" applyFont="1">
      <alignment horizontal="center" readingOrder="0" vertical="center"/>
    </xf>
    <xf borderId="20" fillId="3" fontId="5" numFmtId="164" xfId="0" applyAlignment="1" applyBorder="1" applyFont="1" applyNumberFormat="1">
      <alignment horizontal="center" vertical="center"/>
    </xf>
    <xf borderId="20" fillId="0" fontId="4" numFmtId="0" xfId="0" applyAlignment="1" applyBorder="1" applyFont="1">
      <alignment horizontal="center" readingOrder="0" shrinkToFit="0" vertical="center" wrapText="1"/>
    </xf>
    <xf borderId="20" fillId="0" fontId="10" numFmtId="1" xfId="0" applyAlignment="1" applyBorder="1" applyFont="1" applyNumberFormat="1">
      <alignment horizontal="center" readingOrder="0" shrinkToFit="0" vertical="center" wrapText="1"/>
    </xf>
    <xf borderId="20" fillId="0" fontId="3" numFmtId="1" xfId="0" applyAlignment="1" applyBorder="1" applyFont="1" applyNumberFormat="1">
      <alignment horizontal="center" readingOrder="0" shrinkToFit="0" vertical="center" wrapText="1"/>
    </xf>
    <xf borderId="21" fillId="0" fontId="3" numFmtId="0" xfId="0" applyAlignment="1" applyBorder="1" applyFont="1">
      <alignment horizontal="center" vertical="center"/>
    </xf>
    <xf borderId="16" fillId="0" fontId="3" numFmtId="0" xfId="0" applyAlignment="1" applyBorder="1" applyFont="1">
      <alignment horizontal="center" readingOrder="0" vertical="center"/>
    </xf>
    <xf borderId="17" fillId="0" fontId="4" numFmtId="0" xfId="0" applyAlignment="1" applyBorder="1" applyFont="1">
      <alignment horizontal="center" readingOrder="0" shrinkToFit="0" vertical="center" wrapText="1"/>
    </xf>
    <xf borderId="17" fillId="0" fontId="3" numFmtId="0" xfId="0" applyAlignment="1" applyBorder="1" applyFont="1">
      <alignment horizontal="center" readingOrder="0" vertical="center"/>
    </xf>
    <xf borderId="17" fillId="0" fontId="5" numFmtId="0" xfId="0" applyAlignment="1" applyBorder="1" applyFont="1">
      <alignment horizontal="center" readingOrder="0" vertical="center"/>
    </xf>
    <xf borderId="17" fillId="3" fontId="5" numFmtId="164" xfId="0" applyAlignment="1" applyBorder="1" applyFont="1" applyNumberFormat="1">
      <alignment horizontal="center" vertical="center"/>
    </xf>
    <xf borderId="17" fillId="0" fontId="10" numFmtId="0" xfId="0" applyAlignment="1" applyBorder="1" applyFont="1">
      <alignment horizontal="center" readingOrder="0" shrinkToFit="0" vertical="center" wrapText="1"/>
    </xf>
    <xf borderId="17" fillId="0" fontId="23" numFmtId="0" xfId="0" applyAlignment="1" applyBorder="1" applyFont="1">
      <alignment horizontal="center" readingOrder="0" shrinkToFit="0" vertical="center" wrapText="1"/>
    </xf>
    <xf borderId="17" fillId="0" fontId="4" numFmtId="0" xfId="0" applyAlignment="1" applyBorder="1" applyFont="1">
      <alignment horizontal="center" readingOrder="0" shrinkToFit="0" vertical="center" wrapText="1"/>
    </xf>
    <xf borderId="17" fillId="0" fontId="10" numFmtId="1" xfId="0" applyAlignment="1" applyBorder="1" applyFont="1" applyNumberFormat="1">
      <alignment horizontal="center" readingOrder="0" shrinkToFit="0" vertical="center" wrapText="1"/>
    </xf>
    <xf borderId="17" fillId="0" fontId="3" numFmtId="1" xfId="0" applyAlignment="1" applyBorder="1" applyFont="1" applyNumberFormat="1">
      <alignment horizontal="center" readingOrder="0" shrinkToFit="0" vertical="center" wrapText="1"/>
    </xf>
    <xf borderId="18" fillId="0" fontId="3" numFmtId="0" xfId="0" applyAlignment="1" applyBorder="1" applyFont="1">
      <alignment horizontal="center" vertical="center"/>
    </xf>
    <xf borderId="19" fillId="0" fontId="3" numFmtId="0" xfId="0" applyAlignment="1" applyBorder="1" applyFont="1">
      <alignment horizontal="center" vertical="center"/>
    </xf>
    <xf borderId="20" fillId="0" fontId="3" numFmtId="0" xfId="0" applyAlignment="1" applyBorder="1" applyFont="1">
      <alignment horizontal="center" shrinkToFit="0" vertical="center" wrapText="1"/>
    </xf>
    <xf borderId="20" fillId="0" fontId="3" numFmtId="0" xfId="0" applyAlignment="1" applyBorder="1" applyFont="1">
      <alignment horizontal="center" vertical="center"/>
    </xf>
    <xf borderId="20" fillId="3" fontId="3" numFmtId="164" xfId="0" applyAlignment="1" applyBorder="1" applyFont="1" applyNumberFormat="1">
      <alignment horizontal="center" vertical="center"/>
    </xf>
    <xf borderId="12" fillId="0" fontId="11" numFmtId="0" xfId="0" applyAlignment="1" applyBorder="1" applyFont="1">
      <alignment horizontal="center" readingOrder="0" shrinkToFit="0" vertical="center" wrapText="1"/>
    </xf>
    <xf borderId="11" fillId="0" fontId="4" numFmtId="0" xfId="0" applyAlignment="1" applyBorder="1" applyFont="1">
      <alignment horizontal="center" readingOrder="0" shrinkToFit="0" vertical="center" wrapText="1"/>
    </xf>
    <xf borderId="20" fillId="0" fontId="10" numFmtId="0" xfId="0" applyAlignment="1" applyBorder="1" applyFont="1">
      <alignment horizontal="center" readingOrder="0" shrinkToFit="0" vertical="center" wrapText="1"/>
    </xf>
    <xf borderId="16" fillId="0" fontId="3" numFmtId="0" xfId="0" applyAlignment="1" applyBorder="1" applyFont="1">
      <alignment horizontal="center" vertical="center"/>
    </xf>
    <xf borderId="17" fillId="0" fontId="3" numFmtId="0" xfId="0" applyAlignment="1" applyBorder="1" applyFont="1">
      <alignment horizontal="center" shrinkToFit="0" vertical="center" wrapText="1"/>
    </xf>
    <xf borderId="17" fillId="0" fontId="3" numFmtId="0" xfId="0" applyAlignment="1" applyBorder="1" applyFont="1">
      <alignment horizontal="center" vertical="center"/>
    </xf>
    <xf borderId="17" fillId="3" fontId="3" numFmtId="164" xfId="0" applyAlignment="1" applyBorder="1" applyFont="1" applyNumberFormat="1">
      <alignment horizontal="center" vertical="center"/>
    </xf>
    <xf borderId="7" fillId="0" fontId="3" numFmtId="0" xfId="0" applyAlignment="1" applyBorder="1" applyFont="1">
      <alignment horizontal="center" readingOrder="0" vertical="center"/>
    </xf>
    <xf borderId="8" fillId="0" fontId="4" numFmtId="0" xfId="0" applyAlignment="1" applyBorder="1" applyFont="1">
      <alignment horizontal="center" readingOrder="0" shrinkToFit="0" vertical="center" wrapText="1"/>
    </xf>
    <xf borderId="8" fillId="0" fontId="3" numFmtId="0" xfId="0" applyAlignment="1" applyBorder="1" applyFont="1">
      <alignment horizontal="center" readingOrder="0" shrinkToFit="0" vertical="center" wrapText="1"/>
    </xf>
    <xf borderId="8" fillId="0" fontId="3" numFmtId="0" xfId="0" applyAlignment="1" applyBorder="1" applyFont="1">
      <alignment horizontal="center" readingOrder="0" vertical="center"/>
    </xf>
    <xf borderId="8" fillId="0" fontId="5" numFmtId="0" xfId="0" applyAlignment="1" applyBorder="1" applyFont="1">
      <alignment horizontal="center" readingOrder="0" vertical="center"/>
    </xf>
    <xf borderId="8" fillId="3" fontId="5" numFmtId="164" xfId="0" applyAlignment="1" applyBorder="1" applyFont="1" applyNumberFormat="1">
      <alignment horizontal="center" vertical="center"/>
    </xf>
    <xf borderId="8" fillId="0" fontId="24" numFmtId="0" xfId="0" applyAlignment="1" applyBorder="1" applyFont="1">
      <alignment horizontal="center" readingOrder="0" shrinkToFit="0" vertical="center" wrapText="1"/>
    </xf>
    <xf borderId="8" fillId="0" fontId="10" numFmtId="0" xfId="0" applyAlignment="1" applyBorder="1" applyFont="1">
      <alignment horizontal="center" readingOrder="0" shrinkToFit="0" vertical="center" wrapText="1"/>
    </xf>
    <xf borderId="9" fillId="0" fontId="3" numFmtId="0" xfId="0" applyAlignment="1" applyBorder="1" applyFont="1">
      <alignment horizontal="center" vertical="center"/>
    </xf>
    <xf borderId="5" fillId="0" fontId="3" numFmtId="0" xfId="0" applyAlignment="1" applyBorder="1" applyFont="1">
      <alignment horizontal="center" readingOrder="0" vertical="center"/>
    </xf>
    <xf borderId="5" fillId="0" fontId="5" numFmtId="0" xfId="0" applyAlignment="1" applyBorder="1" applyFont="1">
      <alignment horizontal="center" readingOrder="0" vertical="center"/>
    </xf>
    <xf borderId="5" fillId="3" fontId="5" numFmtId="164" xfId="0" applyAlignment="1" applyBorder="1" applyFont="1" applyNumberFormat="1">
      <alignment horizontal="center" vertical="center"/>
    </xf>
    <xf borderId="1" fillId="0" fontId="10" numFmtId="0" xfId="0" applyAlignment="1" applyBorder="1" applyFont="1">
      <alignment horizontal="center" readingOrder="0" shrinkToFit="0" vertical="center" wrapText="1"/>
    </xf>
    <xf borderId="5" fillId="0" fontId="25" numFmtId="0" xfId="0" applyAlignment="1" applyBorder="1" applyFont="1">
      <alignment horizontal="center" readingOrder="0" shrinkToFit="0" vertical="center" wrapText="1"/>
    </xf>
    <xf borderId="5" fillId="0" fontId="10" numFmtId="0" xfId="0" applyAlignment="1" applyBorder="1" applyFont="1">
      <alignment horizontal="center" readingOrder="0" shrinkToFit="0" vertical="center" wrapText="1"/>
    </xf>
    <xf borderId="6" fillId="0" fontId="3" numFmtId="0" xfId="0" applyAlignment="1" applyBorder="1" applyFont="1">
      <alignment horizontal="center" vertical="center"/>
    </xf>
    <xf borderId="12" fillId="7" fontId="3" numFmtId="0" xfId="0" applyAlignment="1" applyBorder="1" applyFill="1" applyFont="1">
      <alignment horizontal="center" readingOrder="0" shrinkToFit="0" vertical="center" wrapText="1"/>
    </xf>
    <xf borderId="12" fillId="7" fontId="3" numFmtId="0" xfId="0" applyAlignment="1" applyBorder="1" applyFont="1">
      <alignment horizontal="center" readingOrder="0" vertical="center"/>
    </xf>
    <xf borderId="12" fillId="7" fontId="5" numFmtId="0" xfId="0" applyAlignment="1" applyBorder="1" applyFont="1">
      <alignment horizontal="center" readingOrder="0" vertical="center"/>
    </xf>
    <xf borderId="12" fillId="7" fontId="5" numFmtId="0" xfId="0" applyAlignment="1" applyBorder="1" applyFont="1">
      <alignment horizontal="center" vertical="center"/>
    </xf>
    <xf borderId="12" fillId="3" fontId="5" numFmtId="164" xfId="0" applyAlignment="1" applyBorder="1" applyFont="1" applyNumberFormat="1">
      <alignment horizontal="center" vertical="center"/>
    </xf>
    <xf borderId="12" fillId="7" fontId="26" numFmtId="0" xfId="0" applyAlignment="1" applyBorder="1" applyFont="1">
      <alignment horizontal="center" readingOrder="0" shrinkToFit="0" vertical="center" wrapText="1"/>
    </xf>
    <xf borderId="12" fillId="7" fontId="3" numFmtId="0" xfId="0" applyAlignment="1" applyBorder="1" applyFont="1">
      <alignment horizontal="center" readingOrder="0" shrinkToFit="0" vertical="center" wrapText="0"/>
    </xf>
    <xf borderId="12" fillId="7" fontId="3" numFmtId="0" xfId="0" applyAlignment="1" applyBorder="1" applyFont="1">
      <alignment horizontal="center" vertical="center"/>
    </xf>
    <xf borderId="14" fillId="0" fontId="3" numFmtId="0" xfId="0" applyAlignment="1" applyBorder="1" applyFont="1">
      <alignment horizontal="center" readingOrder="0" vertical="center"/>
    </xf>
    <xf borderId="12" fillId="7" fontId="3" numFmtId="0" xfId="0" applyAlignment="1" applyBorder="1" applyFont="1">
      <alignment horizontal="center" shrinkToFit="0" vertical="center" wrapText="1"/>
    </xf>
    <xf borderId="12" fillId="7" fontId="3" numFmtId="0" xfId="0" applyAlignment="1" applyBorder="1" applyFont="1">
      <alignment horizontal="center" shrinkToFit="0" vertical="center" wrapText="0"/>
    </xf>
    <xf borderId="12" fillId="7" fontId="27" numFmtId="0" xfId="0" applyAlignment="1" applyBorder="1" applyFont="1">
      <alignment horizontal="center" readingOrder="0" shrinkToFit="0" vertical="center" wrapText="1"/>
    </xf>
    <xf borderId="12" fillId="0" fontId="3" numFmtId="0" xfId="0" applyAlignment="1" applyBorder="1" applyFont="1">
      <alignment horizontal="center" readingOrder="0" vertical="center"/>
    </xf>
    <xf borderId="12" fillId="0" fontId="5" numFmtId="0" xfId="0" applyAlignment="1" applyBorder="1" applyFont="1">
      <alignment horizontal="center" readingOrder="0" vertical="center"/>
    </xf>
    <xf borderId="12" fillId="0" fontId="5" numFmtId="0" xfId="0" applyAlignment="1" applyBorder="1" applyFont="1">
      <alignment horizontal="center" vertical="center"/>
    </xf>
    <xf borderId="12" fillId="0" fontId="10" numFmtId="0" xfId="0" applyAlignment="1" applyBorder="1" applyFont="1">
      <alignment horizontal="center" readingOrder="0" shrinkToFit="0" vertical="center" wrapText="1"/>
    </xf>
    <xf borderId="12" fillId="0" fontId="28" numFmtId="0" xfId="0" applyAlignment="1" applyBorder="1" applyFont="1">
      <alignment horizontal="center" readingOrder="0" shrinkToFit="0" vertical="center" wrapText="1"/>
    </xf>
    <xf borderId="12" fillId="0" fontId="3" numFmtId="0" xfId="0" applyAlignment="1" applyBorder="1" applyFont="1">
      <alignment horizontal="center" vertical="center"/>
    </xf>
    <xf borderId="12" fillId="0" fontId="5" numFmtId="0" xfId="0" applyAlignment="1" applyBorder="1" applyFont="1">
      <alignment horizontal="center" readingOrder="0" shrinkToFit="0" vertical="center" wrapText="1"/>
    </xf>
    <xf borderId="19" fillId="5" fontId="3" numFmtId="0" xfId="0" applyAlignment="1" applyBorder="1" applyFont="1">
      <alignment horizontal="center" vertical="center"/>
    </xf>
    <xf borderId="20" fillId="5" fontId="3" numFmtId="0" xfId="0" applyAlignment="1" applyBorder="1" applyFont="1">
      <alignment horizontal="center" shrinkToFit="0" vertical="center" wrapText="1"/>
    </xf>
    <xf borderId="12" fillId="7" fontId="29" numFmtId="0" xfId="0" applyAlignment="1" applyBorder="1" applyFont="1">
      <alignment horizontal="center" readingOrder="0" shrinkToFit="0" vertical="center" wrapText="1"/>
    </xf>
    <xf borderId="12" fillId="7" fontId="3" numFmtId="1" xfId="0" applyAlignment="1" applyBorder="1" applyFont="1" applyNumberFormat="1">
      <alignment horizontal="center" shrinkToFit="0" vertical="center" wrapText="1"/>
    </xf>
    <xf borderId="12" fillId="7" fontId="3" numFmtId="1" xfId="0" applyAlignment="1" applyBorder="1" applyFont="1" applyNumberFormat="1">
      <alignment horizontal="center" readingOrder="0" shrinkToFit="0" vertical="center" wrapText="1"/>
    </xf>
    <xf borderId="14" fillId="5" fontId="3" numFmtId="0" xfId="0" applyAlignment="1" applyBorder="1" applyFont="1">
      <alignment horizontal="center" vertical="center"/>
    </xf>
    <xf borderId="12" fillId="7" fontId="3" numFmtId="1" xfId="0" applyAlignment="1" applyBorder="1" applyFont="1" applyNumberFormat="1">
      <alignment horizontal="center" vertical="center"/>
    </xf>
    <xf borderId="16" fillId="5" fontId="3" numFmtId="0" xfId="0" applyAlignment="1" applyBorder="1" applyFont="1">
      <alignment horizontal="center" vertical="center"/>
    </xf>
    <xf borderId="17" fillId="5" fontId="3" numFmtId="0" xfId="0" applyAlignment="1" applyBorder="1" applyFont="1">
      <alignment horizontal="center" shrinkToFit="0" vertical="center" wrapText="1"/>
    </xf>
    <xf borderId="27" fillId="5" fontId="3" numFmtId="0" xfId="0" applyAlignment="1" applyBorder="1" applyFont="1">
      <alignment horizontal="center" vertical="center"/>
    </xf>
    <xf borderId="28" fillId="5" fontId="3" numFmtId="0" xfId="0" applyAlignment="1" applyBorder="1" applyFont="1">
      <alignment horizontal="center" shrinkToFit="0" vertical="center" wrapText="1"/>
    </xf>
    <xf borderId="12" fillId="8" fontId="30" numFmtId="0" xfId="0" applyAlignment="1" applyBorder="1" applyFill="1" applyFont="1">
      <alignment horizontal="center" readingOrder="0" shrinkToFit="0" vertical="center" wrapText="1"/>
    </xf>
    <xf borderId="12" fillId="0" fontId="3" numFmtId="0" xfId="0" applyAlignment="1" applyBorder="1" applyFont="1">
      <alignment horizontal="center" shrinkToFit="0" vertical="center" wrapText="1"/>
    </xf>
    <xf borderId="12" fillId="0" fontId="3" numFmtId="1" xfId="0" applyAlignment="1" applyBorder="1" applyFont="1" applyNumberFormat="1">
      <alignment horizontal="center" shrinkToFit="0" vertical="center" wrapText="1"/>
    </xf>
    <xf borderId="12" fillId="7" fontId="3" numFmtId="1" xfId="0" applyAlignment="1" applyBorder="1" applyFont="1" applyNumberFormat="1">
      <alignment horizontal="center" readingOrder="0" vertical="center"/>
    </xf>
    <xf borderId="12" fillId="7" fontId="7" numFmtId="0" xfId="0" applyAlignment="1" applyBorder="1" applyFont="1">
      <alignment horizontal="center" readingOrder="0" shrinkToFit="0" vertical="center" wrapText="1"/>
    </xf>
    <xf borderId="14" fillId="9" fontId="3" numFmtId="0" xfId="0" applyAlignment="1" applyBorder="1" applyFill="1" applyFont="1">
      <alignment horizontal="center" readingOrder="0" vertical="center"/>
    </xf>
    <xf borderId="12" fillId="9" fontId="4" numFmtId="0" xfId="0" applyAlignment="1" applyBorder="1" applyFont="1">
      <alignment horizontal="center" readingOrder="0" shrinkToFit="0" vertical="center" wrapText="1"/>
    </xf>
    <xf borderId="0" fillId="0" fontId="7" numFmtId="0" xfId="0" applyAlignment="1" applyFont="1">
      <alignment horizontal="center" vertical="center"/>
    </xf>
    <xf borderId="12" fillId="0" fontId="7" numFmtId="0" xfId="0" applyAlignment="1" applyBorder="1" applyFont="1">
      <alignment horizontal="center" readingOrder="0" shrinkToFit="0" vertical="center" wrapText="1"/>
    </xf>
    <xf borderId="12" fillId="0" fontId="3" numFmtId="165" xfId="0" applyAlignment="1" applyBorder="1" applyFont="1" applyNumberFormat="1">
      <alignment horizontal="center" readingOrder="0" vertical="center"/>
    </xf>
    <xf borderId="0" fillId="0" fontId="7" numFmtId="0" xfId="0" applyAlignment="1" applyFont="1">
      <alignment horizontal="center" readingOrder="0" shrinkToFit="0" vertical="center" wrapText="1"/>
    </xf>
    <xf borderId="30" fillId="0" fontId="3" numFmtId="0" xfId="0" applyAlignment="1" applyBorder="1" applyFont="1">
      <alignment horizontal="center" readingOrder="0" vertical="center"/>
    </xf>
    <xf borderId="1" fillId="0" fontId="4" numFmtId="0" xfId="0" applyAlignment="1" applyBorder="1" applyFont="1">
      <alignment horizontal="center" readingOrder="0" shrinkToFit="0" vertical="center" wrapText="1"/>
    </xf>
    <xf borderId="12" fillId="7" fontId="4" numFmtId="0" xfId="0" applyAlignment="1" applyBorder="1" applyFont="1">
      <alignment horizontal="center" readingOrder="0" shrinkToFit="0" vertical="center" wrapText="1"/>
    </xf>
    <xf borderId="12" fillId="0" fontId="31" numFmtId="0" xfId="0" applyAlignment="1" applyBorder="1" applyFont="1">
      <alignment horizontal="center" readingOrder="0" shrinkToFit="0" vertical="center" wrapText="1"/>
    </xf>
    <xf borderId="12" fillId="0" fontId="32" numFmtId="0" xfId="0" applyAlignment="1" applyBorder="1" applyFont="1">
      <alignment horizontal="center" shrinkToFit="0" vertical="center" wrapText="1"/>
    </xf>
    <xf borderId="12" fillId="0" fontId="3" numFmtId="0" xfId="0" applyAlignment="1" applyBorder="1" applyFont="1">
      <alignment horizontal="center" shrinkToFit="0" vertical="center" wrapText="0"/>
    </xf>
    <xf borderId="30" fillId="0" fontId="3" numFmtId="0" xfId="0" applyAlignment="1" applyBorder="1" applyFont="1">
      <alignment horizontal="center"/>
    </xf>
    <xf borderId="1" fillId="0" fontId="3" numFmtId="0" xfId="0" applyAlignment="1" applyBorder="1" applyFont="1">
      <alignment horizontal="center" shrinkToFit="0" vertical="bottom" wrapText="1"/>
    </xf>
    <xf borderId="12" fillId="7" fontId="3" numFmtId="0" xfId="0" applyAlignment="1" applyBorder="1" applyFont="1">
      <alignment horizontal="center" shrinkToFit="0" wrapText="1"/>
    </xf>
    <xf borderId="12" fillId="7" fontId="3" numFmtId="0" xfId="0" applyAlignment="1" applyBorder="1" applyFont="1">
      <alignment horizontal="center" readingOrder="0" vertical="bottom"/>
    </xf>
    <xf borderId="12" fillId="7" fontId="3" numFmtId="0" xfId="0" applyAlignment="1" applyBorder="1" applyFont="1">
      <alignment horizontal="center" readingOrder="0" shrinkToFit="0" vertical="bottom" wrapText="1"/>
    </xf>
    <xf borderId="12" fillId="7" fontId="3" numFmtId="0" xfId="0" applyAlignment="1" applyBorder="1" applyFont="1">
      <alignment readingOrder="0" shrinkToFit="0" wrapText="1"/>
    </xf>
    <xf borderId="12" fillId="7" fontId="3" numFmtId="0" xfId="0" applyAlignment="1" applyBorder="1" applyFont="1">
      <alignment horizontal="center" readingOrder="0"/>
    </xf>
    <xf borderId="12" fillId="7" fontId="3" numFmtId="0" xfId="0" applyAlignment="1" applyBorder="1" applyFont="1">
      <alignment horizontal="center"/>
    </xf>
    <xf borderId="12" fillId="7" fontId="3" numFmtId="164" xfId="0" applyAlignment="1" applyBorder="1" applyFont="1" applyNumberFormat="1">
      <alignment horizontal="center"/>
    </xf>
    <xf borderId="12" fillId="7" fontId="3" numFmtId="0" xfId="0" applyAlignment="1" applyBorder="1" applyFont="1">
      <alignment readingOrder="0"/>
    </xf>
    <xf borderId="12" fillId="7" fontId="33" numFmtId="0" xfId="0" applyAlignment="1" applyBorder="1" applyFont="1">
      <alignment readingOrder="0" shrinkToFit="0" wrapText="1"/>
    </xf>
    <xf borderId="12" fillId="7" fontId="3" numFmtId="1" xfId="0" applyAlignment="1" applyBorder="1" applyFont="1" applyNumberFormat="1">
      <alignment vertical="bottom"/>
    </xf>
    <xf borderId="14" fillId="0" fontId="3" numFmtId="0" xfId="0" applyAlignment="1" applyBorder="1" applyFont="1">
      <alignment horizontal="center"/>
    </xf>
    <xf borderId="12" fillId="0" fontId="3" numFmtId="0" xfId="0" applyAlignment="1" applyBorder="1" applyFont="1">
      <alignment horizontal="center" shrinkToFit="0" vertical="bottom" wrapText="1"/>
    </xf>
    <xf borderId="12" fillId="7" fontId="34" numFmtId="0" xfId="0" applyAlignment="1" applyBorder="1" applyFont="1">
      <alignment readingOrder="0" shrinkToFit="0" wrapText="1"/>
    </xf>
    <xf borderId="12" fillId="7" fontId="3" numFmtId="1" xfId="0" applyAlignment="1" applyBorder="1" applyFont="1" applyNumberFormat="1">
      <alignment readingOrder="0" vertical="bottom"/>
    </xf>
    <xf borderId="12" fillId="7" fontId="3" numFmtId="0" xfId="0" applyAlignment="1" applyBorder="1" applyFont="1">
      <alignment horizontal="center" readingOrder="0" shrinkToFit="0" wrapText="1"/>
    </xf>
    <xf borderId="12" fillId="7" fontId="35" numFmtId="0" xfId="0" applyAlignment="1" applyBorder="1" applyFont="1">
      <alignment readingOrder="0" shrinkToFit="0" wrapText="1"/>
    </xf>
    <xf borderId="31" fillId="0" fontId="3" numFmtId="0" xfId="0" applyAlignment="1" applyBorder="1" applyFont="1">
      <alignment horizontal="center" readingOrder="0"/>
    </xf>
    <xf borderId="32" fillId="0" fontId="3" numFmtId="0" xfId="0" applyAlignment="1" applyBorder="1" applyFont="1">
      <alignment horizontal="center" shrinkToFit="0" vertical="bottom" wrapText="1"/>
    </xf>
    <xf borderId="12" fillId="0" fontId="5" numFmtId="0" xfId="0" applyAlignment="1" applyBorder="1" applyFont="1">
      <alignment horizontal="center" shrinkToFit="0" vertical="center" wrapText="1"/>
    </xf>
    <xf borderId="12" fillId="0" fontId="5" numFmtId="164" xfId="0" applyAlignment="1" applyBorder="1" applyFont="1" applyNumberFormat="1">
      <alignment horizontal="center" shrinkToFit="0" vertical="center" wrapText="1"/>
    </xf>
    <xf borderId="33" fillId="0" fontId="3" numFmtId="0" xfId="0" applyAlignment="1" applyBorder="1" applyFont="1">
      <alignment horizontal="center" readingOrder="0"/>
    </xf>
    <xf borderId="12" fillId="0" fontId="3" numFmtId="1" xfId="0" applyAlignment="1" applyBorder="1" applyFont="1" applyNumberFormat="1">
      <alignment readingOrder="0" shrinkToFit="0" vertical="center" wrapText="1"/>
    </xf>
    <xf borderId="12" fillId="0" fontId="3" numFmtId="0" xfId="0" applyAlignment="1" applyBorder="1" applyFont="1">
      <alignment shrinkToFit="0" vertical="center" wrapText="1"/>
    </xf>
    <xf borderId="12" fillId="0" fontId="36" numFmtId="0" xfId="0" applyAlignment="1" applyBorder="1" applyFont="1">
      <alignment shrinkToFit="0" vertical="center" wrapText="1"/>
    </xf>
    <xf borderId="12" fillId="0" fontId="3" numFmtId="1" xfId="0" applyAlignment="1" applyBorder="1" applyFont="1" applyNumberFormat="1">
      <alignment shrinkToFit="0" vertical="center" wrapText="1"/>
    </xf>
    <xf borderId="34" fillId="0" fontId="3" numFmtId="0" xfId="0" applyAlignment="1" applyBorder="1" applyFont="1">
      <alignment horizontal="center" readingOrder="0"/>
    </xf>
    <xf borderId="35" fillId="0" fontId="3" numFmtId="0" xfId="0" applyAlignment="1" applyBorder="1" applyFont="1">
      <alignment horizontal="center" shrinkToFit="0" vertical="bottom" wrapText="1"/>
    </xf>
    <xf borderId="36" fillId="0" fontId="3" numFmtId="0" xfId="0" applyAlignment="1" applyBorder="1" applyFont="1">
      <alignment horizontal="center" readingOrder="0"/>
    </xf>
    <xf borderId="28" fillId="0" fontId="3" numFmtId="0" xfId="0" applyAlignment="1" applyBorder="1" applyFont="1">
      <alignment horizontal="center" shrinkToFit="0" vertical="bottom" wrapText="1"/>
    </xf>
    <xf borderId="12" fillId="7" fontId="3" numFmtId="165" xfId="0" applyAlignment="1" applyBorder="1" applyFont="1" applyNumberFormat="1">
      <alignment horizontal="center" readingOrder="0" vertical="bottom"/>
    </xf>
    <xf borderId="12" fillId="7" fontId="5" numFmtId="0" xfId="0" applyAlignment="1" applyBorder="1" applyFont="1">
      <alignment horizontal="center" readingOrder="0"/>
    </xf>
    <xf borderId="12" fillId="7" fontId="5" numFmtId="0" xfId="0" applyAlignment="1" applyBorder="1" applyFont="1">
      <alignment horizontal="center"/>
    </xf>
    <xf borderId="12" fillId="7" fontId="5" numFmtId="164" xfId="0" applyAlignment="1" applyBorder="1" applyFont="1" applyNumberFormat="1">
      <alignment horizontal="center"/>
    </xf>
    <xf borderId="12" fillId="7" fontId="5" numFmtId="0" xfId="0" applyAlignment="1" applyBorder="1" applyFont="1">
      <alignment horizontal="center" shrinkToFit="0" wrapText="1"/>
    </xf>
    <xf borderId="12" fillId="7" fontId="37" numFmtId="0" xfId="0" applyAlignment="1" applyBorder="1" applyFont="1">
      <alignment horizontal="center" shrinkToFit="0" wrapText="1"/>
    </xf>
    <xf borderId="12" fillId="7" fontId="5" numFmtId="0" xfId="0" applyAlignment="1" applyBorder="1" applyFont="1">
      <alignment horizontal="center" shrinkToFit="0" vertical="center" wrapText="1"/>
    </xf>
    <xf borderId="12" fillId="7" fontId="5" numFmtId="1" xfId="0" applyAlignment="1" applyBorder="1" applyFont="1" applyNumberFormat="1">
      <alignment horizontal="center" readingOrder="0" shrinkToFit="0" vertical="center" wrapText="1"/>
    </xf>
    <xf borderId="12" fillId="7" fontId="5" numFmtId="1" xfId="0" applyAlignment="1" applyBorder="1" applyFont="1" applyNumberFormat="1">
      <alignment horizontal="center" shrinkToFit="0" wrapText="1"/>
    </xf>
    <xf borderId="11" fillId="0" fontId="3" numFmtId="0" xfId="0" applyAlignment="1" applyBorder="1" applyFont="1">
      <alignment horizontal="center" shrinkToFit="0" vertical="bottom" wrapText="1"/>
    </xf>
    <xf borderId="12" fillId="7" fontId="5" numFmtId="0" xfId="0" applyAlignment="1" applyBorder="1" applyFont="1">
      <alignment horizontal="center" readingOrder="0" shrinkToFit="0" vertical="center" wrapText="1"/>
    </xf>
    <xf borderId="12" fillId="7" fontId="5" numFmtId="1" xfId="0" applyAlignment="1" applyBorder="1" applyFont="1" applyNumberFormat="1">
      <alignment horizontal="center" shrinkToFit="0" vertical="center" wrapText="1"/>
    </xf>
    <xf borderId="12" fillId="7" fontId="3" numFmtId="0" xfId="0" applyAlignment="1" applyBorder="1" applyFont="1">
      <alignment shrinkToFit="0" wrapText="1"/>
    </xf>
    <xf borderId="17" fillId="0" fontId="3" numFmtId="0" xfId="0" applyAlignment="1" applyBorder="1" applyFont="1">
      <alignment horizontal="center" shrinkToFit="0" vertical="bottom" wrapText="1"/>
    </xf>
    <xf borderId="12" fillId="7" fontId="3" numFmtId="0" xfId="0" applyBorder="1" applyFont="1"/>
    <xf borderId="19" fillId="0" fontId="3" numFmtId="0" xfId="0" applyAlignment="1" applyBorder="1" applyFont="1">
      <alignment horizontal="center"/>
    </xf>
    <xf borderId="20" fillId="0" fontId="3" numFmtId="0" xfId="0" applyAlignment="1" applyBorder="1" applyFont="1">
      <alignment horizontal="center" shrinkToFit="0" vertical="bottom" wrapText="1"/>
    </xf>
    <xf borderId="12" fillId="0" fontId="5" numFmtId="164" xfId="0" applyAlignment="1" applyBorder="1" applyFont="1" applyNumberFormat="1">
      <alignment horizontal="center"/>
    </xf>
    <xf borderId="12" fillId="0" fontId="30" numFmtId="0" xfId="0" applyAlignment="1" applyBorder="1" applyFont="1">
      <alignment horizontal="center" readingOrder="0" shrinkToFit="0" vertical="center" wrapText="1"/>
    </xf>
    <xf borderId="12" fillId="0" fontId="3" numFmtId="0" xfId="0" applyAlignment="1" applyBorder="1" applyFont="1">
      <alignment horizontal="center"/>
    </xf>
    <xf borderId="12" fillId="0" fontId="3" numFmtId="0" xfId="0" applyAlignment="1" applyBorder="1" applyFont="1">
      <alignment shrinkToFit="0" wrapText="1"/>
    </xf>
    <xf borderId="12" fillId="0" fontId="3" numFmtId="0" xfId="0" applyBorder="1" applyFont="1"/>
    <xf borderId="12" fillId="0" fontId="3" numFmtId="1" xfId="0" applyAlignment="1" applyBorder="1" applyFont="1" applyNumberFormat="1">
      <alignment vertical="bottom"/>
    </xf>
    <xf borderId="12" fillId="0" fontId="3" numFmtId="0" xfId="0" applyAlignment="1" applyBorder="1" applyFont="1">
      <alignment readingOrder="0"/>
    </xf>
    <xf borderId="12" fillId="0" fontId="3" numFmtId="1" xfId="0" applyAlignment="1" applyBorder="1" applyFont="1" applyNumberFormat="1">
      <alignment horizontal="center" readingOrder="0" shrinkToFit="0" vertical="bottom" wrapText="1"/>
    </xf>
    <xf borderId="12" fillId="0" fontId="38" numFmtId="0" xfId="0" applyAlignment="1" applyBorder="1" applyFont="1">
      <alignment readingOrder="0" shrinkToFit="0" wrapText="1"/>
    </xf>
    <xf borderId="12" fillId="0" fontId="3" numFmtId="1" xfId="0" applyAlignment="1" applyBorder="1" applyFont="1" applyNumberFormat="1">
      <alignment readingOrder="0" vertical="center"/>
    </xf>
    <xf borderId="16" fillId="0" fontId="3" numFmtId="0" xfId="0" applyAlignment="1" applyBorder="1" applyFont="1">
      <alignment horizontal="center"/>
    </xf>
    <xf borderId="27" fillId="0" fontId="5" numFmtId="0" xfId="0" applyAlignment="1" applyBorder="1" applyFont="1">
      <alignment horizontal="center" vertical="bottom"/>
    </xf>
    <xf borderId="28" fillId="0" fontId="5" numFmtId="0" xfId="0" applyAlignment="1" applyBorder="1" applyFont="1">
      <alignment horizontal="center" shrinkToFit="0" vertical="bottom" wrapText="1"/>
    </xf>
    <xf borderId="12" fillId="7" fontId="5" numFmtId="0" xfId="0" applyAlignment="1" applyBorder="1" applyFont="1">
      <alignment horizontal="center" shrinkToFit="0" vertical="bottom" wrapText="1"/>
    </xf>
    <xf borderId="12" fillId="7" fontId="5" numFmtId="0" xfId="0" applyAlignment="1" applyBorder="1" applyFont="1">
      <alignment horizontal="center" readingOrder="0" shrinkToFit="0" vertical="bottom" wrapText="1"/>
    </xf>
    <xf borderId="12" fillId="7" fontId="5" numFmtId="0" xfId="0" applyAlignment="1" applyBorder="1" applyFont="1">
      <alignment readingOrder="0" shrinkToFit="0" vertical="bottom" wrapText="1"/>
    </xf>
    <xf borderId="12" fillId="7" fontId="5" numFmtId="0" xfId="0" applyAlignment="1" applyBorder="1" applyFont="1">
      <alignment horizontal="center" readingOrder="0" vertical="bottom"/>
    </xf>
    <xf borderId="12" fillId="7" fontId="5" numFmtId="164" xfId="0" applyAlignment="1" applyBorder="1" applyFont="1" applyNumberFormat="1">
      <alignment horizontal="center" readingOrder="0" vertical="bottom"/>
    </xf>
    <xf borderId="12" fillId="7" fontId="5" numFmtId="0" xfId="0" applyAlignment="1" applyBorder="1" applyFont="1">
      <alignment vertical="bottom"/>
    </xf>
    <xf borderId="12" fillId="7" fontId="5" numFmtId="0" xfId="0" applyAlignment="1" applyBorder="1" applyFont="1">
      <alignment shrinkToFit="0" vertical="bottom" wrapText="1"/>
    </xf>
    <xf borderId="12" fillId="7" fontId="5" numFmtId="1" xfId="0" applyAlignment="1" applyBorder="1" applyFont="1" applyNumberFormat="1">
      <alignment horizontal="center" readingOrder="0" vertical="center"/>
    </xf>
    <xf borderId="12" fillId="7" fontId="5" numFmtId="1" xfId="0" applyAlignment="1" applyBorder="1" applyFont="1" applyNumberFormat="1">
      <alignment vertical="bottom"/>
    </xf>
    <xf borderId="12" fillId="7" fontId="5" numFmtId="0" xfId="0" applyAlignment="1" applyBorder="1" applyFont="1">
      <alignment horizontal="center" vertical="bottom"/>
    </xf>
    <xf borderId="12" fillId="7" fontId="3" numFmtId="164" xfId="0" applyAlignment="1" applyBorder="1" applyFont="1" applyNumberFormat="1">
      <alignment horizontal="center" readingOrder="0"/>
    </xf>
    <xf borderId="12" fillId="7" fontId="39" numFmtId="0" xfId="0" applyAlignment="1" applyBorder="1" applyFont="1">
      <alignment horizontal="center" readingOrder="0" shrinkToFit="0" vertical="center" wrapText="0"/>
    </xf>
    <xf borderId="12" fillId="7" fontId="5" numFmtId="1" xfId="0" applyAlignment="1" applyBorder="1" applyFont="1" applyNumberFormat="1">
      <alignment horizontal="center" vertical="center"/>
    </xf>
    <xf borderId="12" fillId="7" fontId="40" numFmtId="0" xfId="0" applyAlignment="1" applyBorder="1" applyFont="1">
      <alignment horizontal="center" readingOrder="0" shrinkToFit="0" vertical="center" wrapText="1"/>
    </xf>
    <xf borderId="12" fillId="7" fontId="41" numFmtId="0" xfId="0" applyAlignment="1" applyBorder="1" applyFont="1">
      <alignment horizontal="center" readingOrder="0" shrinkToFit="0" vertical="center" wrapText="1"/>
    </xf>
    <xf borderId="12" fillId="0" fontId="5" numFmtId="0" xfId="0" applyAlignment="1" applyBorder="1" applyFont="1">
      <alignment horizontal="center" readingOrder="0" shrinkToFit="0" vertical="bottom" wrapText="1"/>
    </xf>
    <xf borderId="12" fillId="0" fontId="5" numFmtId="0" xfId="0" applyAlignment="1" applyBorder="1" applyFont="1">
      <alignment readingOrder="0" shrinkToFit="0" vertical="bottom" wrapText="1"/>
    </xf>
    <xf borderId="12" fillId="0" fontId="5" numFmtId="0" xfId="0" applyAlignment="1" applyBorder="1" applyFont="1">
      <alignment horizontal="center" vertical="bottom"/>
    </xf>
    <xf borderId="12" fillId="0" fontId="5" numFmtId="0" xfId="0" applyAlignment="1" applyBorder="1" applyFont="1">
      <alignment horizontal="center" readingOrder="0" vertical="bottom"/>
    </xf>
    <xf borderId="12" fillId="0" fontId="5" numFmtId="164" xfId="0" applyAlignment="1" applyBorder="1" applyFont="1" applyNumberFormat="1">
      <alignment horizontal="center" readingOrder="0" vertical="bottom"/>
    </xf>
    <xf borderId="12" fillId="0" fontId="5" numFmtId="0" xfId="0" applyAlignment="1" applyBorder="1" applyFont="1">
      <alignment readingOrder="0" vertical="bottom"/>
    </xf>
    <xf borderId="12" fillId="0" fontId="42" numFmtId="0" xfId="0" applyAlignment="1" applyBorder="1" applyFont="1">
      <alignment readingOrder="0" shrinkToFit="0" vertical="bottom" wrapText="1"/>
    </xf>
    <xf borderId="12" fillId="0" fontId="5" numFmtId="1" xfId="0" applyAlignment="1" applyBorder="1" applyFont="1" applyNumberFormat="1">
      <alignment horizontal="center" readingOrder="0" shrinkToFit="0" vertical="center" wrapText="1"/>
    </xf>
    <xf borderId="12" fillId="0" fontId="5" numFmtId="1" xfId="0" applyAlignment="1" applyBorder="1" applyFont="1" applyNumberFormat="1">
      <alignment readingOrder="0" vertical="bottom"/>
    </xf>
    <xf borderId="19" fillId="0" fontId="5" numFmtId="0" xfId="0" applyAlignment="1" applyBorder="1" applyFont="1">
      <alignment horizontal="center" vertical="bottom"/>
    </xf>
    <xf borderId="20" fillId="0" fontId="5" numFmtId="0" xfId="0" applyAlignment="1" applyBorder="1" applyFont="1">
      <alignment horizontal="center" shrinkToFit="0" vertical="bottom" wrapText="1"/>
    </xf>
    <xf borderId="12" fillId="0" fontId="5" numFmtId="0" xfId="0" applyAlignment="1" applyBorder="1" applyFont="1">
      <alignment horizontal="center" shrinkToFit="0" vertical="bottom" wrapText="1"/>
    </xf>
    <xf borderId="14" fillId="0" fontId="5" numFmtId="0" xfId="0" applyAlignment="1" applyBorder="1" applyFont="1">
      <alignment horizontal="center" vertical="bottom"/>
    </xf>
    <xf borderId="12" fillId="0" fontId="5" numFmtId="0" xfId="0" applyAlignment="1" applyBorder="1" applyFont="1">
      <alignment shrinkToFit="0" vertical="bottom" wrapText="1"/>
    </xf>
    <xf borderId="12" fillId="0" fontId="5" numFmtId="0" xfId="0" applyAlignment="1" applyBorder="1" applyFont="1">
      <alignment vertical="bottom"/>
    </xf>
    <xf borderId="12" fillId="0" fontId="5" numFmtId="1" xfId="0" applyAlignment="1" applyBorder="1" applyFont="1" applyNumberFormat="1">
      <alignment vertical="bottom"/>
    </xf>
    <xf borderId="0" fillId="0" fontId="7" numFmtId="0" xfId="0" applyAlignment="1" applyFont="1">
      <alignment shrinkToFit="0" wrapText="1"/>
    </xf>
    <xf borderId="0" fillId="0" fontId="7" numFmtId="0" xfId="0" applyAlignment="1" applyFont="1">
      <alignment horizontal="center" shrinkToFit="0" vertical="center" wrapText="1"/>
    </xf>
    <xf borderId="0" fillId="0" fontId="7" numFmtId="3" xfId="0" applyAlignment="1" applyFont="1" applyNumberFormat="1">
      <alignment readingOrder="0"/>
    </xf>
    <xf borderId="0" fillId="6" fontId="43" numFmtId="3" xfId="0" applyAlignment="1" applyFont="1" applyNumberFormat="1">
      <alignment horizontal="center" readingOrder="0"/>
    </xf>
    <xf borderId="0" fillId="10" fontId="44" numFmtId="0" xfId="0" applyAlignment="1" applyFill="1" applyFont="1">
      <alignment horizontal="center" shrinkToFit="0" wrapText="1"/>
    </xf>
    <xf borderId="0" fillId="10" fontId="44" numFmtId="0" xfId="0" applyAlignment="1" applyFont="1">
      <alignment horizontal="center" shrinkToFit="0" wrapText="0"/>
    </xf>
    <xf borderId="12" fillId="10" fontId="44" numFmtId="0" xfId="0" applyAlignment="1" applyBorder="1" applyFont="1">
      <alignment horizontal="center" shrinkToFit="0" wrapText="1"/>
    </xf>
    <xf borderId="0" fillId="10" fontId="44" numFmtId="0" xfId="0" applyAlignment="1" applyFont="1">
      <alignment shrinkToFit="0" wrapText="1"/>
    </xf>
    <xf borderId="12" fillId="0" fontId="5" numFmtId="0" xfId="0" applyAlignment="1" applyBorder="1" applyFont="1">
      <alignment horizontal="right" shrinkToFit="0" vertical="bottom" wrapText="0"/>
    </xf>
    <xf borderId="12" fillId="0" fontId="5" numFmtId="0" xfId="0" applyAlignment="1" applyBorder="1" applyFont="1">
      <alignment horizontal="center" shrinkToFit="0" vertical="bottom" wrapText="0"/>
    </xf>
    <xf borderId="12" fillId="0" fontId="5" numFmtId="0" xfId="0" applyAlignment="1" applyBorder="1" applyFont="1">
      <alignment shrinkToFit="0" vertical="bottom" wrapText="0"/>
    </xf>
    <xf borderId="12" fillId="0" fontId="5" numFmtId="0" xfId="0" applyAlignment="1" applyBorder="1" applyFont="1">
      <alignment horizontal="center" shrinkToFit="0" wrapText="0"/>
    </xf>
    <xf borderId="12" fillId="0" fontId="5" numFmtId="166" xfId="0" applyAlignment="1" applyBorder="1" applyFont="1" applyNumberFormat="1">
      <alignment horizontal="center" shrinkToFit="0" vertical="bottom" wrapText="0"/>
    </xf>
    <xf borderId="12" fillId="6" fontId="5" numFmtId="0" xfId="0" applyAlignment="1" applyBorder="1" applyFont="1">
      <alignment horizontal="center" shrinkToFit="0" wrapText="0"/>
    </xf>
    <xf borderId="12" fillId="0" fontId="45" numFmtId="0" xfId="0" applyAlignment="1" applyBorder="1" applyFont="1">
      <alignment horizontal="center" shrinkToFit="0" vertical="bottom" wrapText="0"/>
    </xf>
    <xf borderId="0" fillId="0" fontId="5" numFmtId="0" xfId="0" applyAlignment="1" applyFont="1">
      <alignment vertical="bottom"/>
    </xf>
    <xf borderId="0" fillId="0" fontId="5" numFmtId="0" xfId="0" applyAlignment="1" applyFont="1">
      <alignment horizontal="center" shrinkToFit="0" wrapText="0"/>
    </xf>
    <xf borderId="12" fillId="0" fontId="5" numFmtId="0" xfId="0" applyBorder="1" applyFont="1"/>
    <xf borderId="12" fillId="6" fontId="5" numFmtId="0" xfId="0" applyAlignment="1" applyBorder="1" applyFont="1">
      <alignment shrinkToFit="0" vertical="bottom" wrapText="0"/>
    </xf>
    <xf borderId="12" fillId="0" fontId="5" numFmtId="164" xfId="0" applyAlignment="1" applyBorder="1" applyFont="1" applyNumberFormat="1">
      <alignment horizontal="center" shrinkToFit="0" vertical="bottom" wrapText="0"/>
    </xf>
    <xf borderId="12" fillId="11" fontId="5" numFmtId="0" xfId="0" applyAlignment="1" applyBorder="1" applyFill="1" applyFont="1">
      <alignment horizontal="center" shrinkToFit="0" vertical="bottom" wrapText="0"/>
    </xf>
    <xf borderId="12" fillId="0" fontId="5" numFmtId="0" xfId="0" applyAlignment="1" applyBorder="1" applyFont="1">
      <alignment shrinkToFit="0" wrapText="0"/>
    </xf>
    <xf borderId="12" fillId="0" fontId="5" numFmtId="166" xfId="0" applyAlignment="1" applyBorder="1" applyFont="1" applyNumberFormat="1">
      <alignment horizontal="center" shrinkToFit="0" wrapText="0"/>
    </xf>
    <xf borderId="12" fillId="0" fontId="46" numFmtId="0" xfId="0" applyAlignment="1" applyBorder="1" applyFont="1">
      <alignment horizontal="center" shrinkToFit="0" vertical="bottom" wrapText="0"/>
    </xf>
    <xf borderId="12" fillId="6" fontId="5" numFmtId="0" xfId="0" applyAlignment="1" applyBorder="1" applyFont="1">
      <alignment horizontal="center" shrinkToFit="0" vertical="bottom" wrapText="0"/>
    </xf>
    <xf borderId="12" fillId="0" fontId="5" numFmtId="164" xfId="0" applyAlignment="1" applyBorder="1" applyFont="1" applyNumberFormat="1">
      <alignment vertical="bottom"/>
    </xf>
    <xf borderId="12" fillId="12" fontId="5" numFmtId="164" xfId="0" applyAlignment="1" applyBorder="1" applyFill="1" applyFont="1" applyNumberFormat="1">
      <alignment vertical="bottom"/>
    </xf>
    <xf borderId="0" fillId="0" fontId="5" numFmtId="0" xfId="0" applyAlignment="1" applyFont="1">
      <alignment horizontal="center" shrinkToFit="0" vertical="bottom" wrapText="0"/>
    </xf>
    <xf borderId="12" fillId="0" fontId="5" numFmtId="0" xfId="0" applyAlignment="1" applyBorder="1" applyFont="1">
      <alignment horizontal="right" shrinkToFit="0" wrapText="0"/>
    </xf>
    <xf borderId="12" fillId="0" fontId="5" numFmtId="164" xfId="0" applyAlignment="1" applyBorder="1" applyFont="1" applyNumberFormat="1">
      <alignment horizontal="center" shrinkToFit="0" wrapText="0"/>
    </xf>
    <xf borderId="12" fillId="0" fontId="5" numFmtId="164" xfId="0" applyBorder="1" applyFont="1" applyNumberFormat="1"/>
    <xf borderId="12" fillId="0" fontId="47" numFmtId="0" xfId="0" applyAlignment="1" applyBorder="1" applyFont="1">
      <alignment horizontal="center" shrinkToFit="0" wrapText="0"/>
    </xf>
    <xf borderId="0" fillId="0" fontId="5" numFmtId="0" xfId="0" applyFont="1"/>
    <xf borderId="12" fillId="6" fontId="48" numFmtId="0" xfId="0" applyAlignment="1" applyBorder="1" applyFont="1">
      <alignment horizontal="right" shrinkToFit="0" vertical="bottom" wrapText="0"/>
    </xf>
    <xf borderId="12" fillId="0" fontId="5" numFmtId="164" xfId="0" applyAlignment="1" applyBorder="1" applyFont="1" applyNumberFormat="1">
      <alignment horizontal="center" vertical="bottom"/>
    </xf>
    <xf borderId="12" fillId="6" fontId="5" numFmtId="0" xfId="0" applyAlignment="1" applyBorder="1" applyFont="1">
      <alignment vertical="bottom"/>
    </xf>
    <xf borderId="0" fillId="0" fontId="5" numFmtId="0" xfId="0" applyAlignment="1" applyFont="1">
      <alignment horizontal="center" vertical="bottom"/>
    </xf>
    <xf borderId="0" fillId="0" fontId="5" numFmtId="0" xfId="0" applyAlignment="1" applyFont="1">
      <alignment shrinkToFit="0" vertical="bottom" wrapText="0"/>
    </xf>
    <xf borderId="12" fillId="0" fontId="49" numFmtId="0" xfId="0" applyAlignment="1" applyBorder="1" applyFont="1">
      <alignment horizontal="center" shrinkToFit="0" vertical="bottom" wrapText="0"/>
    </xf>
    <xf borderId="12" fillId="0" fontId="50" numFmtId="0" xfId="0" applyAlignment="1" applyBorder="1" applyFont="1">
      <alignment horizontal="center" shrinkToFit="0" wrapText="0"/>
    </xf>
    <xf borderId="12" fillId="0" fontId="51" numFmtId="0" xfId="0" applyAlignment="1" applyBorder="1" applyFont="1">
      <alignment shrinkToFit="0" wrapText="0"/>
    </xf>
    <xf borderId="12" fillId="0" fontId="52" numFmtId="0" xfId="0" applyAlignment="1" applyBorder="1" applyFont="1">
      <alignment horizontal="center" shrinkToFit="0" vertical="bottom" wrapText="0"/>
    </xf>
    <xf borderId="12" fillId="0" fontId="5" numFmtId="166" xfId="0" applyAlignment="1" applyBorder="1" applyFont="1" applyNumberFormat="1">
      <alignment vertical="bottom"/>
    </xf>
    <xf borderId="12" fillId="0" fontId="53" numFmtId="0" xfId="0" applyAlignment="1" applyBorder="1" applyFont="1">
      <alignment shrinkToFit="0" vertical="bottom" wrapText="0"/>
    </xf>
    <xf borderId="0" fillId="0" fontId="54" numFmtId="0" xfId="0" applyAlignment="1" applyFont="1">
      <alignment vertical="bottom"/>
    </xf>
    <xf borderId="0" fillId="0" fontId="55" numFmtId="0" xfId="0" applyAlignment="1" applyFont="1">
      <alignment vertical="bottom"/>
    </xf>
    <xf borderId="12" fillId="0" fontId="56" numFmtId="0" xfId="0" applyAlignment="1" applyBorder="1" applyFont="1">
      <alignment vertical="bottom"/>
    </xf>
    <xf borderId="0" fillId="11" fontId="5" numFmtId="0" xfId="0" applyAlignment="1" applyFont="1">
      <alignment horizontal="center" shrinkToFit="0" vertical="bottom" wrapText="0"/>
    </xf>
    <xf borderId="0" fillId="0" fontId="7" numFmtId="0" xfId="0" applyAlignment="1" applyFont="1">
      <alignment shrinkToFit="0" wrapText="0"/>
    </xf>
    <xf borderId="0" fillId="0" fontId="5" numFmtId="164" xfId="0" applyAlignment="1" applyFont="1" applyNumberFormat="1">
      <alignment horizontal="center" shrinkToFit="0" vertical="bottom" wrapText="0"/>
    </xf>
    <xf borderId="28" fillId="6" fontId="57" numFmtId="0" xfId="0" applyAlignment="1" applyBorder="1" applyFont="1">
      <alignment readingOrder="0" vertical="bottom"/>
    </xf>
    <xf borderId="28" fillId="0" fontId="58" numFmtId="0" xfId="0" applyAlignment="1" applyBorder="1" applyFont="1">
      <alignment readingOrder="0" vertical="bottom"/>
    </xf>
    <xf borderId="28" fillId="6" fontId="57" numFmtId="0" xfId="0" applyAlignment="1" applyBorder="1" applyFont="1">
      <alignment vertical="bottom"/>
    </xf>
    <xf borderId="28" fillId="6" fontId="59" numFmtId="0" xfId="0" applyAlignment="1" applyBorder="1" applyFont="1">
      <alignment readingOrder="0" vertical="bottom"/>
    </xf>
    <xf borderId="28" fillId="6" fontId="59" numFmtId="167" xfId="0" applyAlignment="1" applyBorder="1" applyFont="1" applyNumberFormat="1">
      <alignment readingOrder="0" vertical="bottom"/>
    </xf>
    <xf borderId="28" fillId="6" fontId="59" numFmtId="0" xfId="0" applyAlignment="1" applyBorder="1" applyFont="1">
      <alignment vertical="bottom"/>
    </xf>
    <xf borderId="28" fillId="6" fontId="59" numFmtId="0" xfId="0" applyAlignment="1" applyBorder="1" applyFont="1">
      <alignment readingOrder="0" vertical="top"/>
    </xf>
    <xf borderId="28" fillId="6" fontId="59" numFmtId="167" xfId="0" applyAlignment="1" applyBorder="1" applyFont="1" applyNumberFormat="1">
      <alignment readingOrder="0" vertical="top"/>
    </xf>
    <xf borderId="28" fillId="6" fontId="59" numFmtId="0" xfId="0" applyAlignment="1" applyBorder="1" applyFont="1">
      <alignment vertical="top"/>
    </xf>
    <xf borderId="12" fillId="2" fontId="2" numFmtId="0" xfId="0" applyAlignment="1" applyBorder="1" applyFont="1">
      <alignment horizontal="center" shrinkToFit="0" vertical="center" wrapText="1"/>
    </xf>
    <xf borderId="12" fillId="2" fontId="2" numFmtId="0" xfId="0" applyAlignment="1" applyBorder="1" applyFont="1">
      <alignment horizontal="center" readingOrder="0" shrinkToFit="0" vertical="center" wrapText="1"/>
    </xf>
    <xf borderId="12" fillId="2" fontId="1" numFmtId="0" xfId="0" applyAlignment="1" applyBorder="1" applyFont="1">
      <alignment horizontal="center" readingOrder="0" shrinkToFit="0" vertical="center" wrapText="1"/>
    </xf>
    <xf borderId="12" fillId="2" fontId="2" numFmtId="0" xfId="0" applyAlignment="1" applyBorder="1" applyFont="1">
      <alignment horizontal="center" vertical="center"/>
    </xf>
    <xf borderId="12" fillId="0" fontId="5" numFmtId="168" xfId="0" applyAlignment="1" applyBorder="1" applyFont="1" applyNumberFormat="1">
      <alignment horizontal="center" readingOrder="0"/>
    </xf>
    <xf borderId="12" fillId="0" fontId="60" numFmtId="0" xfId="0" applyAlignment="1" applyBorder="1" applyFont="1">
      <alignment horizontal="center" shrinkToFit="0" wrapText="1"/>
    </xf>
    <xf borderId="12" fillId="0" fontId="3" numFmtId="0" xfId="0" applyAlignment="1" applyBorder="1" applyFont="1">
      <alignment horizontal="center" shrinkToFit="0" wrapText="0"/>
    </xf>
    <xf borderId="12" fillId="0" fontId="3" numFmtId="1" xfId="0" applyAlignment="1" applyBorder="1" applyFont="1" applyNumberFormat="1">
      <alignment horizontal="right" vertical="bottom"/>
    </xf>
    <xf borderId="12" fillId="11" fontId="5" numFmtId="168" xfId="0" applyAlignment="1" applyBorder="1" applyFont="1" applyNumberFormat="1">
      <alignment horizontal="center" readingOrder="0"/>
    </xf>
    <xf borderId="11" fillId="0" fontId="5" numFmtId="0" xfId="0" applyAlignment="1" applyBorder="1" applyFont="1">
      <alignment shrinkToFit="0" vertical="bottom" wrapText="1"/>
    </xf>
    <xf borderId="11" fillId="0" fontId="61" numFmtId="1" xfId="0" applyAlignment="1" applyBorder="1" applyFont="1" applyNumberFormat="1">
      <alignment horizontal="center" shrinkToFit="0" vertical="center" wrapText="0"/>
    </xf>
    <xf borderId="12" fillId="0" fontId="61" numFmtId="1" xfId="0" applyAlignment="1" applyBorder="1" applyFont="1" applyNumberFormat="1">
      <alignment horizontal="center" shrinkToFit="0" vertical="center" wrapText="1"/>
    </xf>
    <xf borderId="11" fillId="0" fontId="5" numFmtId="0" xfId="0" applyAlignment="1" applyBorder="1" applyFont="1">
      <alignment readingOrder="0" shrinkToFit="0" vertical="bottom" wrapText="1"/>
    </xf>
    <xf borderId="11" fillId="0" fontId="5" numFmtId="1" xfId="0" applyAlignment="1" applyBorder="1" applyFont="1" applyNumberFormat="1">
      <alignment horizontal="center" shrinkToFit="0" vertical="bottom" wrapText="0"/>
    </xf>
    <xf borderId="12" fillId="0" fontId="61" numFmtId="1" xfId="0" applyAlignment="1" applyBorder="1" applyFont="1" applyNumberFormat="1">
      <alignment horizontal="center" readingOrder="0" shrinkToFit="0" vertical="bottom" wrapText="1"/>
    </xf>
    <xf borderId="25" fillId="0" fontId="3" numFmtId="0" xfId="0" applyAlignment="1" applyBorder="1" applyFont="1">
      <alignment horizontal="center" readingOrder="0" shrinkToFit="0" vertical="center" wrapText="1"/>
    </xf>
    <xf borderId="12" fillId="0" fontId="3" numFmtId="0" xfId="0" applyAlignment="1" applyBorder="1" applyFont="1">
      <alignment horizontal="center" readingOrder="0" shrinkToFit="0" wrapText="0"/>
    </xf>
    <xf borderId="12" fillId="0" fontId="5" numFmtId="0" xfId="0" applyAlignment="1" applyBorder="1" applyFont="1">
      <alignment horizontal="center" vertical="bottom"/>
    </xf>
    <xf borderId="12" fillId="0" fontId="5" numFmtId="0" xfId="0" applyAlignment="1" applyBorder="1" applyFont="1">
      <alignment horizontal="center" shrinkToFit="0" vertical="bottom" wrapText="1"/>
    </xf>
    <xf borderId="12" fillId="0" fontId="5" numFmtId="0" xfId="0" applyAlignment="1" applyBorder="1" applyFont="1">
      <alignment vertical="bottom"/>
    </xf>
    <xf borderId="12" fillId="0" fontId="5" numFmtId="168" xfId="0" applyAlignment="1" applyBorder="1" applyFont="1" applyNumberFormat="1">
      <alignment horizontal="center" vertical="bottom"/>
    </xf>
    <xf borderId="12" fillId="0" fontId="62" numFmtId="0" xfId="0" applyAlignment="1" applyBorder="1" applyFont="1">
      <alignment horizontal="center" readingOrder="0" shrinkToFit="0" vertical="bottom" wrapText="0"/>
    </xf>
    <xf borderId="12" fillId="0" fontId="5" numFmtId="164" xfId="0" applyAlignment="1" applyBorder="1" applyFont="1" applyNumberFormat="1">
      <alignment horizontal="center" readingOrder="0"/>
    </xf>
    <xf borderId="12" fillId="0" fontId="3" numFmtId="0" xfId="0" applyAlignment="1" applyBorder="1" applyFont="1">
      <alignment horizontal="center" vertical="bottom"/>
    </xf>
    <xf borderId="12" fillId="0" fontId="3" numFmtId="0" xfId="0" applyAlignment="1" applyBorder="1" applyFont="1">
      <alignment horizontal="center" shrinkToFit="0" vertical="bottom" wrapText="0"/>
    </xf>
    <xf borderId="12" fillId="0" fontId="3" numFmtId="0" xfId="0" applyAlignment="1" applyBorder="1" applyFont="1">
      <alignment vertical="bottom"/>
    </xf>
    <xf borderId="11" fillId="0" fontId="63" numFmtId="1" xfId="0" applyAlignment="1" applyBorder="1" applyFont="1" applyNumberFormat="1">
      <alignment horizontal="center" shrinkToFit="0" wrapText="0"/>
    </xf>
    <xf borderId="12" fillId="0" fontId="64" numFmtId="1" xfId="0" applyAlignment="1" applyBorder="1" applyFont="1" applyNumberFormat="1">
      <alignment horizontal="center" shrinkToFit="0" wrapText="1"/>
    </xf>
    <xf borderId="11" fillId="0" fontId="5" numFmtId="1" xfId="0" applyAlignment="1" applyBorder="1" applyFont="1" applyNumberFormat="1">
      <alignment vertical="bottom"/>
    </xf>
    <xf borderId="11" fillId="0" fontId="5" numFmtId="1" xfId="0" applyAlignment="1" applyBorder="1" applyFont="1" applyNumberFormat="1">
      <alignment horizontal="center" shrinkToFit="0" wrapText="0"/>
    </xf>
    <xf borderId="12" fillId="0" fontId="5" numFmtId="1" xfId="0" applyAlignment="1" applyBorder="1" applyFont="1" applyNumberFormat="1">
      <alignment horizontal="center" shrinkToFit="0" wrapText="1"/>
    </xf>
    <xf borderId="12" fillId="0" fontId="65" numFmtId="0" xfId="0" applyAlignment="1" applyBorder="1" applyFont="1">
      <alignment horizontal="center" readingOrder="0" vertical="bottom"/>
    </xf>
    <xf borderId="12" fillId="0" fontId="3" numFmtId="0" xfId="0" applyAlignment="1" applyBorder="1" applyFont="1">
      <alignment horizontal="center" readingOrder="0" shrinkToFit="0" vertical="bottom" wrapText="0"/>
    </xf>
    <xf borderId="12" fillId="0" fontId="3" numFmtId="0" xfId="0" applyAlignment="1" applyBorder="1" applyFont="1">
      <alignment readingOrder="0" shrinkToFit="0" vertical="bottom" wrapText="1"/>
    </xf>
    <xf borderId="12" fillId="0" fontId="3" numFmtId="0" xfId="0" applyAlignment="1" applyBorder="1" applyFont="1">
      <alignment readingOrder="0" vertical="bottom"/>
    </xf>
    <xf borderId="12" fillId="0" fontId="5" numFmtId="168" xfId="0" applyAlignment="1" applyBorder="1" applyFont="1" applyNumberFormat="1">
      <alignment horizontal="center" readingOrder="0" shrinkToFit="0" vertical="center" wrapText="1"/>
    </xf>
    <xf borderId="12" fillId="0" fontId="5" numFmtId="164" xfId="0" applyAlignment="1" applyBorder="1" applyFont="1" applyNumberFormat="1">
      <alignment horizontal="center" readingOrder="0" shrinkToFit="0" vertical="center" wrapText="1"/>
    </xf>
    <xf borderId="0" fillId="0" fontId="7" numFmtId="0" xfId="0" applyAlignment="1" applyFont="1">
      <alignment shrinkToFit="0" vertical="center" wrapText="1"/>
    </xf>
    <xf borderId="12" fillId="0" fontId="5" numFmtId="168" xfId="0" applyAlignment="1" applyBorder="1" applyFont="1" applyNumberFormat="1">
      <alignment horizontal="center" readingOrder="0" vertical="center"/>
    </xf>
    <xf borderId="12" fillId="0" fontId="5" numFmtId="164" xfId="0" applyAlignment="1" applyBorder="1" applyFont="1" applyNumberFormat="1">
      <alignment horizontal="center" readingOrder="0" vertical="center"/>
    </xf>
    <xf borderId="12" fillId="13" fontId="3" numFmtId="0" xfId="0" applyAlignment="1" applyBorder="1" applyFill="1" applyFont="1">
      <alignment readingOrder="0" shrinkToFit="0" wrapText="1"/>
    </xf>
    <xf borderId="12" fillId="13" fontId="5" numFmtId="0" xfId="0" applyAlignment="1" applyBorder="1" applyFont="1">
      <alignment shrinkToFit="0" vertical="center" wrapText="1"/>
    </xf>
    <xf borderId="12" fillId="0" fontId="5" numFmtId="0" xfId="0" applyAlignment="1" applyBorder="1" applyFont="1">
      <alignment shrinkToFit="0" vertical="center" wrapText="1"/>
    </xf>
    <xf borderId="12" fillId="0" fontId="66" numFmtId="0" xfId="0" applyAlignment="1" applyBorder="1" applyFont="1">
      <alignment readingOrder="0" shrinkToFit="0" wrapText="1"/>
    </xf>
    <xf borderId="12" fillId="0" fontId="3" numFmtId="1" xfId="0" applyAlignment="1" applyBorder="1" applyFont="1" applyNumberFormat="1">
      <alignment readingOrder="0" vertical="bottom"/>
    </xf>
    <xf borderId="12" fillId="13" fontId="3" numFmtId="0" xfId="0" applyAlignment="1" applyBorder="1" applyFont="1">
      <alignment readingOrder="0"/>
    </xf>
    <xf borderId="12" fillId="0" fontId="5" numFmtId="0" xfId="0" applyAlignment="1" applyBorder="1" applyFont="1">
      <alignment horizontal="center" shrinkToFit="0" wrapText="1"/>
    </xf>
    <xf borderId="12" fillId="0" fontId="67" numFmtId="0" xfId="0" applyAlignment="1" applyBorder="1" applyFont="1">
      <alignment horizontal="center" shrinkToFit="0" wrapText="1"/>
    </xf>
    <xf borderId="12" fillId="0" fontId="68" numFmtId="0" xfId="0" applyAlignment="1" applyBorder="1" applyFont="1">
      <alignment readingOrder="0"/>
    </xf>
    <xf borderId="12" fillId="13" fontId="7" numFmtId="0" xfId="0" applyAlignment="1" applyBorder="1" applyFont="1">
      <alignment readingOrder="0"/>
    </xf>
    <xf borderId="12" fillId="0" fontId="7" numFmtId="0" xfId="0" applyAlignment="1" applyBorder="1" applyFont="1">
      <alignment readingOrder="0" shrinkToFit="0" wrapText="1"/>
    </xf>
    <xf borderId="12" fillId="0" fontId="7" numFmtId="0" xfId="0" applyBorder="1" applyFont="1"/>
    <xf borderId="12" fillId="0" fontId="7" numFmtId="0" xfId="0" applyAlignment="1" applyBorder="1" applyFont="1">
      <alignment shrinkToFit="0" wrapText="1"/>
    </xf>
    <xf borderId="12" fillId="0" fontId="7" numFmtId="0" xfId="0" applyAlignment="1" applyBorder="1" applyFont="1">
      <alignment readingOrder="0"/>
    </xf>
    <xf borderId="12" fillId="13" fontId="5" numFmtId="0" xfId="0" applyAlignment="1" applyBorder="1" applyFont="1">
      <alignment vertical="bottom"/>
    </xf>
    <xf borderId="12" fillId="0" fontId="5" numFmtId="0" xfId="0" applyAlignment="1" applyBorder="1" applyFont="1">
      <alignment horizontal="right" vertical="bottom"/>
    </xf>
    <xf borderId="12" fillId="13" fontId="7" numFmtId="0" xfId="0" applyBorder="1" applyFont="1"/>
    <xf borderId="12" fillId="0" fontId="7" numFmtId="168" xfId="0" applyAlignment="1" applyBorder="1" applyFont="1" applyNumberFormat="1">
      <alignment horizontal="center" readingOrder="0"/>
    </xf>
    <xf borderId="0" fillId="0" fontId="69" numFmtId="0" xfId="0" applyFont="1"/>
    <xf borderId="0" fillId="0" fontId="69" numFmtId="0" xfId="0" applyAlignment="1" applyFont="1">
      <alignment horizontal="center" readingOrder="0"/>
    </xf>
    <xf borderId="0" fillId="0" fontId="7" numFmtId="0" xfId="0" applyAlignment="1" applyFont="1">
      <alignment readingOrder="0"/>
    </xf>
    <xf borderId="0" fillId="0" fontId="7" numFmtId="0" xfId="0" applyFont="1"/>
    <xf borderId="0" fillId="0" fontId="7" numFmtId="1" xfId="0" applyFont="1" applyNumberFormat="1"/>
    <xf borderId="37" fillId="7" fontId="69" numFmtId="0" xfId="0" applyAlignment="1" applyBorder="1" applyFont="1">
      <alignment horizontal="center" readingOrder="0"/>
    </xf>
    <xf borderId="38" fillId="0" fontId="70" numFmtId="0" xfId="0" applyBorder="1" applyFont="1"/>
    <xf borderId="39" fillId="0" fontId="70" numFmtId="0" xfId="0" applyBorder="1" applyFont="1"/>
    <xf borderId="12" fillId="9" fontId="69" numFmtId="0" xfId="0" applyAlignment="1" applyBorder="1" applyFont="1">
      <alignment readingOrder="0"/>
    </xf>
    <xf borderId="12" fillId="0" fontId="69" numFmtId="0" xfId="0" applyAlignment="1" applyBorder="1" applyFont="1">
      <alignment readingOrder="0"/>
    </xf>
    <xf borderId="12" fillId="7" fontId="69" numFmtId="0" xfId="0" applyAlignment="1" applyBorder="1" applyFont="1">
      <alignment horizontal="center" readingOrder="0"/>
    </xf>
    <xf borderId="12" fillId="9" fontId="69" numFmtId="0" xfId="0" applyAlignment="1" applyBorder="1" applyFont="1">
      <alignment horizontal="center" readingOrder="0"/>
    </xf>
    <xf borderId="12" fillId="9" fontId="7" numFmtId="0" xfId="0" applyBorder="1" applyFont="1"/>
    <xf borderId="12" fillId="14" fontId="7" numFmtId="0" xfId="0" applyBorder="1" applyFill="1" applyFont="1"/>
    <xf borderId="0" fillId="0" fontId="69" numFmtId="0" xfId="0" applyAlignment="1" applyFont="1">
      <alignment readingOrder="0"/>
    </xf>
    <xf borderId="0" fillId="0" fontId="69" numFmtId="3" xfId="0" applyAlignment="1" applyFont="1" applyNumberFormat="1">
      <alignment readingOrder="0"/>
    </xf>
    <xf borderId="40" fillId="0" fontId="7" numFmtId="0" xfId="0" applyBorder="1" applyFont="1"/>
    <xf borderId="41" fillId="0" fontId="7" numFmtId="0" xfId="0" applyBorder="1" applyFont="1"/>
    <xf borderId="42" fillId="9" fontId="69" numFmtId="0" xfId="0" applyAlignment="1" applyBorder="1" applyFont="1">
      <alignment horizontal="center" readingOrder="0" shrinkToFit="0" vertical="center" wrapText="1"/>
    </xf>
    <xf borderId="43" fillId="0" fontId="70" numFmtId="0" xfId="0" applyBorder="1" applyFont="1"/>
    <xf borderId="44" fillId="0" fontId="70" numFmtId="0" xfId="0" applyBorder="1" applyFont="1"/>
    <xf borderId="45" fillId="7" fontId="69" numFmtId="0" xfId="0" applyAlignment="1" applyBorder="1" applyFont="1">
      <alignment horizontal="center" readingOrder="0" shrinkToFit="0" vertical="center" wrapText="1"/>
    </xf>
    <xf borderId="12" fillId="7" fontId="69" numFmtId="0" xfId="0" applyAlignment="1" applyBorder="1" applyFont="1">
      <alignment horizontal="center" readingOrder="0" shrinkToFit="0" vertical="center" wrapText="1"/>
    </xf>
    <xf borderId="12" fillId="9" fontId="69" numFmtId="0" xfId="0" applyAlignment="1" applyBorder="1" applyFont="1">
      <alignment horizontal="center" readingOrder="0" shrinkToFit="0" vertical="center" wrapText="1"/>
    </xf>
    <xf borderId="12" fillId="15" fontId="69" numFmtId="0" xfId="0" applyAlignment="1" applyBorder="1" applyFill="1" applyFont="1">
      <alignment horizontal="center" readingOrder="0" shrinkToFit="0" vertical="center" wrapText="1"/>
    </xf>
    <xf borderId="45" fillId="0" fontId="7" numFmtId="0" xfId="0" applyAlignment="1" applyBorder="1" applyFont="1">
      <alignment horizontal="center" readingOrder="0"/>
    </xf>
    <xf borderId="12" fillId="0" fontId="7" numFmtId="0" xfId="0" applyAlignment="1" applyBorder="1" applyFont="1">
      <alignment horizontal="center" readingOrder="0"/>
    </xf>
    <xf borderId="12" fillId="0" fontId="7" numFmtId="1" xfId="0" applyAlignment="1" applyBorder="1" applyFont="1" applyNumberFormat="1">
      <alignment horizontal="center" readingOrder="0"/>
    </xf>
    <xf borderId="12" fillId="0" fontId="7" numFmtId="1" xfId="0" applyAlignment="1" applyBorder="1" applyFont="1" applyNumberFormat="1">
      <alignment horizontal="center"/>
    </xf>
    <xf borderId="12" fillId="0" fontId="7" numFmtId="3" xfId="0" applyAlignment="1" applyBorder="1" applyFont="1" applyNumberFormat="1">
      <alignment horizontal="center" readingOrder="0"/>
    </xf>
    <xf borderId="45" fillId="7" fontId="69" numFmtId="0" xfId="0" applyAlignment="1" applyBorder="1" applyFont="1">
      <alignment horizontal="center" readingOrder="0"/>
    </xf>
    <xf borderId="12" fillId="7" fontId="69" numFmtId="0" xfId="0" applyAlignment="1" applyBorder="1" applyFont="1">
      <alignment horizontal="center"/>
    </xf>
    <xf borderId="12" fillId="7" fontId="69" numFmtId="1" xfId="0" applyAlignment="1" applyBorder="1" applyFont="1" applyNumberFormat="1">
      <alignment horizontal="center"/>
    </xf>
    <xf borderId="12" fillId="9" fontId="69" numFmtId="1" xfId="0" applyAlignment="1" applyBorder="1" applyFont="1" applyNumberFormat="1">
      <alignment horizontal="center"/>
    </xf>
    <xf borderId="12" fillId="15" fontId="69" numFmtId="1" xfId="0" applyAlignment="1" applyBorder="1" applyFont="1" applyNumberFormat="1">
      <alignment horizontal="center"/>
    </xf>
    <xf borderId="46" fillId="0" fontId="7" numFmtId="0" xfId="0" applyBorder="1" applyFont="1"/>
    <xf borderId="0" fillId="0" fontId="3" numFmtId="0" xfId="0" applyAlignment="1" applyFont="1">
      <alignment horizontal="center" vertical="center"/>
    </xf>
    <xf borderId="0" fillId="0" fontId="3" numFmtId="0" xfId="0" applyAlignment="1" applyFont="1">
      <alignment horizontal="center" shrinkToFit="0" vertical="center" wrapText="1"/>
    </xf>
    <xf borderId="0" fillId="0" fontId="3"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3" numFmtId="164" xfId="0" applyAlignment="1" applyFont="1" applyNumberFormat="1">
      <alignment horizontal="center" readingOrder="0" vertical="center"/>
    </xf>
    <xf borderId="0" fillId="0" fontId="71" numFmtId="0" xfId="0" applyAlignment="1" applyFont="1">
      <alignment horizontal="center" readingOrder="0" shrinkToFit="0" vertical="center" wrapText="1"/>
    </xf>
    <xf borderId="0" fillId="0" fontId="3" numFmtId="1" xfId="0" applyAlignment="1" applyFont="1" applyNumberFormat="1">
      <alignment horizontal="center" shrinkToFit="0" vertical="center" wrapText="1"/>
    </xf>
    <xf borderId="0" fillId="0" fontId="3" numFmtId="1" xfId="0" applyAlignment="1" applyFont="1" applyNumberFormat="1">
      <alignment horizontal="center" readingOrder="0" shrinkToFit="0" vertical="center" wrapText="1"/>
    </xf>
    <xf borderId="0" fillId="0" fontId="3" numFmtId="164" xfId="0" applyAlignment="1" applyFont="1" applyNumberFormat="1">
      <alignment horizontal="center" vertical="center"/>
    </xf>
    <xf borderId="0" fillId="0" fontId="72" numFmtId="0" xfId="0" applyAlignment="1" applyFont="1">
      <alignment horizontal="center" readingOrder="0" shrinkToFit="0" vertical="center" wrapText="1"/>
    </xf>
    <xf borderId="0" fillId="0" fontId="3" numFmtId="0" xfId="0" applyAlignment="1" applyFont="1">
      <alignment horizontal="center" shrinkToFit="0" vertical="center" wrapText="0"/>
    </xf>
    <xf borderId="0" fillId="0" fontId="3" numFmtId="1" xfId="0" applyAlignment="1" applyFont="1" applyNumberFormat="1">
      <alignment horizontal="center" vertical="center"/>
    </xf>
    <xf borderId="0" fillId="0" fontId="73" numFmtId="0" xfId="0" applyAlignment="1" applyFont="1">
      <alignment horizontal="center" readingOrder="0" shrinkToFit="0" vertical="center" wrapText="1"/>
    </xf>
    <xf borderId="0" fillId="0" fontId="5" numFmtId="0" xfId="0" applyAlignment="1" applyFont="1">
      <alignment horizontal="center"/>
    </xf>
    <xf borderId="0" fillId="0" fontId="5" numFmtId="0" xfId="0" applyAlignment="1" applyFont="1">
      <alignment horizontal="center" shrinkToFit="0" wrapText="1"/>
    </xf>
    <xf borderId="0" fillId="0" fontId="5" numFmtId="0" xfId="0" applyAlignment="1" applyFont="1">
      <alignment horizontal="center"/>
    </xf>
    <xf borderId="0" fillId="0" fontId="5" numFmtId="0" xfId="0" applyAlignment="1" applyFont="1">
      <alignment horizontal="center" shrinkToFit="0" wrapText="1"/>
    </xf>
    <xf borderId="0" fillId="0" fontId="74" numFmtId="0" xfId="0" applyAlignment="1" applyFont="1">
      <alignment horizontal="center" shrinkToFit="0" wrapText="1"/>
    </xf>
    <xf borderId="0" fillId="0" fontId="5" numFmtId="1" xfId="0" applyFont="1" applyNumberFormat="1"/>
    <xf borderId="0" fillId="0" fontId="3" numFmtId="0" xfId="0" applyAlignment="1" applyFont="1">
      <alignment horizontal="center" readingOrder="0"/>
    </xf>
    <xf borderId="0" fillId="0" fontId="3" numFmtId="0" xfId="0" applyAlignment="1" applyFont="1">
      <alignment horizontal="center" readingOrder="0" shrinkToFit="0" vertical="bottom" wrapText="1"/>
    </xf>
    <xf borderId="0" fillId="0" fontId="3" numFmtId="0" xfId="0" applyAlignment="1" applyFont="1">
      <alignment horizontal="center" readingOrder="0" vertical="bottom"/>
    </xf>
    <xf borderId="0" fillId="0" fontId="3" numFmtId="0" xfId="0" applyAlignment="1" applyFont="1">
      <alignment readingOrder="0"/>
    </xf>
    <xf borderId="0" fillId="0" fontId="5" numFmtId="168" xfId="0" applyAlignment="1" applyFont="1" applyNumberFormat="1">
      <alignment horizontal="center" readingOrder="0"/>
    </xf>
    <xf borderId="0" fillId="0" fontId="5" numFmtId="164" xfId="0" applyAlignment="1" applyFont="1" applyNumberFormat="1">
      <alignment horizontal="center" readingOrder="0"/>
    </xf>
    <xf borderId="0" fillId="0" fontId="75" numFmtId="0" xfId="0" applyAlignment="1" applyFont="1">
      <alignment horizontal="center" readingOrder="0" vertical="bottom"/>
    </xf>
    <xf borderId="0" fillId="0" fontId="3" numFmtId="0" xfId="0" applyAlignment="1" applyFont="1">
      <alignment horizontal="center" readingOrder="0" shrinkToFit="0" vertical="bottom" wrapText="0"/>
    </xf>
    <xf borderId="0" fillId="0" fontId="3" numFmtId="0" xfId="0" applyAlignment="1" applyFont="1">
      <alignment vertical="bottom"/>
    </xf>
    <xf borderId="0" fillId="0" fontId="3" numFmtId="0" xfId="0" applyAlignment="1" applyFont="1">
      <alignment horizontal="center"/>
    </xf>
    <xf borderId="0" fillId="0" fontId="3" numFmtId="0" xfId="0" applyAlignment="1" applyFont="1">
      <alignment readingOrder="0" shrinkToFit="0" vertical="center" wrapText="1"/>
    </xf>
    <xf borderId="0" fillId="0" fontId="5" numFmtId="168" xfId="0" applyAlignment="1" applyFont="1" applyNumberFormat="1">
      <alignment horizontal="center" readingOrder="0" shrinkToFit="0" vertical="center" wrapText="1"/>
    </xf>
    <xf borderId="0" fillId="0" fontId="5" numFmtId="164" xfId="0" applyAlignment="1" applyFont="1" applyNumberFormat="1">
      <alignment horizontal="center" readingOrder="0" shrinkToFit="0" vertical="center" wrapText="1"/>
    </xf>
    <xf borderId="0" fillId="0" fontId="5" numFmtId="168" xfId="0" applyAlignment="1" applyFont="1" applyNumberFormat="1">
      <alignment horizontal="center" readingOrder="0" vertical="center"/>
    </xf>
    <xf borderId="0" fillId="0" fontId="5" numFmtId="164" xfId="0" applyAlignment="1" applyFont="1" applyNumberFormat="1">
      <alignment horizontal="center" readingOrder="0" vertical="center"/>
    </xf>
    <xf borderId="0" fillId="0" fontId="3" numFmtId="1" xfId="0" applyAlignment="1" applyFont="1" applyNumberFormat="1">
      <alignment horizontal="center" readingOrder="0" vertical="center"/>
    </xf>
    <xf borderId="0" fillId="0" fontId="3" numFmtId="0" xfId="0" applyAlignment="1" applyFont="1">
      <alignment horizontal="center" readingOrder="0" shrinkToFit="0" vertical="center" wrapText="1"/>
    </xf>
    <xf borderId="0" fillId="0" fontId="76" numFmtId="0" xfId="0" applyAlignment="1" applyFont="1">
      <alignment horizontal="center" shrinkToFit="0" vertical="center" wrapText="0"/>
    </xf>
    <xf borderId="0" fillId="0" fontId="69" numFmtId="0" xfId="0" applyAlignment="1" applyFont="1">
      <alignment horizontal="center" readingOrder="0" shrinkToFit="0" vertical="center" wrapText="1"/>
    </xf>
    <xf borderId="0" fillId="0" fontId="7" numFmtId="0" xfId="0" applyAlignment="1" applyFont="1">
      <alignment horizontal="center" readingOrder="0"/>
    </xf>
    <xf borderId="0" fillId="9" fontId="7" numFmtId="0" xfId="0" applyAlignment="1" applyFont="1">
      <alignment horizontal="center" readingOrder="0"/>
    </xf>
    <xf borderId="0" fillId="16" fontId="7" numFmtId="0" xfId="0" applyAlignment="1" applyFill="1" applyFont="1">
      <alignment horizontal="center"/>
    </xf>
    <xf borderId="0" fillId="0" fontId="7" numFmtId="10" xfId="0" applyFont="1" applyNumberFormat="1"/>
    <xf borderId="0" fillId="0" fontId="7" numFmtId="169" xfId="0" applyFont="1" applyNumberFormat="1"/>
    <xf borderId="0" fillId="0" fontId="69" numFmtId="0" xfId="0" applyAlignment="1" applyFont="1">
      <alignment horizontal="center"/>
    </xf>
    <xf borderId="0" fillId="0" fontId="7" numFmtId="2" xfId="0" applyFont="1" applyNumberFormat="1"/>
    <xf borderId="40" fillId="0" fontId="77" numFmtId="0" xfId="0" applyBorder="1" applyFont="1"/>
    <xf borderId="40" fillId="0" fontId="78" numFmtId="0" xfId="0" applyAlignment="1" applyBorder="1" applyFont="1">
      <alignment horizontal="center" readingOrder="0"/>
    </xf>
    <xf borderId="41" fillId="7" fontId="79" numFmtId="0" xfId="0" applyAlignment="1" applyBorder="1" applyFont="1">
      <alignment horizontal="right" readingOrder="0" textRotation="90" vertical="center"/>
    </xf>
    <xf borderId="40" fillId="7" fontId="77" numFmtId="0" xfId="0" applyAlignment="1" applyBorder="1" applyFont="1">
      <alignment horizontal="center" shrinkToFit="0" wrapText="1"/>
    </xf>
    <xf borderId="40" fillId="7" fontId="77" numFmtId="0" xfId="0" applyAlignment="1" applyBorder="1" applyFont="1">
      <alignment horizontal="center" readingOrder="0"/>
    </xf>
    <xf borderId="47" fillId="0" fontId="70" numFmtId="0" xfId="0" applyBorder="1" applyFont="1"/>
    <xf borderId="40" fillId="7" fontId="77" numFmtId="0" xfId="0" applyAlignment="1" applyBorder="1" applyFont="1">
      <alignment horizontal="center" readingOrder="0" shrinkToFit="0" wrapText="1"/>
    </xf>
    <xf borderId="41" fillId="7" fontId="80" numFmtId="0" xfId="0" applyAlignment="1" applyBorder="1" applyFont="1">
      <alignment horizontal="center" readingOrder="0" textRotation="90" vertical="center"/>
    </xf>
    <xf borderId="40" fillId="7" fontId="77" numFmtId="0" xfId="0" applyAlignment="1" applyBorder="1" applyFont="1">
      <alignment horizontal="center"/>
    </xf>
    <xf borderId="46" fillId="0" fontId="70" numFmtId="0" xfId="0" applyBorder="1" applyFont="1"/>
    <xf borderId="40" fillId="0" fontId="79" numFmtId="0" xfId="0" applyBorder="1" applyFont="1"/>
    <xf borderId="40" fillId="0" fontId="78" numFmtId="0" xfId="0" applyAlignment="1" applyBorder="1" applyFont="1">
      <alignment horizontal="center" readingOrder="0" shrinkToFit="0" wrapText="1"/>
    </xf>
    <xf borderId="41" fillId="15" fontId="79" numFmtId="0" xfId="0" applyAlignment="1" applyBorder="1" applyFont="1">
      <alignment horizontal="right" readingOrder="0" textRotation="90" vertical="center"/>
    </xf>
    <xf borderId="40" fillId="15" fontId="77" numFmtId="0" xfId="0" applyAlignment="1" applyBorder="1" applyFont="1">
      <alignment horizontal="center" readingOrder="0" shrinkToFit="0" wrapText="1"/>
    </xf>
    <xf borderId="40" fillId="15" fontId="77" numFmtId="0" xfId="0" applyAlignment="1" applyBorder="1" applyFont="1">
      <alignment horizontal="center" readingOrder="0"/>
    </xf>
    <xf borderId="40" fillId="15" fontId="77" numFmtId="0" xfId="0" applyAlignment="1" applyBorder="1" applyFont="1">
      <alignment horizontal="center" shrinkToFit="0" wrapText="1"/>
    </xf>
    <xf borderId="40" fillId="15" fontId="77" numFmtId="0" xfId="0" applyAlignment="1" applyBorder="1" applyFont="1">
      <alignment horizontal="center"/>
    </xf>
    <xf borderId="40" fillId="0" fontId="78" numFmtId="0" xfId="0" applyAlignment="1" applyBorder="1" applyFont="1">
      <alignment horizontal="center"/>
    </xf>
    <xf borderId="48" fillId="17" fontId="81" numFmtId="0" xfId="0" applyAlignment="1" applyBorder="1" applyFill="1" applyFont="1">
      <alignment horizontal="center" shrinkToFit="0" wrapText="1"/>
    </xf>
    <xf borderId="49" fillId="0" fontId="70" numFmtId="0" xfId="0" applyBorder="1" applyFont="1"/>
    <xf borderId="50" fillId="0" fontId="70" numFmtId="0" xfId="0" applyBorder="1" applyFont="1"/>
    <xf borderId="0" fillId="18" fontId="82" numFmtId="0" xfId="0" applyAlignment="1" applyFill="1" applyFont="1">
      <alignment horizontal="center" shrinkToFit="0" vertical="center" wrapText="1"/>
    </xf>
    <xf borderId="37" fillId="19" fontId="83" numFmtId="0" xfId="0" applyAlignment="1" applyBorder="1" applyFill="1" applyFont="1">
      <alignment vertical="top"/>
    </xf>
    <xf borderId="51" fillId="18" fontId="82" numFmtId="0" xfId="0" applyAlignment="1" applyBorder="1" applyFont="1">
      <alignment horizontal="center" shrinkToFit="0" vertical="center" wrapText="1"/>
    </xf>
    <xf borderId="52" fillId="19" fontId="84" numFmtId="0" xfId="0" applyAlignment="1" applyBorder="1" applyFont="1">
      <alignment shrinkToFit="0" wrapText="1"/>
    </xf>
    <xf borderId="53" fillId="0" fontId="70" numFmtId="0" xfId="0" applyBorder="1" applyFont="1"/>
    <xf borderId="54" fillId="0" fontId="70" numFmtId="0" xfId="0" applyBorder="1" applyFont="1"/>
    <xf borderId="52" fillId="19" fontId="85" numFmtId="0" xfId="0" applyAlignment="1" applyBorder="1" applyFont="1">
      <alignment shrinkToFit="0" wrapText="1"/>
    </xf>
    <xf borderId="55" fillId="19" fontId="85" numFmtId="0" xfId="0" applyAlignment="1" applyBorder="1" applyFont="1">
      <alignment shrinkToFit="0" vertical="center" wrapText="1"/>
    </xf>
    <xf borderId="56" fillId="0" fontId="70" numFmtId="0" xfId="0" applyBorder="1" applyFont="1"/>
    <xf borderId="57" fillId="0" fontId="70" numFmtId="0" xfId="0" applyBorder="1" applyFont="1"/>
    <xf borderId="55" fillId="19" fontId="86" numFmtId="0" xfId="0" applyAlignment="1" applyBorder="1" applyFont="1">
      <alignment shrinkToFit="0" wrapText="1"/>
    </xf>
    <xf borderId="58" fillId="18" fontId="82" numFmtId="0" xfId="0" applyAlignment="1" applyBorder="1" applyFont="1">
      <alignment horizontal="center" shrinkToFit="0" vertical="center" wrapText="1"/>
    </xf>
    <xf borderId="55" fillId="19" fontId="82" numFmtId="0" xfId="0" applyAlignment="1" applyBorder="1" applyFont="1">
      <alignment shrinkToFit="0" wrapText="1"/>
    </xf>
    <xf borderId="51" fillId="19" fontId="87" numFmtId="0" xfId="0" applyAlignment="1" applyBorder="1" applyFont="1">
      <alignment horizontal="center" shrinkToFit="0" wrapText="1"/>
    </xf>
    <xf borderId="59" fillId="0" fontId="70" numFmtId="0" xfId="0" applyBorder="1" applyFont="1"/>
    <xf borderId="51" fillId="19" fontId="85" numFmtId="0" xfId="0" applyAlignment="1" applyBorder="1" applyFont="1">
      <alignment horizontal="center" shrinkToFit="0" wrapText="1"/>
    </xf>
    <xf borderId="60" fillId="0" fontId="70" numFmtId="0" xfId="0" applyBorder="1" applyFont="1"/>
    <xf borderId="55" fillId="19" fontId="84" numFmtId="0" xfId="0" applyAlignment="1" applyBorder="1" applyFont="1">
      <alignment shrinkToFit="0" wrapText="1"/>
    </xf>
    <xf borderId="28" fillId="6" fontId="59"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maps.app.goo.gl/KVJQYUw7kRwMkiRL7" TargetMode="External"/><Relationship Id="rId84" Type="http://schemas.openxmlformats.org/officeDocument/2006/relationships/hyperlink" Target="https://maps.app.goo.gl/8G1SkPYquTEpnUZTA" TargetMode="External"/><Relationship Id="rId83" Type="http://schemas.openxmlformats.org/officeDocument/2006/relationships/hyperlink" Target="https://maps.app.goo.gl/zZnrYcZpbJmjqxtN8" TargetMode="External"/><Relationship Id="rId42" Type="http://schemas.openxmlformats.org/officeDocument/2006/relationships/hyperlink" Target="https://www.google.com/maps?q=4.614135243,-74.17617048" TargetMode="External"/><Relationship Id="rId86" Type="http://schemas.openxmlformats.org/officeDocument/2006/relationships/hyperlink" Target="https://maps.app.goo.gl/J8FeDEHqMeHohLzK6" TargetMode="External"/><Relationship Id="rId41" Type="http://schemas.openxmlformats.org/officeDocument/2006/relationships/hyperlink" Target="https://maps.app.goo.gl/1KebB9j3ZXbtfCe99" TargetMode="External"/><Relationship Id="rId85" Type="http://schemas.openxmlformats.org/officeDocument/2006/relationships/hyperlink" Target="https://maps.app.goo.gl/YVRrJX4K931KoPiX7" TargetMode="External"/><Relationship Id="rId44" Type="http://schemas.openxmlformats.org/officeDocument/2006/relationships/hyperlink" Target="https://maps.app.goo.gl/ZnJBkzPBi2Kxv9p66" TargetMode="External"/><Relationship Id="rId43" Type="http://schemas.openxmlformats.org/officeDocument/2006/relationships/hyperlink" Target="https://maps.app.goo.gl/nn48M362V2t6aEPVA" TargetMode="External"/><Relationship Id="rId87" Type="http://schemas.openxmlformats.org/officeDocument/2006/relationships/drawing" Target="../drawings/drawing1.xml"/><Relationship Id="rId46" Type="http://schemas.openxmlformats.org/officeDocument/2006/relationships/hyperlink" Target="https://maps.app.goo.gl/ZnJBkzPBi2Kxv9p66" TargetMode="External"/><Relationship Id="rId45" Type="http://schemas.openxmlformats.org/officeDocument/2006/relationships/hyperlink" Target="https://maps.app.goo.gl/ZnJBkzPBi2Kxv9p66" TargetMode="External"/><Relationship Id="rId80" Type="http://schemas.openxmlformats.org/officeDocument/2006/relationships/hyperlink" Target="https://www.google.com/maps/place/CAI+Britalia/@4.6211355,-74.1690507,3a,75y,218.9h,90t/data=!3m7!1e1!3m5!1szw4On_LJNelxB2pAe1nXtw!2e0!6shttps:%2F%2Fstreetviewpixels-pa.googleapis.com%2Fv1%2Fthumbnail%3Fcb_client%3Dmaps_sv.tactile%26w%3D900%26h%3D600%26pitch%3D0%26panoid%3Dzw4On_LJNelxB2pAe1nXtw%26yaw%3D218.89775!7i13312!8i6656!4m14!1m7!3m6!1s0x8e3f9e7e08282575:0xfd33c97a6ca0ed32!2sCAI+Britalia!8m2!3d4.6210238!4d-74.16914!16s%2Fg%2F1tfyfmg8!3m5!1s0x8e3f9e7e08282575:0xfd33c97a6ca0ed32!8m2!3d4.6210238!4d-74.16914!16s%2Fg%2F1tfyfmg8?entry=ttu&amp;g_ep=EgoyMDI2MDEyOC4wIKXMDSoASAFQAw%3D%3D" TargetMode="External"/><Relationship Id="rId82" Type="http://schemas.openxmlformats.org/officeDocument/2006/relationships/hyperlink" Target="https://maps.app.goo.gl/v7WXrGLnAGri7yM79" TargetMode="External"/><Relationship Id="rId81" Type="http://schemas.openxmlformats.org/officeDocument/2006/relationships/hyperlink" Target="https://maps.app.goo.gl/imQytweSDJCY7Ggf7" TargetMode="External"/><Relationship Id="rId1" Type="http://schemas.openxmlformats.org/officeDocument/2006/relationships/hyperlink" Target="http://google.com/maps/place/Casa+Hamilton/@4.6348379,-74.168413,3a,75y,207.37h,90t/data=!3m5!1e1!3m3!1sYHLoVj54sjcWE-C48KDXpQ!2e0!6shttps:%2F%2Fstreetviewpixels-pa.googleapis.com%2Fv1%2Fthumbnail%3Fcb_client%3Dmaps_sv.tactile%26w%3D900%26h%3D600%26pitch%3D0%26panoid%3DYHLoVj54sjcWE-C48KDXpQ%26yaw%3D207.36768!4m14!1m7!3m6!1s0x8e3f9d766b7b07b1:0x84c12dc578b81adc!2sCasa+Hamilton!8m2!3d4.6348284!4d-74.168418!16s%2Fg%2F11fl0wbbvf!3m5!1s0x8e3f9d766b7b07b1:0x84c12dc578b81adc!8m2!3d4.6348284!4d-74.168418!16s%2Fg%2F11fl0wbbvf?entry=ttu&amp;g_ep=EgoyMDI1MTEyMy4xIKXMDSoASAFQAw%3D%3D" TargetMode="External"/><Relationship Id="rId2" Type="http://schemas.openxmlformats.org/officeDocument/2006/relationships/hyperlink" Target="https://www.google.com/maps/@4.6389535,-74.1608905,3a,22.8y,177.68h,99.58t/data=!3m7!1e1!3m5!1sGuilCb6sP05z17gXhzckHQ!2e0!6shttps:%2F%2Fstreetviewpixels-pa.googleapis.com%2Fv1%2Fthumbnail%3Fcb_client%3Dmaps_sv.tactile%26w%3D900%26h%3D600%26pitch%3D-9.575314414106757%26panoid%3DGuilCb6sP05z17gXhzckHQ%26yaw%3D177.68235465223438!7i16384!8i8192?entry=ttu&amp;g_ep=EgoyMDI1MTEyMy4xIKXMDSoASAFQAw%3D%3D" TargetMode="External"/><Relationship Id="rId3" Type="http://schemas.openxmlformats.org/officeDocument/2006/relationships/hyperlink" Target="https://www.google.com/maps/@4.6389535,-74.1608905,3a,22.8y,177.68h,99.58t/data=!3m7!1e1!3m5!1sGuilCb6sP05z17gXhzckHQ!2e0!6shttps:%2F%2Fstreetviewpixels-pa.googleapis.com%2Fv1%2Fthumbnail%3Fcb_client%3Dmaps_sv.tactile%26w%3D900%26h%3D600%26pitch%3D-9.575314414106757%26panoid%3DGuilCb6sP05z17gXhzckHQ%26yaw%3D177.68235465223438!7i16384!8i8192?entry=ttu&amp;g_ep=EgoyMDI1MTEyMy4xIKXMDSoASAFQAw%3D%3D" TargetMode="External"/><Relationship Id="rId4" Type="http://schemas.openxmlformats.org/officeDocument/2006/relationships/hyperlink" Target="https://www.google.com/maps/place/Centro+Comercial+Ciudad+Tintal/@4.6484322,-74.1566005,3a,75y,259.88h,91.84t/data=!3m7!1e1!3m5!1sPvz2ZZ_LEPMtw1hCPni5xw!2e0!6shttps:%2F%2Fstreetviewpixels-pa.googleapis.com%2Fv1%2Fthumbnail%3Fcb_client%3Dmaps_sv.tactile%26w%3D900%26h%3D600%26pitch%3D-1.8368268512086843%26panoid%3DPvz2ZZ_LEPMtw1hCPni5xw%26yaw%3D259.882344672206!7i16384!8i8192!4m10!1m2!2m1!1sciudad+tintal!3m6!1s0x8e3f9c48a6b9e475:0xb493c62a8721eed2!8m2!3d4.6525882!4d-74.1601199!15sCg1jaXVkYWQgdGludGFskgEPc2hvcHBpbmdfY2VudGVy4AEA!16s%2Fg%2F1ptxhhfkq?entry=ttu&amp;g_ep=EgoyMDI1MTEyMy4xIKXMDSoASAFQAw%3D%3D" TargetMode="External"/><Relationship Id="rId9" Type="http://schemas.openxmlformats.org/officeDocument/2006/relationships/hyperlink" Target="http://google.com/maps/place/Iglesia+De+Dios+Ministerial+De+Jesucristo+Internacional+-+IDMJI+-CARVAJAL/@4.6162521,-74.1430179,17z/data=!3m1!4b1!4m6!3m5!1s0x8e3f9ebb73ed00eb:0x84ff2c16af65e299!8m2!3d4.6162468!4d-74.140443!16s%2Fg%2F1ptwb97lz?entry=ttu&amp;g_ep=EgoyMDI1MTEyMy4xIKXMDSoASAFQAw%3D%3D" TargetMode="External"/><Relationship Id="rId48" Type="http://schemas.openxmlformats.org/officeDocument/2006/relationships/hyperlink" Target="https://maps.app.goo.gl/jFjERfhfKHaf2x9d7" TargetMode="External"/><Relationship Id="rId47" Type="http://schemas.openxmlformats.org/officeDocument/2006/relationships/hyperlink" Target="https://maps.app.goo.gl/H8D8VUaLYi1yLTHx5" TargetMode="External"/><Relationship Id="rId49" Type="http://schemas.openxmlformats.org/officeDocument/2006/relationships/hyperlink" Target="https://www.google.com/maps?q=4.614135243,-74.17617048" TargetMode="External"/><Relationship Id="rId5" Type="http://schemas.openxmlformats.org/officeDocument/2006/relationships/hyperlink" Target="http://google.com/maps/place/Iglesia+de+Dios+Ministerial+de+Jesucristo+Internacional+-+IDMJI+-+CGMJI+BTA+EL+OLIVO/@4.6215758,-74.164928,3a,75y,316.8h,90t/data=!3m7!1e1!3m5!1sJwIftdN6Rl-LMLqtdi_3Nw!2e0!6shttps:%2F%2Fstreetviewpixels-pa.googleapis.com%2Fv1%2Fthumbnail%3Fcb_client%3Dmaps_sv.tactile%26w%3D900%26h%3D600%26pitch%3D0%26panoid%3DJwIftdN6Rl-LMLqtdi_3Nw%26yaw%3D316.80283!7i16384!8i8192!4m14!1m7!3m6!1s0x8e3f9e842a6a8335:0xe8f39c19a9ab6da3!2sIglesia+de+Dios+Ministerial+de+Jesucristo+Internacional+-+IDMJI+-+CGMJI+BTA+EL+OLIVO!8m2!3d4.6216536!4d-74.1650013!16s%2Fg%2F1tdksvtw!3m5!1s0x8e3f9e842a6a8335:0xe8f39c19a9ab6da3!8m2!3d4.6216536!4d-74.1650013!16s%2Fg%2F1tdksvtw?entry=ttu&amp;g_ep=EgoyMDI1MTEwOS4wIKXMDSoASAFQAw%3D%3D" TargetMode="External"/><Relationship Id="rId6" Type="http://schemas.openxmlformats.org/officeDocument/2006/relationships/hyperlink" Target="http://google.com/maps/place/Iglesia+de+Dios+Ministerial+de+Jesucristo+Internacional+-+IDMJI+-+CGMJI+BTA+EL+OLIVO/@4.6215758,-74.164928,3a,75y,316.8h,90t/data=!3m7!1e1!3m5!1sJwIftdN6Rl-LMLqtdi_3Nw!2e0!6shttps:%2F%2Fstreetviewpixels-pa.googleapis.com%2Fv1%2Fthumbnail%3Fcb_client%3Dmaps_sv.tactile%26w%3D900%26h%3D600%26pitch%3D0%26panoid%3DJwIftdN6Rl-LMLqtdi_3Nw%26yaw%3D316.80283!7i16384!8i8192!4m14!1m7!3m6!1s0x8e3f9e842a6a8335:0xe8f39c19a9ab6da3!2sIglesia+de+Dios+Ministerial+de+Jesucristo+Internacional+-+IDMJI+-+CGMJI+BTA+EL+OLIVO!8m2!3d4.6216536!4d-74.1650013!16s%2Fg%2F1tdksvtw!3m5!1s0x8e3f9e842a6a8335:0xe8f39c19a9ab6da3!8m2!3d4.6216536!4d-74.1650013!16s%2Fg%2F1tdksvtw?entry=ttu&amp;g_ep=EgoyMDI1MTEwOS4wIKXMDSoASAFQAw%3D%3D" TargetMode="External"/><Relationship Id="rId7" Type="http://schemas.openxmlformats.org/officeDocument/2006/relationships/hyperlink" Target="https://maps.app.goo.gl/jzrd7SQfeCSpVLPRA" TargetMode="External"/><Relationship Id="rId8" Type="http://schemas.openxmlformats.org/officeDocument/2006/relationships/hyperlink" Target="https://www.google.com/maps/@4.6341727,-74.1779911,3a,75y,356.8h,87.57t/data=!3m7!1e1!3m5!1sMhvKblnUolqsI7uZqgsS9g!2e0!6shttps:%2F%2Fstreetviewpixels-pa.googleapis.com%2Fv1%2Fthumbnail%3Fcb_client%3Dmaps_sv.tactile%26w%3D900%26h%3D600%26pitch%3D2.4308615552782413%26panoid%3DMhvKblnUolqsI7uZqgsS9g%26yaw%3D356.7964580580785!7i16384!8i8192?entry=ttu&amp;g_ep=EgoyMDI1MTEyMy4xIKXMDSoASAFQAw%3D%3D" TargetMode="External"/><Relationship Id="rId73" Type="http://schemas.openxmlformats.org/officeDocument/2006/relationships/hyperlink" Target="https://maps.app.goo.gl/1MEcLnm21ZnJyyPQ7" TargetMode="External"/><Relationship Id="rId72" Type="http://schemas.openxmlformats.org/officeDocument/2006/relationships/hyperlink" Target="https://maps.app.goo.gl/1KebB9j3ZXbtfCe99" TargetMode="External"/><Relationship Id="rId31" Type="http://schemas.openxmlformats.org/officeDocument/2006/relationships/hyperlink" Target="https://maps.app.goo.gl/UiBexu9Axhn6zuEZ6" TargetMode="External"/><Relationship Id="rId75" Type="http://schemas.openxmlformats.org/officeDocument/2006/relationships/hyperlink" Target="https://maps.app.goo.gl/1KebB9j3ZXbtfCe99" TargetMode="External"/><Relationship Id="rId30" Type="http://schemas.openxmlformats.org/officeDocument/2006/relationships/hyperlink" Target="https://maps.app.goo.gl/aGBx2P51EGsbTbt19" TargetMode="External"/><Relationship Id="rId74" Type="http://schemas.openxmlformats.org/officeDocument/2006/relationships/hyperlink" Target="https://maps.app.goo.gl/ZnJBkzPBi2Kxv9p66" TargetMode="External"/><Relationship Id="rId33" Type="http://schemas.openxmlformats.org/officeDocument/2006/relationships/hyperlink" Target="https://maps.app.goo.gl/3r17ZACt9RpwC6Kr7" TargetMode="External"/><Relationship Id="rId77" Type="http://schemas.openxmlformats.org/officeDocument/2006/relationships/hyperlink" Target="https://n9.cl/b6mjt" TargetMode="External"/><Relationship Id="rId32" Type="http://schemas.openxmlformats.org/officeDocument/2006/relationships/hyperlink" Target="https://maps.app.goo.gl/9j3GGhx4THnQhm1N6" TargetMode="External"/><Relationship Id="rId76" Type="http://schemas.openxmlformats.org/officeDocument/2006/relationships/hyperlink" Target="https://maps.app.goo.gl/FvPfN3pEXvNrxZ418" TargetMode="External"/><Relationship Id="rId35" Type="http://schemas.openxmlformats.org/officeDocument/2006/relationships/hyperlink" Target="https://maps.app.goo.gl/UiBexu9Axhn6zuEZ6" TargetMode="External"/><Relationship Id="rId79" Type="http://schemas.openxmlformats.org/officeDocument/2006/relationships/hyperlink" Target="https://maps.app.goo.gl/1KebB9j3ZXbtfCe99" TargetMode="External"/><Relationship Id="rId34" Type="http://schemas.openxmlformats.org/officeDocument/2006/relationships/hyperlink" Target="https://maps.app.goo.gl/B7Vvnj17Ra5gpNUL9" TargetMode="External"/><Relationship Id="rId78" Type="http://schemas.openxmlformats.org/officeDocument/2006/relationships/hyperlink" Target="https://n9.cl/xmofw" TargetMode="External"/><Relationship Id="rId71" Type="http://schemas.openxmlformats.org/officeDocument/2006/relationships/hyperlink" Target="https://maps.app.goo.gl/aSmy6cu3dtProg2x9" TargetMode="External"/><Relationship Id="rId70" Type="http://schemas.openxmlformats.org/officeDocument/2006/relationships/hyperlink" Target="https://maps.app.goo.gl/cB7JaP7nsRn5M2kH7" TargetMode="External"/><Relationship Id="rId37" Type="http://schemas.openxmlformats.org/officeDocument/2006/relationships/hyperlink" Target="https://maps.app.goo.gl/1KebB9j3ZXbtfCe99" TargetMode="External"/><Relationship Id="rId36" Type="http://schemas.openxmlformats.org/officeDocument/2006/relationships/hyperlink" Target="https://maps.app.goo.gl/UiBexu9Axhn6zuEZ6" TargetMode="External"/><Relationship Id="rId39" Type="http://schemas.openxmlformats.org/officeDocument/2006/relationships/hyperlink" Target="https://maps.app.goo.gl/PySex4MEm2rvJmzp8" TargetMode="External"/><Relationship Id="rId38" Type="http://schemas.openxmlformats.org/officeDocument/2006/relationships/hyperlink" Target="https://maps.app.goo.gl/vSWMtHstraS7geEn8" TargetMode="External"/><Relationship Id="rId62" Type="http://schemas.openxmlformats.org/officeDocument/2006/relationships/hyperlink" Target="https://maps.app.goo.gl/mua9Z8ES2D4hQGwT8" TargetMode="External"/><Relationship Id="rId61" Type="http://schemas.openxmlformats.org/officeDocument/2006/relationships/hyperlink" Target="https://maps.app.goo.gl/XuwCLhnDQbtb4r8U7" TargetMode="External"/><Relationship Id="rId20" Type="http://schemas.openxmlformats.org/officeDocument/2006/relationships/hyperlink" Target="https://maps.app.goo.gl/aGBx2P51EGsbTbt19" TargetMode="External"/><Relationship Id="rId64" Type="http://schemas.openxmlformats.org/officeDocument/2006/relationships/hyperlink" Target="https://maps.app.goo.gl/MMSyTqmrbFrsqDpW7" TargetMode="External"/><Relationship Id="rId63" Type="http://schemas.openxmlformats.org/officeDocument/2006/relationships/hyperlink" Target="https://maps.app.goo.gl/UiBexu9Axhn6zuEZ6" TargetMode="External"/><Relationship Id="rId22" Type="http://schemas.openxmlformats.org/officeDocument/2006/relationships/hyperlink" Target="https://www.google.com/maps?q=4.614135243,-74.17617048" TargetMode="External"/><Relationship Id="rId66" Type="http://schemas.openxmlformats.org/officeDocument/2006/relationships/hyperlink" Target="https://maps.app.goo.gl/xPBZcKwAEYCeuHnb9" TargetMode="External"/><Relationship Id="rId21" Type="http://schemas.openxmlformats.org/officeDocument/2006/relationships/hyperlink" Target="https://maps.app.goo.gl/aGBx2P51EGsbTbt19" TargetMode="External"/><Relationship Id="rId65" Type="http://schemas.openxmlformats.org/officeDocument/2006/relationships/hyperlink" Target="https://www.google.com/maps/place/Iglesia+de+Dios+Ministerial+de+Jesucristo+Internacional+-+IDMJI+-+CGMJI+BTA+EL+OLIVO/@4.6215697,-74.1649254,3a,75y,316.96h,90t/data=!3m7!1e1!3m5!1sJwIftdN6Rl-LMLqtdi_3Nw!2e0!6shttps:%2F%2Fstreetviewpixels-pa.googleapis.com%2Fv1%2Fthumbnail%3Fcb_client%3Dmaps_sv.tactile%26w%3D900%26h%3D600%26pitch%3D0%26panoid%3DJwIftdN6Rl-LMLqtdi_3Nw%26yaw%3D316.9615!7i16384!8i8192!4m10!1m2!2m1!1sidmji+kennedy!3m6!1s0x8e3f9e842a6a8335:0xe8f39c19a9ab6da3!8m2!3d4.6216536!4d-74.1650013!15sCg1pZG1qaSBrZW5uZWR5IgOIAQGSARBjaHJpc3RpYW5fY2h1cmNo4AEA!16s%2Fg%2F1tdksvtw?entry=ttu&amp;g_ep=EgoyMDI2MDEyOC4wIKXMDSoASAFQAw%3D%3D" TargetMode="External"/><Relationship Id="rId24" Type="http://schemas.openxmlformats.org/officeDocument/2006/relationships/hyperlink" Target="https://maps.app.goo.gl/C5huNCbBnyA9KYG67" TargetMode="External"/><Relationship Id="rId68" Type="http://schemas.openxmlformats.org/officeDocument/2006/relationships/hyperlink" Target="https://www.google.com/maps/place/Iglesia+de+Dios+Ministerial+de+Jesucristo+Internacional+-+IDMJI+-+CGMJI+BTA+EL+OLIVO/@4.6215697,-74.1649254,3a,75y,316.96h,90t/data=!3m7!1e1!3m5!1sJwIftdN6Rl-LMLqtdi_3Nw!2e0!6shttps:%2F%2Fstreetviewpixels-pa.googleapis.com%2Fv1%2Fthumbnail%3Fcb_client%3Dmaps_sv.tactile%26w%3D900%26h%3D600%26pitch%3D0%26panoid%3DJwIftdN6Rl-LMLqtdi_3Nw%26yaw%3D316.9615!7i16384!8i8192!4m10!1m2!2m1!1sidmji+kennedy!3m6!1s0x8e3f9e842a6a8335:0xe8f39c19a9ab6da3!8m2!3d4.6216536!4d-74.1650013!15sCg1pZG1qaSBrZW5uZWR5IgOIAQGSARBjaHJpc3RpYW5fY2h1cmNo4AEA!16s%2Fg%2F1tdksvtw?entry=ttu&amp;g_ep=EgoyMDI2MDEyOC4wIKXMDSoASAFQAw%3D%3D" TargetMode="External"/><Relationship Id="rId23" Type="http://schemas.openxmlformats.org/officeDocument/2006/relationships/hyperlink" Target="https://maps.app.goo.gl/L7WTUHHDCAwqR5Z87" TargetMode="External"/><Relationship Id="rId67" Type="http://schemas.openxmlformats.org/officeDocument/2006/relationships/hyperlink" Target="https://www.google.com/maps/place/Restaurante+y+Piqueteadero+Don+Jorge/@4.6174935,-74.1638475,3a,75y,70.5h,90t/data=!3m7!1e1!3m5!1sA-86IPQE2qnpsRBlxjE1rA!2e0!6shttps:%2F%2Fstreetviewpixels-pa.googleapis.com%2Fv1%2Fthumbnail%3Fcb_client%3Dmaps_sv.tactile%26w%3D900%26h%3D600%26pitch%3D0%26panoid%3DA-86IPQE2qnpsRBlxjE1rA%26yaw%3D70.49593!7i16384!8i8192!4m14!1m7!3m6!1s0x8e3f9e8f3f9f6d89:0xa4f20f88ccc7423c!2sRestaurante+y+Piqueteadero+Don+Jorge!8m2!3d4.617527!4d-74.1637425!16s%2Fg%2F1q5bnjdf6!3m5!1s0x8e3f9e8f3f9f6d89:0xa4f20f88ccc7423c!8m2!3d4.617527!4d-74.1637425!16s%2Fg%2F1q5bnjdf6?entry=ttu&amp;g_ep=EgoyMDI2MDEyOC4wIKXMDSoASAFQAw%3D%3D" TargetMode="External"/><Relationship Id="rId60" Type="http://schemas.openxmlformats.org/officeDocument/2006/relationships/hyperlink" Target="https://maps.app.goo.gl/aGBx2P51EGsbTbt19" TargetMode="External"/><Relationship Id="rId26" Type="http://schemas.openxmlformats.org/officeDocument/2006/relationships/hyperlink" Target="https://www.google.com/maps?q=4.614135243,-74.17617048" TargetMode="External"/><Relationship Id="rId25" Type="http://schemas.openxmlformats.org/officeDocument/2006/relationships/hyperlink" Target="https://maps.app.goo.gl/KnubUPfDcHNqzmx5A" TargetMode="External"/><Relationship Id="rId69" Type="http://schemas.openxmlformats.org/officeDocument/2006/relationships/hyperlink" Target="https://maps.app.goo.gl/1KebB9j3ZXbtfCe99" TargetMode="External"/><Relationship Id="rId28" Type="http://schemas.openxmlformats.org/officeDocument/2006/relationships/hyperlink" Target="https://www.google.com/maps/@4.643407,-74.165419,3a,75y,276.93h,87.2t/data=!3m7!1e1!3m5!1s_zx3abQgk9whm3wZQIl9RA!2e0!6shttps:%2F%2Fstreetviewpixels-pa.googleapis.com%2Fv1%2Fthumbnail%3Fcb_client%3Dmaps_sv.tactile%26w%3D900%26h%3D600%26pitch%3D2.8031195662346704%26panoid%3D_zx3abQgk9whm3wZQIl9RA%26yaw%3D276.92928112065755!7i16384!8i8192?entry=ttu&amp;g_ep=EgoyMDI2MDEwNy4wIKXMDSoASAFQAw%3D%3D" TargetMode="External"/><Relationship Id="rId27" Type="http://schemas.openxmlformats.org/officeDocument/2006/relationships/hyperlink" Target="https://maps.app.goo.gl/aGBx2P51EGsbTbt19" TargetMode="External"/><Relationship Id="rId29" Type="http://schemas.openxmlformats.org/officeDocument/2006/relationships/hyperlink" Target="https://www.google.com/maps/@4.6473158,-74.1676827,3a,75y,215.87h,79.72t/data=!3m7!1e1!3m5!1sL-INdquaOGG3IsrmzWzolw!2e0!6shttps:%2F%2Fstreetviewpixels-pa.googleapis.com%2Fv1%2Fthumbnail%3Fcb_client%3Dmaps_sv.tactile%26w%3D900%26h%3D600%26pitch%3D10.282519976709054%26panoid%3DL-INdquaOGG3IsrmzWzolw%26yaw%3D215.86822430098266!7i16384!8i8192?entry=ttu&amp;g_ep=EgoyMDI1MTIwOS4wIKXMDSoASAFQAw%3D%3D" TargetMode="External"/><Relationship Id="rId51" Type="http://schemas.openxmlformats.org/officeDocument/2006/relationships/hyperlink" Target="https://maps.app.goo.gl/JSxrPgzNoZP8dazP6" TargetMode="External"/><Relationship Id="rId50" Type="http://schemas.openxmlformats.org/officeDocument/2006/relationships/hyperlink" Target="https://maps.app.goo.gl/t1EZ8Ds19F9NQ2FZ7" TargetMode="External"/><Relationship Id="rId53" Type="http://schemas.openxmlformats.org/officeDocument/2006/relationships/hyperlink" Target="https://maps.app.goo.gl/WVMzAxVeqE5J4Yyo6" TargetMode="External"/><Relationship Id="rId52" Type="http://schemas.openxmlformats.org/officeDocument/2006/relationships/hyperlink" Target="https://maps.app.goo.gl/8XDAgEpW3qmTAY6o8" TargetMode="External"/><Relationship Id="rId11" Type="http://schemas.openxmlformats.org/officeDocument/2006/relationships/hyperlink" Target="https://maps.app.goo.gl/VxzbReTCnYvUc91L7" TargetMode="External"/><Relationship Id="rId55" Type="http://schemas.openxmlformats.org/officeDocument/2006/relationships/hyperlink" Target="https://www.google.com/maps?q=4.614135243,-74.17617048" TargetMode="External"/><Relationship Id="rId10" Type="http://schemas.openxmlformats.org/officeDocument/2006/relationships/hyperlink" Target="https://maps.app.goo.gl/xS5efNYhdefHghuv9" TargetMode="External"/><Relationship Id="rId54" Type="http://schemas.openxmlformats.org/officeDocument/2006/relationships/hyperlink" Target="https://maps.app.goo.gl/d1vwx5sg4Fe3bHqr9" TargetMode="External"/><Relationship Id="rId13" Type="http://schemas.openxmlformats.org/officeDocument/2006/relationships/hyperlink" Target="http://google.com/maps/place/Iglesia+De+Dios+Ministerial+De+Jesucristo+Internacional+-+IDMJI+-CARVAJAL/@4.6162521,-74.1430179,17z/data=!3m1!4b1!4m6!3m5!1s0x8e3f9ebb73ed00eb:0x84ff2c16af65e299!8m2!3d4.6162468!4d-74.140443!16s%2Fg%2F1ptwb97lz?entry=ttu&amp;g_ep=EgoyMDI1MTEyMy4xIKXMDSoASAFQAw%3D%3D" TargetMode="External"/><Relationship Id="rId57" Type="http://schemas.openxmlformats.org/officeDocument/2006/relationships/hyperlink" Target="https://maps.app.goo.gl/1rW3gNnmxuUEsaT56" TargetMode="External"/><Relationship Id="rId12" Type="http://schemas.openxmlformats.org/officeDocument/2006/relationships/hyperlink" Target="https://maps.app.goo.gl/gc1LMZ72Lqdxi2nT6" TargetMode="External"/><Relationship Id="rId56" Type="http://schemas.openxmlformats.org/officeDocument/2006/relationships/hyperlink" Target="https://maps.app.goo.gl/aGBx2P51EGsbTbt19" TargetMode="External"/><Relationship Id="rId15" Type="http://schemas.openxmlformats.org/officeDocument/2006/relationships/hyperlink" Target="http://google.com/maps/place/Iglesia+de+Dios+Ministerial+de+Jesucristo+Internacional+-+IDMJI+-+CGMJI+BTA+EL+OLIVO/@4.6215758,-74.164928,3a,75y,316.8h,90t/data=!3m7!1e1!3m5!1sJwIftdN6Rl-LMLqtdi_3Nw!2e0!6shttps:%2F%2Fstreetviewpixels-pa.googleapis.com%2Fv1%2Fthumbnail%3Fcb_client%3Dmaps_sv.tactile%26w%3D900%26h%3D600%26pitch%3D0%26panoid%3DJwIftdN6Rl-LMLqtdi_3Nw%26yaw%3D316.80283!7i16384!8i8192!4m14!1m7!3m6!1s0x8e3f9e842a6a8335:0xe8f39c19a9ab6da3!2sIglesia+de+Dios+Ministerial+de+Jesucristo+Internacional+-+IDMJI+-+CGMJI+BTA+EL+OLIVO!8m2!3d4.6216536!4d-74.1650013!16s%2Fg%2F1tdksvtw!3m5!1s0x8e3f9e842a6a8335:0xe8f39c19a9ab6da3!8m2!3d4.6216536!4d-74.1650013!16s%2Fg%2F1tdksvtw?entry=ttu&amp;g_ep=EgoyMDI1MTEwOS4wIKXMDSoASAFQAw%3D%3D" TargetMode="External"/><Relationship Id="rId59" Type="http://schemas.openxmlformats.org/officeDocument/2006/relationships/hyperlink" Target="https://maps.app.goo.gl/QCEJXrLWdmR4Tz8x6" TargetMode="External"/><Relationship Id="rId14" Type="http://schemas.openxmlformats.org/officeDocument/2006/relationships/hyperlink" Target="http://google.com/maps/place/Iglesia+de+Dios+Ministerial+de+Jesucristo+Internacional+-+IDMJI+-+CGMJI+BTA+EL+OLIVO/@4.6215758,-74.164928,3a,75y,316.8h,90t/data=!3m7!1e1!3m5!1sJwIftdN6Rl-LMLqtdi_3Nw!2e0!6shttps:%2F%2Fstreetviewpixels-pa.googleapis.com%2Fv1%2Fthumbnail%3Fcb_client%3Dmaps_sv.tactile%26w%3D900%26h%3D600%26pitch%3D0%26panoid%3DJwIftdN6Rl-LMLqtdi_3Nw%26yaw%3D316.80283!7i16384!8i8192!4m14!1m7!3m6!1s0x8e3f9e842a6a8335:0xe8f39c19a9ab6da3!2sIglesia+de+Dios+Ministerial+de+Jesucristo+Internacional+-+IDMJI+-+CGMJI+BTA+EL+OLIVO!8m2!3d4.6216536!4d-74.1650013!16s%2Fg%2F1tdksvtw!3m5!1s0x8e3f9e842a6a8335:0xe8f39c19a9ab6da3!8m2!3d4.6216536!4d-74.1650013!16s%2Fg%2F1tdksvtw?entry=ttu&amp;g_ep=EgoyMDI1MTEwOS4wIKXMDSoASAFQAw%3D%3D" TargetMode="External"/><Relationship Id="rId58" Type="http://schemas.openxmlformats.org/officeDocument/2006/relationships/hyperlink" Target="https://www.google.com/maps/place/Sal%C3%B3n+comunal+barrio+ciudad+granada/@4.6420065,-74.1720249,3a,75y,72.47h,80.3t/data=!3m7!1e1!3m5!1sRBbyxs1JKhMDCNWVVWGwJw!2e0!6shttps:%2F%2Fstreetviewpixels-pa.googleapis.com%2Fv1%2Fthumbnail%3Fcb_client%3Dmaps_sv.tactile%26w%3D900%26h%3D600%26pitch%3D9.69712405910603%26panoid%3DRBbyxs1JKhMDCNWVVWGwJw%26yaw%3D72.46767932186751!7i16384!8i8192!4m6!3m5!1s0x8e3f9dcb60b081ef:0x7b579bf0f00710f4!8m2!3d4.6433739!4d-74.1717385!16s%2Fg%2F11d_wwmg4k?entry=ttu&amp;g_ep=EgoyMDI2MDEyMS4wIKXMDSoASAFQAw%3D%3D" TargetMode="External"/><Relationship Id="rId17" Type="http://schemas.openxmlformats.org/officeDocument/2006/relationships/hyperlink" Target="https://www.google.com/maps/place/IDMJI+Class+Roma/@4.6141834,-74.1760423,3a,75y,329.85h,84.86t/data=!3m7!1e1!3m5!1s_5pKrbVhz2n3AEOMoun0Lg!2e0!6shttps:%2F%2Fstreetviewpixels-pa.googleapis.com%2Fv1%2Fthumbnail%3Fcb_client%3Dmaps_sv.tactile%26w%3D900%26h%3D600%26pitch%3D5.144541014976355%26panoid%3D_5pKrbVhz2n3AEOMoun0Lg%26yaw%3D329.8452991252842!7i16384!8i8192!4m14!1m7!3m6!1s0x8e3f9f3434c2710b:0x65030ca5b65a340e!2sIDMJI+Class+Roma!8m2!3d4.6142421!4d-74.1762168!16s%2Fg%2F11fq5t0q39!3m5!1s0x8e3f9f3434c2710b:0x65030ca5b65a340e!8m2!3d4.6142421!4d-74.1762168!16s%2Fg%2F11fq5t0q39?entry=ttu&amp;g_ep=EgoyMDI1MTEyMy4xIKXMDSoASAFQAw%3D%3D" TargetMode="External"/><Relationship Id="rId16" Type="http://schemas.openxmlformats.org/officeDocument/2006/relationships/hyperlink" Target="https://www.google.com/maps/place/IDMJI+Class+Roma/@4.6141834,-74.1760423,3a,75y,329.85h,84.86t/data=!3m7!1e1!3m5!1s_5pKrbVhz2n3AEOMoun0Lg!2e0!6shttps:%2F%2Fstreetviewpixels-pa.googleapis.com%2Fv1%2Fthumbnail%3Fcb_client%3Dmaps_sv.tactile%26w%3D900%26h%3D600%26pitch%3D5.144541014976355%26panoid%3D_5pKrbVhz2n3AEOMoun0Lg%26yaw%3D329.8452991252842!7i16384!8i8192!4m14!1m7!3m6!1s0x8e3f9f3434c2710b:0x65030ca5b65a340e!2sIDMJI+Class+Roma!8m2!3d4.6142421!4d-74.1762168!16s%2Fg%2F11fq5t0q39!3m5!1s0x8e3f9f3434c2710b:0x65030ca5b65a340e!8m2!3d4.6142421!4d-74.1762168!16s%2Fg%2F11fq5t0q39?entry=ttu&amp;g_ep=EgoyMDI1MTEyMy4xIKXMDSoASAFQAw%3D%3D" TargetMode="External"/><Relationship Id="rId19" Type="http://schemas.openxmlformats.org/officeDocument/2006/relationships/hyperlink" Target="https://maps.app.goo.gl/B7Vvnj17Ra5gpNUL9" TargetMode="External"/><Relationship Id="rId18" Type="http://schemas.openxmlformats.org/officeDocument/2006/relationships/hyperlink" Target="https://maps.app.goo.gl/B7Vvnj17Ra5gpNUL9"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drive/folders/1f7XlGh3bHxDqq5t7GQ-qxy5mdkN3AoLf?usp=drive_link" TargetMode="External"/><Relationship Id="rId84" Type="http://schemas.openxmlformats.org/officeDocument/2006/relationships/hyperlink" Target="https://concejobogotagovco-my.sharepoint.com/:f:/g/personal/dasilvav_concejobogota_gov_co/IgAwOmFLgesURovxOT81nY_ZAfLhDMAYHXD4YwAjmvfuW3c?e=ZFQFkF" TargetMode="External"/><Relationship Id="rId83" Type="http://schemas.openxmlformats.org/officeDocument/2006/relationships/hyperlink" Target="https://concejobogotagovco-my.sharepoint.com/:f:/g/personal/dasilvav_concejobogota_gov_co/IgCFHdjZ7JckRJPlGmJMb414AQNYxWfDlFh2hlGaA36rQJM?e=OnhyPQ" TargetMode="External"/><Relationship Id="rId42" Type="http://schemas.openxmlformats.org/officeDocument/2006/relationships/hyperlink" Target="https://drive.google.com/drive/folders/1Kw6TaYZxiSRYG-VWgQf9jdbfz0k8KJKv" TargetMode="External"/><Relationship Id="rId86" Type="http://schemas.openxmlformats.org/officeDocument/2006/relationships/hyperlink" Target="https://concejobogotagovco-my.sharepoint.com/:f:/g/personal/dasilvav_concejobogota_gov_co/IgBGWlYe3G_USatWjY1QQmyBAbjPydgcZJagj-1u3erAx3s?e=quCofu" TargetMode="External"/><Relationship Id="rId41" Type="http://schemas.openxmlformats.org/officeDocument/2006/relationships/hyperlink" Target="https://drive.google.com/drive/folders/1TBAHT8XJSO9hTbm71DggQt6Ejf7q3hvf" TargetMode="External"/><Relationship Id="rId85" Type="http://schemas.openxmlformats.org/officeDocument/2006/relationships/hyperlink" Target="https://concejobogotagovco-my.sharepoint.com/:f:/g/personal/dasilvav_concejobogota_gov_co/IgDCg56ym37JR6H06AfqqvYMAX2qWm5oUtd8Jnq7ODh66-Y?e=XcFJNj" TargetMode="External"/><Relationship Id="rId44" Type="http://schemas.openxmlformats.org/officeDocument/2006/relationships/hyperlink" Target="https://drive.google.com/drive/folders/1AxH-8SkugHq98tUDmZEwq7UDTkkBCaqO" TargetMode="External"/><Relationship Id="rId88" Type="http://schemas.openxmlformats.org/officeDocument/2006/relationships/hyperlink" Target="https://concejobogotagovco-my.sharepoint.com/:f:/g/personal/dasilvav_concejobogota_gov_co/IgCCXdH8ofV8SrIudiVlrqycAV_PYHVsxJMVUJLtg352Lt0?e=89abAC" TargetMode="External"/><Relationship Id="rId43" Type="http://schemas.openxmlformats.org/officeDocument/2006/relationships/hyperlink" Target="https://drive.google.com/drive/folders/118GkXU8zW15mw6IniA9riLQpk-xsR5-I" TargetMode="External"/><Relationship Id="rId87" Type="http://schemas.openxmlformats.org/officeDocument/2006/relationships/hyperlink" Target="https://concejobogotagovco-my.sharepoint.com/:f:/g/personal/dasilvav_concejobogota_gov_co/IgDZdVtpbI0-QY7CrhZuRkvwAe3nlVzVvVO2WtkfHz4OFho?e=xhUedT" TargetMode="External"/><Relationship Id="rId46" Type="http://schemas.openxmlformats.org/officeDocument/2006/relationships/hyperlink" Target="https://drive.google.com/drive/folders/1vbhzH_V4LO9kjrSr3d1zuvaitNMR_9IO" TargetMode="External"/><Relationship Id="rId45" Type="http://schemas.openxmlformats.org/officeDocument/2006/relationships/hyperlink" Target="https://drive.google.com/drive/folders/1bt0YjTWRljZny9Og_JokwTkRXAthLHpn" TargetMode="External"/><Relationship Id="rId89" Type="http://schemas.openxmlformats.org/officeDocument/2006/relationships/hyperlink" Target="https://concejobogotagovco-my.sharepoint.com/:f:/g/personal/dasilvav_concejobogota_gov_co/IgDrIkJNPEy3RZZQwkunqJ1bAX5x64oXR56lzw5o48majlQ?e=W4ewlf" TargetMode="External"/><Relationship Id="rId80" Type="http://schemas.openxmlformats.org/officeDocument/2006/relationships/hyperlink" Target="https://concejobogotagovco-my.sharepoint.com/:f:/g/personal/dasilvav_concejobogota_gov_co/IgDTzt3-sSkwSpw8N2HF4rpnAf86_jsM5qvp_wqJWBtFH5Q?e=xAOrRD" TargetMode="External"/><Relationship Id="rId82" Type="http://schemas.openxmlformats.org/officeDocument/2006/relationships/hyperlink" Target="https://concejobogotagovco-my.sharepoint.com/:f:/g/personal/dasilvav_concejobogota_gov_co/IgAyrIyo-eCyRK1qpDm2X2eiAbmdoYAWu7-5mjkQvxrT1vQ?e=j5qJt1" TargetMode="External"/><Relationship Id="rId81" Type="http://schemas.openxmlformats.org/officeDocument/2006/relationships/hyperlink" Target="https://concejobogotagovco-my.sharepoint.com/:f:/g/personal/dasilvav_concejobogota_gov_co/IgAkdkJ4fdQNQKlHl59D410LAaJjq-rFP65aZ8Hd4anfpCw?e=nvNgC1" TargetMode="External"/><Relationship Id="rId1" Type="http://schemas.openxmlformats.org/officeDocument/2006/relationships/hyperlink" Target="https://drive.google.com/drive/folders/1HfZP4wSz0EUqTEoVmyQMDQbTdQVB2Bd2?usp=drive_link" TargetMode="External"/><Relationship Id="rId2" Type="http://schemas.openxmlformats.org/officeDocument/2006/relationships/hyperlink" Target="https://drive.google.com/drive/folders/14c1Ibf7pq5OC1ZzEagFkJLMGvD7otzZW?usp=drive_link" TargetMode="External"/><Relationship Id="rId3" Type="http://schemas.openxmlformats.org/officeDocument/2006/relationships/hyperlink" Target="https://drive.google.com/drive/folders/18BQFjR5WFNQHJKixgTJiQNIUK6CiVtiP" TargetMode="External"/><Relationship Id="rId4" Type="http://schemas.openxmlformats.org/officeDocument/2006/relationships/hyperlink" Target="https://drive.google.com/drive/folders/12HxK0xB5453jwOTcLRgYRGb3RwklfTRC?usp=drive_link" TargetMode="External"/><Relationship Id="rId9" Type="http://schemas.openxmlformats.org/officeDocument/2006/relationships/hyperlink" Target="https://drive.google.com/drive/folders/1HRDgYgJIsdWtqRqDL7svH2aZSgXvz69F?usp=drive_link" TargetMode="External"/><Relationship Id="rId48" Type="http://schemas.openxmlformats.org/officeDocument/2006/relationships/hyperlink" Target="https://drive.google.com/drive/folders/1VmfmGf8FE5c6ZjwwlsYk7FV1jBbTNAxq" TargetMode="External"/><Relationship Id="rId47" Type="http://schemas.openxmlformats.org/officeDocument/2006/relationships/hyperlink" Target="mailto:barrancoenrique15@gmail.com" TargetMode="External"/><Relationship Id="rId49" Type="http://schemas.openxmlformats.org/officeDocument/2006/relationships/hyperlink" Target="https://drive.google.com/drive/folders/1SExbjfjBAdOLnLNu6qeJeltUrMRyhklO" TargetMode="External"/><Relationship Id="rId5" Type="http://schemas.openxmlformats.org/officeDocument/2006/relationships/hyperlink" Target="https://drive.google.com/drive/folders/1rK3OgWTAt8IucmwiV91G_6QtbZgwp0ik?usp=drive_link" TargetMode="External"/><Relationship Id="rId6" Type="http://schemas.openxmlformats.org/officeDocument/2006/relationships/hyperlink" Target="https://drive.google.com/drive/folders/1rQpJ0m1UyUWwJd3xienEo-ZkpjI6B3mM?usp=drive_link" TargetMode="External"/><Relationship Id="rId7" Type="http://schemas.openxmlformats.org/officeDocument/2006/relationships/hyperlink" Target="https://drive.google.com/drive/folders/1s0U_yI0Ds-27VHUqTgepOto2P3fD7tes?usp=drive_link" TargetMode="External"/><Relationship Id="rId8" Type="http://schemas.openxmlformats.org/officeDocument/2006/relationships/hyperlink" Target="https://drive.google.com/drive/folders/1MQp_XXtCEvumtvBRsWZ8VcZTl_NTRdm1?usp=drive_link" TargetMode="External"/><Relationship Id="rId73" Type="http://schemas.openxmlformats.org/officeDocument/2006/relationships/hyperlink" Target="https://concejobogotagovco-my.sharepoint.com/:f:/g/personal/dasilvav_concejobogota_gov_co/IgBtriTKLS3dRYz4q3zpXtHpAXjnVCaT_6h3gzT9JYbT0jI?e=Pztl62" TargetMode="External"/><Relationship Id="rId72" Type="http://schemas.openxmlformats.org/officeDocument/2006/relationships/hyperlink" Target="https://concejobogotagovco-my.sharepoint.com/:f:/g/personal/dasilvav_concejobogota_gov_co/IgBjs9p4CGiORY9XBiaRfZqoAU7QAtYLS94hwzzPjDoOgKQ?e=KFQ7WH" TargetMode="External"/><Relationship Id="rId31" Type="http://schemas.openxmlformats.org/officeDocument/2006/relationships/hyperlink" Target="https://drive.google.com/drive/folders/1ArWnOcyofiJf5Fn6PmCR8G4mjXpQirjb" TargetMode="External"/><Relationship Id="rId75" Type="http://schemas.openxmlformats.org/officeDocument/2006/relationships/hyperlink" Target="https://concejobogotagovco-my.sharepoint.com/:f:/g/personal/dasilvav_concejobogota_gov_co/IgCLzHZT5B-fSI1J-Y2ACtQ0AaNWpAytNJVEKGo2AnKfRlY?e=b4FSZ4" TargetMode="External"/><Relationship Id="rId30" Type="http://schemas.openxmlformats.org/officeDocument/2006/relationships/hyperlink" Target="https://drive.google.com/drive/folders/1vTVJYbOcxL_gM2HNn6C2hXZoDjICQrq7" TargetMode="External"/><Relationship Id="rId74" Type="http://schemas.openxmlformats.org/officeDocument/2006/relationships/hyperlink" Target="https://concejobogotagovco-my.sharepoint.com/:f:/g/personal/dasilvav_concejobogota_gov_co/IgAlwlpfZADoRY_LnWkuc0ZfAc42_LLMHEtHVUjuFRBm7dk?e=epcv9j" TargetMode="External"/><Relationship Id="rId33" Type="http://schemas.openxmlformats.org/officeDocument/2006/relationships/hyperlink" Target="https://drive.google.com/drive/folders/1AhyeRElGA_vAX5YZVLfcS9M-iGFOLmdN" TargetMode="External"/><Relationship Id="rId77" Type="http://schemas.openxmlformats.org/officeDocument/2006/relationships/hyperlink" Target="https://concejobogotagovco-my.sharepoint.com/:f:/g/personal/dasilvav_concejobogota_gov_co/IgBy5VLMv5EoSonxOQ8RH1eRAdTvW2Q4WhLjodAPdXmkeGs?e=Kge92h" TargetMode="External"/><Relationship Id="rId32" Type="http://schemas.openxmlformats.org/officeDocument/2006/relationships/hyperlink" Target="https://drive.google.com/drive/folders/1z5A6X7dCHxMpMM3XOUxkfWj4LDgeHgUI" TargetMode="External"/><Relationship Id="rId76" Type="http://schemas.openxmlformats.org/officeDocument/2006/relationships/hyperlink" Target="https://concejobogotagovco-my.sharepoint.com/:f:/g/personal/dasilvav_concejobogota_gov_co/IgCVs_8cJ9z1SoHOPakn0kAjAYd51L0NKEpbjoWi3mIRDGg?e=IDKTuG" TargetMode="External"/><Relationship Id="rId35" Type="http://schemas.openxmlformats.org/officeDocument/2006/relationships/hyperlink" Target="https://drive.google.com/drive/folders/1vZt-YKkDopa5qwH5ByPTfANwK5m9PVBw?usp=drive_link" TargetMode="External"/><Relationship Id="rId79" Type="http://schemas.openxmlformats.org/officeDocument/2006/relationships/hyperlink" Target="https://concejobogotagovco-my.sharepoint.com/:f:/g/personal/dasilvav_concejobogota_gov_co/IgANIX3r8abqRJnXyhLBF8liAcerIKsaO_ygmx3yMI027o0?e=ndTO5x" TargetMode="External"/><Relationship Id="rId34" Type="http://schemas.openxmlformats.org/officeDocument/2006/relationships/hyperlink" Target="https://drive.google.com/drive/folders/1_wNq313WZ8w_0bruxDRoq9obwkkdvCjY?usp=drive_link" TargetMode="External"/><Relationship Id="rId78" Type="http://schemas.openxmlformats.org/officeDocument/2006/relationships/hyperlink" Target="https://concejobogotagovco-my.sharepoint.com/:f:/g/personal/dasilvav_concejobogota_gov_co/IgCoAb-RDYmLRKinndLlUMkrAdS5OXQ0y6cVZGUNNFUYYeY?e=8qlcJ3" TargetMode="External"/><Relationship Id="rId71" Type="http://schemas.openxmlformats.org/officeDocument/2006/relationships/hyperlink" Target="https://concejobogotagovco-my.sharepoint.com/:f:/g/personal/dasilvav_concejobogota_gov_co/IgC1ypUl_qgETqcT9LwlnReQAdWOimH19Tem5k4DlN4EwTA?e=DUTWCE" TargetMode="External"/><Relationship Id="rId70" Type="http://schemas.openxmlformats.org/officeDocument/2006/relationships/hyperlink" Target="https://concejobogotagovco-my.sharepoint.com/:f:/g/personal/dasilvav_concejobogota_gov_co/IgDQ4pjq2wxLSbnHbH9A6kxVATQxytkiTIKfqI_lcwOXxPQ?e=w2vuj5" TargetMode="External"/><Relationship Id="rId37" Type="http://schemas.openxmlformats.org/officeDocument/2006/relationships/hyperlink" Target="https://drive.google.com/drive/folders/1FbDo6LzziY9DN-_-Km9CPRh96T1lFsHL" TargetMode="External"/><Relationship Id="rId36" Type="http://schemas.openxmlformats.org/officeDocument/2006/relationships/hyperlink" Target="https://drive.google.com/drive/folders/1vZt-YKkDopa5qwH5ByPTfANwK5m9PVBw?usp=drive_link" TargetMode="External"/><Relationship Id="rId39" Type="http://schemas.openxmlformats.org/officeDocument/2006/relationships/hyperlink" Target="https://drive.google.com/drive/folders/1HH7Q9R1XvdYO__EuoSU33Ov5ReIOH8zQ?usp=drive_link" TargetMode="External"/><Relationship Id="rId38" Type="http://schemas.openxmlformats.org/officeDocument/2006/relationships/hyperlink" Target="https://drive.google.com/drive/folders/15YNMiXzXODbaToofnCBhzi1zrTjQrzAP" TargetMode="External"/><Relationship Id="rId62" Type="http://schemas.openxmlformats.org/officeDocument/2006/relationships/hyperlink" Target="https://drive.google.com/drive/folders/1aLB9m0VDbZ4Ja4ZsWj2JAUa2yoMjVD_L?usp=drive_link" TargetMode="External"/><Relationship Id="rId61" Type="http://schemas.openxmlformats.org/officeDocument/2006/relationships/hyperlink" Target="https://drive.google.com/drive/folders/1ghpqLmlVbVHpHpumakZLB1mUfrTotoXi?usp=sharing" TargetMode="External"/><Relationship Id="rId20" Type="http://schemas.openxmlformats.org/officeDocument/2006/relationships/hyperlink" Target="https://drive.google.com/drive/folders/1Se9kyRhqQn0PdzCeT9bGTDKicC-WbMux" TargetMode="External"/><Relationship Id="rId64" Type="http://schemas.openxmlformats.org/officeDocument/2006/relationships/hyperlink" Target="https://drive.google.com/drive/folders/1cK3YFXcNQJRAppmdS1dId1c5gTNs-DZg?usp=drive_link" TargetMode="External"/><Relationship Id="rId63" Type="http://schemas.openxmlformats.org/officeDocument/2006/relationships/hyperlink" Target="https://drive.google.com/drive/folders/1IBJes2U3xm2hQwb60dtRxB4cDjbw-Qwu?usp=drive_link" TargetMode="External"/><Relationship Id="rId22" Type="http://schemas.openxmlformats.org/officeDocument/2006/relationships/hyperlink" Target="https://drive.google.com/drive/folders/1Eai3yWwBvcNhA2CPed2K01hOJjfr9Sob?usp=drive_link" TargetMode="External"/><Relationship Id="rId66" Type="http://schemas.openxmlformats.org/officeDocument/2006/relationships/hyperlink" Target="https://drive.google.com/drive/folders/1HzTEtcX9mfPfVvJBjsPnaH1id_hbSd_V?usp=drive_link" TargetMode="External"/><Relationship Id="rId21" Type="http://schemas.openxmlformats.org/officeDocument/2006/relationships/hyperlink" Target="https://drive.google.com/drive/folders/1Z79CsITs5N3-zDp1lJwTQQ-lDR_pCwtG" TargetMode="External"/><Relationship Id="rId65" Type="http://schemas.openxmlformats.org/officeDocument/2006/relationships/hyperlink" Target="https://drive.google.com/drive/folders/1hbPKbM0TW2PfYLmxbRGXcPJpQ5kPlR1E?usp=drive_link" TargetMode="External"/><Relationship Id="rId24" Type="http://schemas.openxmlformats.org/officeDocument/2006/relationships/hyperlink" Target="https://drive.google.com/drive/folders/1Giq1kEz3b-PJSGxVH5PI4sjmFbh1Gxeb" TargetMode="External"/><Relationship Id="rId68" Type="http://schemas.openxmlformats.org/officeDocument/2006/relationships/hyperlink" Target="https://concejobogotagovco-my.sharepoint.com/:f:/g/personal/dasilvav_concejobogota_gov_co/IgC0tnwUxBIwT5gyS-esm48eAczxAycw8HG-CUeZxWWfGy4?e=QeOKS3" TargetMode="External"/><Relationship Id="rId23" Type="http://schemas.openxmlformats.org/officeDocument/2006/relationships/hyperlink" Target="https://drive.google.com/drive/folders/1YDBeoBX_vzUypVFT2b2th4X6PtMRNEJU?usp=drive_link" TargetMode="External"/><Relationship Id="rId67" Type="http://schemas.openxmlformats.org/officeDocument/2006/relationships/hyperlink" Target="https://concejobogotagovco-my.sharepoint.com/:f:/g/personal/dasilvav_concejobogota_gov_co/IgBNLWnDoMqcTpZmPAl8PzfUAURR0hHzBndc5n_scCxHy3U?e=6iZMXx" TargetMode="External"/><Relationship Id="rId60" Type="http://schemas.openxmlformats.org/officeDocument/2006/relationships/hyperlink" Target="https://drive.google.com/drive/folders/1FADqIqBC3xZLDWZAc0dQJS3rjsanMkiw" TargetMode="External"/><Relationship Id="rId26" Type="http://schemas.openxmlformats.org/officeDocument/2006/relationships/hyperlink" Target="https://drive.google.com/drive/folders/1NY6gn4goncGPurS9AufDd9Xc6-npLgNl?usp=drive_link" TargetMode="External"/><Relationship Id="rId25" Type="http://schemas.openxmlformats.org/officeDocument/2006/relationships/hyperlink" Target="https://drive.google.com/drive/folders/1MhS2DfWSsmiR1Lwy0nGYbpKIXIOGTvuf?usp=drive_link" TargetMode="External"/><Relationship Id="rId69" Type="http://schemas.openxmlformats.org/officeDocument/2006/relationships/hyperlink" Target="https://concejobogotagovco-my.sharepoint.com/:w:/g/personal/dasilvav_concejobogota_gov_co/IQAPx99GtEM3TKMUbYPZQP61AerdAKKGIUo0mhHgMFxXgNk?e=NeI5CZ" TargetMode="External"/><Relationship Id="rId28" Type="http://schemas.openxmlformats.org/officeDocument/2006/relationships/hyperlink" Target="https://drive.google.com/drive/folders/1w13EU8hHMi5E6EgAgHN4oL8w6E48LPOe?usp=drive_link" TargetMode="External"/><Relationship Id="rId27" Type="http://schemas.openxmlformats.org/officeDocument/2006/relationships/hyperlink" Target="https://drive.google.com/drive/folders/1BLNKtGzFgdGjeDWVLVP_Sl1ug-6nQdsa" TargetMode="External"/><Relationship Id="rId29" Type="http://schemas.openxmlformats.org/officeDocument/2006/relationships/hyperlink" Target="https://drive.google.com/drive/folders/1z_O_a82JDfzxZHlnWkayDjZkStBSk4ry" TargetMode="External"/><Relationship Id="rId51" Type="http://schemas.openxmlformats.org/officeDocument/2006/relationships/hyperlink" Target="https://drive.google.com/drive/folders/1t-VsHmxmJJZVGdEoxnQMG_F-ZTq32gkL" TargetMode="External"/><Relationship Id="rId50" Type="http://schemas.openxmlformats.org/officeDocument/2006/relationships/hyperlink" Target="https://drive.google.com/drive/folders/1bsXjTlhYYBTs7EyGSjrORlFQWkOUWuyD" TargetMode="External"/><Relationship Id="rId53" Type="http://schemas.openxmlformats.org/officeDocument/2006/relationships/hyperlink" Target="https://drive.google.com/drive/folders/1ke_a5jau2WZ-pq6qK-YQKBfZOP4HBE-O?usp=sharing" TargetMode="External"/><Relationship Id="rId52" Type="http://schemas.openxmlformats.org/officeDocument/2006/relationships/hyperlink" Target="https://drive.google.com/drive/folders/1AngTWZ-xE34Fp6kHDHDZChpf-AMykDto" TargetMode="External"/><Relationship Id="rId11" Type="http://schemas.openxmlformats.org/officeDocument/2006/relationships/hyperlink" Target="https://drive.google.com/drive/folders/1mDpyT1K6_B8mbECqN6j3N7aUHALpN3Eh?usp=drive_link" TargetMode="External"/><Relationship Id="rId55" Type="http://schemas.openxmlformats.org/officeDocument/2006/relationships/hyperlink" Target="https://drive.google.com/drive/folders/1C5jakiO9T7Z_nRFhet_1S59fRXPJORYV?usp=sharing" TargetMode="External"/><Relationship Id="rId10" Type="http://schemas.openxmlformats.org/officeDocument/2006/relationships/hyperlink" Target="https://drive.google.com/drive/folders/1po1QWX7ZuJCounPrRhwDp8xZtRWoK4YD" TargetMode="External"/><Relationship Id="rId54" Type="http://schemas.openxmlformats.org/officeDocument/2006/relationships/hyperlink" Target="https://drive.google.com/drive/folders/14ALOE546YMdSuuKBrI2q00nhwb9LC6-s?usp=sharing" TargetMode="External"/><Relationship Id="rId13" Type="http://schemas.openxmlformats.org/officeDocument/2006/relationships/hyperlink" Target="https://drive.google.com/drive/folders/1nOzQGiRbtnbLx0klnidiUitOciwhi_jh?usp=drive_link" TargetMode="External"/><Relationship Id="rId57" Type="http://schemas.openxmlformats.org/officeDocument/2006/relationships/hyperlink" Target="https://drive.google.com/drive/folders/15YrlfImX5FxcyQrt94GKb1NtnZ1dpp7C?usp=sharing" TargetMode="External"/><Relationship Id="rId12" Type="http://schemas.openxmlformats.org/officeDocument/2006/relationships/hyperlink" Target="https://drive.google.com/drive/folders/1XAuqnyO4SFQZ_U3EHORI-LmLdGqwLDK8?usp=drive_link" TargetMode="External"/><Relationship Id="rId56" Type="http://schemas.openxmlformats.org/officeDocument/2006/relationships/hyperlink" Target="https://drive.google.com/drive/folders/1eqbe08w56y9VvP25G3nQ9GaU_szS3V60?usp=sharing" TargetMode="External"/><Relationship Id="rId91" Type="http://schemas.openxmlformats.org/officeDocument/2006/relationships/drawing" Target="../drawings/drawing2.xml"/><Relationship Id="rId90" Type="http://schemas.openxmlformats.org/officeDocument/2006/relationships/hyperlink" Target="https://concejobogotagovco-my.sharepoint.com/:f:/g/personal/dasilvav_concejobogota_gov_co/IgB5jx0e8I84Q6c1Ebby6eOEAcoF3JnzlqL0syeaLSSII-g?e=crTfww" TargetMode="External"/><Relationship Id="rId15" Type="http://schemas.openxmlformats.org/officeDocument/2006/relationships/hyperlink" Target="https://drive.google.com/drive/folders/18z3bRJUK6f8_Dfc8p8LiOM8_ErwxA1qd?usp=drive_link" TargetMode="External"/><Relationship Id="rId59" Type="http://schemas.openxmlformats.org/officeDocument/2006/relationships/hyperlink" Target="https://drive.google.com/drive/folders/1miEAHMRklQ_HGpSfo95M-Q2Mr_2fpHOl?usp=sharing" TargetMode="External"/><Relationship Id="rId14" Type="http://schemas.openxmlformats.org/officeDocument/2006/relationships/hyperlink" Target="https://drive.google.com/drive/folders/1RzIQuL95NFaVzv_gn9tCtkWosuxK4CKE?usp=drive_link" TargetMode="External"/><Relationship Id="rId58" Type="http://schemas.openxmlformats.org/officeDocument/2006/relationships/hyperlink" Target="https://drive.google.com/drive/folders/1jMetsA1qDLtS_UVnHR21fRtvsHbKNnXb?usp=sharing" TargetMode="External"/><Relationship Id="rId17" Type="http://schemas.openxmlformats.org/officeDocument/2006/relationships/hyperlink" Target="https://drive.google.com/drive/folders/1vNYlXqZ0V1DKa8IxuygnOVhL6UohzinT?usp=drive_link" TargetMode="External"/><Relationship Id="rId16" Type="http://schemas.openxmlformats.org/officeDocument/2006/relationships/hyperlink" Target="https://drive.google.com/drive/folders/1JAYrKayjDXVWON-GjEoxZJklkFW7PMO0?usp=drive_link" TargetMode="External"/><Relationship Id="rId19" Type="http://schemas.openxmlformats.org/officeDocument/2006/relationships/hyperlink" Target="https://drive.google.com/drive/folders/1iJrlKeqk-R8Di9uQ9yQpbN6Ilmj8pQfG" TargetMode="External"/><Relationship Id="rId18" Type="http://schemas.openxmlformats.org/officeDocument/2006/relationships/hyperlink" Target="https://drive.google.com/drive/folders/19gSab0KVEtEjwCO_PgMLX4TZU_-V5hVR?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epresentantes.partidomira.com/representantes/comunitario/grid?InformeSearch%5Bnombre_gestion%5D=&amp;InformeSearch%5Bubicacion%5D=&amp;InformeSearch%5Bbarrio_solicitante%5D=&amp;InformeSearch%5Biglesia%5D=kennedy&amp;InformeSearch%5Btemas%5D=&amp;InformeSearch%5Bfecha%5D=&amp;InformeSearch%5Bestado%5D=&amp;InformeSearch%5Btiene_logros%5D=&amp;InformeSearch%5Btiene_representantes%5D=&amp;InformeSearch%5Bnumero_acciones%5D=&amp;InformeSearch%5Bsolicitante%5D=&amp;sort=fecha%2C-created_at"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google.com/maps/place/Iglesia+de+Dios+Ministerial+de+Jesucristo+Internacional+-+IDMJI+-+CGMJI+BTA+EL+OLIVO/@4.6215758,-74.164928,3a,75y,316.8h,90t/data=!3m7!1e1!3m5!1sJwIftdN6Rl-LMLqtdi_3Nw!2e0!6shttps:%2F%2Fstreetviewpixels-pa.googleapis.com%2Fv1%2Fthumbnail%3Fcb_client%3Dmaps_sv.tactile%26w%3D900%26h%3D600%26pitch%3D0%26panoid%3DJwIftdN6Rl-LMLqtdi_3Nw%26yaw%3D316.80283!7i16384!8i8192!4m14!1m7!3m6!1s0x8e3f9e842a6a8335:0xe8f39c19a9ab6da3!2sIglesia+de+Dios+Ministerial+de+Jesucristo+Internacional+-+IDMJI+-+CGMJI+BTA+EL+OLIVO!8m2!3d4.6216536!4d-74.1650013!16s%2Fg%2F1tdksvtw!3m5!1s0x8e3f9e842a6a8335:0xe8f39c19a9ab6da3!8m2!3d4.6216536!4d-74.1650013!16s%2Fg%2F1tdksvtw?entry=ttu&amp;g_ep=EgoyMDI1MTEwOS4wIKXMDSoASAFQAw%3D%3D" TargetMode="External"/><Relationship Id="rId2" Type="http://schemas.openxmlformats.org/officeDocument/2006/relationships/hyperlink" Target="http://google.com/maps/place/Iglesia+de+Dios+Ministerial+de+Jesucristo+Internacional+-+IDMJI+-+CGMJI+BTA+EL+OLIVO/@4.6215758,-74.164928,3a,75y,316.8h,90t/data=!3m7!1e1!3m5!1sJwIftdN6Rl-LMLqtdi_3Nw!2e0!6shttps:%2F%2Fstreetviewpixels-pa.googleapis.com%2Fv1%2Fthumbnail%3Fcb_client%3Dmaps_sv.tactile%26w%3D900%26h%3D600%26pitch%3D0%26panoid%3DJwIftdN6Rl-LMLqtdi_3Nw%26yaw%3D316.80283!7i16384!8i8192!4m14!1m7!3m6!1s0x8e3f9e842a6a8335:0xe8f39c19a9ab6da3!2sIglesia+de+Dios+Ministerial+de+Jesucristo+Internacional+-+IDMJI+-+CGMJI+BTA+EL+OLIVO!8m2!3d4.6216536!4d-74.1650013!16s%2Fg%2F1tdksvtw!3m5!1s0x8e3f9e842a6a8335:0xe8f39c19a9ab6da3!8m2!3d4.6216536!4d-74.1650013!16s%2Fg%2F1tdksvtw?entry=ttu&amp;g_ep=EgoyMDI1MTEwOS4wIKXMDSoASAFQAw%3D%3D" TargetMode="External"/><Relationship Id="rId3" Type="http://schemas.openxmlformats.org/officeDocument/2006/relationships/hyperlink" Target="http://google.com/maps/place/Iglesia+de+Dios+Ministerial+de+Jesucristo+Internacional+-+IDMJI+-+CGMJI+BTA+EL+OLIVO/@4.6215758,-74.164928,3a,75y,316.8h,90t/data=!3m7!1e1!3m5!1sJwIftdN6Rl-LMLqtdi_3Nw!2e0!6shttps:%2F%2Fstreetviewpixels-pa.googleapis.com%2Fv1%2Fthumbnail%3Fcb_client%3Dmaps_sv.tactile%26w%3D900%26h%3D600%26pitch%3D0%26panoid%3DJwIftdN6Rl-LMLqtdi_3Nw%26yaw%3D316.80283!7i16384!8i8192!4m14!1m7!3m6!1s0x8e3f9e842a6a8335:0xe8f39c19a9ab6da3!2sIglesia+de+Dios+Ministerial+de+Jesucristo+Internacional+-+IDMJI+-+CGMJI+BTA+EL+OLIVO!8m2!3d4.6216536!4d-74.1650013!16s%2Fg%2F1tdksvtw!3m5!1s0x8e3f9e842a6a8335:0xe8f39c19a9ab6da3!8m2!3d4.6216536!4d-74.1650013!16s%2Fg%2F1tdksvtw?entry=ttu&amp;g_ep=EgoyMDI1MTEwOS4wIKXMDSoASAFQAw%3D%3D" TargetMode="External"/><Relationship Id="rId4" Type="http://schemas.openxmlformats.org/officeDocument/2006/relationships/hyperlink" Target="http://google.com/maps/place/Iglesia+de+Dios+Ministerial+de+Jesucristo+Internacional+-+IDMJI+-+CGMJI+BTA+EL+OLIVO/@4.6215758,-74.164928,3a,75y,316.8h,90t/data=!3m7!1e1!3m5!1sJwIftdN6Rl-LMLqtdi_3Nw!2e0!6shttps:%2F%2Fstreetviewpixels-pa.googleapis.com%2Fv1%2Fthumbnail%3Fcb_client%3Dmaps_sv.tactile%26w%3D900%26h%3D600%26pitch%3D0%26panoid%3DJwIftdN6Rl-LMLqtdi_3Nw%26yaw%3D316.80283!7i16384!8i8192!4m14!1m7!3m6!1s0x8e3f9e842a6a8335:0xe8f39c19a9ab6da3!2sIglesia+de+Dios+Ministerial+de+Jesucristo+Internacional+-+IDMJI+-+CGMJI+BTA+EL+OLIVO!8m2!3d4.6216536!4d-74.1650013!16s%2Fg%2F1tdksvtw!3m5!1s0x8e3f9e842a6a8335:0xe8f39c19a9ab6da3!8m2!3d4.6216536!4d-74.1650013!16s%2Fg%2F1tdksvtw?entry=ttu&amp;g_ep=EgoyMDI1MTEwOS4wIKXMDSoASAFQAw%3D%3D" TargetMode="External"/><Relationship Id="rId9" Type="http://schemas.openxmlformats.org/officeDocument/2006/relationships/hyperlink" Target="http://google.com/maps/place/Iglesia+de+Dios+Ministerial+de+Jesucristo+Internacional+-+IDMJI+-+CGMJI+BTA+EL+OLIVO/@4.6215758,-74.164928,3a,75y,316.8h,90t/data=!3m7!1e1!3m5!1sJwIftdN6Rl-LMLqtdi_3Nw!2e0!6shttps:%2F%2Fstreetviewpixels-pa.googleapis.com%2Fv1%2Fthumbnail%3Fcb_client%3Dmaps_sv.tactile%26w%3D900%26h%3D600%26pitch%3D0%26panoid%3DJwIftdN6Rl-LMLqtdi_3Nw%26yaw%3D316.80283!7i16384!8i8192!4m14!1m7!3m6!1s0x8e3f9e842a6a8335:0xe8f39c19a9ab6da3!2sIglesia+de+Dios+Ministerial+de+Jesucristo+Internacional+-+IDMJI+-+CGMJI+BTA+EL+OLIVO!8m2!3d4.6216536!4d-74.1650013!16s%2Fg%2F1tdksvtw!3m5!1s0x8e3f9e842a6a8335:0xe8f39c19a9ab6da3!8m2!3d4.6216536!4d-74.1650013!16s%2Fg%2F1tdksvtw?entry=ttu&amp;g_ep=EgoyMDI1MTEwOS4wIKXMDSoASAFQAw%3D%3D" TargetMode="External"/><Relationship Id="rId5" Type="http://schemas.openxmlformats.org/officeDocument/2006/relationships/hyperlink" Target="https://www.google.com/maps/place/Iglesia+de+Dios+Ministerial+de+Jesucristo+Internacional+-+IDMJI+-+CGMJI+BGT+PATIO+BONITO/@4.6459614,-74.1729512,3a,75y,2.26h,90t/data=!3m7!1e1!3m5!1sM3OspZ9UMH1_tuM0OG22Nw!2e0!6shttps:%2F%2Fstreetviewpixels-pa.googleapis.com%2Fv1%2Fthumbnail%3Fcb_client%3Dmaps_sv.tactile%26w%3D900%26h%3D600%26pitch%3D0%26panoid%3DM3OspZ9UMH1_tuM0OG22Nw%26yaw%3D2.26188!7i16384!8i8192!4m14!1m7!3m6!1s0x8e3f9dcb205cea4b:0xc5b44d64b0ce5139!2sIglesia+de+Dios+Ministerial+de+Jesucristo+Internacional+-+IDMJI+-+CGMJI+BGT+PATIO+BONITO!8m2!3d4.6460354!4d-74.1729367!16s%2Fg%2F11c3j5dn0q!3m5!1s0x8e3f9dcb205cea4b:0xc5b44d64b0ce5139!8m2!3d4.6460354!4d-74.1729367!16s%2Fg%2F11c3j5dn0q?entry=ttu&amp;g_ep=EgoyMDI1MTEyMy4xIKXMDSoASAFQAw%3D%3D" TargetMode="External"/><Relationship Id="rId6" Type="http://schemas.openxmlformats.org/officeDocument/2006/relationships/hyperlink" Target="http://google.com/maps/place/Iglesia+de+Dios+Ministerial+de+Jesucristo+Internacional+-+IDMJI+-+CGMJI+BTA+EL+OLIVO/@4.6215758,-74.164928,3a,75y,316.8h,90t/data=!3m7!1e1!3m5!1sJwIftdN6Rl-LMLqtdi_3Nw!2e0!6shttps:%2F%2Fstreetviewpixels-pa.googleapis.com%2Fv1%2Fthumbnail%3Fcb_client%3Dmaps_sv.tactile%26w%3D900%26h%3D600%26pitch%3D0%26panoid%3DJwIftdN6Rl-LMLqtdi_3Nw%26yaw%3D316.80283!7i16384!8i8192!4m14!1m7!3m6!1s0x8e3f9e842a6a8335:0xe8f39c19a9ab6da3!2sIglesia+de+Dios+Ministerial+de+Jesucristo+Internacional+-+IDMJI+-+CGMJI+BTA+EL+OLIVO!8m2!3d4.6216536!4d-74.1650013!16s%2Fg%2F1tdksvtw!3m5!1s0x8e3f9e842a6a8335:0xe8f39c19a9ab6da3!8m2!3d4.6216536!4d-74.1650013!16s%2Fg%2F1tdksvtw?entry=ttu&amp;g_ep=EgoyMDI1MTEwOS4wIKXMDSoASAFQAw%3D%3D" TargetMode="External"/><Relationship Id="rId7" Type="http://schemas.openxmlformats.org/officeDocument/2006/relationships/hyperlink" Target="http://google.com/maps/place/Iglesia+de+Dios+Ministerial+de+Jesucristo+Internacional+-+IDMJI+-+CGMJI+BTA+EL+OLIVO/@4.6215758,-74.164928,3a,75y,316.8h,90t/data=!3m7!1e1!3m5!1sJwIftdN6Rl-LMLqtdi_3Nw!2e0!6shttps:%2F%2Fstreetviewpixels-pa.googleapis.com%2Fv1%2Fthumbnail%3Fcb_client%3Dmaps_sv.tactile%26w%3D900%26h%3D600%26pitch%3D0%26panoid%3DJwIftdN6Rl-LMLqtdi_3Nw%26yaw%3D316.80283!7i16384!8i8192!4m14!1m7!3m6!1s0x8e3f9e842a6a8335:0xe8f39c19a9ab6da3!2sIglesia+de+Dios+Ministerial+de+Jesucristo+Internacional+-+IDMJI+-+CGMJI+BTA+EL+OLIVO!8m2!3d4.6216536!4d-74.1650013!16s%2Fg%2F1tdksvtw!3m5!1s0x8e3f9e842a6a8335:0xe8f39c19a9ab6da3!8m2!3d4.6216536!4d-74.1650013!16s%2Fg%2F1tdksvtw?entry=ttu&amp;g_ep=EgoyMDI1MTEwOS4wIKXMDSoASAFQAw%3D%3D" TargetMode="External"/><Relationship Id="rId8" Type="http://schemas.openxmlformats.org/officeDocument/2006/relationships/hyperlink" Target="http://google.com/maps/place/Iglesia+de+Dios+Ministerial+de+Jesucristo+Internacional+-+IDMJI+-+CGMJI+BTA+EL+OLIVO/@4.6215758,-74.164928,3a,75y,316.8h,90t/data=!3m7!1e1!3m5!1sJwIftdN6Rl-LMLqtdi_3Nw!2e0!6shttps:%2F%2Fstreetviewpixels-pa.googleapis.com%2Fv1%2Fthumbnail%3Fcb_client%3Dmaps_sv.tactile%26w%3D900%26h%3D600%26pitch%3D0%26panoid%3DJwIftdN6Rl-LMLqtdi_3Nw%26yaw%3D316.80283!7i16384!8i8192!4m14!1m7!3m6!1s0x8e3f9e842a6a8335:0xe8f39c19a9ab6da3!2sIglesia+de+Dios+Ministerial+de+Jesucristo+Internacional+-+IDMJI+-+CGMJI+BTA+EL+OLIVO!8m2!3d4.6216536!4d-74.1650013!16s%2Fg%2F1tdksvtw!3m5!1s0x8e3f9e842a6a8335:0xe8f39c19a9ab6da3!8m2!3d4.6216536!4d-74.1650013!16s%2Fg%2F1tdksvtw?entry=ttu&amp;g_ep=EgoyMDI1MTEwOS4wIKXMDSoASAFQAw%3D%3D" TargetMode="External"/><Relationship Id="rId20" Type="http://schemas.openxmlformats.org/officeDocument/2006/relationships/hyperlink" Target="https://maps.app.goo.gl/wzGPBs1sjMTTAyZ29" TargetMode="External"/><Relationship Id="rId22" Type="http://schemas.openxmlformats.org/officeDocument/2006/relationships/hyperlink" Target="https://maps.app.goo.gl/vSWMtHstraS7geEn8" TargetMode="External"/><Relationship Id="rId21" Type="http://schemas.openxmlformats.org/officeDocument/2006/relationships/hyperlink" Target="https://maps.app.goo.gl/aSmy6cu3dtProg2x9" TargetMode="External"/><Relationship Id="rId24" Type="http://schemas.openxmlformats.org/officeDocument/2006/relationships/hyperlink" Target="https://www.google.com/maps/place/Centro+Comercial+Ciudad+Tintal/@4.6526255,-74.1602425,3a,75y,95.78h,90t/data=!3m7!1e1!3m5!1sUU8BXkWBym95F7Ob-RmGiQ!2e0!6shttps:%2F%2Fstreetviewpixels-pa.googleapis.com%2Fv1%2Fthumbnail%3Fcb_client%3Dmaps_sv.tactile%26w%3D900%26h%3D600%26pitch%3D0%26panoid%3DUU8BXkWBym95F7Ob-RmGiQ%26yaw%3D95.78156!7i16384!8i8192!4m14!1m7!3m6!1s0x8e3f9c48a6b9e475:0xb493c62a8721eed2!2sCentro+Comercial+Ciudad+Tintal!8m2!3d4.6525882!4d-74.1601199!16s%2Fg%2F1ptxhhfkq!3m5!1s0x8e3f9c48a6b9e475:0xb493c62a8721eed2!8m2!3d4.6525882!4d-74.1601199!16s%2Fg%2F1ptxhhfkq?entry=ttu&amp;g_ep=EgoyMDI2MDEyOC4wIKXMDSoASAFQAw%3D%3D" TargetMode="External"/><Relationship Id="rId23" Type="http://schemas.openxmlformats.org/officeDocument/2006/relationships/hyperlink" Target="https://maps.app.goo.gl/1MEcLnm21ZnJyyPQ7" TargetMode="External"/><Relationship Id="rId26" Type="http://schemas.openxmlformats.org/officeDocument/2006/relationships/drawing" Target="../drawings/drawing4.xml"/><Relationship Id="rId25" Type="http://schemas.openxmlformats.org/officeDocument/2006/relationships/hyperlink" Target="https://www.google.com/maps/place/Iglesia+De+Dios+Ministerial+De+Jesucristo+Internacional+-+IDMJI+-CARVAJAL/@4.6161268,-74.1403318,3a,75y,313.09h,90t/data=!3m7!1e1!3m5!1ssosNWnRPyjh6hBwSX61BIw!2e0!6shttps:%2F%2Fstreetviewpixels-pa.googleapis.com%2Fv1%2Fthumbnail%3Fcb_client%3Dmaps_sv.tactile%26w%3D900%26h%3D600%26pitch%3D0%26panoid%3DsosNWnRPyjh6hBwSX61BIw%26yaw%3D313.09277!7i16384!8i8192!4m14!1m7!3m6!1s0x8e3f9ebb73ed00eb:0x84ff2c16af65e299!2sIglesia+De+Dios+Ministerial+De+Jesucristo+Internacional+-+IDMJI+-CARVAJAL!8m2!3d4.6162468!4d-74.140443!16s%2Fg%2F1ptwb97lz!3m5!1s0x8e3f9ebb73ed00eb:0x84ff2c16af65e299!8m2!3d4.6162468!4d-74.140443!16s%2Fg%2F1ptwb97lz?entry=ttu&amp;g_ep=EgoyMDI2MDEyOC4wIKXMDSoASAFQAw%3D%3D" TargetMode="External"/><Relationship Id="rId11" Type="http://schemas.openxmlformats.org/officeDocument/2006/relationships/hyperlink" Target="https://www.google.com/maps/place/Centro+Social+Comunidad+Roma+4+1+sector/@4.6081099,-74.1723756,3a,75y,81.18h,90t/data=!3m7!1e1!3m5!1sZlWC1pSYaAhP2whTuJVRJg!2e0!6shttps:%2F%2Fstreetviewpixels-pa.googleapis.com%2Fv1%2Fthumbnail%3Fcb_client%3Dmaps_sv.tactile%26w%3D900%26h%3D600%26pitch%3D0%26panoid%3DZlWC1pSYaAhP2whTuJVRJg%26yaw%3D81.17883!7i16384!8i8192!4m10!1m2!2m1!1ssal%C3%B3n+comunal+de+roma+4+etapa+1+sector!3m6!1s0x8e3f9e5fea3ce405:0xbd10c76fe465d0cf!8m2!3d4.6081149!4d-74.1722805!15sCidzYWzDs24gY29tdW5hbCBkZSByb21hIDQgZXRhcGEgMSBzZWN0b3JaKSInc2Fsw7NuIGNvbXVuYWwgZGUgcm9tYSA0IGV0YXBhIDEgc2VjdG9ykgEQY29tbXVuaXR5X2NlbnRlcpoBI0NoWkRTVWhOTUc5blMwVk1NelIyVG5WaWJXWjZla1ZCRUFF4AEA-gEECAAQPA!16s%2Fg%2F1ptxxl3t2?entry=ttu&amp;g_ep=EgoyMDI1MTIwOS4wIKXMDSoASAFQAw%3D%3D" TargetMode="External"/><Relationship Id="rId10" Type="http://schemas.openxmlformats.org/officeDocument/2006/relationships/hyperlink" Target="https://www.google.com/maps/place/Cra.+90a+%23+4-55,+Bogot%C3%A1/@4.646679,-74.1623741,3a,75y,137.7h,90t/data=!3m7!1e1!3m5!1suWVL2SWJoVmDqNza0_56dA!2e0!6shttps:%2F%2Fstreetviewpixels-pa.googleapis.com%2Fv1%2Fthumbnail%3Fcb_client%3Dmaps_sv.tactile%26w%3D900%26h%3D600%26pitch%3D0%26panoid%3DuWVL2SWJoVmDqNza0_56dA%26yaw%3D137.7034!7i16384!8i8192!4m10!1m2!2m1!1sCarrera+90+a+%23+4+-+55!3m6!1s0x8e3f9c365233aeed:0x27e0a40c036847a2!8m2!3d4.6467299!4d-74.1624712!15sChVDYXJyZXJhIDkwIGEgIyA0IC0gNTWSAQpzdWJwcmVtaXNl4AEA!16s%2Fg%2F11t7njd0l3?entry=ttu&amp;g_ep=EgoyMDI1MTIwOS4wIKXMDSoASAFQAw%3D%3D" TargetMode="External"/><Relationship Id="rId13" Type="http://schemas.openxmlformats.org/officeDocument/2006/relationships/hyperlink" Target="https://www.google.com/maps/place/Corabastos+-+Central+de+Abastos+Nacional/@4.6308474,-74.1536847,3a,75y,355.5h,79.05t/data=!3m7!1e1!3m5!1sLHxcBIsBWE9b1IBd5mM12Q!2e0!6shttps:%2F%2Fstreetviewpixels-pa.googleapis.com%2Fv1%2Fthumbnail%3Fcb_client%3Dmaps_sv.tactile%26w%3D900%26h%3D600%26pitch%3D10.95431592800982%26panoid%3DLHxcBIsBWE9b1IBd5mM12Q%26yaw%3D355.503021920716!7i16384!8i8192!4m10!1m2!2m1!1scorabastos!3m6!1s0x8e3f9e832c0c7055:0xcbd1a812e6c3912d!8m2!3d4.6300314!4d-74.1592464!15sCgpjb3JhYmFzdG9zWgwiCmNvcmFiYXN0b3OSARFmcmVzaF9mb29kX21hcmtldJoBI0NoWkRTVWhOTUc5blMwVkpRMEZuU1VSS2FITTJMVU5CRUFF4AEA-gEECAAQSQ!16s%2Fg%2F11cm0pl6fq?entry=ttu&amp;g_ep=EgoyMDI1MTIwOS4wIKXMDSoASAFQAw%3D%3D" TargetMode="External"/><Relationship Id="rId12" Type="http://schemas.openxmlformats.org/officeDocument/2006/relationships/hyperlink" Target="https://www.google.com/maps/place/Parque+Maracan%C3%A1/@4.6175826,-74.1444726,3a,75y,72.45h,82.34t/data=!3m7!1e1!3m5!1sGkS9bosxBylOZRzEzDaVmQ!2e0!6shttps:%2F%2Fstreetviewpixels-pa.googleapis.com%2Fv1%2Fthumbnail%3Fcb_client%3Dmaps_sv.tactile%26w%3D900%26h%3D600%26pitch%3D7.660931717408033%26panoid%3DGkS9bosxBylOZRzEzDaVmQ%26yaw%3D72.45102116472239!7i16384!8i8192!4m14!1m7!3m6!1s0x8e3f9ebd1c23c2b7:0x94daa9c80824dddb!2sParque+Maracan%C3%A1!8m2!3d4.6168351!4d-74.144807!16s%2Fg%2F11c1rcptjz!3m5!1s0x8e3f9ebd1c23c2b7:0x94daa9c80824dddb!8m2!3d4.6168351!4d-74.144807!16s%2Fg%2F11c1rcptjz?entry=ttu&amp;g_ep=EgoyMDI1MTIwOS4wIKXMDSoASAFQAw%3D%3D" TargetMode="External"/><Relationship Id="rId15" Type="http://schemas.openxmlformats.org/officeDocument/2006/relationships/hyperlink" Target="https://maps.app.goo.gl/AKBVmaknkc7gUHqy9" TargetMode="External"/><Relationship Id="rId14" Type="http://schemas.openxmlformats.org/officeDocument/2006/relationships/hyperlink" Target="https://maps.app.goo.gl/uDVE47Pzcr3jdVTk8" TargetMode="External"/><Relationship Id="rId17" Type="http://schemas.openxmlformats.org/officeDocument/2006/relationships/hyperlink" Target="https://maps.app.goo.gl/T3EMr2fBAN8U5zAw7" TargetMode="External"/><Relationship Id="rId16" Type="http://schemas.openxmlformats.org/officeDocument/2006/relationships/hyperlink" Target="https://maps.app.goo.gl/zW5ureAC1BgBzS1U8" TargetMode="External"/><Relationship Id="rId19" Type="http://schemas.openxmlformats.org/officeDocument/2006/relationships/hyperlink" Target="https://maps.app.goo.gl/RqjsgZJyEmDciLBq6" TargetMode="External"/><Relationship Id="rId18" Type="http://schemas.openxmlformats.org/officeDocument/2006/relationships/hyperlink" Target="https://maps.app.goo.gl/FiNCRWcJA3pi2Z6S6"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maps.app.goo.gl/UiBexu9Axhn6zuEZ6" TargetMode="External"/><Relationship Id="rId42" Type="http://schemas.openxmlformats.org/officeDocument/2006/relationships/hyperlink" Target="https://maps.app.goo.gl/UiBexu9Axhn6zuEZ6" TargetMode="External"/><Relationship Id="rId41" Type="http://schemas.openxmlformats.org/officeDocument/2006/relationships/hyperlink" Target="https://maps.app.goo.gl/UiBexu9Axhn6zuEZ6" TargetMode="External"/><Relationship Id="rId44" Type="http://schemas.openxmlformats.org/officeDocument/2006/relationships/hyperlink" Target="https://maps.app.goo.gl/UiBexu9Axhn6zuEZ6" TargetMode="External"/><Relationship Id="rId43" Type="http://schemas.openxmlformats.org/officeDocument/2006/relationships/hyperlink" Target="https://maps.app.goo.gl/UiBexu9Axhn6zuEZ6" TargetMode="External"/><Relationship Id="rId46" Type="http://schemas.openxmlformats.org/officeDocument/2006/relationships/hyperlink" Target="https://maps.app.goo.gl/AVcgc4CWqhMvQAnX8" TargetMode="External"/><Relationship Id="rId45" Type="http://schemas.openxmlformats.org/officeDocument/2006/relationships/hyperlink" Target="https://maps.app.goo.gl/UiBexu9Axhn6zuEZ6" TargetMode="External"/><Relationship Id="rId1" Type="http://schemas.openxmlformats.org/officeDocument/2006/relationships/hyperlink" Target="https://maps.app.goo.gl/UiBexu9Axhn6zuEZ6" TargetMode="External"/><Relationship Id="rId2" Type="http://schemas.openxmlformats.org/officeDocument/2006/relationships/hyperlink" Target="https://maps.app.goo.gl/UiBexu9Axhn6zuEZ6" TargetMode="External"/><Relationship Id="rId3" Type="http://schemas.openxmlformats.org/officeDocument/2006/relationships/hyperlink" Target="https://maps.app.goo.gl/UiBexu9Axhn6zuEZ6" TargetMode="External"/><Relationship Id="rId4" Type="http://schemas.openxmlformats.org/officeDocument/2006/relationships/hyperlink" Target="https://maps.app.goo.gl/UiBexu9Axhn6zuEZ6" TargetMode="External"/><Relationship Id="rId9" Type="http://schemas.openxmlformats.org/officeDocument/2006/relationships/hyperlink" Target="https://maps.app.goo.gl/B7Vvnj17Ra5gpNUL9" TargetMode="External"/><Relationship Id="rId48" Type="http://schemas.openxmlformats.org/officeDocument/2006/relationships/drawing" Target="../drawings/drawing6.xml"/><Relationship Id="rId47" Type="http://schemas.openxmlformats.org/officeDocument/2006/relationships/hyperlink" Target="https://maps.app.goo.gl/MMSyTqmrbFrsqDpW7" TargetMode="External"/><Relationship Id="rId5" Type="http://schemas.openxmlformats.org/officeDocument/2006/relationships/hyperlink" Target="https://maps.app.goo.gl/UiBexu9Axhn6zuEZ6" TargetMode="External"/><Relationship Id="rId6" Type="http://schemas.openxmlformats.org/officeDocument/2006/relationships/hyperlink" Target="https://maps.app.goo.gl/UiBexu9Axhn6zuEZ6" TargetMode="External"/><Relationship Id="rId7" Type="http://schemas.openxmlformats.org/officeDocument/2006/relationships/hyperlink" Target="https://maps.app.goo.gl/9j3GGhx4THnQhm1N6" TargetMode="External"/><Relationship Id="rId8" Type="http://schemas.openxmlformats.org/officeDocument/2006/relationships/hyperlink" Target="https://maps.app.goo.gl/3r17ZACt9RpwC6Kr7" TargetMode="External"/><Relationship Id="rId31" Type="http://schemas.openxmlformats.org/officeDocument/2006/relationships/hyperlink" Target="https://maps.app.goo.gl/UiBexu9Axhn6zuEZ6" TargetMode="External"/><Relationship Id="rId30" Type="http://schemas.openxmlformats.org/officeDocument/2006/relationships/hyperlink" Target="https://maps.app.goo.gl/uDVE47Pzcr3jdVTk8" TargetMode="External"/><Relationship Id="rId33" Type="http://schemas.openxmlformats.org/officeDocument/2006/relationships/hyperlink" Target="https://maps.app.goo.gl/UiBexu9Axhn6zuEZ6" TargetMode="External"/><Relationship Id="rId32" Type="http://schemas.openxmlformats.org/officeDocument/2006/relationships/hyperlink" Target="https://maps.app.goo.gl/UiBexu9Axhn6zuEZ6" TargetMode="External"/><Relationship Id="rId35" Type="http://schemas.openxmlformats.org/officeDocument/2006/relationships/hyperlink" Target="https://maps.app.goo.gl/UiBexu9Axhn6zuEZ6" TargetMode="External"/><Relationship Id="rId34" Type="http://schemas.openxmlformats.org/officeDocument/2006/relationships/hyperlink" Target="https://maps.app.goo.gl/UiBexu9Axhn6zuEZ6" TargetMode="External"/><Relationship Id="rId37" Type="http://schemas.openxmlformats.org/officeDocument/2006/relationships/hyperlink" Target="https://maps.app.goo.gl/UiBexu9Axhn6zuEZ6" TargetMode="External"/><Relationship Id="rId36" Type="http://schemas.openxmlformats.org/officeDocument/2006/relationships/hyperlink" Target="https://maps.app.goo.gl/UiBexu9Axhn6zuEZ6" TargetMode="External"/><Relationship Id="rId39" Type="http://schemas.openxmlformats.org/officeDocument/2006/relationships/hyperlink" Target="https://maps.app.goo.gl/FiNCRWcJA3pi2Z6S6" TargetMode="External"/><Relationship Id="rId38" Type="http://schemas.openxmlformats.org/officeDocument/2006/relationships/hyperlink" Target="https://maps.app.goo.gl/UiBexu9Axhn6zuEZ6" TargetMode="External"/><Relationship Id="rId20" Type="http://schemas.openxmlformats.org/officeDocument/2006/relationships/hyperlink" Target="https://maps.app.goo.gl/UiBexu9Axhn6zuEZ6" TargetMode="External"/><Relationship Id="rId22" Type="http://schemas.openxmlformats.org/officeDocument/2006/relationships/hyperlink" Target="https://maps.app.goo.gl/UiBexu9Axhn6zuEZ6" TargetMode="External"/><Relationship Id="rId21" Type="http://schemas.openxmlformats.org/officeDocument/2006/relationships/hyperlink" Target="https://maps.app.goo.gl/UiBexu9Axhn6zuEZ6" TargetMode="External"/><Relationship Id="rId24" Type="http://schemas.openxmlformats.org/officeDocument/2006/relationships/hyperlink" Target="https://maps.app.goo.gl/UiBexu9Axhn6zuEZ6" TargetMode="External"/><Relationship Id="rId23" Type="http://schemas.openxmlformats.org/officeDocument/2006/relationships/hyperlink" Target="https://maps.app.goo.gl/UiBexu9Axhn6zuEZ6" TargetMode="External"/><Relationship Id="rId26" Type="http://schemas.openxmlformats.org/officeDocument/2006/relationships/hyperlink" Target="https://maps.app.goo.gl/UiBexu9Axhn6zuEZ6" TargetMode="External"/><Relationship Id="rId25" Type="http://schemas.openxmlformats.org/officeDocument/2006/relationships/hyperlink" Target="https://maps.app.goo.gl/UiBexu9Axhn6zuEZ6" TargetMode="External"/><Relationship Id="rId28" Type="http://schemas.openxmlformats.org/officeDocument/2006/relationships/hyperlink" Target="https://maps.app.goo.gl/UiBexu9Axhn6zuEZ6" TargetMode="External"/><Relationship Id="rId27" Type="http://schemas.openxmlformats.org/officeDocument/2006/relationships/hyperlink" Target="https://maps.app.goo.gl/UiBexu9Axhn6zuEZ6" TargetMode="External"/><Relationship Id="rId29" Type="http://schemas.openxmlformats.org/officeDocument/2006/relationships/hyperlink" Target="https://www.google.com/maps/place/Corabastos+-+Central+de+Abastos+Nacional/@4.6308474,-74.1536847,3a,75y,355.5h,79.05t/data=!3m7!1e1!3m5!1sLHxcBIsBWE9b1IBd5mM12Q!2e0!6shttps:%2F%2Fstreetviewpixels-pa.googleapis.com%2Fv1%2Fthumbnail%3Fcb_client%3Dmaps_sv.tactile%26w%3D900%26h%3D600%26pitch%3D10.95431592800982%26panoid%3DLHxcBIsBWE9b1IBd5mM12Q%26yaw%3D355.503021920716!7i16384!8i8192!4m10!1m2!2m1!1scorabastos!3m6!1s0x8e3f9e832c0c7055:0xcbd1a812e6c3912d!8m2!3d4.6300314!4d-74.1592464!15sCgpjb3JhYmFzdG9zWgwiCmNvcmFiYXN0b3OSARFmcmVzaF9mb29kX21hcmtldJoBI0NoWkRTVWhOTUc5blMwVkpRMEZuU1VSS2FITTJMVU5CRUFF4AEA-gEECAAQSQ!16s%2Fg%2F11cm0pl6fq?entry=ttu&amp;g_ep=EgoyMDI1MTIwOS4wIKXMDSoASAFQAw%3D%3D" TargetMode="External"/><Relationship Id="rId11" Type="http://schemas.openxmlformats.org/officeDocument/2006/relationships/hyperlink" Target="https://maps.app.goo.gl/UiBexu9Axhn6zuEZ6" TargetMode="External"/><Relationship Id="rId10" Type="http://schemas.openxmlformats.org/officeDocument/2006/relationships/hyperlink" Target="https://maps.app.goo.gl/UiBexu9Axhn6zuEZ6" TargetMode="External"/><Relationship Id="rId13" Type="http://schemas.openxmlformats.org/officeDocument/2006/relationships/hyperlink" Target="https://maps.app.goo.gl/UiBexu9Axhn6zuEZ6" TargetMode="External"/><Relationship Id="rId12" Type="http://schemas.openxmlformats.org/officeDocument/2006/relationships/hyperlink" Target="https://maps.app.goo.gl/UiBexu9Axhn6zuEZ6" TargetMode="External"/><Relationship Id="rId15" Type="http://schemas.openxmlformats.org/officeDocument/2006/relationships/hyperlink" Target="https://maps.app.goo.gl/UiBexu9Axhn6zuEZ6" TargetMode="External"/><Relationship Id="rId14" Type="http://schemas.openxmlformats.org/officeDocument/2006/relationships/hyperlink" Target="https://maps.app.goo.gl/UiBexu9Axhn6zuEZ6" TargetMode="External"/><Relationship Id="rId17" Type="http://schemas.openxmlformats.org/officeDocument/2006/relationships/hyperlink" Target="https://maps.app.goo.gl/UiBexu9Axhn6zuEZ6" TargetMode="External"/><Relationship Id="rId16" Type="http://schemas.openxmlformats.org/officeDocument/2006/relationships/hyperlink" Target="https://maps.app.goo.gl/UiBexu9Axhn6zuEZ6" TargetMode="External"/><Relationship Id="rId19" Type="http://schemas.openxmlformats.org/officeDocument/2006/relationships/hyperlink" Target="https://maps.app.goo.gl/UiBexu9Axhn6zuEZ6" TargetMode="External"/><Relationship Id="rId18" Type="http://schemas.openxmlformats.org/officeDocument/2006/relationships/hyperlink" Target="https://maps.app.goo.gl/UiBexu9Axhn6zuEZ6"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representantes.partidomira.com/representantes/comunitario/grid?InformeSearch%5Bnombre_gestion%5D=&amp;InformeSearch%5Bubicacion%5D=kennedy&amp;InformeSearch%5Bbarrio_solicitante%5D=&amp;InformeSearch%5Biglesia%5D=&amp;InformeSearch%5Btemas%5D=&amp;InformeSearch%5Bfecha%5D=&amp;InformeSearch%5Bestado%5D=&amp;InformeSearch%5Btiene_logros%5D=&amp;InformeSearch%5Btiene_representantes%5D=&amp;InformeSearch%5Bnumero_acciones%5D=&amp;InformeSearch%5Bsolicitante%5D=&amp;sort=fecha%2C-created_at" TargetMode="External"/><Relationship Id="rId2"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hidden="1" min="1" max="1" width="10.88"/>
    <col customWidth="1" hidden="1" min="2" max="2" width="14.5"/>
    <col customWidth="1" min="3" max="3" width="13.75"/>
    <col customWidth="1" min="5" max="5" width="14.88"/>
    <col customWidth="1" min="6" max="6" width="20.63"/>
    <col customWidth="1" min="10" max="10" width="33.75"/>
    <col customWidth="1" min="11" max="11" width="34.88"/>
    <col customWidth="1" min="12" max="12" width="16.25"/>
    <col customWidth="1" min="13" max="13" width="17.88"/>
    <col customWidth="1" min="14" max="14" width="17.75"/>
    <col customWidth="1" min="16" max="16" width="17.13"/>
    <col customWidth="1" min="17" max="17" width="14.75"/>
    <col customWidth="1" min="18" max="18" width="18.0"/>
  </cols>
  <sheetData>
    <row r="1" ht="55.5" customHeight="1">
      <c r="A1" s="1" t="s">
        <v>0</v>
      </c>
      <c r="B1" s="1" t="s">
        <v>1</v>
      </c>
      <c r="C1" s="2" t="s">
        <v>2</v>
      </c>
      <c r="D1" s="2" t="s">
        <v>3</v>
      </c>
      <c r="E1" s="2" t="s">
        <v>4</v>
      </c>
      <c r="F1" s="2" t="s">
        <v>5</v>
      </c>
      <c r="G1" s="1" t="s">
        <v>6</v>
      </c>
      <c r="H1" s="1" t="s">
        <v>7</v>
      </c>
      <c r="I1" s="1" t="s">
        <v>8</v>
      </c>
      <c r="J1" s="3" t="s">
        <v>9</v>
      </c>
      <c r="K1" s="4" t="s">
        <v>10</v>
      </c>
      <c r="L1" s="1" t="s">
        <v>11</v>
      </c>
      <c r="M1" s="1" t="s">
        <v>12</v>
      </c>
      <c r="N1" s="1" t="s">
        <v>13</v>
      </c>
      <c r="O1" s="1" t="s">
        <v>14</v>
      </c>
      <c r="P1" s="2" t="s">
        <v>15</v>
      </c>
      <c r="Q1" s="5" t="s">
        <v>16</v>
      </c>
      <c r="R1" s="5" t="s">
        <v>17</v>
      </c>
    </row>
    <row r="2">
      <c r="A2" s="6" t="s">
        <v>18</v>
      </c>
      <c r="B2" s="7" t="s">
        <v>19</v>
      </c>
      <c r="C2" s="8" t="s">
        <v>20</v>
      </c>
      <c r="D2" s="9" t="s">
        <v>21</v>
      </c>
      <c r="E2" s="10" t="s">
        <v>22</v>
      </c>
      <c r="F2" s="8" t="s">
        <v>23</v>
      </c>
      <c r="G2" s="11" t="s">
        <v>24</v>
      </c>
      <c r="H2" s="11" t="str">
        <f t="shared" ref="H2:H11" si="1">TEXT(I2,"dddd")</f>
        <v>lunes</v>
      </c>
      <c r="I2" s="12">
        <v>45999.0</v>
      </c>
      <c r="J2" s="13" t="s">
        <v>25</v>
      </c>
      <c r="K2" s="13"/>
      <c r="L2" s="14" t="s">
        <v>26</v>
      </c>
      <c r="M2" s="15"/>
      <c r="N2" s="16"/>
      <c r="O2" s="17"/>
      <c r="P2" s="18"/>
      <c r="Q2" s="19"/>
      <c r="R2" s="20"/>
    </row>
    <row r="3">
      <c r="A3" s="6" t="s">
        <v>18</v>
      </c>
      <c r="B3" s="7" t="s">
        <v>19</v>
      </c>
      <c r="C3" s="8" t="s">
        <v>27</v>
      </c>
      <c r="D3" s="9" t="s">
        <v>21</v>
      </c>
      <c r="E3" s="10" t="s">
        <v>22</v>
      </c>
      <c r="F3" s="8" t="s">
        <v>23</v>
      </c>
      <c r="G3" s="11" t="s">
        <v>24</v>
      </c>
      <c r="H3" s="11" t="str">
        <f t="shared" si="1"/>
        <v>lunes</v>
      </c>
      <c r="I3" s="12">
        <v>45999.0</v>
      </c>
      <c r="J3" s="13" t="s">
        <v>25</v>
      </c>
      <c r="K3" s="13"/>
      <c r="L3" s="14" t="s">
        <v>28</v>
      </c>
      <c r="M3" s="15"/>
      <c r="N3" s="16"/>
      <c r="O3" s="17"/>
      <c r="P3" s="18"/>
      <c r="Q3" s="19"/>
      <c r="R3" s="20"/>
    </row>
    <row r="4">
      <c r="A4" s="6" t="s">
        <v>18</v>
      </c>
      <c r="B4" s="7" t="s">
        <v>19</v>
      </c>
      <c r="C4" s="8" t="s">
        <v>29</v>
      </c>
      <c r="D4" s="9" t="s">
        <v>21</v>
      </c>
      <c r="E4" s="10" t="s">
        <v>22</v>
      </c>
      <c r="F4" s="8" t="s">
        <v>23</v>
      </c>
      <c r="G4" s="11" t="s">
        <v>24</v>
      </c>
      <c r="H4" s="11" t="str">
        <f t="shared" si="1"/>
        <v>lunes</v>
      </c>
      <c r="I4" s="12">
        <v>45999.0</v>
      </c>
      <c r="J4" s="13" t="s">
        <v>25</v>
      </c>
      <c r="K4" s="13"/>
      <c r="L4" s="14" t="s">
        <v>30</v>
      </c>
      <c r="M4" s="15"/>
      <c r="N4" s="16"/>
      <c r="O4" s="21"/>
      <c r="P4" s="18"/>
      <c r="Q4" s="19"/>
      <c r="R4" s="20"/>
    </row>
    <row r="5">
      <c r="A5" s="22" t="s">
        <v>18</v>
      </c>
      <c r="B5" s="23" t="s">
        <v>19</v>
      </c>
      <c r="C5" s="24" t="s">
        <v>29</v>
      </c>
      <c r="D5" s="25" t="s">
        <v>31</v>
      </c>
      <c r="E5" s="26" t="s">
        <v>32</v>
      </c>
      <c r="F5" s="24" t="s">
        <v>23</v>
      </c>
      <c r="G5" s="27" t="s">
        <v>24</v>
      </c>
      <c r="H5" s="27" t="str">
        <f t="shared" si="1"/>
        <v>jueves</v>
      </c>
      <c r="I5" s="28">
        <v>45995.0</v>
      </c>
      <c r="J5" s="29" t="s">
        <v>33</v>
      </c>
      <c r="K5" s="30" t="s">
        <v>33</v>
      </c>
      <c r="L5" s="31" t="s">
        <v>34</v>
      </c>
      <c r="M5" s="31" t="s">
        <v>34</v>
      </c>
      <c r="N5" s="29" t="s">
        <v>34</v>
      </c>
      <c r="O5" s="31" t="s">
        <v>34</v>
      </c>
      <c r="P5" s="32">
        <v>0.0</v>
      </c>
      <c r="Q5" s="33" t="s">
        <v>35</v>
      </c>
      <c r="R5" s="34"/>
    </row>
    <row r="6">
      <c r="A6" s="22" t="s">
        <v>18</v>
      </c>
      <c r="B6" s="23" t="s">
        <v>19</v>
      </c>
      <c r="C6" s="24" t="s">
        <v>20</v>
      </c>
      <c r="D6" s="25" t="s">
        <v>36</v>
      </c>
      <c r="E6" s="26" t="s">
        <v>32</v>
      </c>
      <c r="F6" s="24" t="s">
        <v>23</v>
      </c>
      <c r="G6" s="27" t="s">
        <v>24</v>
      </c>
      <c r="H6" s="27" t="str">
        <f t="shared" si="1"/>
        <v>jueves</v>
      </c>
      <c r="I6" s="28">
        <v>45995.0</v>
      </c>
      <c r="J6" s="29" t="s">
        <v>37</v>
      </c>
      <c r="K6" s="24" t="s">
        <v>37</v>
      </c>
      <c r="L6" s="31" t="s">
        <v>34</v>
      </c>
      <c r="M6" s="31" t="s">
        <v>34</v>
      </c>
      <c r="N6" s="29" t="s">
        <v>34</v>
      </c>
      <c r="O6" s="35" t="s">
        <v>34</v>
      </c>
      <c r="P6" s="32">
        <v>0.0</v>
      </c>
      <c r="Q6" s="33" t="s">
        <v>38</v>
      </c>
      <c r="R6" s="34"/>
    </row>
    <row r="7">
      <c r="A7" s="22" t="s">
        <v>18</v>
      </c>
      <c r="B7" s="23" t="s">
        <v>19</v>
      </c>
      <c r="C7" s="24" t="s">
        <v>39</v>
      </c>
      <c r="D7" s="25" t="s">
        <v>31</v>
      </c>
      <c r="E7" s="26" t="s">
        <v>32</v>
      </c>
      <c r="F7" s="24" t="s">
        <v>23</v>
      </c>
      <c r="G7" s="27" t="s">
        <v>24</v>
      </c>
      <c r="H7" s="27" t="str">
        <f t="shared" si="1"/>
        <v>martes</v>
      </c>
      <c r="I7" s="28">
        <v>46000.0</v>
      </c>
      <c r="J7" s="29" t="s">
        <v>40</v>
      </c>
      <c r="K7" s="24" t="s">
        <v>41</v>
      </c>
      <c r="L7" s="31" t="s">
        <v>34</v>
      </c>
      <c r="M7" s="31" t="s">
        <v>34</v>
      </c>
      <c r="N7" s="29" t="s">
        <v>34</v>
      </c>
      <c r="O7" s="35" t="s">
        <v>34</v>
      </c>
      <c r="P7" s="32">
        <v>0.0</v>
      </c>
      <c r="Q7" s="33" t="s">
        <v>42</v>
      </c>
      <c r="R7" s="34"/>
    </row>
    <row r="8">
      <c r="A8" s="36" t="s">
        <v>18</v>
      </c>
      <c r="B8" s="37" t="s">
        <v>19</v>
      </c>
      <c r="C8" s="38" t="s">
        <v>29</v>
      </c>
      <c r="D8" s="39" t="s">
        <v>43</v>
      </c>
      <c r="E8" s="40" t="s">
        <v>22</v>
      </c>
      <c r="F8" s="38" t="s">
        <v>23</v>
      </c>
      <c r="G8" s="41" t="s">
        <v>24</v>
      </c>
      <c r="H8" s="42" t="str">
        <f t="shared" si="1"/>
        <v>sábado</v>
      </c>
      <c r="I8" s="43">
        <v>46004.0</v>
      </c>
      <c r="J8" s="44" t="s">
        <v>44</v>
      </c>
      <c r="K8" s="45" t="s">
        <v>45</v>
      </c>
      <c r="L8" s="44" t="s">
        <v>46</v>
      </c>
      <c r="M8" s="46" t="s">
        <v>47</v>
      </c>
      <c r="N8" s="44" t="s">
        <v>48</v>
      </c>
      <c r="O8" s="44" t="s">
        <v>49</v>
      </c>
      <c r="P8" s="47">
        <v>25.0</v>
      </c>
      <c r="Q8" s="48" t="s">
        <v>50</v>
      </c>
      <c r="R8" s="49"/>
      <c r="S8" s="50"/>
      <c r="T8" s="50"/>
      <c r="U8" s="50"/>
      <c r="V8" s="50"/>
      <c r="W8" s="50"/>
      <c r="X8" s="50"/>
      <c r="Y8" s="50"/>
    </row>
    <row r="9">
      <c r="A9" s="51" t="s">
        <v>18</v>
      </c>
      <c r="B9" s="52" t="s">
        <v>19</v>
      </c>
      <c r="C9" s="45" t="s">
        <v>29</v>
      </c>
      <c r="D9" s="53" t="s">
        <v>51</v>
      </c>
      <c r="E9" s="54" t="s">
        <v>52</v>
      </c>
      <c r="F9" s="45" t="s">
        <v>53</v>
      </c>
      <c r="G9" s="55" t="s">
        <v>24</v>
      </c>
      <c r="H9" s="42" t="str">
        <f t="shared" si="1"/>
        <v>sábado</v>
      </c>
      <c r="I9" s="56">
        <v>46004.0</v>
      </c>
      <c r="J9" s="57" t="s">
        <v>54</v>
      </c>
      <c r="K9" s="57" t="s">
        <v>55</v>
      </c>
      <c r="L9" s="58" t="s">
        <v>56</v>
      </c>
      <c r="M9" s="59" t="s">
        <v>57</v>
      </c>
      <c r="N9" s="57" t="s">
        <v>58</v>
      </c>
      <c r="O9" s="57" t="s">
        <v>29</v>
      </c>
      <c r="P9" s="60"/>
      <c r="Q9" s="61" t="s">
        <v>35</v>
      </c>
      <c r="R9" s="62"/>
    </row>
    <row r="10">
      <c r="A10" s="51" t="s">
        <v>18</v>
      </c>
      <c r="B10" s="52" t="s">
        <v>19</v>
      </c>
      <c r="C10" s="45" t="s">
        <v>29</v>
      </c>
      <c r="D10" s="53" t="s">
        <v>59</v>
      </c>
      <c r="E10" s="54" t="s">
        <v>22</v>
      </c>
      <c r="F10" s="45" t="s">
        <v>23</v>
      </c>
      <c r="G10" s="55" t="s">
        <v>24</v>
      </c>
      <c r="H10" s="42" t="str">
        <f t="shared" si="1"/>
        <v>sábado</v>
      </c>
      <c r="I10" s="56">
        <v>46004.0</v>
      </c>
      <c r="J10" s="57" t="s">
        <v>60</v>
      </c>
      <c r="K10" s="57" t="s">
        <v>61</v>
      </c>
      <c r="L10" s="58" t="s">
        <v>62</v>
      </c>
      <c r="M10" s="59" t="s">
        <v>57</v>
      </c>
      <c r="N10" s="57" t="s">
        <v>58</v>
      </c>
      <c r="O10" s="57" t="s">
        <v>63</v>
      </c>
      <c r="P10" s="63">
        <v>30.0</v>
      </c>
      <c r="Q10" s="64" t="s">
        <v>64</v>
      </c>
      <c r="R10" s="62"/>
    </row>
    <row r="11">
      <c r="A11" s="65" t="s">
        <v>18</v>
      </c>
      <c r="B11" s="66" t="s">
        <v>19</v>
      </c>
      <c r="C11" s="67" t="s">
        <v>29</v>
      </c>
      <c r="D11" s="68" t="s">
        <v>65</v>
      </c>
      <c r="E11" s="69" t="s">
        <v>22</v>
      </c>
      <c r="F11" s="67" t="s">
        <v>23</v>
      </c>
      <c r="G11" s="70" t="s">
        <v>24</v>
      </c>
      <c r="H11" s="42" t="str">
        <f t="shared" si="1"/>
        <v>sábado</v>
      </c>
      <c r="I11" s="71">
        <v>46004.0</v>
      </c>
      <c r="J11" s="72" t="s">
        <v>66</v>
      </c>
      <c r="K11" s="73" t="s">
        <v>67</v>
      </c>
      <c r="L11" s="73" t="s">
        <v>68</v>
      </c>
      <c r="M11" s="74" t="s">
        <v>69</v>
      </c>
      <c r="N11" s="72" t="s">
        <v>70</v>
      </c>
      <c r="O11" s="67" t="s">
        <v>71</v>
      </c>
      <c r="P11" s="75">
        <v>20.0</v>
      </c>
      <c r="Q11" s="76" t="s">
        <v>72</v>
      </c>
      <c r="R11" s="77"/>
    </row>
    <row r="12">
      <c r="A12" s="78" t="s">
        <v>18</v>
      </c>
      <c r="B12" s="79" t="s">
        <v>19</v>
      </c>
      <c r="C12" s="80" t="s">
        <v>20</v>
      </c>
      <c r="D12" s="81" t="s">
        <v>73</v>
      </c>
      <c r="E12" s="82" t="s">
        <v>74</v>
      </c>
      <c r="F12" s="83" t="s">
        <v>75</v>
      </c>
      <c r="G12" s="84" t="s">
        <v>24</v>
      </c>
      <c r="H12" s="84" t="s">
        <v>76</v>
      </c>
      <c r="I12" s="85">
        <v>46005.0</v>
      </c>
      <c r="J12" s="86" t="s">
        <v>77</v>
      </c>
      <c r="K12" s="87"/>
      <c r="L12" s="88" t="s">
        <v>78</v>
      </c>
      <c r="M12" s="89" t="s">
        <v>79</v>
      </c>
      <c r="N12" s="90" t="s">
        <v>80</v>
      </c>
      <c r="O12" s="80"/>
      <c r="P12" s="91" t="s">
        <v>81</v>
      </c>
      <c r="Q12" s="92"/>
      <c r="R12" s="93"/>
    </row>
    <row r="13">
      <c r="A13" s="94" t="s">
        <v>18</v>
      </c>
      <c r="B13" s="95" t="s">
        <v>19</v>
      </c>
      <c r="C13" s="96" t="s">
        <v>20</v>
      </c>
      <c r="D13" s="81" t="s">
        <v>82</v>
      </c>
      <c r="E13" s="97" t="s">
        <v>74</v>
      </c>
      <c r="F13" s="98" t="s">
        <v>75</v>
      </c>
      <c r="G13" s="99" t="s">
        <v>24</v>
      </c>
      <c r="H13" s="100" t="s">
        <v>76</v>
      </c>
      <c r="I13" s="101">
        <v>46005.0</v>
      </c>
      <c r="J13" s="102" t="s">
        <v>77</v>
      </c>
      <c r="K13" s="103"/>
      <c r="L13" s="104" t="s">
        <v>78</v>
      </c>
      <c r="M13" s="105" t="s">
        <v>79</v>
      </c>
      <c r="N13" s="106" t="s">
        <v>80</v>
      </c>
      <c r="O13" s="107"/>
      <c r="P13" s="108" t="s">
        <v>81</v>
      </c>
      <c r="Q13" s="109"/>
      <c r="R13" s="110"/>
    </row>
    <row r="14">
      <c r="A14" s="94" t="s">
        <v>18</v>
      </c>
      <c r="B14" s="111" t="s">
        <v>19</v>
      </c>
      <c r="C14" s="112" t="s">
        <v>20</v>
      </c>
      <c r="D14" s="113" t="s">
        <v>83</v>
      </c>
      <c r="E14" s="112" t="s">
        <v>52</v>
      </c>
      <c r="F14" s="112" t="s">
        <v>53</v>
      </c>
      <c r="G14" s="113" t="s">
        <v>24</v>
      </c>
      <c r="H14" s="114" t="s">
        <v>76</v>
      </c>
      <c r="I14" s="115">
        <v>46005.0</v>
      </c>
      <c r="J14" s="112" t="s">
        <v>84</v>
      </c>
      <c r="K14" s="116" t="s">
        <v>53</v>
      </c>
      <c r="L14" s="116"/>
      <c r="M14" s="117"/>
      <c r="N14" s="118"/>
      <c r="O14" s="119" t="s">
        <v>85</v>
      </c>
      <c r="P14" s="120" t="s">
        <v>86</v>
      </c>
      <c r="Q14" s="120" t="s">
        <v>87</v>
      </c>
      <c r="R14" s="120" t="s">
        <v>86</v>
      </c>
    </row>
    <row r="15">
      <c r="A15" s="94" t="s">
        <v>18</v>
      </c>
      <c r="B15" s="95" t="s">
        <v>19</v>
      </c>
      <c r="C15" s="96" t="s">
        <v>20</v>
      </c>
      <c r="D15" s="81" t="s">
        <v>88</v>
      </c>
      <c r="E15" s="97" t="s">
        <v>22</v>
      </c>
      <c r="F15" s="98" t="s">
        <v>23</v>
      </c>
      <c r="G15" s="99" t="s">
        <v>24</v>
      </c>
      <c r="H15" s="100" t="s">
        <v>76</v>
      </c>
      <c r="I15" s="101">
        <v>46005.0</v>
      </c>
      <c r="J15" s="112" t="s">
        <v>89</v>
      </c>
      <c r="K15" s="104" t="s">
        <v>90</v>
      </c>
      <c r="L15" s="121" t="s">
        <v>91</v>
      </c>
      <c r="M15" s="122" t="s">
        <v>92</v>
      </c>
      <c r="N15" s="123"/>
      <c r="O15" s="119" t="s">
        <v>93</v>
      </c>
      <c r="P15" s="124">
        <v>40.0</v>
      </c>
      <c r="Q15" s="109"/>
      <c r="R15" s="110"/>
    </row>
    <row r="16">
      <c r="A16" s="125" t="s">
        <v>18</v>
      </c>
      <c r="B16" s="126" t="s">
        <v>19</v>
      </c>
      <c r="C16" s="127" t="s">
        <v>20</v>
      </c>
      <c r="D16" s="128" t="s">
        <v>94</v>
      </c>
      <c r="E16" s="129" t="s">
        <v>22</v>
      </c>
      <c r="F16" s="130" t="s">
        <v>23</v>
      </c>
      <c r="G16" s="131" t="s">
        <v>24</v>
      </c>
      <c r="H16" s="132" t="s">
        <v>76</v>
      </c>
      <c r="I16" s="133">
        <v>46005.0</v>
      </c>
      <c r="J16" s="112" t="s">
        <v>95</v>
      </c>
      <c r="K16" s="134" t="s">
        <v>96</v>
      </c>
      <c r="L16" s="134" t="s">
        <v>97</v>
      </c>
      <c r="M16" s="135" t="s">
        <v>98</v>
      </c>
      <c r="N16" s="136" t="s">
        <v>99</v>
      </c>
      <c r="O16" s="137" t="s">
        <v>100</v>
      </c>
      <c r="P16" s="138">
        <v>40.0</v>
      </c>
      <c r="Q16" s="139" t="s">
        <v>101</v>
      </c>
      <c r="R16" s="140"/>
    </row>
    <row r="17">
      <c r="A17" s="141" t="s">
        <v>18</v>
      </c>
      <c r="B17" s="142" t="s">
        <v>19</v>
      </c>
      <c r="C17" s="143" t="s">
        <v>39</v>
      </c>
      <c r="D17" s="144" t="s">
        <v>102</v>
      </c>
      <c r="E17" s="142" t="s">
        <v>103</v>
      </c>
      <c r="F17" s="143" t="s">
        <v>75</v>
      </c>
      <c r="G17" s="145" t="s">
        <v>24</v>
      </c>
      <c r="H17" s="146" t="s">
        <v>104</v>
      </c>
      <c r="I17" s="147">
        <v>46007.0</v>
      </c>
      <c r="J17" s="148" t="s">
        <v>105</v>
      </c>
      <c r="K17" s="148" t="s">
        <v>106</v>
      </c>
      <c r="L17" s="149" t="s">
        <v>107</v>
      </c>
      <c r="M17" s="150" t="s">
        <v>108</v>
      </c>
      <c r="N17" s="151" t="s">
        <v>109</v>
      </c>
      <c r="O17" s="152" t="s">
        <v>39</v>
      </c>
      <c r="P17" s="153"/>
      <c r="Q17" s="154" t="s">
        <v>110</v>
      </c>
      <c r="R17" s="155"/>
    </row>
    <row r="18">
      <c r="A18" s="51" t="s">
        <v>18</v>
      </c>
      <c r="B18" s="52" t="s">
        <v>19</v>
      </c>
      <c r="C18" s="45" t="s">
        <v>39</v>
      </c>
      <c r="D18" s="156" t="s">
        <v>21</v>
      </c>
      <c r="E18" s="40" t="s">
        <v>22</v>
      </c>
      <c r="F18" s="38" t="s">
        <v>23</v>
      </c>
      <c r="G18" s="53" t="s">
        <v>24</v>
      </c>
      <c r="H18" s="157" t="s">
        <v>104</v>
      </c>
      <c r="I18" s="56">
        <v>46007.0</v>
      </c>
      <c r="J18" s="158" t="s">
        <v>111</v>
      </c>
      <c r="K18" s="38" t="s">
        <v>112</v>
      </c>
      <c r="L18" s="38" t="s">
        <v>113</v>
      </c>
      <c r="M18" s="159" t="s">
        <v>114</v>
      </c>
      <c r="N18" s="44" t="s">
        <v>115</v>
      </c>
      <c r="O18" s="152" t="s">
        <v>39</v>
      </c>
      <c r="P18" s="153">
        <v>20.0</v>
      </c>
      <c r="Q18" s="160" t="s">
        <v>116</v>
      </c>
      <c r="R18" s="49"/>
    </row>
    <row r="19">
      <c r="A19" s="51" t="s">
        <v>18</v>
      </c>
      <c r="B19" s="52" t="s">
        <v>19</v>
      </c>
      <c r="C19" s="45" t="s">
        <v>39</v>
      </c>
      <c r="D19" s="161" t="s">
        <v>117</v>
      </c>
      <c r="E19" s="54" t="s">
        <v>52</v>
      </c>
      <c r="F19" s="45" t="s">
        <v>53</v>
      </c>
      <c r="G19" s="53" t="s">
        <v>24</v>
      </c>
      <c r="H19" s="157" t="s">
        <v>104</v>
      </c>
      <c r="I19" s="56">
        <v>46007.0</v>
      </c>
      <c r="J19" s="57" t="s">
        <v>118</v>
      </c>
      <c r="K19" s="38"/>
      <c r="L19" s="38"/>
      <c r="M19" s="38"/>
      <c r="N19" s="44"/>
      <c r="O19" s="162"/>
      <c r="P19" s="153"/>
      <c r="Q19" s="163"/>
      <c r="R19" s="62"/>
    </row>
    <row r="20">
      <c r="A20" s="51" t="s">
        <v>18</v>
      </c>
      <c r="B20" s="52" t="s">
        <v>19</v>
      </c>
      <c r="C20" s="45" t="s">
        <v>39</v>
      </c>
      <c r="D20" s="161" t="s">
        <v>119</v>
      </c>
      <c r="E20" s="54" t="s">
        <v>22</v>
      </c>
      <c r="F20" s="45" t="s">
        <v>23</v>
      </c>
      <c r="G20" s="53" t="s">
        <v>24</v>
      </c>
      <c r="H20" s="157" t="s">
        <v>104</v>
      </c>
      <c r="I20" s="56">
        <v>46007.0</v>
      </c>
      <c r="J20" s="57" t="s">
        <v>120</v>
      </c>
      <c r="K20" s="45" t="s">
        <v>121</v>
      </c>
      <c r="L20" s="45" t="s">
        <v>122</v>
      </c>
      <c r="M20" s="164" t="s">
        <v>123</v>
      </c>
      <c r="N20" s="57" t="s">
        <v>124</v>
      </c>
      <c r="O20" s="165" t="s">
        <v>125</v>
      </c>
      <c r="P20" s="153">
        <v>20.0</v>
      </c>
      <c r="Q20" s="166" t="s">
        <v>126</v>
      </c>
      <c r="R20" s="62"/>
    </row>
    <row r="21">
      <c r="A21" s="51" t="s">
        <v>18</v>
      </c>
      <c r="B21" s="52" t="s">
        <v>19</v>
      </c>
      <c r="C21" s="45" t="s">
        <v>39</v>
      </c>
      <c r="D21" s="167" t="s">
        <v>127</v>
      </c>
      <c r="E21" s="168" t="s">
        <v>22</v>
      </c>
      <c r="F21" s="169" t="s">
        <v>23</v>
      </c>
      <c r="G21" s="53" t="s">
        <v>24</v>
      </c>
      <c r="H21" s="157" t="s">
        <v>104</v>
      </c>
      <c r="I21" s="56">
        <v>46007.0</v>
      </c>
      <c r="J21" s="170" t="s">
        <v>128</v>
      </c>
      <c r="K21" s="38" t="s">
        <v>129</v>
      </c>
      <c r="L21" s="38" t="s">
        <v>130</v>
      </c>
      <c r="M21" s="171" t="s">
        <v>131</v>
      </c>
      <c r="N21" s="44" t="s">
        <v>132</v>
      </c>
      <c r="O21" s="165" t="s">
        <v>133</v>
      </c>
      <c r="P21" s="153">
        <v>20.0</v>
      </c>
      <c r="Q21" s="172" t="s">
        <v>134</v>
      </c>
      <c r="R21" s="173"/>
    </row>
    <row r="22">
      <c r="A22" s="65" t="s">
        <v>18</v>
      </c>
      <c r="B22" s="66" t="s">
        <v>19</v>
      </c>
      <c r="C22" s="67" t="s">
        <v>39</v>
      </c>
      <c r="D22" s="174" t="s">
        <v>135</v>
      </c>
      <c r="E22" s="69" t="s">
        <v>103</v>
      </c>
      <c r="F22" s="67" t="s">
        <v>75</v>
      </c>
      <c r="G22" s="68" t="s">
        <v>24</v>
      </c>
      <c r="H22" s="175" t="s">
        <v>104</v>
      </c>
      <c r="I22" s="71">
        <v>46007.0</v>
      </c>
      <c r="J22" s="148" t="s">
        <v>105</v>
      </c>
      <c r="K22" s="148" t="s">
        <v>106</v>
      </c>
      <c r="L22" s="176" t="s">
        <v>107</v>
      </c>
      <c r="M22" s="177" t="s">
        <v>108</v>
      </c>
      <c r="N22" s="178" t="s">
        <v>109</v>
      </c>
      <c r="O22" s="179" t="s">
        <v>39</v>
      </c>
      <c r="P22" s="153"/>
      <c r="Q22" s="180" t="s">
        <v>110</v>
      </c>
      <c r="R22" s="77"/>
    </row>
    <row r="23">
      <c r="A23" s="22" t="s">
        <v>18</v>
      </c>
      <c r="B23" s="23" t="s">
        <v>19</v>
      </c>
      <c r="C23" s="24" t="s">
        <v>39</v>
      </c>
      <c r="D23" s="25" t="s">
        <v>31</v>
      </c>
      <c r="E23" s="26" t="s">
        <v>22</v>
      </c>
      <c r="F23" s="24" t="s">
        <v>23</v>
      </c>
      <c r="G23" s="27" t="s">
        <v>24</v>
      </c>
      <c r="H23" s="27" t="str">
        <f>TEXT(I23,"dddd")</f>
        <v>viernes</v>
      </c>
      <c r="I23" s="181">
        <v>46010.0</v>
      </c>
      <c r="J23" s="29" t="s">
        <v>136</v>
      </c>
      <c r="K23" s="24" t="s">
        <v>136</v>
      </c>
      <c r="L23" s="31" t="s">
        <v>34</v>
      </c>
      <c r="M23" s="31" t="s">
        <v>34</v>
      </c>
      <c r="N23" s="29" t="s">
        <v>34</v>
      </c>
      <c r="O23" s="35" t="s">
        <v>34</v>
      </c>
      <c r="P23" s="182"/>
      <c r="Q23" s="33" t="s">
        <v>137</v>
      </c>
      <c r="R23" s="34"/>
    </row>
    <row r="24">
      <c r="A24" s="183" t="s">
        <v>18</v>
      </c>
      <c r="B24" s="184" t="s">
        <v>19</v>
      </c>
      <c r="C24" s="185" t="s">
        <v>39</v>
      </c>
      <c r="D24" s="186" t="s">
        <v>138</v>
      </c>
      <c r="E24" s="185" t="s">
        <v>139</v>
      </c>
      <c r="F24" s="185" t="s">
        <v>75</v>
      </c>
      <c r="G24" s="187" t="s">
        <v>24</v>
      </c>
      <c r="H24" s="188" t="s">
        <v>140</v>
      </c>
      <c r="I24" s="189">
        <v>46011.0</v>
      </c>
      <c r="J24" s="185" t="s">
        <v>141</v>
      </c>
      <c r="K24" s="185" t="s">
        <v>141</v>
      </c>
      <c r="L24" s="185" t="s">
        <v>107</v>
      </c>
      <c r="M24" s="190" t="s">
        <v>109</v>
      </c>
      <c r="N24" s="191" t="s">
        <v>108</v>
      </c>
      <c r="O24" s="186" t="s">
        <v>39</v>
      </c>
      <c r="P24" s="192">
        <v>100.0</v>
      </c>
      <c r="Q24" s="193" t="s">
        <v>110</v>
      </c>
      <c r="R24" s="194"/>
    </row>
    <row r="25">
      <c r="A25" s="195" t="s">
        <v>18</v>
      </c>
      <c r="B25" s="196" t="s">
        <v>19</v>
      </c>
      <c r="C25" s="197" t="s">
        <v>20</v>
      </c>
      <c r="D25" s="198" t="s">
        <v>138</v>
      </c>
      <c r="E25" s="197" t="s">
        <v>139</v>
      </c>
      <c r="F25" s="197" t="s">
        <v>75</v>
      </c>
      <c r="G25" s="199" t="s">
        <v>24</v>
      </c>
      <c r="H25" s="200" t="s">
        <v>140</v>
      </c>
      <c r="I25" s="201">
        <v>46011.0</v>
      </c>
      <c r="J25" s="197" t="s">
        <v>141</v>
      </c>
      <c r="K25" s="197" t="s">
        <v>141</v>
      </c>
      <c r="L25" s="202" t="s">
        <v>78</v>
      </c>
      <c r="M25" s="203" t="s">
        <v>80</v>
      </c>
      <c r="N25" s="204" t="s">
        <v>79</v>
      </c>
      <c r="O25" s="198" t="s">
        <v>20</v>
      </c>
      <c r="P25" s="205">
        <v>100.0</v>
      </c>
      <c r="Q25" s="206" t="s">
        <v>142</v>
      </c>
      <c r="R25" s="207"/>
    </row>
    <row r="26">
      <c r="A26" s="208" t="s">
        <v>18</v>
      </c>
      <c r="B26" s="148" t="s">
        <v>19</v>
      </c>
      <c r="C26" s="209" t="s">
        <v>27</v>
      </c>
      <c r="D26" s="210" t="s">
        <v>102</v>
      </c>
      <c r="E26" s="209" t="s">
        <v>103</v>
      </c>
      <c r="F26" s="209" t="s">
        <v>75</v>
      </c>
      <c r="G26" s="211" t="s">
        <v>24</v>
      </c>
      <c r="H26" s="211" t="s">
        <v>104</v>
      </c>
      <c r="I26" s="212">
        <v>46014.0</v>
      </c>
      <c r="J26" s="148" t="s">
        <v>143</v>
      </c>
      <c r="K26" s="72" t="s">
        <v>144</v>
      </c>
      <c r="L26" s="209" t="s">
        <v>145</v>
      </c>
      <c r="M26" s="151" t="s">
        <v>146</v>
      </c>
      <c r="N26" s="213" t="s">
        <v>147</v>
      </c>
      <c r="O26" s="209" t="s">
        <v>27</v>
      </c>
      <c r="P26" s="214" t="s">
        <v>81</v>
      </c>
      <c r="Q26" s="215" t="s">
        <v>148</v>
      </c>
      <c r="R26" s="216"/>
    </row>
    <row r="27">
      <c r="A27" s="217" t="s">
        <v>18</v>
      </c>
      <c r="B27" s="218" t="s">
        <v>19</v>
      </c>
      <c r="C27" s="72" t="s">
        <v>27</v>
      </c>
      <c r="D27" s="219" t="s">
        <v>149</v>
      </c>
      <c r="E27" s="72" t="s">
        <v>103</v>
      </c>
      <c r="F27" s="72" t="s">
        <v>75</v>
      </c>
      <c r="G27" s="220" t="s">
        <v>24</v>
      </c>
      <c r="H27" s="220" t="s">
        <v>104</v>
      </c>
      <c r="I27" s="221">
        <v>46014.0</v>
      </c>
      <c r="J27" s="222" t="s">
        <v>150</v>
      </c>
      <c r="K27" s="72" t="s">
        <v>144</v>
      </c>
      <c r="L27" s="72" t="s">
        <v>145</v>
      </c>
      <c r="M27" s="223" t="s">
        <v>146</v>
      </c>
      <c r="N27" s="224" t="s">
        <v>147</v>
      </c>
      <c r="O27" s="72" t="s">
        <v>27</v>
      </c>
      <c r="P27" s="225" t="s">
        <v>81</v>
      </c>
      <c r="Q27" s="226" t="s">
        <v>151</v>
      </c>
      <c r="R27" s="227"/>
    </row>
    <row r="28">
      <c r="A28" s="228" t="s">
        <v>18</v>
      </c>
      <c r="B28" s="148" t="s">
        <v>152</v>
      </c>
      <c r="C28" s="229" t="s">
        <v>20</v>
      </c>
      <c r="D28" s="210" t="s">
        <v>73</v>
      </c>
      <c r="E28" s="209" t="s">
        <v>74</v>
      </c>
      <c r="F28" s="209" t="s">
        <v>75</v>
      </c>
      <c r="G28" s="210" t="s">
        <v>24</v>
      </c>
      <c r="H28" s="230" t="s">
        <v>76</v>
      </c>
      <c r="I28" s="231">
        <v>46019.0</v>
      </c>
      <c r="J28" s="222" t="s">
        <v>153</v>
      </c>
      <c r="K28" s="72" t="s">
        <v>144</v>
      </c>
      <c r="L28" s="44" t="s">
        <v>78</v>
      </c>
      <c r="M28" s="232" t="s">
        <v>154</v>
      </c>
      <c r="N28" s="233" t="s">
        <v>79</v>
      </c>
      <c r="O28" s="209" t="s">
        <v>20</v>
      </c>
      <c r="P28" s="234" t="s">
        <v>81</v>
      </c>
      <c r="Q28" s="209" t="s">
        <v>142</v>
      </c>
      <c r="R28" s="216"/>
    </row>
    <row r="29">
      <c r="A29" s="235" t="s">
        <v>18</v>
      </c>
      <c r="B29" s="218" t="s">
        <v>19</v>
      </c>
      <c r="C29" s="236" t="s">
        <v>20</v>
      </c>
      <c r="D29" s="219" t="s">
        <v>82</v>
      </c>
      <c r="E29" s="72" t="s">
        <v>74</v>
      </c>
      <c r="F29" s="72" t="s">
        <v>75</v>
      </c>
      <c r="G29" s="219" t="s">
        <v>24</v>
      </c>
      <c r="H29" s="237" t="s">
        <v>76</v>
      </c>
      <c r="I29" s="238">
        <v>46019.0</v>
      </c>
      <c r="J29" s="222" t="s">
        <v>153</v>
      </c>
      <c r="K29" s="72" t="s">
        <v>144</v>
      </c>
      <c r="L29" s="44" t="s">
        <v>78</v>
      </c>
      <c r="M29" s="232" t="s">
        <v>154</v>
      </c>
      <c r="N29" s="233" t="s">
        <v>79</v>
      </c>
      <c r="O29" s="72" t="s">
        <v>20</v>
      </c>
      <c r="P29" s="222" t="s">
        <v>81</v>
      </c>
      <c r="Q29" s="72" t="s">
        <v>142</v>
      </c>
      <c r="R29" s="227"/>
    </row>
    <row r="30">
      <c r="A30" s="239" t="s">
        <v>18</v>
      </c>
      <c r="B30" s="240" t="s">
        <v>19</v>
      </c>
      <c r="C30" s="241" t="s">
        <v>29</v>
      </c>
      <c r="D30" s="242" t="s">
        <v>102</v>
      </c>
      <c r="E30" s="241" t="s">
        <v>103</v>
      </c>
      <c r="F30" s="241" t="s">
        <v>75</v>
      </c>
      <c r="G30" s="243" t="s">
        <v>155</v>
      </c>
      <c r="H30" s="243" t="s">
        <v>156</v>
      </c>
      <c r="I30" s="244">
        <v>46024.0</v>
      </c>
      <c r="J30" s="222" t="s">
        <v>153</v>
      </c>
      <c r="K30" s="72" t="s">
        <v>144</v>
      </c>
      <c r="L30" s="241" t="s">
        <v>157</v>
      </c>
      <c r="M30" s="245" t="s">
        <v>158</v>
      </c>
      <c r="N30" s="241" t="s">
        <v>159</v>
      </c>
      <c r="O30" s="241" t="s">
        <v>29</v>
      </c>
      <c r="P30" s="246" t="s">
        <v>81</v>
      </c>
      <c r="Q30" s="241" t="s">
        <v>160</v>
      </c>
      <c r="R30" s="247"/>
    </row>
    <row r="31">
      <c r="A31" s="239" t="s">
        <v>18</v>
      </c>
      <c r="B31" s="240" t="s">
        <v>19</v>
      </c>
      <c r="C31" s="13" t="s">
        <v>29</v>
      </c>
      <c r="D31" s="248" t="s">
        <v>135</v>
      </c>
      <c r="E31" s="13" t="s">
        <v>103</v>
      </c>
      <c r="F31" s="13" t="s">
        <v>75</v>
      </c>
      <c r="G31" s="249" t="s">
        <v>155</v>
      </c>
      <c r="H31" s="249" t="s">
        <v>156</v>
      </c>
      <c r="I31" s="250">
        <v>46024.0</v>
      </c>
      <c r="J31" s="251" t="s">
        <v>153</v>
      </c>
      <c r="K31" s="170" t="s">
        <v>144</v>
      </c>
      <c r="L31" s="13" t="s">
        <v>157</v>
      </c>
      <c r="M31" s="252" t="s">
        <v>158</v>
      </c>
      <c r="N31" s="13" t="s">
        <v>159</v>
      </c>
      <c r="O31" s="13" t="s">
        <v>29</v>
      </c>
      <c r="P31" s="253" t="s">
        <v>81</v>
      </c>
      <c r="Q31" s="13" t="s">
        <v>160</v>
      </c>
      <c r="R31" s="254"/>
    </row>
    <row r="32">
      <c r="A32" s="208" t="s">
        <v>18</v>
      </c>
      <c r="B32" s="148" t="s">
        <v>19</v>
      </c>
      <c r="C32" s="255" t="s">
        <v>27</v>
      </c>
      <c r="D32" s="256" t="s">
        <v>102</v>
      </c>
      <c r="E32" s="255" t="s">
        <v>103</v>
      </c>
      <c r="F32" s="255" t="s">
        <v>75</v>
      </c>
      <c r="G32" s="257" t="s">
        <v>155</v>
      </c>
      <c r="H32" s="258" t="s">
        <v>104</v>
      </c>
      <c r="I32" s="259">
        <v>46035.0</v>
      </c>
      <c r="J32" s="255" t="s">
        <v>161</v>
      </c>
      <c r="K32" s="255" t="s">
        <v>144</v>
      </c>
      <c r="L32" s="255" t="s">
        <v>162</v>
      </c>
      <c r="M32" s="260" t="s">
        <v>163</v>
      </c>
      <c r="N32" s="255" t="s">
        <v>164</v>
      </c>
      <c r="O32" s="261" t="s">
        <v>165</v>
      </c>
      <c r="P32" s="256"/>
      <c r="Q32" s="256" t="s">
        <v>53</v>
      </c>
      <c r="R32" s="262"/>
    </row>
    <row r="33">
      <c r="A33" s="263" t="s">
        <v>18</v>
      </c>
      <c r="B33" s="153" t="s">
        <v>19</v>
      </c>
      <c r="C33" s="255" t="s">
        <v>27</v>
      </c>
      <c r="D33" s="256" t="s">
        <v>82</v>
      </c>
      <c r="E33" s="255" t="s">
        <v>22</v>
      </c>
      <c r="F33" s="255" t="s">
        <v>23</v>
      </c>
      <c r="G33" s="257" t="s">
        <v>155</v>
      </c>
      <c r="H33" s="258" t="s">
        <v>104</v>
      </c>
      <c r="I33" s="259">
        <v>46035.0</v>
      </c>
      <c r="J33" s="255" t="s">
        <v>166</v>
      </c>
      <c r="K33" s="255" t="s">
        <v>167</v>
      </c>
      <c r="L33" s="255" t="s">
        <v>168</v>
      </c>
      <c r="M33" s="260" t="s">
        <v>169</v>
      </c>
      <c r="N33" s="255" t="s">
        <v>170</v>
      </c>
      <c r="O33" s="255" t="s">
        <v>171</v>
      </c>
      <c r="P33" s="255">
        <v>25.0</v>
      </c>
      <c r="Q33" s="255" t="s">
        <v>172</v>
      </c>
      <c r="R33" s="262"/>
    </row>
    <row r="34">
      <c r="A34" s="263" t="s">
        <v>18</v>
      </c>
      <c r="B34" s="153" t="s">
        <v>19</v>
      </c>
      <c r="C34" s="255" t="s">
        <v>27</v>
      </c>
      <c r="D34" s="256" t="s">
        <v>51</v>
      </c>
      <c r="E34" s="255" t="s">
        <v>52</v>
      </c>
      <c r="F34" s="255" t="s">
        <v>53</v>
      </c>
      <c r="G34" s="257" t="s">
        <v>155</v>
      </c>
      <c r="H34" s="258" t="s">
        <v>104</v>
      </c>
      <c r="I34" s="259">
        <v>46035.0</v>
      </c>
      <c r="J34" s="255" t="s">
        <v>52</v>
      </c>
      <c r="K34" s="256" t="s">
        <v>52</v>
      </c>
      <c r="L34" s="264"/>
      <c r="M34" s="264"/>
      <c r="N34" s="264"/>
      <c r="O34" s="265"/>
      <c r="P34" s="262"/>
      <c r="Q34" s="262"/>
      <c r="R34" s="262"/>
    </row>
    <row r="35">
      <c r="A35" s="263" t="s">
        <v>18</v>
      </c>
      <c r="B35" s="153" t="s">
        <v>19</v>
      </c>
      <c r="C35" s="255" t="s">
        <v>27</v>
      </c>
      <c r="D35" s="256" t="s">
        <v>88</v>
      </c>
      <c r="E35" s="255" t="s">
        <v>22</v>
      </c>
      <c r="F35" s="255" t="s">
        <v>23</v>
      </c>
      <c r="G35" s="257" t="s">
        <v>155</v>
      </c>
      <c r="H35" s="258" t="s">
        <v>104</v>
      </c>
      <c r="I35" s="259">
        <v>46035.0</v>
      </c>
      <c r="J35" s="255" t="s">
        <v>173</v>
      </c>
      <c r="K35" s="255" t="s">
        <v>174</v>
      </c>
      <c r="L35" s="255" t="s">
        <v>175</v>
      </c>
      <c r="M35" s="260" t="s">
        <v>176</v>
      </c>
      <c r="N35" s="255" t="s">
        <v>177</v>
      </c>
      <c r="O35" s="255" t="s">
        <v>178</v>
      </c>
      <c r="P35" s="255">
        <v>25.0</v>
      </c>
      <c r="Q35" s="255" t="s">
        <v>179</v>
      </c>
      <c r="R35" s="262"/>
    </row>
    <row r="36">
      <c r="A36" s="263" t="s">
        <v>18</v>
      </c>
      <c r="B36" s="153" t="s">
        <v>19</v>
      </c>
      <c r="C36" s="255" t="s">
        <v>27</v>
      </c>
      <c r="D36" s="256" t="s">
        <v>180</v>
      </c>
      <c r="E36" s="255" t="s">
        <v>22</v>
      </c>
      <c r="F36" s="255" t="s">
        <v>23</v>
      </c>
      <c r="G36" s="257" t="s">
        <v>155</v>
      </c>
      <c r="H36" s="258" t="s">
        <v>104</v>
      </c>
      <c r="I36" s="259">
        <v>46035.0</v>
      </c>
      <c r="J36" s="255" t="s">
        <v>181</v>
      </c>
      <c r="K36" s="255" t="s">
        <v>182</v>
      </c>
      <c r="L36" s="255" t="s">
        <v>183</v>
      </c>
      <c r="M36" s="266" t="s">
        <v>184</v>
      </c>
      <c r="N36" s="255" t="s">
        <v>185</v>
      </c>
      <c r="O36" s="255" t="s">
        <v>186</v>
      </c>
      <c r="P36" s="255">
        <v>20.0</v>
      </c>
      <c r="Q36" s="255" t="s">
        <v>187</v>
      </c>
      <c r="R36" s="255"/>
    </row>
    <row r="37">
      <c r="A37" s="217" t="s">
        <v>18</v>
      </c>
      <c r="B37" s="218" t="s">
        <v>19</v>
      </c>
      <c r="C37" s="255" t="s">
        <v>27</v>
      </c>
      <c r="D37" s="256" t="s">
        <v>149</v>
      </c>
      <c r="E37" s="255" t="s">
        <v>103</v>
      </c>
      <c r="F37" s="255" t="s">
        <v>75</v>
      </c>
      <c r="G37" s="257" t="s">
        <v>155</v>
      </c>
      <c r="H37" s="258" t="s">
        <v>104</v>
      </c>
      <c r="I37" s="259">
        <v>46035.0</v>
      </c>
      <c r="J37" s="255" t="s">
        <v>188</v>
      </c>
      <c r="K37" s="255" t="s">
        <v>144</v>
      </c>
      <c r="L37" s="255" t="s">
        <v>162</v>
      </c>
      <c r="M37" s="260" t="s">
        <v>163</v>
      </c>
      <c r="N37" s="255" t="s">
        <v>164</v>
      </c>
      <c r="O37" s="261" t="s">
        <v>165</v>
      </c>
      <c r="P37" s="262"/>
      <c r="Q37" s="256" t="s">
        <v>53</v>
      </c>
      <c r="R37" s="262"/>
    </row>
    <row r="38">
      <c r="A38" s="195"/>
      <c r="B38" s="196"/>
      <c r="C38" s="57" t="s">
        <v>29</v>
      </c>
      <c r="D38" s="267" t="s">
        <v>102</v>
      </c>
      <c r="E38" s="57" t="s">
        <v>74</v>
      </c>
      <c r="F38" s="57" t="s">
        <v>75</v>
      </c>
      <c r="G38" s="268" t="s">
        <v>155</v>
      </c>
      <c r="H38" s="269" t="s">
        <v>189</v>
      </c>
      <c r="I38" s="259">
        <v>46036.0</v>
      </c>
      <c r="J38" s="270"/>
      <c r="K38" s="267" t="s">
        <v>144</v>
      </c>
      <c r="L38" s="57" t="s">
        <v>157</v>
      </c>
      <c r="M38" s="57" t="s">
        <v>159</v>
      </c>
      <c r="N38" s="271" t="s">
        <v>158</v>
      </c>
      <c r="O38" s="57" t="s">
        <v>29</v>
      </c>
      <c r="P38" s="272"/>
      <c r="Q38" s="57" t="s">
        <v>160</v>
      </c>
      <c r="R38" s="272"/>
    </row>
    <row r="39">
      <c r="A39" s="208" t="s">
        <v>18</v>
      </c>
      <c r="B39" s="148" t="s">
        <v>19</v>
      </c>
      <c r="C39" s="57" t="s">
        <v>29</v>
      </c>
      <c r="D39" s="267" t="s">
        <v>119</v>
      </c>
      <c r="E39" s="57" t="s">
        <v>22</v>
      </c>
      <c r="F39" s="57" t="s">
        <v>23</v>
      </c>
      <c r="G39" s="268" t="s">
        <v>155</v>
      </c>
      <c r="H39" s="269" t="s">
        <v>189</v>
      </c>
      <c r="I39" s="259">
        <v>46036.0</v>
      </c>
      <c r="J39" s="273" t="s">
        <v>190</v>
      </c>
      <c r="K39" s="273" t="s">
        <v>191</v>
      </c>
      <c r="L39" s="57" t="s">
        <v>192</v>
      </c>
      <c r="M39" s="271" t="s">
        <v>193</v>
      </c>
      <c r="N39" s="57" t="s">
        <v>194</v>
      </c>
      <c r="O39" s="57" t="s">
        <v>195</v>
      </c>
      <c r="P39" s="57">
        <v>15.0</v>
      </c>
      <c r="Q39" s="57" t="s">
        <v>196</v>
      </c>
      <c r="R39" s="272"/>
    </row>
    <row r="40">
      <c r="A40" s="263" t="s">
        <v>18</v>
      </c>
      <c r="B40" s="153" t="s">
        <v>19</v>
      </c>
      <c r="C40" s="57" t="s">
        <v>29</v>
      </c>
      <c r="D40" s="267" t="s">
        <v>127</v>
      </c>
      <c r="E40" s="57" t="s">
        <v>22</v>
      </c>
      <c r="F40" s="57" t="s">
        <v>23</v>
      </c>
      <c r="G40" s="268" t="s">
        <v>155</v>
      </c>
      <c r="H40" s="269" t="s">
        <v>189</v>
      </c>
      <c r="I40" s="259">
        <v>46036.0</v>
      </c>
      <c r="J40" s="57" t="s">
        <v>197</v>
      </c>
      <c r="K40" s="57" t="s">
        <v>198</v>
      </c>
      <c r="L40" s="57" t="s">
        <v>199</v>
      </c>
      <c r="M40" s="178" t="s">
        <v>200</v>
      </c>
      <c r="N40" s="57" t="s">
        <v>201</v>
      </c>
      <c r="O40" s="57" t="s">
        <v>197</v>
      </c>
      <c r="P40" s="57">
        <v>40.0</v>
      </c>
      <c r="Q40" s="57" t="s">
        <v>202</v>
      </c>
      <c r="R40" s="272"/>
    </row>
    <row r="41">
      <c r="A41" s="217" t="s">
        <v>18</v>
      </c>
      <c r="B41" s="218" t="s">
        <v>19</v>
      </c>
      <c r="C41" s="57" t="s">
        <v>29</v>
      </c>
      <c r="D41" s="267" t="s">
        <v>135</v>
      </c>
      <c r="E41" s="57" t="s">
        <v>74</v>
      </c>
      <c r="F41" s="57" t="s">
        <v>75</v>
      </c>
      <c r="G41" s="268" t="s">
        <v>155</v>
      </c>
      <c r="H41" s="269" t="s">
        <v>189</v>
      </c>
      <c r="I41" s="259">
        <v>46036.0</v>
      </c>
      <c r="J41" s="270"/>
      <c r="K41" s="267" t="s">
        <v>144</v>
      </c>
      <c r="L41" s="57" t="s">
        <v>157</v>
      </c>
      <c r="M41" s="57" t="s">
        <v>159</v>
      </c>
      <c r="N41" s="271" t="s">
        <v>158</v>
      </c>
      <c r="O41" s="57" t="s">
        <v>29</v>
      </c>
      <c r="P41" s="272"/>
      <c r="Q41" s="57" t="s">
        <v>160</v>
      </c>
      <c r="R41" s="272"/>
    </row>
    <row r="42">
      <c r="A42" s="274" t="s">
        <v>18</v>
      </c>
      <c r="B42" s="275" t="s">
        <v>19</v>
      </c>
      <c r="C42" s="264" t="s">
        <v>20</v>
      </c>
      <c r="D42" s="256" t="s">
        <v>102</v>
      </c>
      <c r="E42" s="255" t="s">
        <v>74</v>
      </c>
      <c r="F42" s="255" t="s">
        <v>75</v>
      </c>
      <c r="G42" s="256" t="s">
        <v>155</v>
      </c>
      <c r="H42" s="262" t="s">
        <v>203</v>
      </c>
      <c r="I42" s="115">
        <v>46037.0</v>
      </c>
      <c r="J42" s="255" t="s">
        <v>204</v>
      </c>
      <c r="K42" s="255" t="s">
        <v>144</v>
      </c>
      <c r="L42" s="255" t="s">
        <v>205</v>
      </c>
      <c r="M42" s="276" t="s">
        <v>206</v>
      </c>
      <c r="N42" s="255" t="s">
        <v>207</v>
      </c>
      <c r="O42" s="255" t="s">
        <v>208</v>
      </c>
      <c r="P42" s="277"/>
      <c r="Q42" s="278" t="s">
        <v>53</v>
      </c>
      <c r="R42" s="264"/>
    </row>
    <row r="43">
      <c r="A43" s="279" t="s">
        <v>18</v>
      </c>
      <c r="B43" s="111" t="s">
        <v>19</v>
      </c>
      <c r="C43" s="264" t="s">
        <v>20</v>
      </c>
      <c r="D43" s="256" t="s">
        <v>21</v>
      </c>
      <c r="E43" s="255" t="s">
        <v>22</v>
      </c>
      <c r="F43" s="255" t="s">
        <v>23</v>
      </c>
      <c r="G43" s="256" t="s">
        <v>155</v>
      </c>
      <c r="H43" s="262" t="s">
        <v>203</v>
      </c>
      <c r="I43" s="115">
        <v>46037.0</v>
      </c>
      <c r="J43" s="255" t="s">
        <v>209</v>
      </c>
      <c r="K43" s="255" t="s">
        <v>210</v>
      </c>
      <c r="L43" s="255" t="s">
        <v>211</v>
      </c>
      <c r="M43" s="266" t="s">
        <v>212</v>
      </c>
      <c r="N43" s="255" t="s">
        <v>213</v>
      </c>
      <c r="O43" s="255" t="s">
        <v>214</v>
      </c>
      <c r="P43" s="255">
        <v>25.0</v>
      </c>
      <c r="Q43" s="255" t="s">
        <v>215</v>
      </c>
      <c r="R43" s="255"/>
    </row>
    <row r="44">
      <c r="A44" s="279" t="s">
        <v>18</v>
      </c>
      <c r="B44" s="111" t="s">
        <v>19</v>
      </c>
      <c r="C44" s="264" t="s">
        <v>20</v>
      </c>
      <c r="D44" s="256" t="s">
        <v>117</v>
      </c>
      <c r="E44" s="255" t="s">
        <v>52</v>
      </c>
      <c r="F44" s="255" t="s">
        <v>53</v>
      </c>
      <c r="G44" s="256" t="s">
        <v>155</v>
      </c>
      <c r="H44" s="262" t="s">
        <v>203</v>
      </c>
      <c r="I44" s="115">
        <v>46037.0</v>
      </c>
      <c r="J44" s="255" t="s">
        <v>216</v>
      </c>
      <c r="K44" s="256" t="s">
        <v>216</v>
      </c>
      <c r="L44" s="264"/>
      <c r="M44" s="264"/>
      <c r="N44" s="264"/>
      <c r="O44" s="262"/>
      <c r="P44" s="280"/>
      <c r="Q44" s="280"/>
      <c r="R44" s="262"/>
    </row>
    <row r="45">
      <c r="A45" s="279" t="s">
        <v>18</v>
      </c>
      <c r="B45" s="111" t="s">
        <v>19</v>
      </c>
      <c r="C45" s="264" t="s">
        <v>20</v>
      </c>
      <c r="D45" s="256" t="s">
        <v>119</v>
      </c>
      <c r="E45" s="255" t="s">
        <v>22</v>
      </c>
      <c r="F45" s="255" t="s">
        <v>23</v>
      </c>
      <c r="G45" s="256" t="s">
        <v>155</v>
      </c>
      <c r="H45" s="262" t="s">
        <v>203</v>
      </c>
      <c r="I45" s="115">
        <v>46037.0</v>
      </c>
      <c r="J45" s="255" t="s">
        <v>217</v>
      </c>
      <c r="K45" s="255" t="s">
        <v>218</v>
      </c>
      <c r="L45" s="255" t="s">
        <v>219</v>
      </c>
      <c r="M45" s="266" t="s">
        <v>220</v>
      </c>
      <c r="N45" s="255" t="s">
        <v>221</v>
      </c>
      <c r="O45" s="255" t="s">
        <v>222</v>
      </c>
      <c r="P45" s="278">
        <v>20.0</v>
      </c>
      <c r="Q45" s="278" t="s">
        <v>223</v>
      </c>
      <c r="R45" s="262"/>
    </row>
    <row r="46">
      <c r="A46" s="279" t="s">
        <v>18</v>
      </c>
      <c r="B46" s="111" t="s">
        <v>19</v>
      </c>
      <c r="C46" s="264" t="s">
        <v>20</v>
      </c>
      <c r="D46" s="256" t="s">
        <v>224</v>
      </c>
      <c r="E46" s="255" t="s">
        <v>22</v>
      </c>
      <c r="F46" s="255" t="s">
        <v>23</v>
      </c>
      <c r="G46" s="256" t="s">
        <v>155</v>
      </c>
      <c r="H46" s="262" t="s">
        <v>203</v>
      </c>
      <c r="I46" s="115">
        <v>46037.0</v>
      </c>
      <c r="J46" s="255" t="s">
        <v>225</v>
      </c>
      <c r="K46" s="255" t="s">
        <v>226</v>
      </c>
      <c r="L46" s="255" t="s">
        <v>227</v>
      </c>
      <c r="M46" s="266" t="s">
        <v>154</v>
      </c>
      <c r="N46" s="255" t="s">
        <v>228</v>
      </c>
      <c r="O46" s="255" t="s">
        <v>229</v>
      </c>
      <c r="P46" s="278">
        <v>20.0</v>
      </c>
      <c r="Q46" s="278" t="s">
        <v>230</v>
      </c>
      <c r="R46" s="262"/>
    </row>
    <row r="47">
      <c r="A47" s="281" t="s">
        <v>18</v>
      </c>
      <c r="B47" s="282" t="s">
        <v>19</v>
      </c>
      <c r="C47" s="264" t="s">
        <v>20</v>
      </c>
      <c r="D47" s="256" t="s">
        <v>231</v>
      </c>
      <c r="E47" s="255" t="s">
        <v>74</v>
      </c>
      <c r="F47" s="255" t="s">
        <v>75</v>
      </c>
      <c r="G47" s="256" t="s">
        <v>155</v>
      </c>
      <c r="H47" s="262" t="s">
        <v>203</v>
      </c>
      <c r="I47" s="115">
        <v>46037.0</v>
      </c>
      <c r="J47" s="255" t="s">
        <v>204</v>
      </c>
      <c r="K47" s="255" t="s">
        <v>144</v>
      </c>
      <c r="L47" s="255" t="s">
        <v>205</v>
      </c>
      <c r="M47" s="266" t="s">
        <v>206</v>
      </c>
      <c r="N47" s="255" t="s">
        <v>207</v>
      </c>
      <c r="O47" s="255" t="s">
        <v>208</v>
      </c>
      <c r="P47" s="277"/>
      <c r="Q47" s="278" t="s">
        <v>53</v>
      </c>
      <c r="R47" s="264"/>
    </row>
    <row r="48">
      <c r="A48" s="283"/>
      <c r="B48" s="284"/>
      <c r="C48" s="264" t="s">
        <v>20</v>
      </c>
      <c r="D48" s="256" t="s">
        <v>232</v>
      </c>
      <c r="E48" s="255" t="s">
        <v>74</v>
      </c>
      <c r="F48" s="255" t="s">
        <v>75</v>
      </c>
      <c r="G48" s="256" t="s">
        <v>155</v>
      </c>
      <c r="H48" s="262" t="s">
        <v>203</v>
      </c>
      <c r="I48" s="115">
        <v>46037.0</v>
      </c>
      <c r="J48" s="255" t="s">
        <v>204</v>
      </c>
      <c r="K48" s="255" t="s">
        <v>144</v>
      </c>
      <c r="L48" s="255" t="s">
        <v>205</v>
      </c>
      <c r="M48" s="266" t="s">
        <v>206</v>
      </c>
      <c r="N48" s="255" t="s">
        <v>207</v>
      </c>
      <c r="O48" s="255" t="s">
        <v>208</v>
      </c>
      <c r="P48" s="277"/>
      <c r="Q48" s="278" t="s">
        <v>53</v>
      </c>
      <c r="R48" s="264"/>
    </row>
    <row r="49">
      <c r="A49" s="208" t="s">
        <v>18</v>
      </c>
      <c r="B49" s="148" t="s">
        <v>19</v>
      </c>
      <c r="C49" s="57" t="s">
        <v>39</v>
      </c>
      <c r="D49" s="267" t="s">
        <v>102</v>
      </c>
      <c r="E49" s="57" t="s">
        <v>103</v>
      </c>
      <c r="F49" s="57" t="s">
        <v>75</v>
      </c>
      <c r="G49" s="268" t="s">
        <v>155</v>
      </c>
      <c r="H49" s="269" t="s">
        <v>156</v>
      </c>
      <c r="I49" s="259">
        <v>46038.0</v>
      </c>
      <c r="J49" s="57" t="s">
        <v>233</v>
      </c>
      <c r="K49" s="57" t="s">
        <v>144</v>
      </c>
      <c r="L49" s="285" t="s">
        <v>234</v>
      </c>
      <c r="M49" s="178" t="s">
        <v>235</v>
      </c>
      <c r="N49" s="57" t="s">
        <v>236</v>
      </c>
      <c r="O49" s="57" t="s">
        <v>39</v>
      </c>
      <c r="P49" s="61">
        <v>30.0</v>
      </c>
      <c r="Q49" s="57" t="s">
        <v>53</v>
      </c>
      <c r="R49" s="272"/>
    </row>
    <row r="50">
      <c r="A50" s="263" t="s">
        <v>18</v>
      </c>
      <c r="B50" s="153" t="s">
        <v>19</v>
      </c>
      <c r="C50" s="57" t="s">
        <v>39</v>
      </c>
      <c r="D50" s="267" t="s">
        <v>21</v>
      </c>
      <c r="E50" s="57" t="s">
        <v>22</v>
      </c>
      <c r="F50" s="57" t="s">
        <v>23</v>
      </c>
      <c r="G50" s="268" t="s">
        <v>155</v>
      </c>
      <c r="H50" s="269" t="s">
        <v>156</v>
      </c>
      <c r="I50" s="259">
        <v>46038.0</v>
      </c>
      <c r="J50" s="57" t="s">
        <v>237</v>
      </c>
      <c r="K50" s="57" t="s">
        <v>238</v>
      </c>
      <c r="L50" s="57" t="s">
        <v>239</v>
      </c>
      <c r="M50" s="178" t="s">
        <v>240</v>
      </c>
      <c r="N50" s="57" t="s">
        <v>241</v>
      </c>
      <c r="O50" s="57" t="s">
        <v>242</v>
      </c>
      <c r="P50" s="61">
        <v>20.0</v>
      </c>
      <c r="Q50" s="61" t="s">
        <v>243</v>
      </c>
      <c r="R50" s="272"/>
    </row>
    <row r="51">
      <c r="A51" s="263" t="s">
        <v>18</v>
      </c>
      <c r="B51" s="153" t="s">
        <v>19</v>
      </c>
      <c r="C51" s="57" t="s">
        <v>39</v>
      </c>
      <c r="D51" s="267" t="s">
        <v>51</v>
      </c>
      <c r="E51" s="57" t="s">
        <v>52</v>
      </c>
      <c r="F51" s="57" t="s">
        <v>53</v>
      </c>
      <c r="G51" s="268" t="s">
        <v>155</v>
      </c>
      <c r="H51" s="269" t="s">
        <v>156</v>
      </c>
      <c r="I51" s="259">
        <v>46038.0</v>
      </c>
      <c r="J51" s="57" t="s">
        <v>52</v>
      </c>
      <c r="K51" s="267" t="s">
        <v>52</v>
      </c>
      <c r="L51" s="286"/>
      <c r="M51" s="286"/>
      <c r="N51" s="286"/>
      <c r="O51" s="267"/>
      <c r="P51" s="60"/>
      <c r="Q51" s="63"/>
      <c r="R51" s="272"/>
    </row>
    <row r="52">
      <c r="A52" s="263" t="s">
        <v>18</v>
      </c>
      <c r="B52" s="153" t="s">
        <v>19</v>
      </c>
      <c r="C52" s="57" t="s">
        <v>39</v>
      </c>
      <c r="D52" s="267" t="s">
        <v>119</v>
      </c>
      <c r="E52" s="57" t="s">
        <v>22</v>
      </c>
      <c r="F52" s="57" t="s">
        <v>23</v>
      </c>
      <c r="G52" s="268" t="s">
        <v>155</v>
      </c>
      <c r="H52" s="269" t="s">
        <v>156</v>
      </c>
      <c r="I52" s="259">
        <v>46038.0</v>
      </c>
      <c r="J52" s="57" t="s">
        <v>244</v>
      </c>
      <c r="K52" s="57" t="s">
        <v>245</v>
      </c>
      <c r="L52" s="57" t="s">
        <v>246</v>
      </c>
      <c r="M52" s="271" t="s">
        <v>247</v>
      </c>
      <c r="N52" s="57" t="s">
        <v>248</v>
      </c>
      <c r="O52" s="57" t="s">
        <v>249</v>
      </c>
      <c r="P52" s="61">
        <v>20.0</v>
      </c>
      <c r="Q52" s="61" t="s">
        <v>250</v>
      </c>
      <c r="R52" s="272"/>
    </row>
    <row r="53">
      <c r="A53" s="263" t="s">
        <v>18</v>
      </c>
      <c r="B53" s="153" t="s">
        <v>19</v>
      </c>
      <c r="C53" s="57" t="s">
        <v>39</v>
      </c>
      <c r="D53" s="267" t="s">
        <v>127</v>
      </c>
      <c r="E53" s="57" t="s">
        <v>22</v>
      </c>
      <c r="F53" s="57" t="s">
        <v>23</v>
      </c>
      <c r="G53" s="268" t="s">
        <v>155</v>
      </c>
      <c r="H53" s="269" t="s">
        <v>156</v>
      </c>
      <c r="I53" s="259">
        <v>46038.0</v>
      </c>
      <c r="J53" s="57" t="s">
        <v>251</v>
      </c>
      <c r="K53" s="57" t="s">
        <v>252</v>
      </c>
      <c r="L53" s="57" t="s">
        <v>253</v>
      </c>
      <c r="M53" s="271" t="s">
        <v>254</v>
      </c>
      <c r="N53" s="57" t="s">
        <v>255</v>
      </c>
      <c r="O53" s="57" t="s">
        <v>256</v>
      </c>
      <c r="P53" s="61">
        <v>20.0</v>
      </c>
      <c r="Q53" s="61" t="s">
        <v>257</v>
      </c>
      <c r="R53" s="272"/>
    </row>
    <row r="54">
      <c r="A54" s="217" t="s">
        <v>18</v>
      </c>
      <c r="B54" s="218" t="s">
        <v>19</v>
      </c>
      <c r="C54" s="57" t="s">
        <v>39</v>
      </c>
      <c r="D54" s="267" t="s">
        <v>135</v>
      </c>
      <c r="E54" s="57" t="s">
        <v>103</v>
      </c>
      <c r="F54" s="57" t="s">
        <v>75</v>
      </c>
      <c r="G54" s="268" t="s">
        <v>155</v>
      </c>
      <c r="H54" s="269" t="s">
        <v>156</v>
      </c>
      <c r="I54" s="259">
        <v>46038.0</v>
      </c>
      <c r="J54" s="57" t="s">
        <v>233</v>
      </c>
      <c r="K54" s="57" t="s">
        <v>144</v>
      </c>
      <c r="L54" s="285" t="s">
        <v>234</v>
      </c>
      <c r="M54" s="178" t="s">
        <v>235</v>
      </c>
      <c r="N54" s="57" t="s">
        <v>236</v>
      </c>
      <c r="O54" s="57" t="s">
        <v>39</v>
      </c>
      <c r="P54" s="287"/>
      <c r="Q54" s="57" t="s">
        <v>53</v>
      </c>
      <c r="R54" s="272"/>
    </row>
    <row r="55">
      <c r="A55" s="208" t="s">
        <v>18</v>
      </c>
      <c r="B55" s="148" t="s">
        <v>19</v>
      </c>
      <c r="C55" s="255" t="s">
        <v>27</v>
      </c>
      <c r="D55" s="256" t="s">
        <v>102</v>
      </c>
      <c r="E55" s="255" t="s">
        <v>103</v>
      </c>
      <c r="F55" s="255" t="s">
        <v>75</v>
      </c>
      <c r="G55" s="258" t="s">
        <v>155</v>
      </c>
      <c r="H55" s="258" t="s">
        <v>156</v>
      </c>
      <c r="I55" s="259">
        <v>46045.0</v>
      </c>
      <c r="J55" s="255" t="s">
        <v>258</v>
      </c>
      <c r="K55" s="255" t="s">
        <v>144</v>
      </c>
      <c r="L55" s="255" t="s">
        <v>162</v>
      </c>
      <c r="M55" s="260" t="s">
        <v>163</v>
      </c>
      <c r="N55" s="255" t="s">
        <v>164</v>
      </c>
      <c r="O55" s="256" t="s">
        <v>165</v>
      </c>
      <c r="P55" s="280"/>
      <c r="Q55" s="288" t="s">
        <v>53</v>
      </c>
      <c r="R55" s="262"/>
    </row>
    <row r="56">
      <c r="A56" s="263" t="s">
        <v>18</v>
      </c>
      <c r="B56" s="153" t="s">
        <v>19</v>
      </c>
      <c r="C56" s="255" t="s">
        <v>27</v>
      </c>
      <c r="D56" s="256" t="s">
        <v>21</v>
      </c>
      <c r="E56" s="255" t="s">
        <v>22</v>
      </c>
      <c r="F56" s="255" t="s">
        <v>23</v>
      </c>
      <c r="G56" s="258" t="s">
        <v>155</v>
      </c>
      <c r="H56" s="258" t="s">
        <v>156</v>
      </c>
      <c r="I56" s="259">
        <v>46045.0</v>
      </c>
      <c r="J56" s="289" t="s">
        <v>259</v>
      </c>
      <c r="K56" s="255" t="s">
        <v>260</v>
      </c>
      <c r="L56" s="255" t="s">
        <v>261</v>
      </c>
      <c r="M56" s="266" t="s">
        <v>262</v>
      </c>
      <c r="N56" s="255" t="s">
        <v>263</v>
      </c>
      <c r="O56" s="255" t="s">
        <v>264</v>
      </c>
      <c r="P56" s="278">
        <v>20.0</v>
      </c>
      <c r="Q56" s="278" t="s">
        <v>265</v>
      </c>
      <c r="R56" s="262"/>
    </row>
    <row r="57">
      <c r="A57" s="263"/>
      <c r="B57" s="153"/>
      <c r="C57" s="255" t="s">
        <v>266</v>
      </c>
      <c r="D57" s="256" t="s">
        <v>267</v>
      </c>
      <c r="E57" s="255" t="s">
        <v>22</v>
      </c>
      <c r="F57" s="255" t="s">
        <v>23</v>
      </c>
      <c r="G57" s="258" t="s">
        <v>155</v>
      </c>
      <c r="H57" s="258" t="s">
        <v>156</v>
      </c>
      <c r="I57" s="259">
        <v>46045.0</v>
      </c>
      <c r="J57" s="289" t="s">
        <v>268</v>
      </c>
      <c r="K57" s="289" t="s">
        <v>269</v>
      </c>
      <c r="L57" s="255" t="s">
        <v>270</v>
      </c>
      <c r="M57" s="266" t="s">
        <v>271</v>
      </c>
      <c r="N57" s="255" t="s">
        <v>272</v>
      </c>
      <c r="O57" s="255" t="s">
        <v>85</v>
      </c>
      <c r="P57" s="278">
        <v>3.0</v>
      </c>
      <c r="Q57" s="278" t="s">
        <v>273</v>
      </c>
      <c r="R57" s="262"/>
    </row>
    <row r="58">
      <c r="A58" s="263" t="s">
        <v>18</v>
      </c>
      <c r="B58" s="153" t="s">
        <v>19</v>
      </c>
      <c r="C58" s="255" t="s">
        <v>27</v>
      </c>
      <c r="D58" s="256" t="s">
        <v>51</v>
      </c>
      <c r="E58" s="255" t="s">
        <v>52</v>
      </c>
      <c r="F58" s="255" t="s">
        <v>75</v>
      </c>
      <c r="G58" s="258" t="s">
        <v>155</v>
      </c>
      <c r="H58" s="258" t="s">
        <v>156</v>
      </c>
      <c r="I58" s="259">
        <v>46045.0</v>
      </c>
      <c r="J58" s="255" t="s">
        <v>52</v>
      </c>
      <c r="K58" s="256" t="s">
        <v>52</v>
      </c>
      <c r="L58" s="255" t="s">
        <v>270</v>
      </c>
      <c r="M58" s="266" t="s">
        <v>271</v>
      </c>
      <c r="N58" s="255" t="s">
        <v>272</v>
      </c>
      <c r="O58" s="262"/>
      <c r="P58" s="280"/>
      <c r="Q58" s="280"/>
      <c r="R58" s="262"/>
    </row>
    <row r="59">
      <c r="A59" s="290" t="s">
        <v>18</v>
      </c>
      <c r="B59" s="291" t="s">
        <v>19</v>
      </c>
      <c r="C59" s="255" t="s">
        <v>266</v>
      </c>
      <c r="D59" s="256" t="s">
        <v>119</v>
      </c>
      <c r="E59" s="255" t="s">
        <v>22</v>
      </c>
      <c r="F59" s="255" t="s">
        <v>23</v>
      </c>
      <c r="G59" s="258" t="s">
        <v>155</v>
      </c>
      <c r="H59" s="258" t="s">
        <v>156</v>
      </c>
      <c r="I59" s="259">
        <v>46045.0</v>
      </c>
      <c r="J59" s="255" t="s">
        <v>274</v>
      </c>
      <c r="K59" s="255" t="s">
        <v>274</v>
      </c>
      <c r="L59" s="255" t="s">
        <v>270</v>
      </c>
      <c r="M59" s="266" t="s">
        <v>271</v>
      </c>
      <c r="N59" s="255" t="s">
        <v>272</v>
      </c>
      <c r="O59" s="255" t="s">
        <v>85</v>
      </c>
      <c r="P59" s="278">
        <v>80.0</v>
      </c>
      <c r="Q59" s="278" t="s">
        <v>275</v>
      </c>
      <c r="R59" s="262"/>
      <c r="S59" s="292"/>
      <c r="T59" s="292"/>
      <c r="U59" s="292"/>
      <c r="V59" s="292"/>
      <c r="W59" s="292"/>
      <c r="X59" s="292"/>
      <c r="Y59" s="292"/>
    </row>
    <row r="60">
      <c r="A60" s="263"/>
      <c r="B60" s="153"/>
      <c r="C60" s="255" t="s">
        <v>27</v>
      </c>
      <c r="D60" s="256" t="s">
        <v>231</v>
      </c>
      <c r="E60" s="255" t="s">
        <v>52</v>
      </c>
      <c r="F60" s="255" t="s">
        <v>23</v>
      </c>
      <c r="G60" s="258" t="s">
        <v>155</v>
      </c>
      <c r="H60" s="258" t="s">
        <v>156</v>
      </c>
      <c r="I60" s="259">
        <v>46045.0</v>
      </c>
      <c r="J60" s="289" t="s">
        <v>259</v>
      </c>
      <c r="K60" s="289" t="s">
        <v>259</v>
      </c>
      <c r="L60" s="255" t="s">
        <v>276</v>
      </c>
      <c r="M60" s="266" t="s">
        <v>277</v>
      </c>
      <c r="N60" s="255" t="s">
        <v>278</v>
      </c>
      <c r="O60" s="255" t="s">
        <v>279</v>
      </c>
      <c r="P60" s="278">
        <v>20.0</v>
      </c>
      <c r="Q60" s="278" t="s">
        <v>280</v>
      </c>
      <c r="R60" s="262"/>
    </row>
    <row r="61">
      <c r="A61" s="263" t="s">
        <v>18</v>
      </c>
      <c r="B61" s="153" t="s">
        <v>19</v>
      </c>
      <c r="C61" s="255" t="s">
        <v>27</v>
      </c>
      <c r="D61" s="256" t="s">
        <v>232</v>
      </c>
      <c r="E61" s="255" t="s">
        <v>22</v>
      </c>
      <c r="F61" s="255" t="s">
        <v>23</v>
      </c>
      <c r="G61" s="258" t="s">
        <v>155</v>
      </c>
      <c r="H61" s="258" t="s">
        <v>156</v>
      </c>
      <c r="I61" s="259">
        <v>46045.0</v>
      </c>
      <c r="J61" s="255" t="s">
        <v>259</v>
      </c>
      <c r="K61" s="255" t="s">
        <v>281</v>
      </c>
      <c r="L61" s="255" t="s">
        <v>282</v>
      </c>
      <c r="M61" s="260" t="s">
        <v>283</v>
      </c>
      <c r="N61" s="255" t="s">
        <v>284</v>
      </c>
      <c r="O61" s="255" t="s">
        <v>285</v>
      </c>
      <c r="P61" s="278">
        <v>25.0</v>
      </c>
      <c r="Q61" s="278" t="s">
        <v>286</v>
      </c>
      <c r="R61" s="262"/>
    </row>
    <row r="62">
      <c r="A62" s="208" t="s">
        <v>18</v>
      </c>
      <c r="B62" s="148" t="s">
        <v>19</v>
      </c>
      <c r="C62" s="57" t="s">
        <v>27</v>
      </c>
      <c r="D62" s="267" t="s">
        <v>102</v>
      </c>
      <c r="E62" s="57" t="s">
        <v>103</v>
      </c>
      <c r="F62" s="57" t="s">
        <v>75</v>
      </c>
      <c r="G62" s="268" t="s">
        <v>155</v>
      </c>
      <c r="H62" s="269" t="s">
        <v>203</v>
      </c>
      <c r="I62" s="259">
        <v>46051.0</v>
      </c>
      <c r="J62" s="57" t="s">
        <v>258</v>
      </c>
      <c r="K62" s="57" t="s">
        <v>144</v>
      </c>
      <c r="L62" s="57" t="s">
        <v>162</v>
      </c>
      <c r="M62" s="178" t="s">
        <v>163</v>
      </c>
      <c r="N62" s="57" t="s">
        <v>164</v>
      </c>
      <c r="O62" s="267" t="s">
        <v>165</v>
      </c>
      <c r="P62" s="60"/>
      <c r="Q62" s="63" t="s">
        <v>53</v>
      </c>
      <c r="R62" s="272"/>
    </row>
    <row r="63">
      <c r="A63" s="263" t="s">
        <v>18</v>
      </c>
      <c r="B63" s="153" t="s">
        <v>19</v>
      </c>
      <c r="C63" s="57" t="s">
        <v>27</v>
      </c>
      <c r="D63" s="267" t="s">
        <v>21</v>
      </c>
      <c r="E63" s="57" t="s">
        <v>22</v>
      </c>
      <c r="F63" s="57" t="s">
        <v>23</v>
      </c>
      <c r="G63" s="268" t="s">
        <v>155</v>
      </c>
      <c r="H63" s="269" t="s">
        <v>203</v>
      </c>
      <c r="I63" s="259">
        <v>46051.0</v>
      </c>
      <c r="J63" s="293" t="s">
        <v>287</v>
      </c>
      <c r="K63" s="57"/>
      <c r="L63" s="57" t="s">
        <v>288</v>
      </c>
      <c r="M63" s="178" t="s">
        <v>289</v>
      </c>
      <c r="N63" s="57" t="s">
        <v>290</v>
      </c>
      <c r="O63" s="57" t="s">
        <v>291</v>
      </c>
      <c r="P63" s="61">
        <v>20.0</v>
      </c>
      <c r="Q63" s="61" t="s">
        <v>292</v>
      </c>
      <c r="R63" s="272"/>
    </row>
    <row r="64">
      <c r="A64" s="263" t="s">
        <v>18</v>
      </c>
      <c r="B64" s="153" t="s">
        <v>19</v>
      </c>
      <c r="C64" s="57" t="s">
        <v>27</v>
      </c>
      <c r="D64" s="267" t="s">
        <v>117</v>
      </c>
      <c r="E64" s="57" t="s">
        <v>52</v>
      </c>
      <c r="F64" s="57" t="s">
        <v>53</v>
      </c>
      <c r="G64" s="268" t="s">
        <v>155</v>
      </c>
      <c r="H64" s="269" t="s">
        <v>203</v>
      </c>
      <c r="I64" s="259">
        <v>46051.0</v>
      </c>
      <c r="J64" s="57" t="s">
        <v>52</v>
      </c>
      <c r="K64" s="267" t="s">
        <v>52</v>
      </c>
      <c r="L64" s="286"/>
      <c r="M64" s="286"/>
      <c r="N64" s="286"/>
      <c r="O64" s="272"/>
      <c r="P64" s="60"/>
      <c r="Q64" s="60"/>
      <c r="R64" s="272"/>
    </row>
    <row r="65">
      <c r="A65" s="263" t="s">
        <v>18</v>
      </c>
      <c r="B65" s="153" t="s">
        <v>19</v>
      </c>
      <c r="C65" s="57" t="s">
        <v>39</v>
      </c>
      <c r="D65" s="267" t="s">
        <v>119</v>
      </c>
      <c r="E65" s="57" t="s">
        <v>22</v>
      </c>
      <c r="F65" s="57" t="s">
        <v>23</v>
      </c>
      <c r="G65" s="268" t="s">
        <v>155</v>
      </c>
      <c r="H65" s="269" t="s">
        <v>203</v>
      </c>
      <c r="I65" s="259">
        <v>46051.0</v>
      </c>
      <c r="J65" s="57" t="s">
        <v>293</v>
      </c>
      <c r="K65" s="57" t="s">
        <v>294</v>
      </c>
      <c r="L65" s="57" t="s">
        <v>295</v>
      </c>
      <c r="M65" s="271" t="s">
        <v>296</v>
      </c>
      <c r="N65" s="57" t="s">
        <v>297</v>
      </c>
      <c r="O65" s="57" t="s">
        <v>298</v>
      </c>
      <c r="P65" s="61">
        <v>10.0</v>
      </c>
      <c r="Q65" s="61" t="s">
        <v>299</v>
      </c>
      <c r="R65" s="272"/>
    </row>
    <row r="66">
      <c r="A66" s="263" t="s">
        <v>18</v>
      </c>
      <c r="B66" s="153" t="s">
        <v>19</v>
      </c>
      <c r="C66" s="57" t="s">
        <v>266</v>
      </c>
      <c r="D66" s="294">
        <v>0.6458333333333334</v>
      </c>
      <c r="E66" s="57" t="s">
        <v>22</v>
      </c>
      <c r="F66" s="57" t="s">
        <v>23</v>
      </c>
      <c r="G66" s="268" t="s">
        <v>155</v>
      </c>
      <c r="H66" s="269" t="s">
        <v>203</v>
      </c>
      <c r="I66" s="259">
        <v>46051.0</v>
      </c>
      <c r="J66" s="57" t="s">
        <v>300</v>
      </c>
      <c r="K66" s="57" t="s">
        <v>294</v>
      </c>
      <c r="L66" s="57" t="s">
        <v>301</v>
      </c>
      <c r="M66" s="271" t="s">
        <v>302</v>
      </c>
      <c r="N66" s="295" t="s">
        <v>303</v>
      </c>
      <c r="O66" s="57" t="s">
        <v>304</v>
      </c>
      <c r="P66" s="61">
        <v>3.0</v>
      </c>
      <c r="Q66" s="61" t="s">
        <v>305</v>
      </c>
      <c r="R66" s="272"/>
    </row>
    <row r="67">
      <c r="A67" s="296"/>
      <c r="B67" s="297"/>
      <c r="C67" s="57" t="s">
        <v>266</v>
      </c>
      <c r="D67" s="294">
        <v>0.6666666666666666</v>
      </c>
      <c r="E67" s="57" t="s">
        <v>22</v>
      </c>
      <c r="F67" s="57" t="s">
        <v>23</v>
      </c>
      <c r="G67" s="268" t="s">
        <v>155</v>
      </c>
      <c r="H67" s="269" t="s">
        <v>203</v>
      </c>
      <c r="I67" s="259">
        <v>46051.0</v>
      </c>
      <c r="J67" s="57" t="s">
        <v>306</v>
      </c>
      <c r="K67" s="57" t="s">
        <v>307</v>
      </c>
      <c r="L67" s="57" t="s">
        <v>308</v>
      </c>
      <c r="M67" s="178" t="s">
        <v>309</v>
      </c>
      <c r="N67" s="57" t="s">
        <v>310</v>
      </c>
      <c r="O67" s="57" t="s">
        <v>311</v>
      </c>
      <c r="P67" s="61">
        <v>3.0</v>
      </c>
      <c r="Q67" s="61" t="s">
        <v>305</v>
      </c>
      <c r="R67" s="272"/>
    </row>
    <row r="68">
      <c r="A68" s="296"/>
      <c r="B68" s="297"/>
      <c r="C68" s="57" t="s">
        <v>266</v>
      </c>
      <c r="D68" s="294">
        <v>0.7083333333333334</v>
      </c>
      <c r="E68" s="57" t="s">
        <v>22</v>
      </c>
      <c r="F68" s="57" t="s">
        <v>23</v>
      </c>
      <c r="G68" s="268" t="s">
        <v>155</v>
      </c>
      <c r="H68" s="268" t="s">
        <v>203</v>
      </c>
      <c r="I68" s="259">
        <v>46051.0</v>
      </c>
      <c r="J68" s="57" t="s">
        <v>312</v>
      </c>
      <c r="K68" s="57" t="s">
        <v>313</v>
      </c>
      <c r="L68" s="57" t="s">
        <v>314</v>
      </c>
      <c r="M68" s="178" t="s">
        <v>315</v>
      </c>
      <c r="N68" s="57" t="s">
        <v>316</v>
      </c>
      <c r="O68" s="57" t="s">
        <v>311</v>
      </c>
      <c r="P68" s="61">
        <v>15.0</v>
      </c>
      <c r="Q68" s="61" t="s">
        <v>305</v>
      </c>
      <c r="R68" s="272"/>
    </row>
    <row r="69">
      <c r="A69" s="217" t="s">
        <v>18</v>
      </c>
      <c r="B69" s="218" t="s">
        <v>19</v>
      </c>
      <c r="C69" s="57" t="s">
        <v>27</v>
      </c>
      <c r="D69" s="267" t="s">
        <v>149</v>
      </c>
      <c r="E69" s="57" t="s">
        <v>103</v>
      </c>
      <c r="F69" s="57" t="s">
        <v>75</v>
      </c>
      <c r="G69" s="268" t="s">
        <v>155</v>
      </c>
      <c r="H69" s="269" t="s">
        <v>203</v>
      </c>
      <c r="I69" s="259">
        <v>46051.0</v>
      </c>
      <c r="J69" s="57" t="s">
        <v>258</v>
      </c>
      <c r="K69" s="57" t="s">
        <v>144</v>
      </c>
      <c r="L69" s="57" t="s">
        <v>162</v>
      </c>
      <c r="M69" s="178" t="s">
        <v>163</v>
      </c>
      <c r="N69" s="57" t="s">
        <v>164</v>
      </c>
      <c r="O69" s="267" t="s">
        <v>165</v>
      </c>
      <c r="P69" s="60"/>
      <c r="Q69" s="63" t="s">
        <v>53</v>
      </c>
      <c r="R69" s="272"/>
    </row>
    <row r="70">
      <c r="A70" s="208" t="s">
        <v>18</v>
      </c>
      <c r="B70" s="148" t="s">
        <v>19</v>
      </c>
      <c r="C70" s="255" t="s">
        <v>29</v>
      </c>
      <c r="D70" s="256" t="s">
        <v>102</v>
      </c>
      <c r="E70" s="255" t="s">
        <v>103</v>
      </c>
      <c r="F70" s="255" t="s">
        <v>75</v>
      </c>
      <c r="G70" s="257" t="s">
        <v>155</v>
      </c>
      <c r="H70" s="258" t="s">
        <v>156</v>
      </c>
      <c r="I70" s="259">
        <v>46052.0</v>
      </c>
      <c r="J70" s="298" t="s">
        <v>258</v>
      </c>
      <c r="K70" s="256" t="s">
        <v>144</v>
      </c>
      <c r="L70" s="255" t="s">
        <v>157</v>
      </c>
      <c r="M70" s="255" t="s">
        <v>159</v>
      </c>
      <c r="N70" s="266" t="s">
        <v>317</v>
      </c>
      <c r="O70" s="255" t="s">
        <v>29</v>
      </c>
      <c r="P70" s="280"/>
      <c r="Q70" s="255" t="s">
        <v>160</v>
      </c>
      <c r="R70" s="262"/>
    </row>
    <row r="71">
      <c r="A71" s="263" t="s">
        <v>18</v>
      </c>
      <c r="B71" s="153" t="s">
        <v>19</v>
      </c>
      <c r="C71" s="255" t="s">
        <v>29</v>
      </c>
      <c r="D71" s="256" t="s">
        <v>82</v>
      </c>
      <c r="E71" s="255" t="s">
        <v>22</v>
      </c>
      <c r="F71" s="255" t="s">
        <v>23</v>
      </c>
      <c r="G71" s="257" t="s">
        <v>155</v>
      </c>
      <c r="H71" s="258" t="s">
        <v>156</v>
      </c>
      <c r="I71" s="259">
        <v>46052.0</v>
      </c>
      <c r="J71" s="255" t="s">
        <v>318</v>
      </c>
      <c r="K71" s="255" t="s">
        <v>319</v>
      </c>
      <c r="L71" s="255" t="s">
        <v>320</v>
      </c>
      <c r="M71" s="260" t="s">
        <v>321</v>
      </c>
      <c r="N71" s="255" t="s">
        <v>322</v>
      </c>
      <c r="O71" s="255" t="s">
        <v>29</v>
      </c>
      <c r="P71" s="278">
        <v>20.0</v>
      </c>
      <c r="Q71" s="278" t="s">
        <v>323</v>
      </c>
      <c r="R71" s="262"/>
    </row>
    <row r="72">
      <c r="A72" s="263" t="s">
        <v>18</v>
      </c>
      <c r="B72" s="153" t="s">
        <v>19</v>
      </c>
      <c r="C72" s="255" t="s">
        <v>29</v>
      </c>
      <c r="D72" s="256" t="s">
        <v>117</v>
      </c>
      <c r="E72" s="255" t="s">
        <v>52</v>
      </c>
      <c r="F72" s="255" t="s">
        <v>53</v>
      </c>
      <c r="G72" s="257" t="s">
        <v>155</v>
      </c>
      <c r="H72" s="258" t="s">
        <v>156</v>
      </c>
      <c r="I72" s="259">
        <v>46052.0</v>
      </c>
      <c r="J72" s="255" t="s">
        <v>52</v>
      </c>
      <c r="K72" s="256" t="s">
        <v>52</v>
      </c>
      <c r="L72" s="264"/>
      <c r="M72" s="264"/>
      <c r="N72" s="264"/>
      <c r="O72" s="264"/>
      <c r="P72" s="280"/>
      <c r="Q72" s="280"/>
      <c r="R72" s="262"/>
    </row>
    <row r="73">
      <c r="A73" s="263" t="s">
        <v>18</v>
      </c>
      <c r="B73" s="153" t="s">
        <v>19</v>
      </c>
      <c r="C73" s="255" t="s">
        <v>29</v>
      </c>
      <c r="D73" s="256" t="s">
        <v>119</v>
      </c>
      <c r="E73" s="255" t="s">
        <v>22</v>
      </c>
      <c r="F73" s="255" t="s">
        <v>23</v>
      </c>
      <c r="G73" s="257" t="s">
        <v>155</v>
      </c>
      <c r="H73" s="258" t="s">
        <v>156</v>
      </c>
      <c r="I73" s="259">
        <v>46052.0</v>
      </c>
      <c r="J73" s="255" t="s">
        <v>324</v>
      </c>
      <c r="K73" s="255" t="s">
        <v>325</v>
      </c>
      <c r="L73" s="255" t="s">
        <v>326</v>
      </c>
      <c r="M73" s="260" t="s">
        <v>327</v>
      </c>
      <c r="N73" s="255" t="s">
        <v>328</v>
      </c>
      <c r="O73" s="255" t="s">
        <v>329</v>
      </c>
      <c r="P73" s="255">
        <v>20.0</v>
      </c>
      <c r="Q73" s="255" t="s">
        <v>330</v>
      </c>
      <c r="R73" s="262"/>
    </row>
    <row r="74">
      <c r="A74" s="263" t="s">
        <v>18</v>
      </c>
      <c r="B74" s="153" t="s">
        <v>19</v>
      </c>
      <c r="C74" s="255" t="s">
        <v>29</v>
      </c>
      <c r="D74" s="256" t="s">
        <v>127</v>
      </c>
      <c r="E74" s="255" t="s">
        <v>22</v>
      </c>
      <c r="F74" s="255" t="s">
        <v>23</v>
      </c>
      <c r="G74" s="257" t="s">
        <v>155</v>
      </c>
      <c r="H74" s="258" t="s">
        <v>156</v>
      </c>
      <c r="I74" s="259">
        <v>46052.0</v>
      </c>
      <c r="J74" s="255" t="s">
        <v>331</v>
      </c>
      <c r="K74" s="255" t="s">
        <v>332</v>
      </c>
      <c r="L74" s="255" t="s">
        <v>333</v>
      </c>
      <c r="M74" s="266" t="s">
        <v>334</v>
      </c>
      <c r="N74" s="255" t="s">
        <v>335</v>
      </c>
      <c r="O74" s="255" t="s">
        <v>195</v>
      </c>
      <c r="P74" s="278">
        <v>25.0</v>
      </c>
      <c r="Q74" s="278" t="s">
        <v>336</v>
      </c>
      <c r="R74" s="262"/>
    </row>
    <row r="75">
      <c r="A75" s="217" t="s">
        <v>18</v>
      </c>
      <c r="B75" s="218" t="s">
        <v>19</v>
      </c>
      <c r="C75" s="255" t="s">
        <v>29</v>
      </c>
      <c r="D75" s="256" t="s">
        <v>135</v>
      </c>
      <c r="E75" s="255" t="s">
        <v>103</v>
      </c>
      <c r="F75" s="255" t="s">
        <v>75</v>
      </c>
      <c r="G75" s="257" t="s">
        <v>155</v>
      </c>
      <c r="H75" s="258" t="s">
        <v>156</v>
      </c>
      <c r="I75" s="259">
        <v>46052.0</v>
      </c>
      <c r="J75" s="298" t="s">
        <v>258</v>
      </c>
      <c r="K75" s="256" t="s">
        <v>144</v>
      </c>
      <c r="L75" s="255" t="s">
        <v>157</v>
      </c>
      <c r="M75" s="255" t="s">
        <v>159</v>
      </c>
      <c r="N75" s="266" t="s">
        <v>158</v>
      </c>
      <c r="O75" s="255" t="s">
        <v>29</v>
      </c>
      <c r="P75" s="280"/>
      <c r="Q75" s="255" t="s">
        <v>160</v>
      </c>
      <c r="R75" s="262"/>
    </row>
    <row r="76">
      <c r="A76" s="279" t="s">
        <v>18</v>
      </c>
      <c r="B76" s="111" t="s">
        <v>19</v>
      </c>
      <c r="C76" s="286" t="s">
        <v>20</v>
      </c>
      <c r="D76" s="267" t="s">
        <v>337</v>
      </c>
      <c r="E76" s="57" t="s">
        <v>22</v>
      </c>
      <c r="F76" s="57" t="s">
        <v>23</v>
      </c>
      <c r="G76" s="267" t="s">
        <v>155</v>
      </c>
      <c r="H76" s="267" t="s">
        <v>338</v>
      </c>
      <c r="I76" s="115">
        <v>46053.0</v>
      </c>
      <c r="J76" s="57" t="s">
        <v>339</v>
      </c>
      <c r="K76" s="57" t="s">
        <v>340</v>
      </c>
      <c r="L76" s="57" t="s">
        <v>341</v>
      </c>
      <c r="M76" s="299" t="s">
        <v>342</v>
      </c>
      <c r="N76" s="57" t="s">
        <v>343</v>
      </c>
      <c r="O76" s="57" t="s">
        <v>344</v>
      </c>
      <c r="P76" s="61">
        <v>20.0</v>
      </c>
      <c r="Q76" s="61" t="s">
        <v>345</v>
      </c>
      <c r="R76" s="267"/>
    </row>
    <row r="77">
      <c r="A77" s="281" t="s">
        <v>18</v>
      </c>
      <c r="B77" s="282" t="s">
        <v>19</v>
      </c>
      <c r="C77" s="286" t="s">
        <v>20</v>
      </c>
      <c r="D77" s="267" t="s">
        <v>346</v>
      </c>
      <c r="E77" s="57" t="s">
        <v>22</v>
      </c>
      <c r="F77" s="57" t="s">
        <v>23</v>
      </c>
      <c r="G77" s="267" t="s">
        <v>155</v>
      </c>
      <c r="H77" s="267" t="s">
        <v>338</v>
      </c>
      <c r="I77" s="115">
        <v>46053.0</v>
      </c>
      <c r="J77" s="57" t="s">
        <v>312</v>
      </c>
      <c r="K77" s="57" t="s">
        <v>313</v>
      </c>
      <c r="L77" s="57" t="s">
        <v>347</v>
      </c>
      <c r="M77" s="271" t="s">
        <v>348</v>
      </c>
      <c r="N77" s="57" t="s">
        <v>349</v>
      </c>
      <c r="O77" s="57" t="s">
        <v>350</v>
      </c>
      <c r="P77" s="61">
        <v>15.0</v>
      </c>
      <c r="Q77" s="61" t="s">
        <v>351</v>
      </c>
      <c r="R77" s="272"/>
    </row>
    <row r="78">
      <c r="A78" s="279" t="s">
        <v>18</v>
      </c>
      <c r="B78" s="111" t="s">
        <v>19</v>
      </c>
      <c r="C78" s="286" t="s">
        <v>20</v>
      </c>
      <c r="D78" s="267" t="s">
        <v>117</v>
      </c>
      <c r="E78" s="57" t="s">
        <v>52</v>
      </c>
      <c r="F78" s="57" t="s">
        <v>53</v>
      </c>
      <c r="G78" s="267" t="s">
        <v>155</v>
      </c>
      <c r="H78" s="267" t="s">
        <v>338</v>
      </c>
      <c r="I78" s="115">
        <v>46053.0</v>
      </c>
      <c r="J78" s="57" t="s">
        <v>216</v>
      </c>
      <c r="K78" s="267" t="s">
        <v>216</v>
      </c>
      <c r="L78" s="286"/>
      <c r="M78" s="300"/>
      <c r="N78" s="286"/>
      <c r="O78" s="301"/>
      <c r="P78" s="60"/>
      <c r="Q78" s="60"/>
      <c r="R78" s="272" t="s">
        <v>20</v>
      </c>
    </row>
    <row r="79">
      <c r="A79" s="279" t="s">
        <v>18</v>
      </c>
      <c r="B79" s="111" t="s">
        <v>19</v>
      </c>
      <c r="C79" s="286" t="s">
        <v>20</v>
      </c>
      <c r="D79" s="267" t="s">
        <v>352</v>
      </c>
      <c r="E79" s="57" t="s">
        <v>22</v>
      </c>
      <c r="F79" s="57" t="s">
        <v>75</v>
      </c>
      <c r="G79" s="267" t="s">
        <v>155</v>
      </c>
      <c r="H79" s="267" t="s">
        <v>338</v>
      </c>
      <c r="I79" s="115">
        <v>46053.0</v>
      </c>
      <c r="J79" s="57" t="s">
        <v>353</v>
      </c>
      <c r="K79" s="57" t="s">
        <v>144</v>
      </c>
      <c r="L79" s="57" t="s">
        <v>205</v>
      </c>
      <c r="M79" s="271" t="s">
        <v>206</v>
      </c>
      <c r="N79" s="57" t="s">
        <v>207</v>
      </c>
      <c r="O79" s="57" t="s">
        <v>208</v>
      </c>
      <c r="P79" s="61">
        <v>400.0</v>
      </c>
      <c r="Q79" s="61"/>
      <c r="R79" s="267"/>
    </row>
    <row r="80">
      <c r="A80" s="279" t="s">
        <v>18</v>
      </c>
      <c r="B80" s="111" t="s">
        <v>19</v>
      </c>
      <c r="C80" s="286" t="s">
        <v>20</v>
      </c>
      <c r="D80" s="267" t="s">
        <v>354</v>
      </c>
      <c r="E80" s="57" t="s">
        <v>22</v>
      </c>
      <c r="F80" s="57" t="s">
        <v>23</v>
      </c>
      <c r="G80" s="267" t="s">
        <v>155</v>
      </c>
      <c r="H80" s="267" t="s">
        <v>338</v>
      </c>
      <c r="I80" s="115">
        <v>46053.0</v>
      </c>
      <c r="J80" s="57" t="s">
        <v>355</v>
      </c>
      <c r="K80" s="57" t="s">
        <v>356</v>
      </c>
      <c r="L80" s="57" t="s">
        <v>357</v>
      </c>
      <c r="M80" s="271" t="s">
        <v>358</v>
      </c>
      <c r="N80" s="57" t="s">
        <v>359</v>
      </c>
      <c r="O80" s="57" t="s">
        <v>360</v>
      </c>
      <c r="P80" s="61">
        <v>30.0</v>
      </c>
      <c r="Q80" s="61" t="s">
        <v>361</v>
      </c>
      <c r="R80" s="272"/>
    </row>
    <row r="81">
      <c r="A81" s="302" t="s">
        <v>18</v>
      </c>
      <c r="B81" s="303" t="s">
        <v>19</v>
      </c>
      <c r="C81" s="304" t="s">
        <v>20</v>
      </c>
      <c r="D81" s="305" t="s">
        <v>102</v>
      </c>
      <c r="E81" s="306" t="s">
        <v>362</v>
      </c>
      <c r="F81" s="307" t="s">
        <v>75</v>
      </c>
      <c r="G81" s="308" t="s">
        <v>363</v>
      </c>
      <c r="H81" s="309" t="s">
        <v>104</v>
      </c>
      <c r="I81" s="310">
        <v>46063.0</v>
      </c>
      <c r="J81" s="255" t="s">
        <v>258</v>
      </c>
      <c r="K81" s="311" t="s">
        <v>144</v>
      </c>
      <c r="L81" s="307" t="s">
        <v>364</v>
      </c>
      <c r="M81" s="312" t="s">
        <v>365</v>
      </c>
      <c r="N81" s="255" t="s">
        <v>366</v>
      </c>
      <c r="O81" s="311" t="s">
        <v>85</v>
      </c>
      <c r="P81" s="288" t="s">
        <v>53</v>
      </c>
      <c r="Q81" s="313"/>
      <c r="R81" s="309"/>
    </row>
    <row r="82">
      <c r="A82" s="314" t="s">
        <v>18</v>
      </c>
      <c r="B82" s="315" t="s">
        <v>19</v>
      </c>
      <c r="C82" s="304" t="s">
        <v>20</v>
      </c>
      <c r="D82" s="305" t="s">
        <v>119</v>
      </c>
      <c r="E82" s="306" t="s">
        <v>22</v>
      </c>
      <c r="F82" s="307" t="s">
        <v>23</v>
      </c>
      <c r="G82" s="308" t="s">
        <v>363</v>
      </c>
      <c r="H82" s="309" t="s">
        <v>104</v>
      </c>
      <c r="I82" s="310">
        <v>46063.0</v>
      </c>
      <c r="J82" s="255" t="s">
        <v>367</v>
      </c>
      <c r="K82" s="311" t="s">
        <v>368</v>
      </c>
      <c r="L82" s="307" t="s">
        <v>369</v>
      </c>
      <c r="M82" s="316" t="s">
        <v>370</v>
      </c>
      <c r="N82" s="255" t="s">
        <v>371</v>
      </c>
      <c r="O82" s="311" t="s">
        <v>372</v>
      </c>
      <c r="P82" s="288">
        <v>20.0</v>
      </c>
      <c r="Q82" s="317" t="s">
        <v>373</v>
      </c>
      <c r="R82" s="309"/>
    </row>
    <row r="83">
      <c r="A83" s="314"/>
      <c r="B83" s="315"/>
      <c r="C83" s="318" t="s">
        <v>266</v>
      </c>
      <c r="D83" s="305" t="s">
        <v>224</v>
      </c>
      <c r="E83" s="306" t="s">
        <v>22</v>
      </c>
      <c r="F83" s="307" t="s">
        <v>374</v>
      </c>
      <c r="G83" s="308" t="s">
        <v>363</v>
      </c>
      <c r="H83" s="309" t="s">
        <v>104</v>
      </c>
      <c r="I83" s="310">
        <v>46063.0</v>
      </c>
      <c r="J83" s="255" t="s">
        <v>375</v>
      </c>
      <c r="K83" s="311" t="s">
        <v>376</v>
      </c>
      <c r="L83" s="307" t="s">
        <v>270</v>
      </c>
      <c r="M83" s="312" t="s">
        <v>377</v>
      </c>
      <c r="N83" s="255" t="s">
        <v>378</v>
      </c>
      <c r="O83" s="311" t="s">
        <v>85</v>
      </c>
      <c r="P83" s="288">
        <v>20.0</v>
      </c>
      <c r="Q83" s="288" t="s">
        <v>379</v>
      </c>
      <c r="R83" s="309"/>
    </row>
    <row r="84">
      <c r="A84" s="314" t="s">
        <v>18</v>
      </c>
      <c r="B84" s="315" t="s">
        <v>19</v>
      </c>
      <c r="C84" s="304" t="s">
        <v>20</v>
      </c>
      <c r="D84" s="305" t="s">
        <v>231</v>
      </c>
      <c r="E84" s="306" t="s">
        <v>362</v>
      </c>
      <c r="F84" s="307" t="s">
        <v>75</v>
      </c>
      <c r="G84" s="308" t="s">
        <v>363</v>
      </c>
      <c r="H84" s="309" t="s">
        <v>104</v>
      </c>
      <c r="I84" s="310">
        <v>46063.0</v>
      </c>
      <c r="J84" s="255" t="s">
        <v>258</v>
      </c>
      <c r="K84" s="311" t="s">
        <v>144</v>
      </c>
      <c r="L84" s="307" t="s">
        <v>364</v>
      </c>
      <c r="M84" s="319" t="s">
        <v>380</v>
      </c>
      <c r="N84" s="255" t="s">
        <v>366</v>
      </c>
      <c r="O84" s="311" t="s">
        <v>85</v>
      </c>
      <c r="P84" s="288" t="s">
        <v>53</v>
      </c>
      <c r="Q84" s="313"/>
      <c r="R84" s="309" t="s">
        <v>20</v>
      </c>
    </row>
    <row r="85">
      <c r="A85" s="320" t="s">
        <v>18</v>
      </c>
      <c r="B85" s="321" t="s">
        <v>19</v>
      </c>
      <c r="C85" s="57" t="s">
        <v>39</v>
      </c>
      <c r="D85" s="57" t="s">
        <v>102</v>
      </c>
      <c r="E85" s="286" t="s">
        <v>74</v>
      </c>
      <c r="F85" s="58" t="s">
        <v>75</v>
      </c>
      <c r="G85" s="273" t="s">
        <v>363</v>
      </c>
      <c r="H85" s="322" t="s">
        <v>189</v>
      </c>
      <c r="I85" s="323">
        <v>46064.0</v>
      </c>
      <c r="J85" s="57" t="s">
        <v>381</v>
      </c>
      <c r="K85" s="57" t="s">
        <v>144</v>
      </c>
      <c r="L85" s="285" t="s">
        <v>234</v>
      </c>
      <c r="M85" s="178" t="s">
        <v>235</v>
      </c>
      <c r="N85" s="57" t="s">
        <v>236</v>
      </c>
      <c r="O85" s="57" t="s">
        <v>39</v>
      </c>
      <c r="P85" s="61" t="s">
        <v>53</v>
      </c>
      <c r="Q85" s="57" t="s">
        <v>53</v>
      </c>
      <c r="R85" s="286"/>
    </row>
    <row r="86">
      <c r="A86" s="324" t="s">
        <v>18</v>
      </c>
      <c r="B86" s="315" t="s">
        <v>19</v>
      </c>
      <c r="C86" s="57" t="s">
        <v>39</v>
      </c>
      <c r="D86" s="57" t="s">
        <v>352</v>
      </c>
      <c r="E86" s="57" t="s">
        <v>22</v>
      </c>
      <c r="F86" s="58" t="s">
        <v>23</v>
      </c>
      <c r="G86" s="273" t="s">
        <v>363</v>
      </c>
      <c r="H86" s="322" t="s">
        <v>189</v>
      </c>
      <c r="I86" s="323">
        <v>46064.0</v>
      </c>
      <c r="J86" s="57" t="s">
        <v>382</v>
      </c>
      <c r="K86" s="58" t="s">
        <v>294</v>
      </c>
      <c r="L86" s="58" t="s">
        <v>383</v>
      </c>
      <c r="M86" s="59" t="s">
        <v>384</v>
      </c>
      <c r="N86" s="57" t="s">
        <v>385</v>
      </c>
      <c r="O86" s="58" t="s">
        <v>133</v>
      </c>
      <c r="P86" s="61">
        <v>15.0</v>
      </c>
      <c r="Q86" s="325" t="s">
        <v>386</v>
      </c>
      <c r="R86" s="286"/>
    </row>
    <row r="87">
      <c r="A87" s="324" t="s">
        <v>18</v>
      </c>
      <c r="B87" s="315" t="s">
        <v>19</v>
      </c>
      <c r="C87" s="57" t="s">
        <v>39</v>
      </c>
      <c r="D87" s="286" t="s">
        <v>127</v>
      </c>
      <c r="E87" s="286" t="s">
        <v>22</v>
      </c>
      <c r="F87" s="58" t="s">
        <v>23</v>
      </c>
      <c r="G87" s="273" t="s">
        <v>363</v>
      </c>
      <c r="H87" s="322" t="s">
        <v>189</v>
      </c>
      <c r="I87" s="323">
        <v>46064.0</v>
      </c>
      <c r="J87" s="286" t="s">
        <v>387</v>
      </c>
      <c r="K87" s="326" t="s">
        <v>388</v>
      </c>
      <c r="L87" s="326" t="s">
        <v>389</v>
      </c>
      <c r="M87" s="327" t="s">
        <v>390</v>
      </c>
      <c r="N87" s="286" t="s">
        <v>391</v>
      </c>
      <c r="O87" s="326" t="s">
        <v>392</v>
      </c>
      <c r="P87" s="287">
        <v>30.0</v>
      </c>
      <c r="Q87" s="328" t="s">
        <v>393</v>
      </c>
      <c r="R87" s="286"/>
    </row>
    <row r="88">
      <c r="A88" s="329" t="s">
        <v>18</v>
      </c>
      <c r="B88" s="330" t="s">
        <v>19</v>
      </c>
      <c r="C88" s="57" t="s">
        <v>39</v>
      </c>
      <c r="D88" s="286" t="s">
        <v>135</v>
      </c>
      <c r="E88" s="286" t="s">
        <v>74</v>
      </c>
      <c r="F88" s="58" t="s">
        <v>75</v>
      </c>
      <c r="G88" s="273" t="s">
        <v>363</v>
      </c>
      <c r="H88" s="322" t="s">
        <v>189</v>
      </c>
      <c r="I88" s="323">
        <v>46064.0</v>
      </c>
      <c r="J88" s="57" t="s">
        <v>381</v>
      </c>
      <c r="K88" s="57" t="s">
        <v>144</v>
      </c>
      <c r="L88" s="285" t="s">
        <v>234</v>
      </c>
      <c r="M88" s="178" t="s">
        <v>235</v>
      </c>
      <c r="N88" s="57" t="s">
        <v>236</v>
      </c>
      <c r="O88" s="57" t="s">
        <v>39</v>
      </c>
      <c r="P88" s="61" t="s">
        <v>53</v>
      </c>
      <c r="Q88" s="57" t="s">
        <v>53</v>
      </c>
      <c r="R88" s="286"/>
    </row>
    <row r="89">
      <c r="A89" s="331"/>
      <c r="B89" s="332"/>
      <c r="C89" s="318" t="s">
        <v>266</v>
      </c>
      <c r="D89" s="333">
        <v>0.2708333333333333</v>
      </c>
      <c r="E89" s="306" t="s">
        <v>22</v>
      </c>
      <c r="F89" s="307" t="s">
        <v>23</v>
      </c>
      <c r="G89" s="334" t="s">
        <v>363</v>
      </c>
      <c r="H89" s="335" t="s">
        <v>189</v>
      </c>
      <c r="I89" s="336">
        <v>46071.0</v>
      </c>
      <c r="J89" s="255" t="s">
        <v>394</v>
      </c>
      <c r="K89" s="337"/>
      <c r="L89" s="337"/>
      <c r="M89" s="338"/>
      <c r="N89" s="339"/>
      <c r="O89" s="337"/>
      <c r="P89" s="340">
        <v>50.0</v>
      </c>
      <c r="Q89" s="341"/>
      <c r="R89" s="309"/>
    </row>
    <row r="90">
      <c r="A90" s="36" t="s">
        <v>18</v>
      </c>
      <c r="B90" s="342" t="s">
        <v>19</v>
      </c>
      <c r="C90" s="318" t="s">
        <v>29</v>
      </c>
      <c r="D90" s="305" t="s">
        <v>352</v>
      </c>
      <c r="E90" s="306" t="s">
        <v>22</v>
      </c>
      <c r="F90" s="307" t="s">
        <v>23</v>
      </c>
      <c r="G90" s="334" t="s">
        <v>363</v>
      </c>
      <c r="H90" s="335" t="s">
        <v>189</v>
      </c>
      <c r="I90" s="336">
        <v>46071.0</v>
      </c>
      <c r="J90" s="337" t="s">
        <v>395</v>
      </c>
      <c r="K90" s="337" t="s">
        <v>396</v>
      </c>
      <c r="L90" s="343" t="s">
        <v>397</v>
      </c>
      <c r="M90" s="338" t="s">
        <v>398</v>
      </c>
      <c r="N90" s="339" t="s">
        <v>399</v>
      </c>
      <c r="O90" s="337" t="s">
        <v>400</v>
      </c>
      <c r="P90" s="344">
        <v>25.0</v>
      </c>
      <c r="Q90" s="341" t="s">
        <v>401</v>
      </c>
      <c r="R90" s="309"/>
    </row>
    <row r="91">
      <c r="A91" s="51" t="s">
        <v>18</v>
      </c>
      <c r="B91" s="315" t="s">
        <v>19</v>
      </c>
      <c r="C91" s="318" t="s">
        <v>29</v>
      </c>
      <c r="D91" s="305" t="s">
        <v>127</v>
      </c>
      <c r="E91" s="306" t="s">
        <v>22</v>
      </c>
      <c r="F91" s="307" t="s">
        <v>23</v>
      </c>
      <c r="G91" s="334" t="s">
        <v>363</v>
      </c>
      <c r="H91" s="335" t="s">
        <v>189</v>
      </c>
      <c r="I91" s="336">
        <v>46071.0</v>
      </c>
      <c r="J91" s="255" t="s">
        <v>402</v>
      </c>
      <c r="K91" s="311"/>
      <c r="L91" s="255" t="s">
        <v>270</v>
      </c>
      <c r="M91" s="266" t="s">
        <v>271</v>
      </c>
      <c r="N91" s="255" t="s">
        <v>272</v>
      </c>
      <c r="O91" s="345"/>
      <c r="P91" s="288">
        <v>25.0</v>
      </c>
      <c r="Q91" s="313"/>
      <c r="R91" s="309"/>
    </row>
    <row r="92">
      <c r="A92" s="65" t="s">
        <v>18</v>
      </c>
      <c r="B92" s="346" t="s">
        <v>19</v>
      </c>
      <c r="C92" s="318" t="s">
        <v>29</v>
      </c>
      <c r="D92" s="305" t="s">
        <v>135</v>
      </c>
      <c r="E92" s="306" t="s">
        <v>74</v>
      </c>
      <c r="F92" s="307" t="s">
        <v>75</v>
      </c>
      <c r="G92" s="334" t="s">
        <v>363</v>
      </c>
      <c r="H92" s="335" t="s">
        <v>189</v>
      </c>
      <c r="I92" s="336">
        <v>46071.0</v>
      </c>
      <c r="J92" s="255" t="s">
        <v>258</v>
      </c>
      <c r="K92" s="347"/>
      <c r="L92" s="264"/>
      <c r="M92" s="345"/>
      <c r="N92" s="264"/>
      <c r="O92" s="345"/>
      <c r="P92" s="288" t="s">
        <v>53</v>
      </c>
      <c r="Q92" s="313"/>
      <c r="R92" s="309"/>
    </row>
    <row r="93">
      <c r="A93" s="348" t="s">
        <v>18</v>
      </c>
      <c r="B93" s="349" t="s">
        <v>19</v>
      </c>
      <c r="C93" s="45" t="s">
        <v>39</v>
      </c>
      <c r="D93" s="161" t="s">
        <v>102</v>
      </c>
      <c r="E93" s="54" t="s">
        <v>103</v>
      </c>
      <c r="F93" s="176" t="s">
        <v>75</v>
      </c>
      <c r="G93" s="157" t="s">
        <v>403</v>
      </c>
      <c r="H93" s="157" t="s">
        <v>104</v>
      </c>
      <c r="I93" s="350">
        <v>46070.0</v>
      </c>
      <c r="J93" s="57" t="s">
        <v>233</v>
      </c>
      <c r="K93" s="57" t="s">
        <v>144</v>
      </c>
      <c r="L93" s="351" t="s">
        <v>234</v>
      </c>
      <c r="M93" s="178" t="s">
        <v>235</v>
      </c>
      <c r="N93" s="57" t="s">
        <v>236</v>
      </c>
      <c r="O93" s="57" t="s">
        <v>39</v>
      </c>
      <c r="P93" s="57" t="s">
        <v>53</v>
      </c>
      <c r="Q93" s="57" t="s">
        <v>53</v>
      </c>
      <c r="R93" s="272"/>
    </row>
    <row r="94">
      <c r="A94" s="314" t="s">
        <v>18</v>
      </c>
      <c r="B94" s="315" t="s">
        <v>19</v>
      </c>
      <c r="C94" s="45" t="s">
        <v>39</v>
      </c>
      <c r="D94" s="161" t="s">
        <v>21</v>
      </c>
      <c r="E94" s="54" t="s">
        <v>22</v>
      </c>
      <c r="F94" s="176" t="s">
        <v>23</v>
      </c>
      <c r="G94" s="157" t="s">
        <v>403</v>
      </c>
      <c r="H94" s="157" t="s">
        <v>104</v>
      </c>
      <c r="I94" s="350">
        <v>46070.0</v>
      </c>
      <c r="J94" s="57" t="s">
        <v>404</v>
      </c>
      <c r="K94" s="267" t="s">
        <v>405</v>
      </c>
      <c r="L94" s="57" t="s">
        <v>406</v>
      </c>
      <c r="M94" s="271" t="s">
        <v>407</v>
      </c>
      <c r="N94" s="57" t="s">
        <v>408</v>
      </c>
      <c r="O94" s="267" t="s">
        <v>39</v>
      </c>
      <c r="P94" s="63">
        <v>40.0</v>
      </c>
      <c r="Q94" s="63" t="s">
        <v>409</v>
      </c>
      <c r="R94" s="352"/>
    </row>
    <row r="95">
      <c r="A95" s="314" t="s">
        <v>18</v>
      </c>
      <c r="B95" s="315" t="s">
        <v>19</v>
      </c>
      <c r="C95" s="45" t="s">
        <v>39</v>
      </c>
      <c r="D95" s="161" t="s">
        <v>117</v>
      </c>
      <c r="E95" s="54" t="s">
        <v>52</v>
      </c>
      <c r="F95" s="176" t="s">
        <v>53</v>
      </c>
      <c r="G95" s="157" t="s">
        <v>403</v>
      </c>
      <c r="H95" s="157" t="s">
        <v>104</v>
      </c>
      <c r="I95" s="350">
        <v>46070.0</v>
      </c>
      <c r="J95" s="57" t="s">
        <v>52</v>
      </c>
      <c r="K95" s="267" t="s">
        <v>52</v>
      </c>
      <c r="L95" s="353"/>
      <c r="M95" s="353"/>
      <c r="N95" s="286"/>
      <c r="O95" s="354"/>
      <c r="P95" s="57" t="s">
        <v>53</v>
      </c>
      <c r="Q95" s="355"/>
      <c r="R95" s="352"/>
    </row>
    <row r="96">
      <c r="A96" s="314" t="s">
        <v>18</v>
      </c>
      <c r="B96" s="315" t="s">
        <v>19</v>
      </c>
      <c r="C96" s="45" t="s">
        <v>39</v>
      </c>
      <c r="D96" s="161" t="s">
        <v>119</v>
      </c>
      <c r="E96" s="54" t="s">
        <v>22</v>
      </c>
      <c r="F96" s="176" t="s">
        <v>23</v>
      </c>
      <c r="G96" s="157" t="s">
        <v>403</v>
      </c>
      <c r="H96" s="157" t="s">
        <v>104</v>
      </c>
      <c r="I96" s="350">
        <v>46070.0</v>
      </c>
      <c r="J96" s="57" t="s">
        <v>410</v>
      </c>
      <c r="K96" s="356" t="s">
        <v>411</v>
      </c>
      <c r="L96" s="45" t="s">
        <v>412</v>
      </c>
      <c r="M96" s="164" t="s">
        <v>413</v>
      </c>
      <c r="N96" s="57" t="s">
        <v>414</v>
      </c>
      <c r="O96" s="53" t="s">
        <v>415</v>
      </c>
      <c r="P96" s="63">
        <v>20.0</v>
      </c>
      <c r="Q96" s="357" t="s">
        <v>416</v>
      </c>
      <c r="R96" s="352"/>
    </row>
    <row r="97">
      <c r="A97" s="314" t="s">
        <v>18</v>
      </c>
      <c r="B97" s="315" t="s">
        <v>19</v>
      </c>
      <c r="C97" s="45" t="s">
        <v>39</v>
      </c>
      <c r="D97" s="161" t="s">
        <v>127</v>
      </c>
      <c r="E97" s="54" t="s">
        <v>22</v>
      </c>
      <c r="F97" s="176" t="s">
        <v>23</v>
      </c>
      <c r="G97" s="157" t="s">
        <v>403</v>
      </c>
      <c r="H97" s="157" t="s">
        <v>104</v>
      </c>
      <c r="I97" s="350">
        <v>46070.0</v>
      </c>
      <c r="J97" s="57" t="s">
        <v>417</v>
      </c>
      <c r="K97" s="267" t="s">
        <v>417</v>
      </c>
      <c r="L97" s="45" t="s">
        <v>418</v>
      </c>
      <c r="M97" s="358" t="s">
        <v>419</v>
      </c>
      <c r="N97" s="57" t="s">
        <v>420</v>
      </c>
      <c r="O97" s="45" t="s">
        <v>421</v>
      </c>
      <c r="P97" s="63">
        <v>20.0</v>
      </c>
      <c r="Q97" s="359" t="s">
        <v>422</v>
      </c>
      <c r="R97" s="352"/>
    </row>
    <row r="98">
      <c r="A98" s="360" t="s">
        <v>18</v>
      </c>
      <c r="B98" s="346" t="s">
        <v>19</v>
      </c>
      <c r="C98" s="45" t="s">
        <v>39</v>
      </c>
      <c r="D98" s="161" t="s">
        <v>135</v>
      </c>
      <c r="E98" s="54" t="s">
        <v>103</v>
      </c>
      <c r="F98" s="176" t="s">
        <v>75</v>
      </c>
      <c r="G98" s="157" t="s">
        <v>403</v>
      </c>
      <c r="H98" s="157" t="s">
        <v>104</v>
      </c>
      <c r="I98" s="350">
        <v>46070.0</v>
      </c>
      <c r="J98" s="57" t="s">
        <v>233</v>
      </c>
      <c r="K98" s="57" t="s">
        <v>144</v>
      </c>
      <c r="L98" s="351" t="s">
        <v>234</v>
      </c>
      <c r="M98" s="178" t="s">
        <v>235</v>
      </c>
      <c r="N98" s="57" t="s">
        <v>236</v>
      </c>
      <c r="O98" s="57" t="s">
        <v>39</v>
      </c>
      <c r="P98" s="57" t="s">
        <v>53</v>
      </c>
      <c r="Q98" s="57" t="s">
        <v>53</v>
      </c>
      <c r="R98" s="272"/>
    </row>
    <row r="99">
      <c r="A99" s="361"/>
      <c r="B99" s="362"/>
      <c r="C99" s="363" t="s">
        <v>20</v>
      </c>
      <c r="D99" s="305" t="s">
        <v>102</v>
      </c>
      <c r="E99" s="364" t="s">
        <v>74</v>
      </c>
      <c r="F99" s="365" t="s">
        <v>75</v>
      </c>
      <c r="G99" s="366" t="s">
        <v>403</v>
      </c>
      <c r="H99" s="366" t="s">
        <v>203</v>
      </c>
      <c r="I99" s="367">
        <v>46079.0</v>
      </c>
      <c r="J99" s="343" t="s">
        <v>258</v>
      </c>
      <c r="K99" s="368"/>
      <c r="L99" s="369"/>
      <c r="M99" s="369"/>
      <c r="N99" s="339"/>
      <c r="O99" s="368"/>
      <c r="P99" s="370" t="s">
        <v>53</v>
      </c>
      <c r="Q99" s="371"/>
      <c r="R99" s="372"/>
    </row>
    <row r="100">
      <c r="A100" s="361"/>
      <c r="B100" s="362"/>
      <c r="C100" s="264" t="s">
        <v>20</v>
      </c>
      <c r="D100" s="256" t="s">
        <v>82</v>
      </c>
      <c r="E100" s="255" t="s">
        <v>22</v>
      </c>
      <c r="F100" s="255" t="s">
        <v>23</v>
      </c>
      <c r="G100" s="308" t="s">
        <v>363</v>
      </c>
      <c r="H100" s="366" t="s">
        <v>203</v>
      </c>
      <c r="I100" s="373">
        <v>46079.0</v>
      </c>
      <c r="J100" s="255" t="s">
        <v>423</v>
      </c>
      <c r="K100" s="255" t="s">
        <v>424</v>
      </c>
      <c r="L100" s="255" t="s">
        <v>425</v>
      </c>
      <c r="M100" s="374" t="s">
        <v>426</v>
      </c>
      <c r="N100" s="255" t="s">
        <v>427</v>
      </c>
      <c r="O100" s="255" t="s">
        <v>428</v>
      </c>
      <c r="P100" s="278">
        <v>30.0</v>
      </c>
      <c r="Q100" s="278" t="s">
        <v>429</v>
      </c>
      <c r="R100" s="255"/>
    </row>
    <row r="101">
      <c r="A101" s="361"/>
      <c r="B101" s="362"/>
      <c r="C101" s="363" t="s">
        <v>20</v>
      </c>
      <c r="D101" s="305" t="s">
        <v>117</v>
      </c>
      <c r="E101" s="364" t="s">
        <v>52</v>
      </c>
      <c r="F101" s="307" t="s">
        <v>53</v>
      </c>
      <c r="G101" s="366" t="s">
        <v>403</v>
      </c>
      <c r="H101" s="366" t="s">
        <v>203</v>
      </c>
      <c r="I101" s="367">
        <v>46079.0</v>
      </c>
      <c r="J101" s="255" t="s">
        <v>52</v>
      </c>
      <c r="K101" s="256" t="s">
        <v>52</v>
      </c>
      <c r="L101" s="339"/>
      <c r="M101" s="339"/>
      <c r="N101" s="339"/>
      <c r="O101" s="258"/>
      <c r="P101" s="370" t="s">
        <v>53</v>
      </c>
      <c r="Q101" s="375"/>
      <c r="R101" s="372"/>
    </row>
    <row r="102">
      <c r="A102" s="361"/>
      <c r="B102" s="362"/>
      <c r="C102" s="363" t="s">
        <v>20</v>
      </c>
      <c r="D102" s="305" t="s">
        <v>83</v>
      </c>
      <c r="E102" s="364" t="s">
        <v>22</v>
      </c>
      <c r="F102" s="307" t="s">
        <v>23</v>
      </c>
      <c r="G102" s="366" t="s">
        <v>403</v>
      </c>
      <c r="H102" s="366" t="s">
        <v>203</v>
      </c>
      <c r="I102" s="367">
        <v>46079.0</v>
      </c>
      <c r="J102" s="343" t="s">
        <v>430</v>
      </c>
      <c r="K102" s="343" t="s">
        <v>431</v>
      </c>
      <c r="L102" s="343" t="s">
        <v>432</v>
      </c>
      <c r="M102" s="376" t="s">
        <v>433</v>
      </c>
      <c r="N102" s="343" t="s">
        <v>434</v>
      </c>
      <c r="O102" s="343" t="s">
        <v>435</v>
      </c>
      <c r="P102" s="370">
        <v>20.0</v>
      </c>
      <c r="Q102" s="340" t="s">
        <v>436</v>
      </c>
      <c r="R102" s="372"/>
    </row>
    <row r="103">
      <c r="A103" s="361"/>
      <c r="B103" s="362"/>
      <c r="C103" s="363" t="s">
        <v>20</v>
      </c>
      <c r="D103" s="305" t="s">
        <v>88</v>
      </c>
      <c r="E103" s="364" t="s">
        <v>22</v>
      </c>
      <c r="F103" s="307" t="s">
        <v>23</v>
      </c>
      <c r="G103" s="366" t="s">
        <v>403</v>
      </c>
      <c r="H103" s="366" t="s">
        <v>203</v>
      </c>
      <c r="I103" s="367">
        <v>46079.0</v>
      </c>
      <c r="J103" s="343" t="s">
        <v>437</v>
      </c>
      <c r="K103" s="257" t="s">
        <v>438</v>
      </c>
      <c r="L103" s="343" t="s">
        <v>439</v>
      </c>
      <c r="M103" s="377" t="s">
        <v>440</v>
      </c>
      <c r="N103" s="343" t="s">
        <v>441</v>
      </c>
      <c r="O103" s="257" t="s">
        <v>442</v>
      </c>
      <c r="P103" s="370">
        <v>20.0</v>
      </c>
      <c r="Q103" s="370" t="s">
        <v>443</v>
      </c>
      <c r="R103" s="372"/>
    </row>
    <row r="104">
      <c r="A104" s="361"/>
      <c r="B104" s="362"/>
      <c r="C104" s="364" t="s">
        <v>20</v>
      </c>
      <c r="D104" s="305" t="s">
        <v>127</v>
      </c>
      <c r="E104" s="364" t="s">
        <v>22</v>
      </c>
      <c r="F104" s="307" t="s">
        <v>23</v>
      </c>
      <c r="G104" s="366" t="s">
        <v>403</v>
      </c>
      <c r="H104" s="366" t="s">
        <v>203</v>
      </c>
      <c r="I104" s="367">
        <v>46079.0</v>
      </c>
      <c r="J104" s="343" t="s">
        <v>444</v>
      </c>
      <c r="K104" s="257" t="s">
        <v>438</v>
      </c>
      <c r="L104" s="343" t="s">
        <v>445</v>
      </c>
      <c r="M104" s="376" t="s">
        <v>446</v>
      </c>
      <c r="N104" s="343" t="s">
        <v>447</v>
      </c>
      <c r="O104" s="257" t="s">
        <v>442</v>
      </c>
      <c r="P104" s="370">
        <v>10.0</v>
      </c>
      <c r="Q104" s="370" t="s">
        <v>448</v>
      </c>
      <c r="R104" s="372"/>
    </row>
    <row r="105">
      <c r="A105" s="361"/>
      <c r="B105" s="362"/>
      <c r="C105" s="363" t="s">
        <v>20</v>
      </c>
      <c r="D105" s="305" t="s">
        <v>231</v>
      </c>
      <c r="E105" s="364" t="s">
        <v>74</v>
      </c>
      <c r="F105" s="365" t="s">
        <v>75</v>
      </c>
      <c r="G105" s="366" t="s">
        <v>403</v>
      </c>
      <c r="H105" s="366" t="s">
        <v>203</v>
      </c>
      <c r="I105" s="367">
        <v>46079.0</v>
      </c>
      <c r="J105" s="343" t="s">
        <v>258</v>
      </c>
      <c r="K105" s="368"/>
      <c r="L105" s="369"/>
      <c r="M105" s="369"/>
      <c r="N105" s="339"/>
      <c r="O105" s="368"/>
      <c r="P105" s="370" t="s">
        <v>53</v>
      </c>
      <c r="Q105" s="371"/>
      <c r="R105" s="372"/>
    </row>
    <row r="106">
      <c r="A106" s="361"/>
      <c r="B106" s="362"/>
      <c r="C106" s="378" t="s">
        <v>39</v>
      </c>
      <c r="D106" s="161" t="s">
        <v>449</v>
      </c>
      <c r="E106" s="378" t="s">
        <v>22</v>
      </c>
      <c r="F106" s="379" t="s">
        <v>23</v>
      </c>
      <c r="G106" s="380" t="s">
        <v>450</v>
      </c>
      <c r="H106" s="381" t="s">
        <v>338</v>
      </c>
      <c r="I106" s="382">
        <v>46088.0</v>
      </c>
      <c r="J106" s="273" t="s">
        <v>451</v>
      </c>
      <c r="K106" s="383" t="s">
        <v>452</v>
      </c>
      <c r="L106" s="379" t="s">
        <v>453</v>
      </c>
      <c r="M106" s="384" t="s">
        <v>454</v>
      </c>
      <c r="N106" s="273" t="s">
        <v>455</v>
      </c>
      <c r="O106" s="383" t="s">
        <v>456</v>
      </c>
      <c r="P106" s="385" t="s">
        <v>457</v>
      </c>
      <c r="Q106" s="386" t="s">
        <v>458</v>
      </c>
      <c r="R106" s="380"/>
    </row>
    <row r="107">
      <c r="A107" s="387" t="s">
        <v>18</v>
      </c>
      <c r="B107" s="388" t="s">
        <v>19</v>
      </c>
      <c r="C107" s="389" t="s">
        <v>20</v>
      </c>
      <c r="D107" s="161" t="s">
        <v>459</v>
      </c>
      <c r="E107" s="378" t="s">
        <v>22</v>
      </c>
      <c r="F107" s="379" t="s">
        <v>23</v>
      </c>
      <c r="G107" s="380" t="s">
        <v>450</v>
      </c>
      <c r="H107" s="381" t="s">
        <v>338</v>
      </c>
      <c r="I107" s="382">
        <v>46088.0</v>
      </c>
      <c r="J107" s="273" t="s">
        <v>460</v>
      </c>
      <c r="K107" s="383" t="s">
        <v>461</v>
      </c>
      <c r="L107" s="379" t="s">
        <v>462</v>
      </c>
      <c r="M107" s="384" t="s">
        <v>463</v>
      </c>
      <c r="N107" s="273" t="s">
        <v>464</v>
      </c>
      <c r="O107" s="383" t="s">
        <v>465</v>
      </c>
      <c r="P107" s="385" t="s">
        <v>457</v>
      </c>
      <c r="Q107" s="386" t="s">
        <v>466</v>
      </c>
      <c r="R107" s="380"/>
    </row>
    <row r="108">
      <c r="A108" s="390" t="s">
        <v>18</v>
      </c>
      <c r="B108" s="389" t="s">
        <v>19</v>
      </c>
      <c r="C108" s="389" t="s">
        <v>20</v>
      </c>
      <c r="D108" s="161" t="s">
        <v>82</v>
      </c>
      <c r="E108" s="378" t="s">
        <v>22</v>
      </c>
      <c r="F108" s="176" t="s">
        <v>23</v>
      </c>
      <c r="G108" s="380" t="s">
        <v>450</v>
      </c>
      <c r="H108" s="381" t="s">
        <v>338</v>
      </c>
      <c r="I108" s="382">
        <v>46088.0</v>
      </c>
      <c r="J108" s="273" t="s">
        <v>467</v>
      </c>
      <c r="K108" s="379" t="s">
        <v>468</v>
      </c>
      <c r="L108" s="379" t="s">
        <v>469</v>
      </c>
      <c r="M108" s="384" t="s">
        <v>470</v>
      </c>
      <c r="N108" s="273" t="s">
        <v>471</v>
      </c>
      <c r="O108" s="383" t="s">
        <v>249</v>
      </c>
      <c r="P108" s="385" t="s">
        <v>457</v>
      </c>
      <c r="Q108" s="386" t="s">
        <v>472</v>
      </c>
      <c r="R108" s="380"/>
    </row>
    <row r="109">
      <c r="A109" s="390" t="s">
        <v>18</v>
      </c>
      <c r="B109" s="389" t="s">
        <v>19</v>
      </c>
      <c r="C109" s="389" t="s">
        <v>20</v>
      </c>
      <c r="D109" s="161" t="s">
        <v>117</v>
      </c>
      <c r="E109" s="378" t="s">
        <v>52</v>
      </c>
      <c r="F109" s="176" t="s">
        <v>53</v>
      </c>
      <c r="G109" s="380" t="s">
        <v>450</v>
      </c>
      <c r="H109" s="381" t="s">
        <v>338</v>
      </c>
      <c r="I109" s="382">
        <v>46088.0</v>
      </c>
      <c r="J109" s="57" t="s">
        <v>52</v>
      </c>
      <c r="K109" s="267" t="s">
        <v>52</v>
      </c>
      <c r="L109" s="391"/>
      <c r="M109" s="391"/>
      <c r="N109" s="322"/>
      <c r="O109" s="392"/>
      <c r="P109" s="385" t="s">
        <v>457</v>
      </c>
      <c r="Q109" s="393"/>
      <c r="R109" s="380"/>
    </row>
    <row r="110">
      <c r="A110" s="390" t="s">
        <v>18</v>
      </c>
      <c r="B110" s="389" t="s">
        <v>19</v>
      </c>
      <c r="C110" s="389" t="s">
        <v>20</v>
      </c>
      <c r="D110" s="161" t="s">
        <v>119</v>
      </c>
      <c r="E110" s="378" t="s">
        <v>22</v>
      </c>
      <c r="F110" s="176" t="s">
        <v>23</v>
      </c>
      <c r="G110" s="380" t="s">
        <v>450</v>
      </c>
      <c r="H110" s="381" t="s">
        <v>156</v>
      </c>
      <c r="I110" s="382">
        <v>46087.0</v>
      </c>
      <c r="J110" s="273" t="s">
        <v>473</v>
      </c>
      <c r="K110" s="392"/>
      <c r="L110" s="379" t="s">
        <v>474</v>
      </c>
      <c r="M110" s="391"/>
      <c r="N110" s="322"/>
      <c r="O110" s="383" t="s">
        <v>475</v>
      </c>
      <c r="P110" s="385" t="s">
        <v>457</v>
      </c>
      <c r="Q110" s="386" t="s">
        <v>476</v>
      </c>
      <c r="R110" s="380"/>
    </row>
    <row r="111">
      <c r="E111" s="394"/>
      <c r="F111" s="394"/>
      <c r="J111" s="395"/>
      <c r="K111" s="395"/>
      <c r="L111" s="395"/>
      <c r="M111" s="395"/>
      <c r="N111" s="395"/>
      <c r="O111" s="395"/>
      <c r="P111" s="395"/>
      <c r="Q111" s="395"/>
    </row>
    <row r="112">
      <c r="E112" s="394"/>
      <c r="F112" s="394"/>
      <c r="J112" s="395"/>
      <c r="K112" s="395"/>
      <c r="L112" s="395"/>
      <c r="M112" s="395"/>
      <c r="N112" s="395"/>
      <c r="O112" s="395"/>
      <c r="P112" s="395"/>
      <c r="Q112" s="395"/>
    </row>
    <row r="113">
      <c r="E113" s="394"/>
      <c r="F113" s="394"/>
      <c r="J113" s="395"/>
      <c r="K113" s="395"/>
      <c r="L113" s="395"/>
      <c r="M113" s="395"/>
      <c r="N113" s="395"/>
      <c r="O113" s="395"/>
      <c r="P113" s="395"/>
      <c r="Q113" s="395"/>
    </row>
    <row r="114">
      <c r="E114" s="394"/>
      <c r="F114" s="394"/>
      <c r="J114" s="395"/>
      <c r="K114" s="395"/>
      <c r="L114" s="395"/>
      <c r="M114" s="395"/>
      <c r="N114" s="395"/>
      <c r="O114" s="395"/>
      <c r="P114" s="395"/>
      <c r="Q114" s="395"/>
    </row>
    <row r="115">
      <c r="E115" s="394"/>
      <c r="G115" s="396"/>
      <c r="J115" s="395"/>
      <c r="K115" s="395"/>
      <c r="L115" s="395"/>
      <c r="M115" s="395"/>
      <c r="N115" s="395"/>
      <c r="O115" s="395"/>
      <c r="P115" s="395"/>
      <c r="Q115" s="395"/>
    </row>
    <row r="116">
      <c r="E116" s="394"/>
      <c r="G116" s="397"/>
      <c r="J116" s="395"/>
      <c r="K116" s="395"/>
      <c r="L116" s="395"/>
      <c r="M116" s="395"/>
      <c r="N116" s="395"/>
      <c r="O116" s="395"/>
      <c r="P116" s="395"/>
      <c r="Q116" s="395"/>
    </row>
    <row r="117">
      <c r="E117" s="394"/>
      <c r="G117" s="396"/>
      <c r="J117" s="395"/>
      <c r="K117" s="395"/>
      <c r="L117" s="395"/>
      <c r="M117" s="395"/>
      <c r="N117" s="395"/>
      <c r="O117" s="395"/>
      <c r="P117" s="395"/>
      <c r="Q117" s="395"/>
    </row>
    <row r="118">
      <c r="E118" s="394"/>
      <c r="G118" s="396"/>
      <c r="J118" s="395"/>
      <c r="K118" s="395"/>
      <c r="L118" s="395"/>
      <c r="M118" s="395"/>
      <c r="N118" s="395"/>
      <c r="O118" s="395"/>
      <c r="P118" s="395"/>
      <c r="Q118" s="395"/>
    </row>
    <row r="119">
      <c r="E119" s="394"/>
      <c r="J119" s="395"/>
      <c r="K119" s="395"/>
      <c r="L119" s="395"/>
      <c r="M119" s="395"/>
      <c r="N119" s="395"/>
      <c r="O119" s="395"/>
      <c r="P119" s="395"/>
      <c r="Q119" s="395"/>
    </row>
    <row r="120">
      <c r="E120" s="394"/>
      <c r="J120" s="395"/>
      <c r="K120" s="395"/>
      <c r="L120" s="395"/>
      <c r="M120" s="395"/>
      <c r="N120" s="395"/>
      <c r="O120" s="395"/>
      <c r="P120" s="395"/>
      <c r="Q120" s="395"/>
    </row>
    <row r="121">
      <c r="E121" s="394"/>
      <c r="J121" s="395"/>
      <c r="K121" s="395"/>
      <c r="L121" s="395"/>
      <c r="M121" s="395"/>
      <c r="N121" s="395"/>
      <c r="O121" s="395"/>
      <c r="P121" s="395"/>
      <c r="Q121" s="395"/>
    </row>
    <row r="122">
      <c r="E122" s="394"/>
      <c r="J122" s="395"/>
      <c r="K122" s="395"/>
      <c r="L122" s="395"/>
      <c r="M122" s="395"/>
      <c r="N122" s="395"/>
      <c r="O122" s="395"/>
      <c r="P122" s="395"/>
      <c r="Q122" s="395"/>
    </row>
    <row r="123">
      <c r="E123" s="394"/>
      <c r="J123" s="395"/>
      <c r="K123" s="395"/>
      <c r="L123" s="395"/>
      <c r="M123" s="395"/>
      <c r="N123" s="395"/>
      <c r="O123" s="395"/>
      <c r="P123" s="395"/>
      <c r="Q123" s="395"/>
    </row>
    <row r="124">
      <c r="E124" s="394"/>
      <c r="J124" s="395"/>
      <c r="K124" s="395"/>
      <c r="L124" s="395"/>
      <c r="M124" s="395"/>
      <c r="N124" s="395"/>
      <c r="O124" s="395"/>
      <c r="P124" s="395"/>
      <c r="Q124" s="395"/>
    </row>
    <row r="125">
      <c r="E125" s="394"/>
      <c r="J125" s="395"/>
      <c r="K125" s="395"/>
      <c r="L125" s="395"/>
      <c r="M125" s="395"/>
      <c r="N125" s="395"/>
      <c r="O125" s="395"/>
      <c r="P125" s="395"/>
      <c r="Q125" s="395"/>
    </row>
    <row r="126">
      <c r="E126" s="394"/>
      <c r="J126" s="395"/>
      <c r="K126" s="395"/>
      <c r="L126" s="395"/>
      <c r="M126" s="395"/>
      <c r="N126" s="395"/>
      <c r="O126" s="395"/>
      <c r="P126" s="395"/>
      <c r="Q126" s="395"/>
    </row>
    <row r="127">
      <c r="E127" s="394"/>
      <c r="J127" s="395"/>
      <c r="K127" s="395"/>
      <c r="L127" s="395"/>
      <c r="M127" s="395"/>
      <c r="N127" s="395"/>
      <c r="O127" s="395"/>
      <c r="P127" s="395"/>
      <c r="Q127" s="395"/>
    </row>
    <row r="128">
      <c r="E128" s="394"/>
      <c r="J128" s="395"/>
      <c r="K128" s="395"/>
      <c r="L128" s="395"/>
      <c r="M128" s="395"/>
      <c r="N128" s="395"/>
      <c r="O128" s="395"/>
      <c r="P128" s="395"/>
      <c r="Q128" s="395"/>
    </row>
    <row r="129">
      <c r="E129" s="394"/>
      <c r="J129" s="395"/>
      <c r="K129" s="395"/>
      <c r="L129" s="395"/>
      <c r="M129" s="395"/>
      <c r="N129" s="395"/>
      <c r="O129" s="395"/>
      <c r="P129" s="395"/>
      <c r="Q129" s="395"/>
    </row>
    <row r="130">
      <c r="E130" s="394"/>
      <c r="J130" s="395"/>
      <c r="K130" s="395"/>
      <c r="L130" s="395"/>
      <c r="M130" s="395"/>
      <c r="N130" s="395"/>
      <c r="O130" s="395"/>
      <c r="P130" s="395"/>
      <c r="Q130" s="395"/>
    </row>
    <row r="131">
      <c r="E131" s="394"/>
      <c r="J131" s="395"/>
      <c r="K131" s="395"/>
      <c r="L131" s="395"/>
      <c r="M131" s="395"/>
      <c r="N131" s="395"/>
      <c r="O131" s="395"/>
      <c r="P131" s="395"/>
      <c r="Q131" s="395"/>
    </row>
    <row r="132">
      <c r="E132" s="394"/>
      <c r="J132" s="395"/>
      <c r="K132" s="395"/>
      <c r="L132" s="395"/>
      <c r="M132" s="395"/>
      <c r="N132" s="395"/>
      <c r="O132" s="395"/>
      <c r="P132" s="395"/>
      <c r="Q132" s="395"/>
    </row>
    <row r="133">
      <c r="E133" s="394"/>
      <c r="J133" s="395"/>
      <c r="K133" s="395"/>
      <c r="L133" s="395"/>
      <c r="M133" s="395"/>
      <c r="N133" s="395"/>
      <c r="O133" s="395"/>
      <c r="P133" s="395"/>
      <c r="Q133" s="395"/>
    </row>
    <row r="134">
      <c r="E134" s="394"/>
      <c r="J134" s="395"/>
      <c r="K134" s="395"/>
      <c r="L134" s="395"/>
      <c r="M134" s="395"/>
      <c r="N134" s="395"/>
      <c r="O134" s="395"/>
      <c r="P134" s="395"/>
      <c r="Q134" s="395"/>
    </row>
    <row r="135">
      <c r="E135" s="394"/>
      <c r="J135" s="395"/>
      <c r="K135" s="395"/>
      <c r="L135" s="395"/>
      <c r="M135" s="395"/>
      <c r="N135" s="395"/>
      <c r="O135" s="395"/>
      <c r="P135" s="395"/>
      <c r="Q135" s="395"/>
    </row>
    <row r="136">
      <c r="E136" s="394"/>
      <c r="J136" s="395"/>
      <c r="K136" s="395"/>
      <c r="L136" s="395"/>
      <c r="M136" s="395"/>
      <c r="N136" s="395"/>
      <c r="O136" s="395"/>
      <c r="P136" s="395"/>
      <c r="Q136" s="395"/>
    </row>
    <row r="137">
      <c r="E137" s="394"/>
      <c r="J137" s="395"/>
      <c r="K137" s="395"/>
      <c r="L137" s="395"/>
      <c r="M137" s="395"/>
      <c r="N137" s="395"/>
      <c r="O137" s="395"/>
      <c r="P137" s="395"/>
      <c r="Q137" s="395"/>
    </row>
    <row r="138">
      <c r="E138" s="394"/>
      <c r="J138" s="395"/>
      <c r="K138" s="395"/>
      <c r="L138" s="395"/>
      <c r="M138" s="395"/>
      <c r="N138" s="395"/>
      <c r="O138" s="395"/>
      <c r="P138" s="395"/>
      <c r="Q138" s="395"/>
    </row>
    <row r="139">
      <c r="E139" s="394"/>
      <c r="J139" s="395"/>
      <c r="K139" s="395"/>
      <c r="L139" s="395"/>
      <c r="M139" s="395"/>
      <c r="N139" s="395"/>
      <c r="O139" s="395"/>
      <c r="P139" s="395"/>
      <c r="Q139" s="395"/>
    </row>
    <row r="140">
      <c r="E140" s="394"/>
      <c r="J140" s="395"/>
      <c r="K140" s="395"/>
      <c r="L140" s="395"/>
      <c r="M140" s="395"/>
      <c r="N140" s="395"/>
      <c r="O140" s="395"/>
      <c r="P140" s="395"/>
      <c r="Q140" s="395"/>
    </row>
    <row r="141">
      <c r="E141" s="394"/>
      <c r="J141" s="395"/>
      <c r="K141" s="395"/>
      <c r="L141" s="395"/>
      <c r="M141" s="395"/>
      <c r="N141" s="395"/>
      <c r="O141" s="395"/>
      <c r="P141" s="395"/>
      <c r="Q141" s="395"/>
    </row>
    <row r="142">
      <c r="E142" s="394"/>
      <c r="J142" s="395"/>
      <c r="K142" s="395"/>
      <c r="L142" s="395"/>
      <c r="M142" s="395"/>
      <c r="N142" s="395"/>
      <c r="O142" s="395"/>
      <c r="P142" s="395"/>
      <c r="Q142" s="395"/>
    </row>
    <row r="143">
      <c r="E143" s="394"/>
      <c r="J143" s="395"/>
      <c r="K143" s="395"/>
      <c r="L143" s="395"/>
      <c r="M143" s="395"/>
      <c r="N143" s="395"/>
      <c r="O143" s="395"/>
      <c r="P143" s="395"/>
      <c r="Q143" s="395"/>
    </row>
    <row r="144">
      <c r="E144" s="394"/>
      <c r="J144" s="395"/>
      <c r="K144" s="395"/>
      <c r="L144" s="395"/>
      <c r="M144" s="395"/>
      <c r="N144" s="395"/>
      <c r="O144" s="395"/>
      <c r="P144" s="395"/>
      <c r="Q144" s="395"/>
    </row>
    <row r="145">
      <c r="E145" s="394"/>
      <c r="J145" s="395"/>
      <c r="K145" s="395"/>
      <c r="L145" s="395"/>
      <c r="M145" s="395"/>
      <c r="N145" s="395"/>
      <c r="O145" s="395"/>
      <c r="P145" s="395"/>
      <c r="Q145" s="395"/>
    </row>
    <row r="146">
      <c r="E146" s="394"/>
      <c r="J146" s="395"/>
      <c r="K146" s="395"/>
      <c r="L146" s="395"/>
      <c r="M146" s="395"/>
      <c r="N146" s="395"/>
      <c r="O146" s="395"/>
      <c r="P146" s="395"/>
      <c r="Q146" s="395"/>
    </row>
    <row r="147">
      <c r="E147" s="394"/>
      <c r="J147" s="395"/>
      <c r="K147" s="395"/>
      <c r="L147" s="395"/>
      <c r="M147" s="395"/>
      <c r="N147" s="395"/>
      <c r="O147" s="395"/>
      <c r="P147" s="395"/>
      <c r="Q147" s="395"/>
    </row>
    <row r="148">
      <c r="E148" s="394"/>
      <c r="J148" s="395"/>
      <c r="K148" s="395"/>
      <c r="L148" s="395"/>
      <c r="M148" s="395"/>
      <c r="N148" s="395"/>
      <c r="O148" s="395"/>
      <c r="P148" s="395"/>
      <c r="Q148" s="395"/>
    </row>
    <row r="149">
      <c r="E149" s="394"/>
      <c r="J149" s="395"/>
      <c r="K149" s="395"/>
      <c r="L149" s="395"/>
      <c r="M149" s="395"/>
      <c r="N149" s="395"/>
      <c r="O149" s="395"/>
      <c r="P149" s="395"/>
      <c r="Q149" s="395"/>
    </row>
    <row r="150">
      <c r="E150" s="394"/>
      <c r="J150" s="395"/>
      <c r="K150" s="395"/>
      <c r="L150" s="395"/>
      <c r="M150" s="395"/>
      <c r="N150" s="395"/>
      <c r="O150" s="395"/>
      <c r="P150" s="395"/>
      <c r="Q150" s="395"/>
    </row>
    <row r="151">
      <c r="E151" s="394"/>
      <c r="J151" s="395"/>
      <c r="K151" s="395"/>
      <c r="L151" s="395"/>
      <c r="M151" s="395"/>
      <c r="N151" s="395"/>
      <c r="O151" s="395"/>
      <c r="P151" s="395"/>
      <c r="Q151" s="395"/>
    </row>
    <row r="152">
      <c r="E152" s="394"/>
      <c r="J152" s="395"/>
      <c r="K152" s="395"/>
      <c r="L152" s="395"/>
      <c r="M152" s="395"/>
      <c r="N152" s="395"/>
      <c r="O152" s="395"/>
      <c r="P152" s="395"/>
      <c r="Q152" s="395"/>
    </row>
    <row r="153">
      <c r="E153" s="394"/>
      <c r="J153" s="395"/>
      <c r="K153" s="395"/>
      <c r="L153" s="395"/>
      <c r="M153" s="395"/>
      <c r="N153" s="395"/>
      <c r="O153" s="395"/>
      <c r="P153" s="395"/>
      <c r="Q153" s="395"/>
    </row>
    <row r="154">
      <c r="E154" s="394"/>
      <c r="J154" s="395"/>
      <c r="K154" s="395"/>
      <c r="L154" s="395"/>
      <c r="M154" s="395"/>
      <c r="N154" s="395"/>
      <c r="O154" s="395"/>
      <c r="P154" s="395"/>
      <c r="Q154" s="395"/>
    </row>
    <row r="155">
      <c r="E155" s="394"/>
      <c r="J155" s="395"/>
      <c r="K155" s="395"/>
      <c r="L155" s="395"/>
      <c r="M155" s="395"/>
      <c r="N155" s="395"/>
      <c r="O155" s="395"/>
      <c r="P155" s="395"/>
      <c r="Q155" s="395"/>
    </row>
    <row r="156">
      <c r="E156" s="394"/>
      <c r="J156" s="395"/>
      <c r="K156" s="395"/>
      <c r="L156" s="395"/>
      <c r="M156" s="395"/>
      <c r="N156" s="395"/>
      <c r="O156" s="395"/>
      <c r="P156" s="395"/>
      <c r="Q156" s="395"/>
    </row>
    <row r="157">
      <c r="E157" s="394"/>
      <c r="J157" s="395"/>
      <c r="K157" s="395"/>
      <c r="L157" s="395"/>
      <c r="M157" s="395"/>
      <c r="N157" s="395"/>
      <c r="O157" s="395"/>
      <c r="P157" s="395"/>
      <c r="Q157" s="395"/>
    </row>
    <row r="158">
      <c r="E158" s="394"/>
      <c r="J158" s="395"/>
      <c r="K158" s="395"/>
      <c r="L158" s="395"/>
      <c r="M158" s="395"/>
      <c r="N158" s="395"/>
      <c r="O158" s="395"/>
      <c r="P158" s="395"/>
      <c r="Q158" s="395"/>
    </row>
    <row r="159">
      <c r="E159" s="394"/>
      <c r="J159" s="395"/>
      <c r="K159" s="395"/>
      <c r="L159" s="395"/>
      <c r="M159" s="395"/>
      <c r="N159" s="395"/>
      <c r="O159" s="395"/>
      <c r="P159" s="395"/>
      <c r="Q159" s="395"/>
    </row>
    <row r="160">
      <c r="E160" s="394"/>
      <c r="J160" s="395"/>
      <c r="K160" s="395"/>
      <c r="L160" s="395"/>
      <c r="M160" s="395"/>
      <c r="N160" s="395"/>
      <c r="O160" s="395"/>
      <c r="P160" s="395"/>
      <c r="Q160" s="395"/>
    </row>
    <row r="161">
      <c r="E161" s="394"/>
      <c r="J161" s="395"/>
      <c r="K161" s="395"/>
      <c r="L161" s="395"/>
      <c r="M161" s="395"/>
      <c r="N161" s="395"/>
      <c r="O161" s="395"/>
      <c r="P161" s="395"/>
      <c r="Q161" s="395"/>
    </row>
    <row r="162">
      <c r="E162" s="394"/>
      <c r="J162" s="395"/>
      <c r="K162" s="395"/>
      <c r="L162" s="395"/>
      <c r="M162" s="395"/>
      <c r="N162" s="395"/>
      <c r="O162" s="395"/>
      <c r="P162" s="395"/>
      <c r="Q162" s="395"/>
    </row>
    <row r="163">
      <c r="E163" s="394"/>
      <c r="J163" s="395"/>
      <c r="K163" s="395"/>
      <c r="L163" s="395"/>
      <c r="M163" s="395"/>
      <c r="N163" s="395"/>
      <c r="O163" s="395"/>
      <c r="P163" s="395"/>
      <c r="Q163" s="395"/>
    </row>
    <row r="164">
      <c r="E164" s="394"/>
      <c r="J164" s="395"/>
      <c r="K164" s="395"/>
      <c r="L164" s="395"/>
      <c r="M164" s="395"/>
      <c r="N164" s="395"/>
      <c r="O164" s="395"/>
      <c r="P164" s="395"/>
      <c r="Q164" s="395"/>
    </row>
    <row r="165">
      <c r="E165" s="394"/>
      <c r="J165" s="395"/>
      <c r="K165" s="395"/>
      <c r="L165" s="395"/>
      <c r="M165" s="395"/>
      <c r="N165" s="395"/>
      <c r="O165" s="395"/>
      <c r="P165" s="395"/>
      <c r="Q165" s="395"/>
    </row>
    <row r="166">
      <c r="E166" s="394"/>
      <c r="J166" s="395"/>
      <c r="K166" s="395"/>
      <c r="L166" s="395"/>
      <c r="M166" s="395"/>
      <c r="N166" s="395"/>
      <c r="O166" s="395"/>
      <c r="P166" s="395"/>
      <c r="Q166" s="395"/>
    </row>
    <row r="167">
      <c r="E167" s="394"/>
      <c r="J167" s="395"/>
      <c r="K167" s="395"/>
      <c r="L167" s="395"/>
      <c r="M167" s="395"/>
      <c r="N167" s="395"/>
      <c r="O167" s="395"/>
      <c r="P167" s="395"/>
      <c r="Q167" s="395"/>
    </row>
    <row r="168">
      <c r="E168" s="394"/>
      <c r="J168" s="395"/>
      <c r="K168" s="395"/>
      <c r="L168" s="395"/>
      <c r="M168" s="395"/>
      <c r="N168" s="395"/>
      <c r="O168" s="395"/>
      <c r="P168" s="395"/>
      <c r="Q168" s="395"/>
    </row>
    <row r="169">
      <c r="E169" s="394"/>
      <c r="J169" s="395"/>
      <c r="K169" s="395"/>
      <c r="L169" s="395"/>
      <c r="M169" s="395"/>
      <c r="N169" s="395"/>
      <c r="O169" s="395"/>
      <c r="P169" s="395"/>
      <c r="Q169" s="395"/>
    </row>
    <row r="170">
      <c r="E170" s="394"/>
      <c r="J170" s="395"/>
      <c r="K170" s="395"/>
      <c r="L170" s="395"/>
      <c r="M170" s="395"/>
      <c r="N170" s="395"/>
      <c r="O170" s="395"/>
      <c r="P170" s="395"/>
      <c r="Q170" s="395"/>
    </row>
    <row r="171">
      <c r="E171" s="394"/>
      <c r="J171" s="395"/>
      <c r="K171" s="395"/>
      <c r="L171" s="395"/>
      <c r="M171" s="395"/>
      <c r="N171" s="395"/>
      <c r="O171" s="395"/>
      <c r="P171" s="395"/>
      <c r="Q171" s="395"/>
    </row>
    <row r="172">
      <c r="E172" s="394"/>
      <c r="J172" s="395"/>
      <c r="K172" s="395"/>
      <c r="L172" s="395"/>
      <c r="M172" s="395"/>
      <c r="N172" s="395"/>
      <c r="O172" s="395"/>
      <c r="P172" s="395"/>
      <c r="Q172" s="395"/>
    </row>
    <row r="173">
      <c r="E173" s="394"/>
      <c r="J173" s="395"/>
      <c r="K173" s="395"/>
      <c r="L173" s="395"/>
      <c r="M173" s="395"/>
      <c r="N173" s="395"/>
      <c r="O173" s="395"/>
      <c r="P173" s="395"/>
      <c r="Q173" s="395"/>
    </row>
    <row r="174">
      <c r="E174" s="394"/>
      <c r="J174" s="395"/>
      <c r="K174" s="395"/>
      <c r="L174" s="395"/>
      <c r="M174" s="395"/>
      <c r="N174" s="395"/>
      <c r="O174" s="395"/>
      <c r="P174" s="395"/>
      <c r="Q174" s="395"/>
    </row>
    <row r="175">
      <c r="E175" s="394"/>
      <c r="J175" s="395"/>
      <c r="K175" s="395"/>
      <c r="L175" s="395"/>
      <c r="M175" s="395"/>
      <c r="N175" s="395"/>
      <c r="O175" s="395"/>
      <c r="P175" s="395"/>
      <c r="Q175" s="395"/>
    </row>
    <row r="176">
      <c r="E176" s="394"/>
      <c r="J176" s="395"/>
      <c r="K176" s="395"/>
      <c r="L176" s="395"/>
      <c r="M176" s="395"/>
      <c r="N176" s="395"/>
      <c r="O176" s="395"/>
      <c r="P176" s="395"/>
      <c r="Q176" s="395"/>
    </row>
    <row r="177">
      <c r="E177" s="394"/>
      <c r="J177" s="395"/>
      <c r="K177" s="395"/>
      <c r="L177" s="395"/>
      <c r="M177" s="395"/>
      <c r="N177" s="395"/>
      <c r="O177" s="395"/>
      <c r="P177" s="395"/>
      <c r="Q177" s="395"/>
    </row>
    <row r="178">
      <c r="E178" s="394"/>
      <c r="J178" s="395"/>
      <c r="K178" s="395"/>
      <c r="L178" s="395"/>
      <c r="M178" s="395"/>
      <c r="N178" s="395"/>
      <c r="O178" s="395"/>
      <c r="P178" s="395"/>
      <c r="Q178" s="395"/>
    </row>
    <row r="179">
      <c r="E179" s="394"/>
      <c r="J179" s="395"/>
      <c r="K179" s="395"/>
      <c r="L179" s="395"/>
      <c r="M179" s="395"/>
      <c r="N179" s="395"/>
      <c r="O179" s="395"/>
      <c r="P179" s="395"/>
      <c r="Q179" s="395"/>
    </row>
    <row r="180">
      <c r="E180" s="394"/>
      <c r="J180" s="395"/>
      <c r="K180" s="395"/>
      <c r="L180" s="395"/>
      <c r="M180" s="395"/>
      <c r="N180" s="395"/>
      <c r="O180" s="395"/>
      <c r="P180" s="395"/>
      <c r="Q180" s="395"/>
    </row>
    <row r="181">
      <c r="E181" s="394"/>
      <c r="J181" s="395"/>
      <c r="K181" s="395"/>
      <c r="L181" s="395"/>
      <c r="M181" s="395"/>
      <c r="N181" s="395"/>
      <c r="O181" s="395"/>
      <c r="P181" s="395"/>
      <c r="Q181" s="395"/>
    </row>
    <row r="182">
      <c r="E182" s="394"/>
      <c r="J182" s="395"/>
      <c r="K182" s="395"/>
      <c r="L182" s="395"/>
      <c r="M182" s="395"/>
      <c r="N182" s="395"/>
      <c r="O182" s="395"/>
      <c r="P182" s="395"/>
      <c r="Q182" s="395"/>
    </row>
    <row r="183">
      <c r="E183" s="394"/>
      <c r="J183" s="395"/>
      <c r="K183" s="395"/>
      <c r="L183" s="395"/>
      <c r="M183" s="395"/>
      <c r="N183" s="395"/>
      <c r="O183" s="395"/>
      <c r="P183" s="395"/>
      <c r="Q183" s="395"/>
    </row>
    <row r="184">
      <c r="E184" s="394"/>
      <c r="J184" s="395"/>
      <c r="K184" s="395"/>
      <c r="L184" s="395"/>
      <c r="M184" s="395"/>
      <c r="N184" s="395"/>
      <c r="O184" s="395"/>
      <c r="P184" s="395"/>
      <c r="Q184" s="395"/>
    </row>
    <row r="185">
      <c r="E185" s="394"/>
      <c r="J185" s="395"/>
      <c r="K185" s="395"/>
      <c r="L185" s="395"/>
      <c r="M185" s="395"/>
      <c r="N185" s="395"/>
      <c r="O185" s="395"/>
      <c r="P185" s="395"/>
      <c r="Q185" s="395"/>
    </row>
    <row r="186">
      <c r="E186" s="394"/>
      <c r="J186" s="395"/>
      <c r="K186" s="395"/>
      <c r="L186" s="395"/>
      <c r="M186" s="395"/>
      <c r="N186" s="395"/>
      <c r="O186" s="395"/>
      <c r="P186" s="395"/>
      <c r="Q186" s="395"/>
    </row>
    <row r="187">
      <c r="E187" s="394"/>
      <c r="J187" s="395"/>
      <c r="K187" s="395"/>
      <c r="L187" s="395"/>
      <c r="M187" s="395"/>
      <c r="N187" s="395"/>
      <c r="O187" s="395"/>
      <c r="P187" s="395"/>
      <c r="Q187" s="395"/>
    </row>
    <row r="188">
      <c r="E188" s="394"/>
      <c r="J188" s="395"/>
      <c r="K188" s="395"/>
      <c r="L188" s="395"/>
      <c r="M188" s="395"/>
      <c r="N188" s="395"/>
      <c r="O188" s="395"/>
      <c r="P188" s="395"/>
      <c r="Q188" s="395"/>
    </row>
    <row r="189">
      <c r="E189" s="394"/>
      <c r="J189" s="395"/>
      <c r="K189" s="395"/>
      <c r="L189" s="395"/>
      <c r="M189" s="395"/>
      <c r="N189" s="395"/>
      <c r="O189" s="395"/>
      <c r="P189" s="395"/>
      <c r="Q189" s="395"/>
    </row>
    <row r="190">
      <c r="E190" s="394"/>
      <c r="J190" s="395"/>
      <c r="K190" s="395"/>
      <c r="L190" s="395"/>
      <c r="M190" s="395"/>
      <c r="N190" s="395"/>
      <c r="O190" s="395"/>
      <c r="P190" s="395"/>
      <c r="Q190" s="395"/>
    </row>
    <row r="191">
      <c r="E191" s="394"/>
      <c r="J191" s="395"/>
      <c r="K191" s="395"/>
      <c r="L191" s="395"/>
      <c r="M191" s="395"/>
      <c r="N191" s="395"/>
      <c r="O191" s="395"/>
      <c r="P191" s="395"/>
      <c r="Q191" s="395"/>
    </row>
    <row r="192">
      <c r="E192" s="394"/>
      <c r="J192" s="395"/>
      <c r="K192" s="395"/>
      <c r="L192" s="395"/>
      <c r="M192" s="395"/>
      <c r="N192" s="395"/>
      <c r="O192" s="395"/>
      <c r="P192" s="395"/>
      <c r="Q192" s="395"/>
    </row>
    <row r="193">
      <c r="E193" s="394"/>
      <c r="J193" s="395"/>
      <c r="K193" s="395"/>
      <c r="L193" s="395"/>
      <c r="M193" s="395"/>
      <c r="N193" s="395"/>
      <c r="O193" s="395"/>
      <c r="P193" s="395"/>
      <c r="Q193" s="395"/>
    </row>
    <row r="194">
      <c r="E194" s="394"/>
      <c r="J194" s="395"/>
      <c r="K194" s="395"/>
      <c r="L194" s="395"/>
      <c r="M194" s="395"/>
      <c r="N194" s="395"/>
      <c r="O194" s="395"/>
      <c r="P194" s="395"/>
      <c r="Q194" s="395"/>
    </row>
    <row r="195">
      <c r="E195" s="394"/>
      <c r="J195" s="395"/>
      <c r="K195" s="395"/>
      <c r="L195" s="395"/>
      <c r="M195" s="395"/>
      <c r="N195" s="395"/>
      <c r="O195" s="395"/>
      <c r="P195" s="395"/>
      <c r="Q195" s="395"/>
    </row>
    <row r="196">
      <c r="E196" s="394"/>
      <c r="J196" s="395"/>
      <c r="K196" s="395"/>
      <c r="L196" s="395"/>
      <c r="M196" s="395"/>
      <c r="N196" s="395"/>
      <c r="O196" s="395"/>
      <c r="P196" s="395"/>
      <c r="Q196" s="395"/>
    </row>
    <row r="197">
      <c r="E197" s="394"/>
      <c r="J197" s="395"/>
      <c r="K197" s="395"/>
      <c r="L197" s="395"/>
      <c r="M197" s="395"/>
      <c r="N197" s="395"/>
      <c r="O197" s="395"/>
      <c r="P197" s="395"/>
      <c r="Q197" s="395"/>
    </row>
    <row r="198">
      <c r="E198" s="394"/>
      <c r="J198" s="395"/>
      <c r="K198" s="395"/>
      <c r="L198" s="395"/>
      <c r="M198" s="395"/>
      <c r="N198" s="395"/>
      <c r="O198" s="395"/>
      <c r="P198" s="395"/>
      <c r="Q198" s="395"/>
    </row>
    <row r="199">
      <c r="E199" s="394"/>
      <c r="J199" s="395"/>
      <c r="K199" s="395"/>
      <c r="L199" s="395"/>
      <c r="M199" s="395"/>
      <c r="N199" s="395"/>
      <c r="O199" s="395"/>
      <c r="P199" s="395"/>
      <c r="Q199" s="395"/>
    </row>
    <row r="200">
      <c r="E200" s="394"/>
      <c r="J200" s="395"/>
      <c r="K200" s="395"/>
      <c r="L200" s="395"/>
      <c r="M200" s="395"/>
      <c r="N200" s="395"/>
      <c r="O200" s="395"/>
      <c r="P200" s="395"/>
      <c r="Q200" s="395"/>
    </row>
    <row r="201">
      <c r="E201" s="394"/>
      <c r="J201" s="395"/>
      <c r="K201" s="395"/>
      <c r="L201" s="395"/>
      <c r="M201" s="395"/>
      <c r="N201" s="395"/>
      <c r="O201" s="395"/>
      <c r="P201" s="395"/>
      <c r="Q201" s="395"/>
    </row>
    <row r="202">
      <c r="E202" s="394"/>
      <c r="J202" s="395"/>
      <c r="K202" s="395"/>
      <c r="L202" s="395"/>
      <c r="M202" s="395"/>
      <c r="N202" s="395"/>
      <c r="O202" s="395"/>
      <c r="P202" s="395"/>
      <c r="Q202" s="395"/>
    </row>
    <row r="203">
      <c r="E203" s="394"/>
      <c r="J203" s="395"/>
      <c r="K203" s="395"/>
      <c r="L203" s="395"/>
      <c r="M203" s="395"/>
      <c r="N203" s="395"/>
      <c r="O203" s="395"/>
      <c r="P203" s="395"/>
      <c r="Q203" s="395"/>
    </row>
    <row r="204">
      <c r="E204" s="394"/>
      <c r="J204" s="395"/>
      <c r="K204" s="395"/>
      <c r="L204" s="395"/>
      <c r="M204" s="395"/>
      <c r="N204" s="395"/>
      <c r="O204" s="395"/>
      <c r="P204" s="395"/>
      <c r="Q204" s="395"/>
    </row>
    <row r="205">
      <c r="E205" s="394"/>
      <c r="J205" s="395"/>
      <c r="K205" s="395"/>
      <c r="L205" s="395"/>
      <c r="M205" s="395"/>
      <c r="N205" s="395"/>
      <c r="O205" s="395"/>
      <c r="P205" s="395"/>
      <c r="Q205" s="395"/>
    </row>
    <row r="206">
      <c r="E206" s="394"/>
      <c r="J206" s="395"/>
      <c r="K206" s="395"/>
      <c r="L206" s="395"/>
      <c r="M206" s="395"/>
      <c r="N206" s="395"/>
      <c r="O206" s="395"/>
      <c r="P206" s="395"/>
      <c r="Q206" s="395"/>
    </row>
    <row r="207">
      <c r="E207" s="394"/>
      <c r="J207" s="395"/>
      <c r="K207" s="395"/>
      <c r="L207" s="395"/>
      <c r="M207" s="395"/>
      <c r="N207" s="395"/>
      <c r="O207" s="395"/>
      <c r="P207" s="395"/>
      <c r="Q207" s="395"/>
    </row>
    <row r="208">
      <c r="E208" s="394"/>
      <c r="J208" s="395"/>
      <c r="K208" s="395"/>
      <c r="L208" s="395"/>
      <c r="M208" s="395"/>
      <c r="N208" s="395"/>
      <c r="O208" s="395"/>
      <c r="P208" s="395"/>
      <c r="Q208" s="395"/>
    </row>
    <row r="209">
      <c r="E209" s="394"/>
      <c r="J209" s="395"/>
      <c r="K209" s="395"/>
      <c r="L209" s="395"/>
      <c r="M209" s="395"/>
      <c r="N209" s="395"/>
      <c r="O209" s="395"/>
      <c r="P209" s="395"/>
      <c r="Q209" s="395"/>
    </row>
    <row r="210">
      <c r="E210" s="394"/>
      <c r="J210" s="395"/>
      <c r="K210" s="395"/>
      <c r="L210" s="395"/>
      <c r="M210" s="395"/>
      <c r="N210" s="395"/>
      <c r="O210" s="395"/>
      <c r="P210" s="395"/>
      <c r="Q210" s="395"/>
    </row>
    <row r="211">
      <c r="E211" s="394"/>
      <c r="J211" s="395"/>
      <c r="K211" s="395"/>
      <c r="L211" s="395"/>
      <c r="M211" s="395"/>
      <c r="N211" s="395"/>
      <c r="O211" s="395"/>
      <c r="P211" s="395"/>
      <c r="Q211" s="395"/>
    </row>
    <row r="212">
      <c r="E212" s="394"/>
      <c r="J212" s="395"/>
      <c r="K212" s="395"/>
      <c r="L212" s="395"/>
      <c r="M212" s="395"/>
      <c r="N212" s="395"/>
      <c r="O212" s="395"/>
      <c r="P212" s="395"/>
      <c r="Q212" s="395"/>
    </row>
    <row r="213">
      <c r="E213" s="394"/>
      <c r="J213" s="395"/>
      <c r="K213" s="395"/>
      <c r="L213" s="395"/>
      <c r="M213" s="395"/>
      <c r="N213" s="395"/>
      <c r="O213" s="395"/>
      <c r="P213" s="395"/>
      <c r="Q213" s="395"/>
    </row>
    <row r="214">
      <c r="E214" s="394"/>
      <c r="J214" s="395"/>
      <c r="K214" s="395"/>
      <c r="L214" s="395"/>
      <c r="M214" s="395"/>
      <c r="N214" s="395"/>
      <c r="O214" s="395"/>
      <c r="P214" s="395"/>
      <c r="Q214" s="395"/>
    </row>
    <row r="215">
      <c r="E215" s="394"/>
      <c r="J215" s="395"/>
      <c r="K215" s="395"/>
      <c r="L215" s="395"/>
      <c r="M215" s="395"/>
      <c r="N215" s="395"/>
      <c r="O215" s="395"/>
      <c r="P215" s="395"/>
      <c r="Q215" s="395"/>
    </row>
    <row r="216">
      <c r="E216" s="394"/>
      <c r="J216" s="395"/>
      <c r="K216" s="395"/>
      <c r="L216" s="395"/>
      <c r="M216" s="395"/>
      <c r="N216" s="395"/>
      <c r="O216" s="395"/>
      <c r="P216" s="395"/>
      <c r="Q216" s="395"/>
    </row>
    <row r="217">
      <c r="E217" s="394"/>
      <c r="J217" s="395"/>
      <c r="K217" s="395"/>
      <c r="L217" s="395"/>
      <c r="M217" s="395"/>
      <c r="N217" s="395"/>
      <c r="O217" s="395"/>
      <c r="P217" s="395"/>
      <c r="Q217" s="395"/>
    </row>
    <row r="218">
      <c r="E218" s="394"/>
      <c r="J218" s="395"/>
      <c r="K218" s="395"/>
      <c r="L218" s="395"/>
      <c r="M218" s="395"/>
      <c r="N218" s="395"/>
      <c r="O218" s="395"/>
      <c r="P218" s="395"/>
      <c r="Q218" s="395"/>
    </row>
    <row r="219">
      <c r="E219" s="394"/>
      <c r="J219" s="395"/>
      <c r="K219" s="395"/>
      <c r="L219" s="395"/>
      <c r="M219" s="395"/>
      <c r="N219" s="395"/>
      <c r="O219" s="395"/>
      <c r="P219" s="395"/>
      <c r="Q219" s="395"/>
    </row>
    <row r="220">
      <c r="E220" s="394"/>
      <c r="J220" s="395"/>
      <c r="K220" s="395"/>
      <c r="L220" s="395"/>
      <c r="M220" s="395"/>
      <c r="N220" s="395"/>
      <c r="O220" s="395"/>
      <c r="P220" s="395"/>
      <c r="Q220" s="395"/>
    </row>
    <row r="221">
      <c r="E221" s="394"/>
      <c r="J221" s="395"/>
      <c r="K221" s="395"/>
      <c r="L221" s="395"/>
      <c r="M221" s="395"/>
      <c r="N221" s="395"/>
      <c r="O221" s="395"/>
      <c r="P221" s="395"/>
      <c r="Q221" s="395"/>
    </row>
    <row r="222">
      <c r="E222" s="394"/>
      <c r="J222" s="395"/>
      <c r="K222" s="395"/>
      <c r="L222" s="395"/>
      <c r="M222" s="395"/>
      <c r="N222" s="395"/>
      <c r="O222" s="395"/>
      <c r="P222" s="395"/>
      <c r="Q222" s="395"/>
    </row>
    <row r="223">
      <c r="E223" s="394"/>
      <c r="J223" s="395"/>
      <c r="K223" s="395"/>
      <c r="L223" s="395"/>
      <c r="M223" s="395"/>
      <c r="N223" s="395"/>
      <c r="O223" s="395"/>
      <c r="P223" s="395"/>
      <c r="Q223" s="395"/>
    </row>
    <row r="224">
      <c r="E224" s="394"/>
      <c r="J224" s="395"/>
      <c r="K224" s="395"/>
      <c r="L224" s="395"/>
      <c r="M224" s="395"/>
      <c r="N224" s="395"/>
      <c r="O224" s="395"/>
      <c r="P224" s="395"/>
      <c r="Q224" s="395"/>
    </row>
    <row r="225">
      <c r="E225" s="394"/>
      <c r="J225" s="395"/>
      <c r="K225" s="395"/>
      <c r="L225" s="395"/>
      <c r="M225" s="395"/>
      <c r="N225" s="395"/>
      <c r="O225" s="395"/>
      <c r="P225" s="395"/>
      <c r="Q225" s="395"/>
    </row>
    <row r="226">
      <c r="E226" s="394"/>
      <c r="J226" s="395"/>
      <c r="K226" s="395"/>
      <c r="L226" s="395"/>
      <c r="M226" s="395"/>
      <c r="N226" s="395"/>
      <c r="O226" s="395"/>
      <c r="P226" s="395"/>
      <c r="Q226" s="395"/>
    </row>
    <row r="227">
      <c r="E227" s="394"/>
      <c r="J227" s="395"/>
      <c r="K227" s="395"/>
      <c r="L227" s="395"/>
      <c r="M227" s="395"/>
      <c r="N227" s="395"/>
      <c r="O227" s="395"/>
      <c r="P227" s="395"/>
      <c r="Q227" s="395"/>
    </row>
    <row r="228">
      <c r="E228" s="394"/>
      <c r="J228" s="395"/>
      <c r="K228" s="395"/>
      <c r="L228" s="395"/>
      <c r="M228" s="395"/>
      <c r="N228" s="395"/>
      <c r="O228" s="395"/>
      <c r="P228" s="395"/>
      <c r="Q228" s="395"/>
    </row>
    <row r="229">
      <c r="E229" s="394"/>
      <c r="J229" s="395"/>
      <c r="K229" s="395"/>
      <c r="L229" s="395"/>
      <c r="M229" s="395"/>
      <c r="N229" s="395"/>
      <c r="O229" s="395"/>
      <c r="P229" s="395"/>
      <c r="Q229" s="395"/>
    </row>
    <row r="230">
      <c r="E230" s="394"/>
      <c r="J230" s="395"/>
      <c r="K230" s="395"/>
      <c r="L230" s="395"/>
      <c r="M230" s="395"/>
      <c r="N230" s="395"/>
      <c r="O230" s="395"/>
      <c r="P230" s="395"/>
      <c r="Q230" s="395"/>
    </row>
    <row r="231">
      <c r="E231" s="394"/>
      <c r="J231" s="395"/>
      <c r="K231" s="395"/>
      <c r="L231" s="395"/>
      <c r="M231" s="395"/>
      <c r="N231" s="395"/>
      <c r="O231" s="395"/>
      <c r="P231" s="395"/>
      <c r="Q231" s="395"/>
    </row>
    <row r="232">
      <c r="E232" s="394"/>
      <c r="J232" s="395"/>
      <c r="K232" s="395"/>
      <c r="L232" s="395"/>
      <c r="M232" s="395"/>
      <c r="N232" s="395"/>
      <c r="O232" s="395"/>
      <c r="P232" s="395"/>
      <c r="Q232" s="395"/>
    </row>
    <row r="233">
      <c r="E233" s="394"/>
      <c r="J233" s="395"/>
      <c r="K233" s="395"/>
      <c r="L233" s="395"/>
      <c r="M233" s="395"/>
      <c r="N233" s="395"/>
      <c r="O233" s="395"/>
      <c r="P233" s="395"/>
      <c r="Q233" s="395"/>
    </row>
    <row r="234">
      <c r="E234" s="394"/>
      <c r="J234" s="395"/>
      <c r="K234" s="395"/>
      <c r="L234" s="395"/>
      <c r="M234" s="395"/>
      <c r="N234" s="395"/>
      <c r="O234" s="395"/>
      <c r="P234" s="395"/>
      <c r="Q234" s="395"/>
    </row>
    <row r="235">
      <c r="E235" s="394"/>
      <c r="J235" s="395"/>
      <c r="K235" s="395"/>
      <c r="L235" s="395"/>
      <c r="M235" s="395"/>
      <c r="N235" s="395"/>
      <c r="O235" s="395"/>
      <c r="P235" s="395"/>
      <c r="Q235" s="395"/>
    </row>
    <row r="236">
      <c r="E236" s="394"/>
      <c r="J236" s="395"/>
      <c r="K236" s="395"/>
      <c r="L236" s="395"/>
      <c r="M236" s="395"/>
      <c r="N236" s="395"/>
      <c r="O236" s="395"/>
      <c r="P236" s="395"/>
      <c r="Q236" s="395"/>
    </row>
    <row r="237">
      <c r="E237" s="394"/>
      <c r="J237" s="395"/>
      <c r="K237" s="395"/>
      <c r="L237" s="395"/>
      <c r="M237" s="395"/>
      <c r="N237" s="395"/>
      <c r="O237" s="395"/>
      <c r="P237" s="395"/>
      <c r="Q237" s="395"/>
    </row>
    <row r="238">
      <c r="E238" s="394"/>
      <c r="J238" s="395"/>
      <c r="K238" s="395"/>
      <c r="L238" s="395"/>
      <c r="M238" s="395"/>
      <c r="N238" s="395"/>
      <c r="O238" s="395"/>
      <c r="P238" s="395"/>
      <c r="Q238" s="395"/>
    </row>
    <row r="239">
      <c r="E239" s="394"/>
      <c r="J239" s="395"/>
      <c r="K239" s="395"/>
      <c r="L239" s="395"/>
      <c r="M239" s="395"/>
      <c r="N239" s="395"/>
      <c r="O239" s="395"/>
      <c r="P239" s="395"/>
      <c r="Q239" s="395"/>
    </row>
    <row r="240">
      <c r="E240" s="394"/>
      <c r="J240" s="395"/>
      <c r="K240" s="395"/>
      <c r="L240" s="395"/>
      <c r="M240" s="395"/>
      <c r="N240" s="395"/>
      <c r="O240" s="395"/>
      <c r="P240" s="395"/>
      <c r="Q240" s="395"/>
    </row>
    <row r="241">
      <c r="E241" s="394"/>
      <c r="J241" s="395"/>
      <c r="K241" s="395"/>
      <c r="L241" s="395"/>
      <c r="M241" s="395"/>
      <c r="N241" s="395"/>
      <c r="O241" s="395"/>
      <c r="P241" s="395"/>
      <c r="Q241" s="395"/>
    </row>
    <row r="242">
      <c r="E242" s="394"/>
      <c r="J242" s="395"/>
      <c r="K242" s="395"/>
      <c r="L242" s="395"/>
      <c r="M242" s="395"/>
      <c r="N242" s="395"/>
      <c r="O242" s="395"/>
      <c r="P242" s="395"/>
      <c r="Q242" s="395"/>
    </row>
    <row r="243">
      <c r="E243" s="394"/>
      <c r="J243" s="395"/>
      <c r="K243" s="395"/>
      <c r="L243" s="395"/>
      <c r="M243" s="395"/>
      <c r="N243" s="395"/>
      <c r="O243" s="395"/>
      <c r="P243" s="395"/>
      <c r="Q243" s="395"/>
    </row>
    <row r="244">
      <c r="E244" s="394"/>
      <c r="J244" s="395"/>
      <c r="K244" s="395"/>
      <c r="L244" s="395"/>
      <c r="M244" s="395"/>
      <c r="N244" s="395"/>
      <c r="O244" s="395"/>
      <c r="P244" s="395"/>
      <c r="Q244" s="395"/>
    </row>
    <row r="245">
      <c r="E245" s="394"/>
      <c r="J245" s="395"/>
      <c r="K245" s="395"/>
      <c r="L245" s="395"/>
      <c r="M245" s="395"/>
      <c r="N245" s="395"/>
      <c r="O245" s="395"/>
      <c r="P245" s="395"/>
      <c r="Q245" s="395"/>
    </row>
    <row r="246">
      <c r="E246" s="394"/>
      <c r="J246" s="395"/>
      <c r="K246" s="395"/>
      <c r="L246" s="395"/>
      <c r="M246" s="395"/>
      <c r="N246" s="395"/>
      <c r="O246" s="395"/>
      <c r="P246" s="395"/>
      <c r="Q246" s="395"/>
    </row>
    <row r="247">
      <c r="E247" s="394"/>
      <c r="J247" s="395"/>
      <c r="K247" s="395"/>
      <c r="L247" s="395"/>
      <c r="M247" s="395"/>
      <c r="N247" s="395"/>
      <c r="O247" s="395"/>
      <c r="P247" s="395"/>
      <c r="Q247" s="395"/>
    </row>
    <row r="248">
      <c r="E248" s="394"/>
      <c r="J248" s="395"/>
      <c r="K248" s="395"/>
      <c r="L248" s="395"/>
      <c r="M248" s="395"/>
      <c r="N248" s="395"/>
      <c r="O248" s="395"/>
      <c r="P248" s="395"/>
      <c r="Q248" s="395"/>
    </row>
    <row r="249">
      <c r="E249" s="394"/>
      <c r="J249" s="395"/>
      <c r="K249" s="395"/>
      <c r="L249" s="395"/>
      <c r="M249" s="395"/>
      <c r="N249" s="395"/>
      <c r="O249" s="395"/>
      <c r="P249" s="395"/>
      <c r="Q249" s="395"/>
    </row>
    <row r="250">
      <c r="E250" s="394"/>
      <c r="J250" s="395"/>
      <c r="K250" s="395"/>
      <c r="L250" s="395"/>
      <c r="M250" s="395"/>
      <c r="N250" s="395"/>
      <c r="O250" s="395"/>
      <c r="P250" s="395"/>
      <c r="Q250" s="395"/>
    </row>
    <row r="251">
      <c r="E251" s="394"/>
      <c r="J251" s="395"/>
      <c r="K251" s="395"/>
      <c r="L251" s="395"/>
      <c r="M251" s="395"/>
      <c r="N251" s="395"/>
      <c r="O251" s="395"/>
      <c r="P251" s="395"/>
      <c r="Q251" s="395"/>
    </row>
    <row r="252">
      <c r="E252" s="394"/>
      <c r="J252" s="395"/>
      <c r="K252" s="395"/>
      <c r="L252" s="395"/>
      <c r="M252" s="395"/>
      <c r="N252" s="395"/>
      <c r="O252" s="395"/>
      <c r="P252" s="395"/>
      <c r="Q252" s="395"/>
    </row>
    <row r="253">
      <c r="E253" s="394"/>
      <c r="J253" s="395"/>
      <c r="K253" s="395"/>
      <c r="L253" s="395"/>
      <c r="M253" s="395"/>
      <c r="N253" s="395"/>
      <c r="O253" s="395"/>
      <c r="P253" s="395"/>
      <c r="Q253" s="395"/>
    </row>
    <row r="254">
      <c r="E254" s="394"/>
      <c r="J254" s="395"/>
      <c r="K254" s="395"/>
      <c r="L254" s="395"/>
      <c r="M254" s="395"/>
      <c r="N254" s="395"/>
      <c r="O254" s="395"/>
      <c r="P254" s="395"/>
      <c r="Q254" s="395"/>
    </row>
    <row r="255">
      <c r="E255" s="394"/>
      <c r="J255" s="395"/>
      <c r="K255" s="395"/>
      <c r="L255" s="395"/>
      <c r="M255" s="395"/>
      <c r="N255" s="395"/>
      <c r="O255" s="395"/>
      <c r="P255" s="395"/>
      <c r="Q255" s="395"/>
    </row>
    <row r="256">
      <c r="E256" s="394"/>
      <c r="J256" s="395"/>
      <c r="K256" s="395"/>
      <c r="L256" s="395"/>
      <c r="M256" s="395"/>
      <c r="N256" s="395"/>
      <c r="O256" s="395"/>
      <c r="P256" s="395"/>
      <c r="Q256" s="395"/>
    </row>
    <row r="257">
      <c r="E257" s="394"/>
      <c r="J257" s="395"/>
      <c r="K257" s="395"/>
      <c r="L257" s="395"/>
      <c r="M257" s="395"/>
      <c r="N257" s="395"/>
      <c r="O257" s="395"/>
      <c r="P257" s="395"/>
      <c r="Q257" s="395"/>
    </row>
    <row r="258">
      <c r="E258" s="394"/>
      <c r="J258" s="395"/>
      <c r="K258" s="395"/>
      <c r="L258" s="395"/>
      <c r="M258" s="395"/>
      <c r="N258" s="395"/>
      <c r="O258" s="395"/>
      <c r="P258" s="395"/>
      <c r="Q258" s="395"/>
    </row>
    <row r="259">
      <c r="E259" s="394"/>
      <c r="J259" s="395"/>
      <c r="K259" s="395"/>
      <c r="L259" s="395"/>
      <c r="M259" s="395"/>
      <c r="N259" s="395"/>
      <c r="O259" s="395"/>
      <c r="P259" s="395"/>
      <c r="Q259" s="395"/>
    </row>
    <row r="260">
      <c r="E260" s="394"/>
      <c r="J260" s="395"/>
      <c r="K260" s="395"/>
      <c r="L260" s="395"/>
      <c r="M260" s="395"/>
      <c r="N260" s="395"/>
      <c r="O260" s="395"/>
      <c r="P260" s="395"/>
      <c r="Q260" s="395"/>
    </row>
    <row r="261">
      <c r="E261" s="394"/>
      <c r="J261" s="395"/>
      <c r="K261" s="395"/>
      <c r="L261" s="395"/>
      <c r="M261" s="395"/>
      <c r="N261" s="395"/>
      <c r="O261" s="395"/>
      <c r="P261" s="395"/>
      <c r="Q261" s="395"/>
    </row>
    <row r="262">
      <c r="E262" s="394"/>
      <c r="J262" s="395"/>
      <c r="K262" s="395"/>
      <c r="L262" s="395"/>
      <c r="M262" s="395"/>
      <c r="N262" s="395"/>
      <c r="O262" s="395"/>
      <c r="P262" s="395"/>
      <c r="Q262" s="395"/>
    </row>
    <row r="263">
      <c r="E263" s="394"/>
      <c r="J263" s="395"/>
      <c r="K263" s="395"/>
      <c r="L263" s="395"/>
      <c r="M263" s="395"/>
      <c r="N263" s="395"/>
      <c r="O263" s="395"/>
      <c r="P263" s="395"/>
      <c r="Q263" s="395"/>
    </row>
    <row r="264">
      <c r="E264" s="394"/>
      <c r="J264" s="395"/>
      <c r="K264" s="395"/>
      <c r="L264" s="395"/>
      <c r="M264" s="395"/>
      <c r="N264" s="395"/>
      <c r="O264" s="395"/>
      <c r="P264" s="395"/>
      <c r="Q264" s="395"/>
    </row>
    <row r="265">
      <c r="E265" s="394"/>
      <c r="J265" s="395"/>
      <c r="K265" s="395"/>
      <c r="L265" s="395"/>
      <c r="M265" s="395"/>
      <c r="N265" s="395"/>
      <c r="O265" s="395"/>
      <c r="P265" s="395"/>
      <c r="Q265" s="395"/>
    </row>
    <row r="266">
      <c r="E266" s="394"/>
      <c r="J266" s="395"/>
      <c r="K266" s="395"/>
      <c r="L266" s="395"/>
      <c r="M266" s="395"/>
      <c r="N266" s="395"/>
      <c r="O266" s="395"/>
      <c r="P266" s="395"/>
      <c r="Q266" s="395"/>
    </row>
    <row r="267">
      <c r="E267" s="394"/>
      <c r="J267" s="395"/>
      <c r="K267" s="395"/>
      <c r="L267" s="395"/>
      <c r="M267" s="395"/>
      <c r="N267" s="395"/>
      <c r="O267" s="395"/>
      <c r="P267" s="395"/>
      <c r="Q267" s="395"/>
    </row>
    <row r="268">
      <c r="E268" s="394"/>
      <c r="J268" s="395"/>
      <c r="K268" s="395"/>
      <c r="L268" s="395"/>
      <c r="M268" s="395"/>
      <c r="N268" s="395"/>
      <c r="O268" s="395"/>
      <c r="P268" s="395"/>
      <c r="Q268" s="395"/>
    </row>
    <row r="269">
      <c r="E269" s="394"/>
      <c r="J269" s="395"/>
      <c r="K269" s="395"/>
      <c r="L269" s="395"/>
      <c r="M269" s="395"/>
      <c r="N269" s="395"/>
      <c r="O269" s="395"/>
      <c r="P269" s="395"/>
      <c r="Q269" s="395"/>
    </row>
    <row r="270">
      <c r="E270" s="394"/>
      <c r="J270" s="395"/>
      <c r="K270" s="395"/>
      <c r="L270" s="395"/>
      <c r="M270" s="395"/>
      <c r="N270" s="395"/>
      <c r="O270" s="395"/>
      <c r="P270" s="395"/>
      <c r="Q270" s="395"/>
    </row>
    <row r="271">
      <c r="E271" s="394"/>
      <c r="J271" s="395"/>
      <c r="K271" s="395"/>
      <c r="L271" s="395"/>
      <c r="M271" s="395"/>
      <c r="N271" s="395"/>
      <c r="O271" s="395"/>
      <c r="P271" s="395"/>
      <c r="Q271" s="395"/>
    </row>
    <row r="272">
      <c r="E272" s="394"/>
      <c r="J272" s="395"/>
      <c r="K272" s="395"/>
      <c r="L272" s="395"/>
      <c r="M272" s="395"/>
      <c r="N272" s="395"/>
      <c r="O272" s="395"/>
      <c r="P272" s="395"/>
      <c r="Q272" s="395"/>
    </row>
    <row r="273">
      <c r="E273" s="394"/>
      <c r="J273" s="395"/>
      <c r="K273" s="395"/>
      <c r="L273" s="395"/>
      <c r="M273" s="395"/>
      <c r="N273" s="395"/>
      <c r="O273" s="395"/>
      <c r="P273" s="395"/>
      <c r="Q273" s="395"/>
    </row>
    <row r="274">
      <c r="E274" s="394"/>
      <c r="J274" s="395"/>
      <c r="K274" s="395"/>
      <c r="L274" s="395"/>
      <c r="M274" s="395"/>
      <c r="N274" s="395"/>
      <c r="O274" s="395"/>
      <c r="P274" s="395"/>
      <c r="Q274" s="395"/>
    </row>
    <row r="275">
      <c r="E275" s="394"/>
      <c r="J275" s="395"/>
      <c r="K275" s="395"/>
      <c r="L275" s="395"/>
      <c r="M275" s="395"/>
      <c r="N275" s="395"/>
      <c r="O275" s="395"/>
      <c r="P275" s="395"/>
      <c r="Q275" s="395"/>
    </row>
    <row r="276">
      <c r="E276" s="394"/>
      <c r="J276" s="395"/>
      <c r="K276" s="395"/>
      <c r="L276" s="395"/>
      <c r="M276" s="395"/>
      <c r="N276" s="395"/>
      <c r="O276" s="395"/>
      <c r="P276" s="395"/>
      <c r="Q276" s="395"/>
    </row>
    <row r="277">
      <c r="E277" s="394"/>
      <c r="J277" s="395"/>
      <c r="K277" s="395"/>
      <c r="L277" s="395"/>
      <c r="M277" s="395"/>
      <c r="N277" s="395"/>
      <c r="O277" s="395"/>
      <c r="P277" s="395"/>
      <c r="Q277" s="395"/>
    </row>
    <row r="278">
      <c r="E278" s="394"/>
      <c r="J278" s="395"/>
      <c r="K278" s="395"/>
      <c r="L278" s="395"/>
      <c r="M278" s="395"/>
      <c r="N278" s="395"/>
      <c r="O278" s="395"/>
      <c r="P278" s="395"/>
      <c r="Q278" s="395"/>
    </row>
    <row r="279">
      <c r="E279" s="394"/>
      <c r="J279" s="395"/>
      <c r="K279" s="395"/>
      <c r="L279" s="395"/>
      <c r="M279" s="395"/>
      <c r="N279" s="395"/>
      <c r="O279" s="395"/>
      <c r="P279" s="395"/>
      <c r="Q279" s="395"/>
    </row>
    <row r="280">
      <c r="E280" s="394"/>
      <c r="J280" s="395"/>
      <c r="K280" s="395"/>
      <c r="L280" s="395"/>
      <c r="M280" s="395"/>
      <c r="N280" s="395"/>
      <c r="O280" s="395"/>
      <c r="P280" s="395"/>
      <c r="Q280" s="395"/>
    </row>
    <row r="281">
      <c r="E281" s="394"/>
      <c r="J281" s="395"/>
      <c r="K281" s="395"/>
      <c r="L281" s="395"/>
      <c r="M281" s="395"/>
      <c r="N281" s="395"/>
      <c r="O281" s="395"/>
      <c r="P281" s="395"/>
      <c r="Q281" s="395"/>
    </row>
    <row r="282">
      <c r="E282" s="394"/>
      <c r="J282" s="395"/>
      <c r="K282" s="395"/>
      <c r="L282" s="395"/>
      <c r="M282" s="395"/>
      <c r="N282" s="395"/>
      <c r="O282" s="395"/>
      <c r="P282" s="395"/>
      <c r="Q282" s="395"/>
    </row>
    <row r="283">
      <c r="E283" s="394"/>
      <c r="J283" s="395"/>
      <c r="K283" s="395"/>
      <c r="L283" s="395"/>
      <c r="M283" s="395"/>
      <c r="N283" s="395"/>
      <c r="O283" s="395"/>
      <c r="P283" s="395"/>
      <c r="Q283" s="395"/>
    </row>
    <row r="284">
      <c r="E284" s="394"/>
      <c r="J284" s="395"/>
      <c r="K284" s="395"/>
      <c r="L284" s="395"/>
      <c r="M284" s="395"/>
      <c r="N284" s="395"/>
      <c r="O284" s="395"/>
      <c r="P284" s="395"/>
      <c r="Q284" s="395"/>
    </row>
    <row r="285">
      <c r="E285" s="394"/>
      <c r="J285" s="395"/>
      <c r="K285" s="395"/>
      <c r="L285" s="395"/>
      <c r="M285" s="395"/>
      <c r="N285" s="395"/>
      <c r="O285" s="395"/>
      <c r="P285" s="395"/>
      <c r="Q285" s="395"/>
    </row>
    <row r="286">
      <c r="E286" s="394"/>
      <c r="J286" s="395"/>
      <c r="K286" s="395"/>
      <c r="L286" s="395"/>
      <c r="M286" s="395"/>
      <c r="N286" s="395"/>
      <c r="O286" s="395"/>
      <c r="P286" s="395"/>
      <c r="Q286" s="395"/>
    </row>
    <row r="287">
      <c r="E287" s="394"/>
      <c r="J287" s="395"/>
      <c r="K287" s="395"/>
      <c r="L287" s="395"/>
      <c r="M287" s="395"/>
      <c r="N287" s="395"/>
      <c r="O287" s="395"/>
      <c r="P287" s="395"/>
      <c r="Q287" s="395"/>
    </row>
    <row r="288">
      <c r="E288" s="394"/>
      <c r="J288" s="395"/>
      <c r="K288" s="395"/>
      <c r="L288" s="395"/>
      <c r="M288" s="395"/>
      <c r="N288" s="395"/>
      <c r="O288" s="395"/>
      <c r="P288" s="395"/>
      <c r="Q288" s="395"/>
    </row>
    <row r="289">
      <c r="E289" s="394"/>
      <c r="J289" s="395"/>
      <c r="K289" s="395"/>
      <c r="L289" s="395"/>
      <c r="M289" s="395"/>
      <c r="N289" s="395"/>
      <c r="O289" s="395"/>
      <c r="P289" s="395"/>
      <c r="Q289" s="395"/>
    </row>
    <row r="290">
      <c r="E290" s="394"/>
      <c r="J290" s="395"/>
      <c r="K290" s="395"/>
      <c r="L290" s="395"/>
      <c r="M290" s="395"/>
      <c r="N290" s="395"/>
      <c r="O290" s="395"/>
      <c r="P290" s="395"/>
      <c r="Q290" s="395"/>
    </row>
    <row r="291">
      <c r="E291" s="394"/>
      <c r="J291" s="395"/>
      <c r="K291" s="395"/>
      <c r="L291" s="395"/>
      <c r="M291" s="395"/>
      <c r="N291" s="395"/>
      <c r="O291" s="395"/>
      <c r="P291" s="395"/>
      <c r="Q291" s="395"/>
    </row>
    <row r="292">
      <c r="E292" s="394"/>
      <c r="J292" s="395"/>
      <c r="K292" s="395"/>
      <c r="L292" s="395"/>
      <c r="M292" s="395"/>
      <c r="N292" s="395"/>
      <c r="O292" s="395"/>
      <c r="P292" s="395"/>
      <c r="Q292" s="395"/>
    </row>
    <row r="293">
      <c r="E293" s="394"/>
      <c r="J293" s="395"/>
      <c r="K293" s="395"/>
      <c r="L293" s="395"/>
      <c r="M293" s="395"/>
      <c r="N293" s="395"/>
      <c r="O293" s="395"/>
      <c r="P293" s="395"/>
      <c r="Q293" s="395"/>
    </row>
    <row r="294">
      <c r="E294" s="394"/>
      <c r="J294" s="395"/>
      <c r="K294" s="395"/>
      <c r="L294" s="395"/>
      <c r="M294" s="395"/>
      <c r="N294" s="395"/>
      <c r="O294" s="395"/>
      <c r="P294" s="395"/>
      <c r="Q294" s="395"/>
    </row>
    <row r="295">
      <c r="E295" s="394"/>
      <c r="J295" s="395"/>
      <c r="K295" s="395"/>
      <c r="L295" s="395"/>
      <c r="M295" s="395"/>
      <c r="N295" s="395"/>
      <c r="O295" s="395"/>
      <c r="P295" s="395"/>
      <c r="Q295" s="395"/>
    </row>
    <row r="296">
      <c r="E296" s="394"/>
      <c r="J296" s="395"/>
      <c r="K296" s="395"/>
      <c r="L296" s="395"/>
      <c r="M296" s="395"/>
      <c r="N296" s="395"/>
      <c r="O296" s="395"/>
      <c r="P296" s="395"/>
      <c r="Q296" s="395"/>
    </row>
    <row r="297">
      <c r="E297" s="394"/>
      <c r="J297" s="395"/>
      <c r="K297" s="395"/>
      <c r="L297" s="395"/>
      <c r="M297" s="395"/>
      <c r="N297" s="395"/>
      <c r="O297" s="395"/>
      <c r="P297" s="395"/>
      <c r="Q297" s="395"/>
    </row>
    <row r="298">
      <c r="E298" s="394"/>
      <c r="J298" s="395"/>
      <c r="K298" s="395"/>
      <c r="L298" s="395"/>
      <c r="M298" s="395"/>
      <c r="N298" s="395"/>
      <c r="O298" s="395"/>
      <c r="P298" s="395"/>
      <c r="Q298" s="395"/>
    </row>
    <row r="299">
      <c r="E299" s="394"/>
      <c r="J299" s="395"/>
      <c r="K299" s="395"/>
      <c r="L299" s="395"/>
      <c r="M299" s="395"/>
      <c r="N299" s="395"/>
      <c r="O299" s="395"/>
      <c r="P299" s="395"/>
      <c r="Q299" s="395"/>
    </row>
    <row r="300">
      <c r="E300" s="394"/>
      <c r="J300" s="395"/>
      <c r="K300" s="395"/>
      <c r="L300" s="395"/>
      <c r="M300" s="395"/>
      <c r="N300" s="395"/>
      <c r="O300" s="395"/>
      <c r="P300" s="395"/>
      <c r="Q300" s="395"/>
    </row>
    <row r="301">
      <c r="E301" s="394"/>
      <c r="J301" s="395"/>
      <c r="K301" s="395"/>
      <c r="L301" s="395"/>
      <c r="M301" s="395"/>
      <c r="N301" s="395"/>
      <c r="O301" s="395"/>
      <c r="P301" s="395"/>
      <c r="Q301" s="395"/>
    </row>
    <row r="302">
      <c r="E302" s="394"/>
      <c r="J302" s="395"/>
      <c r="K302" s="395"/>
      <c r="L302" s="395"/>
      <c r="M302" s="395"/>
      <c r="N302" s="395"/>
      <c r="O302" s="395"/>
      <c r="P302" s="395"/>
      <c r="Q302" s="395"/>
    </row>
    <row r="303">
      <c r="E303" s="394"/>
      <c r="J303" s="395"/>
      <c r="K303" s="395"/>
      <c r="L303" s="395"/>
      <c r="M303" s="395"/>
      <c r="N303" s="395"/>
      <c r="O303" s="395"/>
      <c r="P303" s="395"/>
      <c r="Q303" s="395"/>
    </row>
    <row r="304">
      <c r="E304" s="394"/>
      <c r="J304" s="395"/>
      <c r="K304" s="395"/>
      <c r="L304" s="395"/>
      <c r="M304" s="395"/>
      <c r="N304" s="395"/>
      <c r="O304" s="395"/>
      <c r="P304" s="395"/>
      <c r="Q304" s="395"/>
    </row>
    <row r="305">
      <c r="E305" s="394"/>
      <c r="J305" s="395"/>
      <c r="K305" s="395"/>
      <c r="L305" s="395"/>
      <c r="M305" s="395"/>
      <c r="N305" s="395"/>
      <c r="O305" s="395"/>
      <c r="P305" s="395"/>
      <c r="Q305" s="395"/>
    </row>
    <row r="306">
      <c r="E306" s="394"/>
      <c r="J306" s="395"/>
      <c r="K306" s="395"/>
      <c r="L306" s="395"/>
      <c r="M306" s="395"/>
      <c r="N306" s="395"/>
      <c r="O306" s="395"/>
      <c r="P306" s="395"/>
      <c r="Q306" s="395"/>
    </row>
    <row r="307">
      <c r="E307" s="394"/>
      <c r="J307" s="395"/>
      <c r="K307" s="395"/>
      <c r="L307" s="395"/>
      <c r="M307" s="395"/>
      <c r="N307" s="395"/>
      <c r="O307" s="395"/>
      <c r="P307" s="395"/>
      <c r="Q307" s="395"/>
    </row>
    <row r="308">
      <c r="E308" s="394"/>
      <c r="J308" s="395"/>
      <c r="K308" s="395"/>
      <c r="L308" s="395"/>
      <c r="M308" s="395"/>
      <c r="N308" s="395"/>
      <c r="O308" s="395"/>
      <c r="P308" s="395"/>
      <c r="Q308" s="395"/>
    </row>
    <row r="309">
      <c r="E309" s="394"/>
      <c r="J309" s="395"/>
      <c r="K309" s="395"/>
      <c r="L309" s="395"/>
      <c r="M309" s="395"/>
      <c r="N309" s="395"/>
      <c r="O309" s="395"/>
      <c r="P309" s="395"/>
      <c r="Q309" s="395"/>
    </row>
    <row r="310">
      <c r="E310" s="394"/>
      <c r="J310" s="395"/>
      <c r="K310" s="395"/>
      <c r="L310" s="395"/>
      <c r="M310" s="395"/>
      <c r="N310" s="395"/>
      <c r="O310" s="395"/>
      <c r="P310" s="395"/>
      <c r="Q310" s="395"/>
    </row>
    <row r="311">
      <c r="E311" s="394"/>
      <c r="J311" s="395"/>
      <c r="K311" s="395"/>
      <c r="L311" s="395"/>
      <c r="M311" s="395"/>
      <c r="N311" s="395"/>
      <c r="O311" s="395"/>
      <c r="P311" s="395"/>
      <c r="Q311" s="395"/>
    </row>
    <row r="312">
      <c r="E312" s="394"/>
      <c r="J312" s="395"/>
      <c r="K312" s="395"/>
      <c r="L312" s="395"/>
      <c r="M312" s="395"/>
      <c r="N312" s="395"/>
      <c r="O312" s="395"/>
      <c r="P312" s="395"/>
      <c r="Q312" s="395"/>
    </row>
    <row r="313">
      <c r="E313" s="394"/>
      <c r="J313" s="395"/>
      <c r="K313" s="395"/>
      <c r="L313" s="395"/>
      <c r="M313" s="395"/>
      <c r="N313" s="395"/>
      <c r="O313" s="395"/>
      <c r="P313" s="395"/>
      <c r="Q313" s="395"/>
    </row>
    <row r="314">
      <c r="E314" s="394"/>
      <c r="J314" s="395"/>
      <c r="K314" s="395"/>
      <c r="L314" s="395"/>
      <c r="M314" s="395"/>
      <c r="N314" s="395"/>
      <c r="O314" s="395"/>
      <c r="P314" s="395"/>
      <c r="Q314" s="395"/>
    </row>
    <row r="315">
      <c r="E315" s="394"/>
      <c r="J315" s="395"/>
      <c r="K315" s="395"/>
      <c r="L315" s="395"/>
      <c r="M315" s="395"/>
      <c r="N315" s="395"/>
      <c r="O315" s="395"/>
      <c r="P315" s="395"/>
      <c r="Q315" s="395"/>
    </row>
    <row r="316">
      <c r="E316" s="394"/>
      <c r="J316" s="395"/>
      <c r="K316" s="395"/>
      <c r="L316" s="395"/>
      <c r="M316" s="395"/>
      <c r="N316" s="395"/>
      <c r="O316" s="395"/>
      <c r="P316" s="395"/>
      <c r="Q316" s="395"/>
    </row>
    <row r="317">
      <c r="E317" s="394"/>
      <c r="J317" s="395"/>
      <c r="K317" s="395"/>
      <c r="L317" s="395"/>
      <c r="M317" s="395"/>
      <c r="N317" s="395"/>
      <c r="O317" s="395"/>
      <c r="P317" s="395"/>
      <c r="Q317" s="395"/>
    </row>
    <row r="318">
      <c r="E318" s="394"/>
      <c r="J318" s="395"/>
      <c r="K318" s="395"/>
      <c r="L318" s="395"/>
      <c r="M318" s="395"/>
      <c r="N318" s="395"/>
      <c r="O318" s="395"/>
      <c r="P318" s="395"/>
      <c r="Q318" s="395"/>
    </row>
    <row r="319">
      <c r="E319" s="394"/>
      <c r="J319" s="395"/>
      <c r="K319" s="395"/>
      <c r="L319" s="395"/>
      <c r="M319" s="395"/>
      <c r="N319" s="395"/>
      <c r="O319" s="395"/>
      <c r="P319" s="395"/>
      <c r="Q319" s="395"/>
    </row>
    <row r="320">
      <c r="E320" s="394"/>
      <c r="J320" s="395"/>
      <c r="K320" s="395"/>
      <c r="L320" s="395"/>
      <c r="M320" s="395"/>
      <c r="N320" s="395"/>
      <c r="O320" s="395"/>
      <c r="P320" s="395"/>
      <c r="Q320" s="395"/>
    </row>
    <row r="321">
      <c r="E321" s="394"/>
      <c r="J321" s="395"/>
      <c r="K321" s="395"/>
      <c r="L321" s="395"/>
      <c r="M321" s="395"/>
      <c r="N321" s="395"/>
      <c r="O321" s="395"/>
      <c r="P321" s="395"/>
      <c r="Q321" s="395"/>
    </row>
    <row r="322">
      <c r="E322" s="394"/>
      <c r="J322" s="395"/>
      <c r="K322" s="395"/>
      <c r="L322" s="395"/>
      <c r="M322" s="395"/>
      <c r="N322" s="395"/>
      <c r="O322" s="395"/>
      <c r="P322" s="395"/>
      <c r="Q322" s="395"/>
    </row>
    <row r="323">
      <c r="E323" s="394"/>
      <c r="J323" s="395"/>
      <c r="K323" s="395"/>
      <c r="L323" s="395"/>
      <c r="M323" s="395"/>
      <c r="N323" s="395"/>
      <c r="O323" s="395"/>
      <c r="P323" s="395"/>
      <c r="Q323" s="395"/>
    </row>
    <row r="324">
      <c r="E324" s="394"/>
      <c r="J324" s="395"/>
      <c r="K324" s="395"/>
      <c r="L324" s="395"/>
      <c r="M324" s="395"/>
      <c r="N324" s="395"/>
      <c r="O324" s="395"/>
      <c r="P324" s="395"/>
      <c r="Q324" s="395"/>
    </row>
    <row r="325">
      <c r="E325" s="394"/>
      <c r="J325" s="395"/>
      <c r="K325" s="395"/>
      <c r="L325" s="395"/>
      <c r="M325" s="395"/>
      <c r="N325" s="395"/>
      <c r="O325" s="395"/>
      <c r="P325" s="395"/>
      <c r="Q325" s="395"/>
    </row>
    <row r="326">
      <c r="E326" s="394"/>
      <c r="J326" s="395"/>
      <c r="K326" s="395"/>
      <c r="L326" s="395"/>
      <c r="M326" s="395"/>
      <c r="N326" s="395"/>
      <c r="O326" s="395"/>
      <c r="P326" s="395"/>
      <c r="Q326" s="395"/>
    </row>
    <row r="327">
      <c r="E327" s="394"/>
      <c r="J327" s="395"/>
      <c r="K327" s="395"/>
      <c r="L327" s="395"/>
      <c r="M327" s="395"/>
      <c r="N327" s="395"/>
      <c r="O327" s="395"/>
      <c r="P327" s="395"/>
      <c r="Q327" s="395"/>
    </row>
    <row r="328">
      <c r="E328" s="394"/>
      <c r="J328" s="395"/>
      <c r="K328" s="395"/>
      <c r="L328" s="395"/>
      <c r="M328" s="395"/>
      <c r="N328" s="395"/>
      <c r="O328" s="395"/>
      <c r="P328" s="395"/>
      <c r="Q328" s="395"/>
    </row>
    <row r="329">
      <c r="E329" s="394"/>
      <c r="J329" s="395"/>
      <c r="K329" s="395"/>
      <c r="L329" s="395"/>
      <c r="M329" s="395"/>
      <c r="N329" s="395"/>
      <c r="O329" s="395"/>
      <c r="P329" s="395"/>
      <c r="Q329" s="395"/>
    </row>
    <row r="330">
      <c r="E330" s="394"/>
      <c r="J330" s="395"/>
      <c r="K330" s="395"/>
      <c r="L330" s="395"/>
      <c r="M330" s="395"/>
      <c r="N330" s="395"/>
      <c r="O330" s="395"/>
      <c r="P330" s="395"/>
      <c r="Q330" s="395"/>
    </row>
    <row r="331">
      <c r="E331" s="394"/>
      <c r="J331" s="395"/>
      <c r="K331" s="395"/>
      <c r="L331" s="395"/>
      <c r="M331" s="395"/>
      <c r="N331" s="395"/>
      <c r="O331" s="395"/>
      <c r="P331" s="395"/>
      <c r="Q331" s="395"/>
    </row>
    <row r="332">
      <c r="E332" s="394"/>
      <c r="J332" s="395"/>
      <c r="K332" s="395"/>
      <c r="L332" s="395"/>
      <c r="M332" s="395"/>
      <c r="N332" s="395"/>
      <c r="O332" s="395"/>
      <c r="P332" s="395"/>
      <c r="Q332" s="395"/>
    </row>
    <row r="333">
      <c r="E333" s="394"/>
      <c r="J333" s="395"/>
      <c r="K333" s="395"/>
      <c r="L333" s="395"/>
      <c r="M333" s="395"/>
      <c r="N333" s="395"/>
      <c r="O333" s="395"/>
      <c r="P333" s="395"/>
      <c r="Q333" s="395"/>
    </row>
    <row r="334">
      <c r="E334" s="394"/>
      <c r="J334" s="395"/>
      <c r="K334" s="395"/>
      <c r="L334" s="395"/>
      <c r="M334" s="395"/>
      <c r="N334" s="395"/>
      <c r="O334" s="395"/>
      <c r="P334" s="395"/>
      <c r="Q334" s="395"/>
    </row>
    <row r="335">
      <c r="E335" s="394"/>
      <c r="J335" s="395"/>
      <c r="K335" s="395"/>
      <c r="L335" s="395"/>
      <c r="M335" s="395"/>
      <c r="N335" s="395"/>
      <c r="O335" s="395"/>
      <c r="P335" s="395"/>
      <c r="Q335" s="395"/>
    </row>
    <row r="336">
      <c r="E336" s="394"/>
      <c r="J336" s="395"/>
      <c r="K336" s="395"/>
      <c r="L336" s="395"/>
      <c r="M336" s="395"/>
      <c r="N336" s="395"/>
      <c r="O336" s="395"/>
      <c r="P336" s="395"/>
      <c r="Q336" s="395"/>
    </row>
    <row r="337">
      <c r="E337" s="394"/>
      <c r="J337" s="395"/>
      <c r="K337" s="395"/>
      <c r="L337" s="395"/>
      <c r="M337" s="395"/>
      <c r="N337" s="395"/>
      <c r="O337" s="395"/>
      <c r="P337" s="395"/>
      <c r="Q337" s="395"/>
    </row>
    <row r="338">
      <c r="E338" s="394"/>
      <c r="J338" s="395"/>
      <c r="K338" s="395"/>
      <c r="L338" s="395"/>
      <c r="M338" s="395"/>
      <c r="N338" s="395"/>
      <c r="O338" s="395"/>
      <c r="P338" s="395"/>
      <c r="Q338" s="395"/>
    </row>
    <row r="339">
      <c r="E339" s="394"/>
      <c r="J339" s="395"/>
      <c r="K339" s="395"/>
      <c r="L339" s="395"/>
      <c r="M339" s="395"/>
      <c r="N339" s="395"/>
      <c r="O339" s="395"/>
      <c r="P339" s="395"/>
      <c r="Q339" s="395"/>
    </row>
    <row r="340">
      <c r="E340" s="394"/>
      <c r="J340" s="395"/>
      <c r="K340" s="395"/>
      <c r="L340" s="395"/>
      <c r="M340" s="395"/>
      <c r="N340" s="395"/>
      <c r="O340" s="395"/>
      <c r="P340" s="395"/>
      <c r="Q340" s="395"/>
    </row>
    <row r="341">
      <c r="E341" s="394"/>
      <c r="J341" s="395"/>
      <c r="K341" s="395"/>
      <c r="L341" s="395"/>
      <c r="M341" s="395"/>
      <c r="N341" s="395"/>
      <c r="O341" s="395"/>
      <c r="P341" s="395"/>
      <c r="Q341" s="395"/>
    </row>
    <row r="342">
      <c r="E342" s="394"/>
      <c r="J342" s="395"/>
      <c r="K342" s="395"/>
      <c r="L342" s="395"/>
      <c r="M342" s="395"/>
      <c r="N342" s="395"/>
      <c r="O342" s="395"/>
      <c r="P342" s="395"/>
      <c r="Q342" s="395"/>
    </row>
    <row r="343">
      <c r="E343" s="394"/>
      <c r="J343" s="395"/>
      <c r="K343" s="395"/>
      <c r="L343" s="395"/>
      <c r="M343" s="395"/>
      <c r="N343" s="395"/>
      <c r="O343" s="395"/>
      <c r="P343" s="395"/>
      <c r="Q343" s="395"/>
    </row>
    <row r="344">
      <c r="E344" s="394"/>
      <c r="J344" s="395"/>
      <c r="K344" s="395"/>
      <c r="L344" s="395"/>
      <c r="M344" s="395"/>
      <c r="N344" s="395"/>
      <c r="O344" s="395"/>
      <c r="P344" s="395"/>
      <c r="Q344" s="395"/>
    </row>
    <row r="345">
      <c r="E345" s="394"/>
      <c r="J345" s="395"/>
      <c r="K345" s="395"/>
      <c r="L345" s="395"/>
      <c r="M345" s="395"/>
      <c r="N345" s="395"/>
      <c r="O345" s="395"/>
      <c r="P345" s="395"/>
      <c r="Q345" s="395"/>
    </row>
    <row r="346">
      <c r="E346" s="394"/>
      <c r="J346" s="395"/>
      <c r="K346" s="395"/>
      <c r="L346" s="395"/>
      <c r="M346" s="395"/>
      <c r="N346" s="395"/>
      <c r="O346" s="395"/>
      <c r="P346" s="395"/>
      <c r="Q346" s="395"/>
    </row>
    <row r="347">
      <c r="E347" s="394"/>
      <c r="J347" s="395"/>
      <c r="K347" s="395"/>
      <c r="L347" s="395"/>
      <c r="M347" s="395"/>
      <c r="N347" s="395"/>
      <c r="O347" s="395"/>
      <c r="P347" s="395"/>
      <c r="Q347" s="395"/>
    </row>
    <row r="348">
      <c r="E348" s="394"/>
      <c r="J348" s="395"/>
      <c r="K348" s="395"/>
      <c r="L348" s="395"/>
      <c r="M348" s="395"/>
      <c r="N348" s="395"/>
      <c r="O348" s="395"/>
      <c r="P348" s="395"/>
      <c r="Q348" s="395"/>
    </row>
    <row r="349">
      <c r="E349" s="394"/>
      <c r="J349" s="395"/>
      <c r="K349" s="395"/>
      <c r="L349" s="395"/>
      <c r="M349" s="395"/>
      <c r="N349" s="395"/>
      <c r="O349" s="395"/>
      <c r="P349" s="395"/>
      <c r="Q349" s="395"/>
    </row>
    <row r="350">
      <c r="E350" s="394"/>
      <c r="J350" s="395"/>
      <c r="K350" s="395"/>
      <c r="L350" s="395"/>
      <c r="M350" s="395"/>
      <c r="N350" s="395"/>
      <c r="O350" s="395"/>
      <c r="P350" s="395"/>
      <c r="Q350" s="395"/>
    </row>
    <row r="351">
      <c r="E351" s="394"/>
      <c r="J351" s="395"/>
      <c r="K351" s="395"/>
      <c r="L351" s="395"/>
      <c r="M351" s="395"/>
      <c r="N351" s="395"/>
      <c r="O351" s="395"/>
      <c r="P351" s="395"/>
      <c r="Q351" s="395"/>
    </row>
    <row r="352">
      <c r="E352" s="394"/>
      <c r="J352" s="395"/>
      <c r="K352" s="395"/>
      <c r="L352" s="395"/>
      <c r="M352" s="395"/>
      <c r="N352" s="395"/>
      <c r="O352" s="395"/>
      <c r="P352" s="395"/>
      <c r="Q352" s="395"/>
    </row>
    <row r="353">
      <c r="E353" s="394"/>
      <c r="J353" s="395"/>
      <c r="K353" s="395"/>
      <c r="L353" s="395"/>
      <c r="M353" s="395"/>
      <c r="N353" s="395"/>
      <c r="O353" s="395"/>
      <c r="P353" s="395"/>
      <c r="Q353" s="395"/>
    </row>
    <row r="354">
      <c r="E354" s="394"/>
      <c r="J354" s="395"/>
      <c r="K354" s="395"/>
      <c r="L354" s="395"/>
      <c r="M354" s="395"/>
      <c r="N354" s="395"/>
      <c r="O354" s="395"/>
      <c r="P354" s="395"/>
      <c r="Q354" s="395"/>
    </row>
    <row r="355">
      <c r="E355" s="394"/>
      <c r="J355" s="395"/>
      <c r="K355" s="395"/>
      <c r="L355" s="395"/>
      <c r="M355" s="395"/>
      <c r="N355" s="395"/>
      <c r="O355" s="395"/>
      <c r="P355" s="395"/>
      <c r="Q355" s="395"/>
    </row>
    <row r="356">
      <c r="E356" s="394"/>
      <c r="J356" s="395"/>
      <c r="K356" s="395"/>
      <c r="L356" s="395"/>
      <c r="M356" s="395"/>
      <c r="N356" s="395"/>
      <c r="O356" s="395"/>
      <c r="P356" s="395"/>
      <c r="Q356" s="395"/>
    </row>
    <row r="357">
      <c r="E357" s="394"/>
      <c r="J357" s="395"/>
      <c r="K357" s="395"/>
      <c r="L357" s="395"/>
      <c r="M357" s="395"/>
      <c r="N357" s="395"/>
      <c r="O357" s="395"/>
      <c r="P357" s="395"/>
      <c r="Q357" s="395"/>
    </row>
    <row r="358">
      <c r="E358" s="394"/>
      <c r="J358" s="395"/>
      <c r="K358" s="395"/>
      <c r="L358" s="395"/>
      <c r="M358" s="395"/>
      <c r="N358" s="395"/>
      <c r="O358" s="395"/>
      <c r="P358" s="395"/>
      <c r="Q358" s="395"/>
    </row>
    <row r="359">
      <c r="E359" s="394"/>
      <c r="J359" s="395"/>
      <c r="K359" s="395"/>
      <c r="L359" s="395"/>
      <c r="M359" s="395"/>
      <c r="N359" s="395"/>
      <c r="O359" s="395"/>
      <c r="P359" s="395"/>
      <c r="Q359" s="395"/>
    </row>
    <row r="360">
      <c r="E360" s="394"/>
      <c r="J360" s="395"/>
      <c r="K360" s="395"/>
      <c r="L360" s="395"/>
      <c r="M360" s="395"/>
      <c r="N360" s="395"/>
      <c r="O360" s="395"/>
      <c r="P360" s="395"/>
      <c r="Q360" s="395"/>
    </row>
    <row r="361">
      <c r="E361" s="394"/>
      <c r="J361" s="395"/>
      <c r="K361" s="395"/>
      <c r="L361" s="395"/>
      <c r="M361" s="395"/>
      <c r="N361" s="395"/>
      <c r="O361" s="395"/>
      <c r="P361" s="395"/>
      <c r="Q361" s="395"/>
    </row>
    <row r="362">
      <c r="E362" s="394"/>
      <c r="J362" s="395"/>
      <c r="K362" s="395"/>
      <c r="L362" s="395"/>
      <c r="M362" s="395"/>
      <c r="N362" s="395"/>
      <c r="O362" s="395"/>
      <c r="P362" s="395"/>
      <c r="Q362" s="395"/>
    </row>
    <row r="363">
      <c r="E363" s="394"/>
      <c r="J363" s="395"/>
      <c r="K363" s="395"/>
      <c r="L363" s="395"/>
      <c r="M363" s="395"/>
      <c r="N363" s="395"/>
      <c r="O363" s="395"/>
      <c r="P363" s="395"/>
      <c r="Q363" s="395"/>
    </row>
    <row r="364">
      <c r="E364" s="394"/>
      <c r="J364" s="395"/>
      <c r="K364" s="395"/>
      <c r="L364" s="395"/>
      <c r="M364" s="395"/>
      <c r="N364" s="395"/>
      <c r="O364" s="395"/>
      <c r="P364" s="395"/>
      <c r="Q364" s="395"/>
    </row>
    <row r="365">
      <c r="E365" s="394"/>
      <c r="J365" s="395"/>
      <c r="K365" s="395"/>
      <c r="L365" s="395"/>
      <c r="M365" s="395"/>
      <c r="N365" s="395"/>
      <c r="O365" s="395"/>
      <c r="P365" s="395"/>
      <c r="Q365" s="395"/>
    </row>
    <row r="366">
      <c r="E366" s="394"/>
      <c r="J366" s="395"/>
      <c r="K366" s="395"/>
      <c r="L366" s="395"/>
      <c r="M366" s="395"/>
      <c r="N366" s="395"/>
      <c r="O366" s="395"/>
      <c r="P366" s="395"/>
      <c r="Q366" s="395"/>
    </row>
    <row r="367">
      <c r="E367" s="394"/>
      <c r="J367" s="395"/>
      <c r="K367" s="395"/>
      <c r="L367" s="395"/>
      <c r="M367" s="395"/>
      <c r="N367" s="395"/>
      <c r="O367" s="395"/>
      <c r="P367" s="395"/>
      <c r="Q367" s="395"/>
    </row>
    <row r="368">
      <c r="E368" s="394"/>
      <c r="J368" s="395"/>
      <c r="K368" s="395"/>
      <c r="L368" s="395"/>
      <c r="M368" s="395"/>
      <c r="N368" s="395"/>
      <c r="O368" s="395"/>
      <c r="P368" s="395"/>
      <c r="Q368" s="395"/>
    </row>
    <row r="369">
      <c r="E369" s="394"/>
      <c r="J369" s="395"/>
      <c r="K369" s="395"/>
      <c r="L369" s="395"/>
      <c r="M369" s="395"/>
      <c r="N369" s="395"/>
      <c r="O369" s="395"/>
      <c r="P369" s="395"/>
      <c r="Q369" s="395"/>
    </row>
    <row r="370">
      <c r="E370" s="394"/>
      <c r="J370" s="395"/>
      <c r="K370" s="395"/>
      <c r="L370" s="395"/>
      <c r="M370" s="395"/>
      <c r="N370" s="395"/>
      <c r="O370" s="395"/>
      <c r="P370" s="395"/>
      <c r="Q370" s="395"/>
    </row>
    <row r="371">
      <c r="E371" s="394"/>
      <c r="J371" s="395"/>
      <c r="K371" s="395"/>
      <c r="L371" s="395"/>
      <c r="M371" s="395"/>
      <c r="N371" s="395"/>
      <c r="O371" s="395"/>
      <c r="P371" s="395"/>
      <c r="Q371" s="395"/>
    </row>
    <row r="372">
      <c r="E372" s="394"/>
      <c r="J372" s="395"/>
      <c r="K372" s="395"/>
      <c r="L372" s="395"/>
      <c r="M372" s="395"/>
      <c r="N372" s="395"/>
      <c r="O372" s="395"/>
      <c r="P372" s="395"/>
      <c r="Q372" s="395"/>
    </row>
    <row r="373">
      <c r="E373" s="394"/>
      <c r="J373" s="395"/>
      <c r="K373" s="395"/>
      <c r="L373" s="395"/>
      <c r="M373" s="395"/>
      <c r="N373" s="395"/>
      <c r="O373" s="395"/>
      <c r="P373" s="395"/>
      <c r="Q373" s="395"/>
    </row>
    <row r="374">
      <c r="E374" s="394"/>
      <c r="J374" s="395"/>
      <c r="K374" s="395"/>
      <c r="L374" s="395"/>
      <c r="M374" s="395"/>
      <c r="N374" s="395"/>
      <c r="O374" s="395"/>
      <c r="P374" s="395"/>
      <c r="Q374" s="395"/>
    </row>
    <row r="375">
      <c r="E375" s="394"/>
      <c r="J375" s="395"/>
      <c r="K375" s="395"/>
      <c r="L375" s="395"/>
      <c r="M375" s="395"/>
      <c r="N375" s="395"/>
      <c r="O375" s="395"/>
      <c r="P375" s="395"/>
      <c r="Q375" s="395"/>
    </row>
    <row r="376">
      <c r="E376" s="394"/>
      <c r="J376" s="395"/>
      <c r="K376" s="395"/>
      <c r="L376" s="395"/>
      <c r="M376" s="395"/>
      <c r="N376" s="395"/>
      <c r="O376" s="395"/>
      <c r="P376" s="395"/>
      <c r="Q376" s="395"/>
    </row>
    <row r="377">
      <c r="E377" s="394"/>
      <c r="J377" s="395"/>
      <c r="K377" s="395"/>
      <c r="L377" s="395"/>
      <c r="M377" s="395"/>
      <c r="N377" s="395"/>
      <c r="O377" s="395"/>
      <c r="P377" s="395"/>
      <c r="Q377" s="395"/>
    </row>
    <row r="378">
      <c r="E378" s="394"/>
      <c r="J378" s="395"/>
      <c r="K378" s="395"/>
      <c r="L378" s="395"/>
      <c r="M378" s="395"/>
      <c r="N378" s="395"/>
      <c r="O378" s="395"/>
      <c r="P378" s="395"/>
      <c r="Q378" s="395"/>
    </row>
    <row r="379">
      <c r="E379" s="394"/>
      <c r="J379" s="395"/>
      <c r="K379" s="395"/>
      <c r="L379" s="395"/>
      <c r="M379" s="395"/>
      <c r="N379" s="395"/>
      <c r="O379" s="395"/>
      <c r="P379" s="395"/>
      <c r="Q379" s="395"/>
    </row>
    <row r="380">
      <c r="E380" s="394"/>
      <c r="J380" s="395"/>
      <c r="K380" s="395"/>
      <c r="L380" s="395"/>
      <c r="M380" s="395"/>
      <c r="N380" s="395"/>
      <c r="O380" s="395"/>
      <c r="P380" s="395"/>
      <c r="Q380" s="395"/>
    </row>
    <row r="381">
      <c r="E381" s="394"/>
      <c r="J381" s="395"/>
      <c r="K381" s="395"/>
      <c r="L381" s="395"/>
      <c r="M381" s="395"/>
      <c r="N381" s="395"/>
      <c r="O381" s="395"/>
      <c r="P381" s="395"/>
      <c r="Q381" s="395"/>
    </row>
    <row r="382">
      <c r="E382" s="394"/>
      <c r="J382" s="395"/>
      <c r="K382" s="395"/>
      <c r="L382" s="395"/>
      <c r="M382" s="395"/>
      <c r="N382" s="395"/>
      <c r="O382" s="395"/>
      <c r="P382" s="395"/>
      <c r="Q382" s="395"/>
    </row>
    <row r="383">
      <c r="E383" s="394"/>
      <c r="J383" s="395"/>
      <c r="K383" s="395"/>
      <c r="L383" s="395"/>
      <c r="M383" s="395"/>
      <c r="N383" s="395"/>
      <c r="O383" s="395"/>
      <c r="P383" s="395"/>
      <c r="Q383" s="395"/>
    </row>
    <row r="384">
      <c r="E384" s="394"/>
      <c r="J384" s="395"/>
      <c r="K384" s="395"/>
      <c r="L384" s="395"/>
      <c r="M384" s="395"/>
      <c r="N384" s="395"/>
      <c r="O384" s="395"/>
      <c r="P384" s="395"/>
      <c r="Q384" s="395"/>
    </row>
    <row r="385">
      <c r="E385" s="394"/>
      <c r="J385" s="395"/>
      <c r="K385" s="395"/>
      <c r="L385" s="395"/>
      <c r="M385" s="395"/>
      <c r="N385" s="395"/>
      <c r="O385" s="395"/>
      <c r="P385" s="395"/>
      <c r="Q385" s="395"/>
    </row>
    <row r="386">
      <c r="E386" s="394"/>
      <c r="J386" s="395"/>
      <c r="K386" s="395"/>
      <c r="L386" s="395"/>
      <c r="M386" s="395"/>
      <c r="N386" s="395"/>
      <c r="O386" s="395"/>
      <c r="P386" s="395"/>
      <c r="Q386" s="395"/>
    </row>
    <row r="387">
      <c r="E387" s="394"/>
      <c r="J387" s="395"/>
      <c r="K387" s="395"/>
      <c r="L387" s="395"/>
      <c r="M387" s="395"/>
      <c r="N387" s="395"/>
      <c r="O387" s="395"/>
      <c r="P387" s="395"/>
      <c r="Q387" s="395"/>
    </row>
    <row r="388">
      <c r="E388" s="394"/>
      <c r="J388" s="395"/>
      <c r="K388" s="395"/>
      <c r="L388" s="395"/>
      <c r="M388" s="395"/>
      <c r="N388" s="395"/>
      <c r="O388" s="395"/>
      <c r="P388" s="395"/>
      <c r="Q388" s="395"/>
    </row>
    <row r="389">
      <c r="E389" s="394"/>
      <c r="J389" s="395"/>
      <c r="K389" s="395"/>
      <c r="L389" s="395"/>
      <c r="M389" s="395"/>
      <c r="N389" s="395"/>
      <c r="O389" s="395"/>
      <c r="P389" s="395"/>
      <c r="Q389" s="395"/>
    </row>
    <row r="390">
      <c r="E390" s="394"/>
      <c r="J390" s="395"/>
      <c r="K390" s="395"/>
      <c r="L390" s="395"/>
      <c r="M390" s="395"/>
      <c r="N390" s="395"/>
      <c r="O390" s="395"/>
      <c r="P390" s="395"/>
      <c r="Q390" s="395"/>
    </row>
    <row r="391">
      <c r="E391" s="394"/>
      <c r="J391" s="395"/>
      <c r="K391" s="395"/>
      <c r="L391" s="395"/>
      <c r="M391" s="395"/>
      <c r="N391" s="395"/>
      <c r="O391" s="395"/>
      <c r="P391" s="395"/>
      <c r="Q391" s="395"/>
    </row>
    <row r="392">
      <c r="E392" s="394"/>
      <c r="J392" s="395"/>
      <c r="K392" s="395"/>
      <c r="L392" s="395"/>
      <c r="M392" s="395"/>
      <c r="N392" s="395"/>
      <c r="O392" s="395"/>
      <c r="P392" s="395"/>
      <c r="Q392" s="395"/>
    </row>
    <row r="393">
      <c r="E393" s="394"/>
      <c r="J393" s="395"/>
      <c r="K393" s="395"/>
      <c r="L393" s="395"/>
      <c r="M393" s="395"/>
      <c r="N393" s="395"/>
      <c r="O393" s="395"/>
      <c r="P393" s="395"/>
      <c r="Q393" s="395"/>
    </row>
    <row r="394">
      <c r="E394" s="394"/>
      <c r="J394" s="395"/>
      <c r="K394" s="395"/>
      <c r="L394" s="395"/>
      <c r="M394" s="395"/>
      <c r="N394" s="395"/>
      <c r="O394" s="395"/>
      <c r="P394" s="395"/>
      <c r="Q394" s="395"/>
    </row>
    <row r="395">
      <c r="E395" s="394"/>
      <c r="J395" s="395"/>
      <c r="K395" s="395"/>
      <c r="L395" s="395"/>
      <c r="M395" s="395"/>
      <c r="N395" s="395"/>
      <c r="O395" s="395"/>
      <c r="P395" s="395"/>
      <c r="Q395" s="395"/>
    </row>
    <row r="396">
      <c r="E396" s="394"/>
      <c r="J396" s="395"/>
      <c r="K396" s="395"/>
      <c r="L396" s="395"/>
      <c r="M396" s="395"/>
      <c r="N396" s="395"/>
      <c r="O396" s="395"/>
      <c r="P396" s="395"/>
      <c r="Q396" s="395"/>
    </row>
    <row r="397">
      <c r="E397" s="394"/>
      <c r="J397" s="395"/>
      <c r="K397" s="395"/>
      <c r="L397" s="395"/>
      <c r="M397" s="395"/>
      <c r="N397" s="395"/>
      <c r="O397" s="395"/>
      <c r="P397" s="395"/>
      <c r="Q397" s="395"/>
    </row>
    <row r="398">
      <c r="E398" s="394"/>
      <c r="J398" s="395"/>
      <c r="K398" s="395"/>
      <c r="L398" s="395"/>
      <c r="M398" s="395"/>
      <c r="N398" s="395"/>
      <c r="O398" s="395"/>
      <c r="P398" s="395"/>
      <c r="Q398" s="395"/>
    </row>
    <row r="399">
      <c r="E399" s="394"/>
      <c r="J399" s="395"/>
      <c r="K399" s="395"/>
      <c r="L399" s="395"/>
      <c r="M399" s="395"/>
      <c r="N399" s="395"/>
      <c r="O399" s="395"/>
      <c r="P399" s="395"/>
      <c r="Q399" s="395"/>
    </row>
    <row r="400">
      <c r="E400" s="394"/>
      <c r="J400" s="395"/>
      <c r="K400" s="395"/>
      <c r="L400" s="395"/>
      <c r="M400" s="395"/>
      <c r="N400" s="395"/>
      <c r="O400" s="395"/>
      <c r="P400" s="395"/>
      <c r="Q400" s="395"/>
    </row>
    <row r="401">
      <c r="E401" s="394"/>
      <c r="J401" s="395"/>
      <c r="K401" s="395"/>
      <c r="L401" s="395"/>
      <c r="M401" s="395"/>
      <c r="N401" s="395"/>
      <c r="O401" s="395"/>
      <c r="P401" s="395"/>
      <c r="Q401" s="395"/>
    </row>
    <row r="402">
      <c r="E402" s="394"/>
      <c r="J402" s="395"/>
      <c r="K402" s="395"/>
      <c r="L402" s="395"/>
      <c r="M402" s="395"/>
      <c r="N402" s="395"/>
      <c r="O402" s="395"/>
      <c r="P402" s="395"/>
      <c r="Q402" s="395"/>
    </row>
    <row r="403">
      <c r="E403" s="394"/>
      <c r="J403" s="395"/>
      <c r="K403" s="395"/>
      <c r="L403" s="395"/>
      <c r="M403" s="395"/>
      <c r="N403" s="395"/>
      <c r="O403" s="395"/>
      <c r="P403" s="395"/>
      <c r="Q403" s="395"/>
    </row>
    <row r="404">
      <c r="E404" s="394"/>
      <c r="J404" s="395"/>
      <c r="K404" s="395"/>
      <c r="L404" s="395"/>
      <c r="M404" s="395"/>
      <c r="N404" s="395"/>
      <c r="O404" s="395"/>
      <c r="P404" s="395"/>
      <c r="Q404" s="395"/>
    </row>
    <row r="405">
      <c r="E405" s="394"/>
      <c r="J405" s="395"/>
      <c r="K405" s="395"/>
      <c r="L405" s="395"/>
      <c r="M405" s="395"/>
      <c r="N405" s="395"/>
      <c r="O405" s="395"/>
      <c r="P405" s="395"/>
      <c r="Q405" s="395"/>
    </row>
    <row r="406">
      <c r="E406" s="394"/>
      <c r="J406" s="395"/>
      <c r="K406" s="395"/>
      <c r="L406" s="395"/>
      <c r="M406" s="395"/>
      <c r="N406" s="395"/>
      <c r="O406" s="395"/>
      <c r="P406" s="395"/>
      <c r="Q406" s="395"/>
    </row>
    <row r="407">
      <c r="E407" s="394"/>
      <c r="J407" s="395"/>
      <c r="K407" s="395"/>
      <c r="L407" s="395"/>
      <c r="M407" s="395"/>
      <c r="N407" s="395"/>
      <c r="O407" s="395"/>
      <c r="P407" s="395"/>
      <c r="Q407" s="395"/>
    </row>
    <row r="408">
      <c r="E408" s="394"/>
      <c r="J408" s="395"/>
      <c r="K408" s="395"/>
      <c r="L408" s="395"/>
      <c r="M408" s="395"/>
      <c r="N408" s="395"/>
      <c r="O408" s="395"/>
      <c r="P408" s="395"/>
      <c r="Q408" s="395"/>
    </row>
    <row r="409">
      <c r="E409" s="394"/>
      <c r="J409" s="395"/>
      <c r="K409" s="395"/>
      <c r="L409" s="395"/>
      <c r="M409" s="395"/>
      <c r="N409" s="395"/>
      <c r="O409" s="395"/>
      <c r="P409" s="395"/>
      <c r="Q409" s="395"/>
    </row>
    <row r="410">
      <c r="E410" s="394"/>
      <c r="J410" s="395"/>
      <c r="K410" s="395"/>
      <c r="L410" s="395"/>
      <c r="M410" s="395"/>
      <c r="N410" s="395"/>
      <c r="O410" s="395"/>
      <c r="P410" s="395"/>
      <c r="Q410" s="395"/>
    </row>
    <row r="411">
      <c r="E411" s="394"/>
      <c r="J411" s="395"/>
      <c r="K411" s="395"/>
      <c r="L411" s="395"/>
      <c r="M411" s="395"/>
      <c r="N411" s="395"/>
      <c r="O411" s="395"/>
      <c r="P411" s="395"/>
      <c r="Q411" s="395"/>
    </row>
    <row r="412">
      <c r="E412" s="394"/>
      <c r="J412" s="395"/>
      <c r="K412" s="395"/>
      <c r="L412" s="395"/>
      <c r="M412" s="395"/>
      <c r="N412" s="395"/>
      <c r="O412" s="395"/>
      <c r="P412" s="395"/>
      <c r="Q412" s="395"/>
    </row>
    <row r="413">
      <c r="E413" s="394"/>
      <c r="J413" s="395"/>
      <c r="K413" s="395"/>
      <c r="L413" s="395"/>
      <c r="M413" s="395"/>
      <c r="N413" s="395"/>
      <c r="O413" s="395"/>
      <c r="P413" s="395"/>
      <c r="Q413" s="395"/>
    </row>
    <row r="414">
      <c r="E414" s="394"/>
      <c r="J414" s="395"/>
      <c r="K414" s="395"/>
      <c r="L414" s="395"/>
      <c r="M414" s="395"/>
      <c r="N414" s="395"/>
      <c r="O414" s="395"/>
      <c r="P414" s="395"/>
      <c r="Q414" s="395"/>
    </row>
    <row r="415">
      <c r="E415" s="394"/>
      <c r="J415" s="395"/>
      <c r="K415" s="395"/>
      <c r="L415" s="395"/>
      <c r="M415" s="395"/>
      <c r="N415" s="395"/>
      <c r="O415" s="395"/>
      <c r="P415" s="395"/>
      <c r="Q415" s="395"/>
    </row>
    <row r="416">
      <c r="E416" s="394"/>
      <c r="J416" s="395"/>
      <c r="K416" s="395"/>
      <c r="L416" s="395"/>
      <c r="M416" s="395"/>
      <c r="N416" s="395"/>
      <c r="O416" s="395"/>
      <c r="P416" s="395"/>
      <c r="Q416" s="395"/>
    </row>
    <row r="417">
      <c r="E417" s="394"/>
      <c r="J417" s="395"/>
      <c r="K417" s="395"/>
      <c r="L417" s="395"/>
      <c r="M417" s="395"/>
      <c r="N417" s="395"/>
      <c r="O417" s="395"/>
      <c r="P417" s="395"/>
      <c r="Q417" s="395"/>
    </row>
    <row r="418">
      <c r="E418" s="394"/>
      <c r="J418" s="395"/>
      <c r="K418" s="395"/>
      <c r="L418" s="395"/>
      <c r="M418" s="395"/>
      <c r="N418" s="395"/>
      <c r="O418" s="395"/>
      <c r="P418" s="395"/>
      <c r="Q418" s="395"/>
    </row>
    <row r="419">
      <c r="E419" s="394"/>
      <c r="J419" s="395"/>
      <c r="K419" s="395"/>
      <c r="L419" s="395"/>
      <c r="M419" s="395"/>
      <c r="N419" s="395"/>
      <c r="O419" s="395"/>
      <c r="P419" s="395"/>
      <c r="Q419" s="395"/>
    </row>
    <row r="420">
      <c r="E420" s="394"/>
      <c r="J420" s="395"/>
      <c r="K420" s="395"/>
      <c r="L420" s="395"/>
      <c r="M420" s="395"/>
      <c r="N420" s="395"/>
      <c r="O420" s="395"/>
      <c r="P420" s="395"/>
      <c r="Q420" s="395"/>
    </row>
    <row r="421">
      <c r="E421" s="394"/>
      <c r="J421" s="395"/>
      <c r="K421" s="395"/>
      <c r="L421" s="395"/>
      <c r="M421" s="395"/>
      <c r="N421" s="395"/>
      <c r="O421" s="395"/>
      <c r="P421" s="395"/>
      <c r="Q421" s="395"/>
    </row>
    <row r="422">
      <c r="E422" s="394"/>
      <c r="J422" s="395"/>
      <c r="K422" s="395"/>
      <c r="L422" s="395"/>
      <c r="M422" s="395"/>
      <c r="N422" s="395"/>
      <c r="O422" s="395"/>
      <c r="P422" s="395"/>
      <c r="Q422" s="395"/>
    </row>
    <row r="423">
      <c r="E423" s="394"/>
      <c r="J423" s="395"/>
      <c r="K423" s="395"/>
      <c r="L423" s="395"/>
      <c r="M423" s="395"/>
      <c r="N423" s="395"/>
      <c r="O423" s="395"/>
      <c r="P423" s="395"/>
      <c r="Q423" s="395"/>
    </row>
    <row r="424">
      <c r="E424" s="394"/>
      <c r="J424" s="395"/>
      <c r="K424" s="395"/>
      <c r="L424" s="395"/>
      <c r="M424" s="395"/>
      <c r="N424" s="395"/>
      <c r="O424" s="395"/>
      <c r="P424" s="395"/>
      <c r="Q424" s="395"/>
    </row>
    <row r="425">
      <c r="E425" s="394"/>
      <c r="J425" s="395"/>
      <c r="K425" s="395"/>
      <c r="L425" s="395"/>
      <c r="M425" s="395"/>
      <c r="N425" s="395"/>
      <c r="O425" s="395"/>
      <c r="P425" s="395"/>
      <c r="Q425" s="395"/>
    </row>
    <row r="426">
      <c r="E426" s="394"/>
      <c r="J426" s="395"/>
      <c r="K426" s="395"/>
      <c r="L426" s="395"/>
      <c r="M426" s="395"/>
      <c r="N426" s="395"/>
      <c r="O426" s="395"/>
      <c r="P426" s="395"/>
      <c r="Q426" s="395"/>
    </row>
    <row r="427">
      <c r="E427" s="394"/>
      <c r="J427" s="395"/>
      <c r="K427" s="395"/>
      <c r="L427" s="395"/>
      <c r="M427" s="395"/>
      <c r="N427" s="395"/>
      <c r="O427" s="395"/>
      <c r="P427" s="395"/>
      <c r="Q427" s="395"/>
    </row>
    <row r="428">
      <c r="E428" s="394"/>
      <c r="J428" s="395"/>
      <c r="K428" s="395"/>
      <c r="L428" s="395"/>
      <c r="M428" s="395"/>
      <c r="N428" s="395"/>
      <c r="O428" s="395"/>
      <c r="P428" s="395"/>
      <c r="Q428" s="395"/>
    </row>
    <row r="429">
      <c r="E429" s="394"/>
      <c r="J429" s="395"/>
      <c r="K429" s="395"/>
      <c r="L429" s="395"/>
      <c r="M429" s="395"/>
      <c r="N429" s="395"/>
      <c r="O429" s="395"/>
      <c r="P429" s="395"/>
      <c r="Q429" s="395"/>
    </row>
    <row r="430">
      <c r="E430" s="394"/>
      <c r="J430" s="395"/>
      <c r="K430" s="395"/>
      <c r="L430" s="395"/>
      <c r="M430" s="395"/>
      <c r="N430" s="395"/>
      <c r="O430" s="395"/>
      <c r="P430" s="395"/>
      <c r="Q430" s="395"/>
    </row>
    <row r="431">
      <c r="E431" s="394"/>
      <c r="J431" s="395"/>
      <c r="K431" s="395"/>
      <c r="L431" s="395"/>
      <c r="M431" s="395"/>
      <c r="N431" s="395"/>
      <c r="O431" s="395"/>
      <c r="P431" s="395"/>
      <c r="Q431" s="395"/>
    </row>
    <row r="432">
      <c r="E432" s="394"/>
      <c r="J432" s="395"/>
      <c r="K432" s="395"/>
      <c r="L432" s="395"/>
      <c r="M432" s="395"/>
      <c r="N432" s="395"/>
      <c r="O432" s="395"/>
      <c r="P432" s="395"/>
      <c r="Q432" s="395"/>
    </row>
    <row r="433">
      <c r="E433" s="394"/>
      <c r="J433" s="395"/>
      <c r="K433" s="395"/>
      <c r="L433" s="395"/>
      <c r="M433" s="395"/>
      <c r="N433" s="395"/>
      <c r="O433" s="395"/>
      <c r="P433" s="395"/>
      <c r="Q433" s="395"/>
    </row>
    <row r="434">
      <c r="E434" s="394"/>
      <c r="J434" s="395"/>
      <c r="K434" s="395"/>
      <c r="L434" s="395"/>
      <c r="M434" s="395"/>
      <c r="N434" s="395"/>
      <c r="O434" s="395"/>
      <c r="P434" s="395"/>
      <c r="Q434" s="395"/>
    </row>
    <row r="435">
      <c r="E435" s="394"/>
      <c r="J435" s="395"/>
      <c r="K435" s="395"/>
      <c r="L435" s="395"/>
      <c r="M435" s="395"/>
      <c r="N435" s="395"/>
      <c r="O435" s="395"/>
      <c r="P435" s="395"/>
      <c r="Q435" s="395"/>
    </row>
    <row r="436">
      <c r="E436" s="394"/>
      <c r="J436" s="395"/>
      <c r="K436" s="395"/>
      <c r="L436" s="395"/>
      <c r="M436" s="395"/>
      <c r="N436" s="395"/>
      <c r="O436" s="395"/>
      <c r="P436" s="395"/>
      <c r="Q436" s="395"/>
    </row>
    <row r="437">
      <c r="E437" s="394"/>
      <c r="J437" s="395"/>
      <c r="K437" s="395"/>
      <c r="L437" s="395"/>
      <c r="M437" s="395"/>
      <c r="N437" s="395"/>
      <c r="O437" s="395"/>
      <c r="P437" s="395"/>
      <c r="Q437" s="395"/>
    </row>
    <row r="438">
      <c r="E438" s="394"/>
      <c r="J438" s="395"/>
      <c r="K438" s="395"/>
      <c r="L438" s="395"/>
      <c r="M438" s="395"/>
      <c r="N438" s="395"/>
      <c r="O438" s="395"/>
      <c r="P438" s="395"/>
      <c r="Q438" s="395"/>
    </row>
    <row r="439">
      <c r="E439" s="394"/>
      <c r="J439" s="395"/>
      <c r="K439" s="395"/>
      <c r="L439" s="395"/>
      <c r="M439" s="395"/>
      <c r="N439" s="395"/>
      <c r="O439" s="395"/>
      <c r="P439" s="395"/>
      <c r="Q439" s="395"/>
    </row>
    <row r="440">
      <c r="E440" s="394"/>
      <c r="J440" s="395"/>
      <c r="K440" s="395"/>
      <c r="L440" s="395"/>
      <c r="M440" s="395"/>
      <c r="N440" s="395"/>
      <c r="O440" s="395"/>
      <c r="P440" s="395"/>
      <c r="Q440" s="395"/>
    </row>
    <row r="441">
      <c r="E441" s="394"/>
      <c r="J441" s="395"/>
      <c r="K441" s="395"/>
      <c r="L441" s="395"/>
      <c r="M441" s="395"/>
      <c r="N441" s="395"/>
      <c r="O441" s="395"/>
      <c r="P441" s="395"/>
      <c r="Q441" s="395"/>
    </row>
    <row r="442">
      <c r="E442" s="394"/>
      <c r="J442" s="395"/>
      <c r="K442" s="395"/>
      <c r="L442" s="395"/>
      <c r="M442" s="395"/>
      <c r="N442" s="395"/>
      <c r="O442" s="395"/>
      <c r="P442" s="395"/>
      <c r="Q442" s="395"/>
    </row>
    <row r="443">
      <c r="E443" s="394"/>
      <c r="J443" s="395"/>
      <c r="K443" s="395"/>
      <c r="L443" s="395"/>
      <c r="M443" s="395"/>
      <c r="N443" s="395"/>
      <c r="O443" s="395"/>
      <c r="P443" s="395"/>
      <c r="Q443" s="395"/>
    </row>
    <row r="444">
      <c r="E444" s="394"/>
      <c r="J444" s="395"/>
      <c r="K444" s="395"/>
      <c r="L444" s="395"/>
      <c r="M444" s="395"/>
      <c r="N444" s="395"/>
      <c r="O444" s="395"/>
      <c r="P444" s="395"/>
      <c r="Q444" s="395"/>
    </row>
    <row r="445">
      <c r="E445" s="394"/>
      <c r="J445" s="395"/>
      <c r="K445" s="395"/>
      <c r="L445" s="395"/>
      <c r="M445" s="395"/>
      <c r="N445" s="395"/>
      <c r="O445" s="395"/>
      <c r="P445" s="395"/>
      <c r="Q445" s="395"/>
    </row>
    <row r="446">
      <c r="E446" s="394"/>
      <c r="J446" s="395"/>
      <c r="K446" s="395"/>
      <c r="L446" s="395"/>
      <c r="M446" s="395"/>
      <c r="N446" s="395"/>
      <c r="O446" s="395"/>
      <c r="P446" s="395"/>
      <c r="Q446" s="395"/>
    </row>
    <row r="447">
      <c r="E447" s="394"/>
      <c r="J447" s="395"/>
      <c r="K447" s="395"/>
      <c r="L447" s="395"/>
      <c r="M447" s="395"/>
      <c r="N447" s="395"/>
      <c r="O447" s="395"/>
      <c r="P447" s="395"/>
      <c r="Q447" s="395"/>
    </row>
    <row r="448">
      <c r="E448" s="394"/>
      <c r="J448" s="395"/>
      <c r="K448" s="395"/>
      <c r="L448" s="395"/>
      <c r="M448" s="395"/>
      <c r="N448" s="395"/>
      <c r="O448" s="395"/>
      <c r="P448" s="395"/>
      <c r="Q448" s="395"/>
    </row>
    <row r="449">
      <c r="E449" s="394"/>
      <c r="J449" s="395"/>
      <c r="K449" s="395"/>
      <c r="L449" s="395"/>
      <c r="M449" s="395"/>
      <c r="N449" s="395"/>
      <c r="O449" s="395"/>
      <c r="P449" s="395"/>
      <c r="Q449" s="395"/>
    </row>
    <row r="450">
      <c r="E450" s="394"/>
      <c r="J450" s="395"/>
      <c r="K450" s="395"/>
      <c r="L450" s="395"/>
      <c r="M450" s="395"/>
      <c r="N450" s="395"/>
      <c r="O450" s="395"/>
      <c r="P450" s="395"/>
      <c r="Q450" s="395"/>
    </row>
    <row r="451">
      <c r="E451" s="394"/>
      <c r="J451" s="395"/>
      <c r="K451" s="395"/>
      <c r="L451" s="395"/>
      <c r="M451" s="395"/>
      <c r="N451" s="395"/>
      <c r="O451" s="395"/>
      <c r="P451" s="395"/>
      <c r="Q451" s="395"/>
    </row>
    <row r="452">
      <c r="E452" s="394"/>
      <c r="J452" s="395"/>
      <c r="K452" s="395"/>
      <c r="L452" s="395"/>
      <c r="M452" s="395"/>
      <c r="N452" s="395"/>
      <c r="O452" s="395"/>
      <c r="P452" s="395"/>
      <c r="Q452" s="395"/>
    </row>
    <row r="453">
      <c r="E453" s="394"/>
      <c r="J453" s="395"/>
      <c r="K453" s="395"/>
      <c r="L453" s="395"/>
      <c r="M453" s="395"/>
      <c r="N453" s="395"/>
      <c r="O453" s="395"/>
      <c r="P453" s="395"/>
      <c r="Q453" s="395"/>
    </row>
    <row r="454">
      <c r="E454" s="394"/>
      <c r="J454" s="395"/>
      <c r="K454" s="395"/>
      <c r="L454" s="395"/>
      <c r="M454" s="395"/>
      <c r="N454" s="395"/>
      <c r="O454" s="395"/>
      <c r="P454" s="395"/>
      <c r="Q454" s="395"/>
    </row>
    <row r="455">
      <c r="E455" s="394"/>
      <c r="J455" s="395"/>
      <c r="K455" s="395"/>
      <c r="L455" s="395"/>
      <c r="M455" s="395"/>
      <c r="N455" s="395"/>
      <c r="O455" s="395"/>
      <c r="P455" s="395"/>
      <c r="Q455" s="395"/>
    </row>
    <row r="456">
      <c r="E456" s="394"/>
      <c r="J456" s="395"/>
      <c r="K456" s="395"/>
      <c r="L456" s="395"/>
      <c r="M456" s="395"/>
      <c r="N456" s="395"/>
      <c r="O456" s="395"/>
      <c r="P456" s="395"/>
      <c r="Q456" s="395"/>
    </row>
    <row r="457">
      <c r="E457" s="394"/>
      <c r="J457" s="395"/>
      <c r="K457" s="395"/>
      <c r="L457" s="395"/>
      <c r="M457" s="395"/>
      <c r="N457" s="395"/>
      <c r="O457" s="395"/>
      <c r="P457" s="395"/>
      <c r="Q457" s="395"/>
    </row>
    <row r="458">
      <c r="E458" s="394"/>
      <c r="J458" s="395"/>
      <c r="K458" s="395"/>
      <c r="L458" s="395"/>
      <c r="M458" s="395"/>
      <c r="N458" s="395"/>
      <c r="O458" s="395"/>
      <c r="P458" s="395"/>
      <c r="Q458" s="395"/>
    </row>
    <row r="459">
      <c r="E459" s="394"/>
      <c r="J459" s="395"/>
      <c r="K459" s="395"/>
      <c r="L459" s="395"/>
      <c r="M459" s="395"/>
      <c r="N459" s="395"/>
      <c r="O459" s="395"/>
      <c r="P459" s="395"/>
      <c r="Q459" s="395"/>
    </row>
    <row r="460">
      <c r="E460" s="394"/>
      <c r="J460" s="395"/>
      <c r="K460" s="395"/>
      <c r="L460" s="395"/>
      <c r="M460" s="395"/>
      <c r="N460" s="395"/>
      <c r="O460" s="395"/>
      <c r="P460" s="395"/>
      <c r="Q460" s="395"/>
    </row>
    <row r="461">
      <c r="E461" s="394"/>
      <c r="J461" s="395"/>
      <c r="K461" s="395"/>
      <c r="L461" s="395"/>
      <c r="M461" s="395"/>
      <c r="N461" s="395"/>
      <c r="O461" s="395"/>
      <c r="P461" s="395"/>
      <c r="Q461" s="395"/>
    </row>
    <row r="462">
      <c r="E462" s="394"/>
      <c r="J462" s="395"/>
      <c r="K462" s="395"/>
      <c r="L462" s="395"/>
      <c r="M462" s="395"/>
      <c r="N462" s="395"/>
      <c r="O462" s="395"/>
      <c r="P462" s="395"/>
      <c r="Q462" s="395"/>
    </row>
    <row r="463">
      <c r="E463" s="394"/>
      <c r="J463" s="395"/>
      <c r="K463" s="395"/>
      <c r="L463" s="395"/>
      <c r="M463" s="395"/>
      <c r="N463" s="395"/>
      <c r="O463" s="395"/>
      <c r="P463" s="395"/>
      <c r="Q463" s="395"/>
    </row>
    <row r="464">
      <c r="E464" s="394"/>
      <c r="J464" s="395"/>
      <c r="K464" s="395"/>
      <c r="L464" s="395"/>
      <c r="M464" s="395"/>
      <c r="N464" s="395"/>
      <c r="O464" s="395"/>
      <c r="P464" s="395"/>
      <c r="Q464" s="395"/>
    </row>
    <row r="465">
      <c r="E465" s="394"/>
      <c r="J465" s="395"/>
      <c r="K465" s="395"/>
      <c r="L465" s="395"/>
      <c r="M465" s="395"/>
      <c r="N465" s="395"/>
      <c r="O465" s="395"/>
      <c r="P465" s="395"/>
      <c r="Q465" s="395"/>
    </row>
    <row r="466">
      <c r="E466" s="394"/>
      <c r="J466" s="395"/>
      <c r="K466" s="395"/>
      <c r="L466" s="395"/>
      <c r="M466" s="395"/>
      <c r="N466" s="395"/>
      <c r="O466" s="395"/>
      <c r="P466" s="395"/>
      <c r="Q466" s="395"/>
    </row>
    <row r="467">
      <c r="E467" s="394"/>
      <c r="J467" s="395"/>
      <c r="K467" s="395"/>
      <c r="L467" s="395"/>
      <c r="M467" s="395"/>
      <c r="N467" s="395"/>
      <c r="O467" s="395"/>
      <c r="P467" s="395"/>
      <c r="Q467" s="395"/>
    </row>
    <row r="468">
      <c r="E468" s="394"/>
      <c r="J468" s="395"/>
      <c r="K468" s="395"/>
      <c r="L468" s="395"/>
      <c r="M468" s="395"/>
      <c r="N468" s="395"/>
      <c r="O468" s="395"/>
      <c r="P468" s="395"/>
      <c r="Q468" s="395"/>
    </row>
    <row r="469">
      <c r="E469" s="394"/>
      <c r="J469" s="395"/>
      <c r="K469" s="395"/>
      <c r="L469" s="395"/>
      <c r="M469" s="395"/>
      <c r="N469" s="395"/>
      <c r="O469" s="395"/>
      <c r="P469" s="395"/>
      <c r="Q469" s="395"/>
    </row>
    <row r="470">
      <c r="E470" s="394"/>
      <c r="J470" s="395"/>
      <c r="K470" s="395"/>
      <c r="L470" s="395"/>
      <c r="M470" s="395"/>
      <c r="N470" s="395"/>
      <c r="O470" s="395"/>
      <c r="P470" s="395"/>
      <c r="Q470" s="395"/>
    </row>
    <row r="471">
      <c r="E471" s="394"/>
      <c r="J471" s="395"/>
      <c r="K471" s="395"/>
      <c r="L471" s="395"/>
      <c r="M471" s="395"/>
      <c r="N471" s="395"/>
      <c r="O471" s="395"/>
      <c r="P471" s="395"/>
      <c r="Q471" s="395"/>
    </row>
    <row r="472">
      <c r="E472" s="394"/>
      <c r="J472" s="395"/>
      <c r="K472" s="395"/>
      <c r="L472" s="395"/>
      <c r="M472" s="395"/>
      <c r="N472" s="395"/>
      <c r="O472" s="395"/>
      <c r="P472" s="395"/>
      <c r="Q472" s="395"/>
    </row>
    <row r="473">
      <c r="E473" s="394"/>
      <c r="J473" s="395"/>
      <c r="K473" s="395"/>
      <c r="L473" s="395"/>
      <c r="M473" s="395"/>
      <c r="N473" s="395"/>
      <c r="O473" s="395"/>
      <c r="P473" s="395"/>
      <c r="Q473" s="395"/>
    </row>
    <row r="474">
      <c r="E474" s="394"/>
      <c r="J474" s="395"/>
      <c r="K474" s="395"/>
      <c r="L474" s="395"/>
      <c r="M474" s="395"/>
      <c r="N474" s="395"/>
      <c r="O474" s="395"/>
      <c r="P474" s="395"/>
      <c r="Q474" s="395"/>
    </row>
    <row r="475">
      <c r="E475" s="394"/>
      <c r="J475" s="395"/>
      <c r="K475" s="395"/>
      <c r="L475" s="395"/>
      <c r="M475" s="395"/>
      <c r="N475" s="395"/>
      <c r="O475" s="395"/>
      <c r="P475" s="395"/>
      <c r="Q475" s="395"/>
    </row>
    <row r="476">
      <c r="E476" s="394"/>
      <c r="J476" s="395"/>
      <c r="K476" s="395"/>
      <c r="L476" s="395"/>
      <c r="M476" s="395"/>
      <c r="N476" s="395"/>
      <c r="O476" s="395"/>
      <c r="P476" s="395"/>
      <c r="Q476" s="395"/>
    </row>
    <row r="477">
      <c r="E477" s="394"/>
      <c r="J477" s="395"/>
      <c r="K477" s="395"/>
      <c r="L477" s="395"/>
      <c r="M477" s="395"/>
      <c r="N477" s="395"/>
      <c r="O477" s="395"/>
      <c r="P477" s="395"/>
      <c r="Q477" s="395"/>
    </row>
    <row r="478">
      <c r="E478" s="394"/>
      <c r="J478" s="395"/>
      <c r="K478" s="395"/>
      <c r="L478" s="395"/>
      <c r="M478" s="395"/>
      <c r="N478" s="395"/>
      <c r="O478" s="395"/>
      <c r="P478" s="395"/>
      <c r="Q478" s="395"/>
    </row>
    <row r="479">
      <c r="E479" s="394"/>
      <c r="J479" s="395"/>
      <c r="K479" s="395"/>
      <c r="L479" s="395"/>
      <c r="M479" s="395"/>
      <c r="N479" s="395"/>
      <c r="O479" s="395"/>
      <c r="P479" s="395"/>
      <c r="Q479" s="395"/>
    </row>
    <row r="480">
      <c r="E480" s="394"/>
      <c r="J480" s="395"/>
      <c r="K480" s="395"/>
      <c r="L480" s="395"/>
      <c r="M480" s="395"/>
      <c r="N480" s="395"/>
      <c r="O480" s="395"/>
      <c r="P480" s="395"/>
      <c r="Q480" s="395"/>
    </row>
    <row r="481">
      <c r="E481" s="394"/>
      <c r="J481" s="395"/>
      <c r="K481" s="395"/>
      <c r="L481" s="395"/>
      <c r="M481" s="395"/>
      <c r="N481" s="395"/>
      <c r="O481" s="395"/>
      <c r="P481" s="395"/>
      <c r="Q481" s="395"/>
    </row>
    <row r="482">
      <c r="E482" s="394"/>
      <c r="J482" s="395"/>
      <c r="K482" s="395"/>
      <c r="L482" s="395"/>
      <c r="M482" s="395"/>
      <c r="N482" s="395"/>
      <c r="O482" s="395"/>
      <c r="P482" s="395"/>
      <c r="Q482" s="395"/>
    </row>
    <row r="483">
      <c r="E483" s="394"/>
      <c r="J483" s="395"/>
      <c r="K483" s="395"/>
      <c r="L483" s="395"/>
      <c r="M483" s="395"/>
      <c r="N483" s="395"/>
      <c r="O483" s="395"/>
      <c r="P483" s="395"/>
      <c r="Q483" s="395"/>
    </row>
    <row r="484">
      <c r="E484" s="394"/>
      <c r="J484" s="395"/>
      <c r="K484" s="395"/>
      <c r="L484" s="395"/>
      <c r="M484" s="395"/>
      <c r="N484" s="395"/>
      <c r="O484" s="395"/>
      <c r="P484" s="395"/>
      <c r="Q484" s="395"/>
    </row>
    <row r="485">
      <c r="E485" s="394"/>
      <c r="J485" s="395"/>
      <c r="K485" s="395"/>
      <c r="L485" s="395"/>
      <c r="M485" s="395"/>
      <c r="N485" s="395"/>
      <c r="O485" s="395"/>
      <c r="P485" s="395"/>
      <c r="Q485" s="395"/>
    </row>
    <row r="486">
      <c r="E486" s="394"/>
      <c r="J486" s="395"/>
      <c r="K486" s="395"/>
      <c r="L486" s="395"/>
      <c r="M486" s="395"/>
      <c r="N486" s="395"/>
      <c r="O486" s="395"/>
      <c r="P486" s="395"/>
      <c r="Q486" s="395"/>
    </row>
    <row r="487">
      <c r="E487" s="394"/>
      <c r="J487" s="395"/>
      <c r="K487" s="395"/>
      <c r="L487" s="395"/>
      <c r="M487" s="395"/>
      <c r="N487" s="395"/>
      <c r="O487" s="395"/>
      <c r="P487" s="395"/>
      <c r="Q487" s="395"/>
    </row>
    <row r="488">
      <c r="E488" s="394"/>
      <c r="J488" s="395"/>
      <c r="K488" s="395"/>
      <c r="L488" s="395"/>
      <c r="M488" s="395"/>
      <c r="N488" s="395"/>
      <c r="O488" s="395"/>
      <c r="P488" s="395"/>
      <c r="Q488" s="395"/>
    </row>
    <row r="489">
      <c r="E489" s="394"/>
      <c r="J489" s="395"/>
      <c r="K489" s="395"/>
      <c r="L489" s="395"/>
      <c r="M489" s="395"/>
      <c r="N489" s="395"/>
      <c r="O489" s="395"/>
      <c r="P489" s="395"/>
      <c r="Q489" s="395"/>
    </row>
    <row r="490">
      <c r="E490" s="394"/>
      <c r="J490" s="395"/>
      <c r="K490" s="395"/>
      <c r="L490" s="395"/>
      <c r="M490" s="395"/>
      <c r="N490" s="395"/>
      <c r="O490" s="395"/>
      <c r="P490" s="395"/>
      <c r="Q490" s="395"/>
    </row>
    <row r="491">
      <c r="E491" s="394"/>
      <c r="J491" s="395"/>
      <c r="K491" s="395"/>
      <c r="L491" s="395"/>
      <c r="M491" s="395"/>
      <c r="N491" s="395"/>
      <c r="O491" s="395"/>
      <c r="P491" s="395"/>
      <c r="Q491" s="395"/>
    </row>
    <row r="492">
      <c r="E492" s="394"/>
      <c r="J492" s="395"/>
      <c r="K492" s="395"/>
      <c r="L492" s="395"/>
      <c r="M492" s="395"/>
      <c r="N492" s="395"/>
      <c r="O492" s="395"/>
      <c r="P492" s="395"/>
      <c r="Q492" s="395"/>
    </row>
    <row r="493">
      <c r="E493" s="394"/>
      <c r="J493" s="395"/>
      <c r="K493" s="395"/>
      <c r="L493" s="395"/>
      <c r="M493" s="395"/>
      <c r="N493" s="395"/>
      <c r="O493" s="395"/>
      <c r="P493" s="395"/>
      <c r="Q493" s="395"/>
    </row>
    <row r="494">
      <c r="E494" s="394"/>
      <c r="J494" s="395"/>
      <c r="K494" s="395"/>
      <c r="L494" s="395"/>
      <c r="M494" s="395"/>
      <c r="N494" s="395"/>
      <c r="O494" s="395"/>
      <c r="P494" s="395"/>
      <c r="Q494" s="395"/>
    </row>
    <row r="495">
      <c r="E495" s="394"/>
      <c r="J495" s="395"/>
      <c r="K495" s="395"/>
      <c r="L495" s="395"/>
      <c r="M495" s="395"/>
      <c r="N495" s="395"/>
      <c r="O495" s="395"/>
      <c r="P495" s="395"/>
      <c r="Q495" s="395"/>
    </row>
    <row r="496">
      <c r="E496" s="394"/>
      <c r="J496" s="395"/>
      <c r="K496" s="395"/>
      <c r="L496" s="395"/>
      <c r="M496" s="395"/>
      <c r="N496" s="395"/>
      <c r="O496" s="395"/>
      <c r="P496" s="395"/>
      <c r="Q496" s="395"/>
    </row>
    <row r="497">
      <c r="E497" s="394"/>
      <c r="J497" s="395"/>
      <c r="K497" s="395"/>
      <c r="L497" s="395"/>
      <c r="M497" s="395"/>
      <c r="N497" s="395"/>
      <c r="O497" s="395"/>
      <c r="P497" s="395"/>
      <c r="Q497" s="395"/>
    </row>
    <row r="498">
      <c r="E498" s="394"/>
      <c r="J498" s="395"/>
      <c r="K498" s="395"/>
      <c r="L498" s="395"/>
      <c r="M498" s="395"/>
      <c r="N498" s="395"/>
      <c r="O498" s="395"/>
      <c r="P498" s="395"/>
      <c r="Q498" s="395"/>
    </row>
    <row r="499">
      <c r="E499" s="394"/>
      <c r="J499" s="395"/>
      <c r="K499" s="395"/>
      <c r="L499" s="395"/>
      <c r="M499" s="395"/>
      <c r="N499" s="395"/>
      <c r="O499" s="395"/>
      <c r="P499" s="395"/>
      <c r="Q499" s="395"/>
    </row>
    <row r="500">
      <c r="E500" s="394"/>
      <c r="J500" s="395"/>
      <c r="K500" s="395"/>
      <c r="L500" s="395"/>
      <c r="M500" s="395"/>
      <c r="N500" s="395"/>
      <c r="O500" s="395"/>
      <c r="P500" s="395"/>
      <c r="Q500" s="395"/>
    </row>
    <row r="501">
      <c r="E501" s="394"/>
      <c r="J501" s="395"/>
      <c r="K501" s="395"/>
      <c r="L501" s="395"/>
      <c r="M501" s="395"/>
      <c r="N501" s="395"/>
      <c r="O501" s="395"/>
      <c r="P501" s="395"/>
      <c r="Q501" s="395"/>
    </row>
    <row r="502">
      <c r="E502" s="394"/>
      <c r="J502" s="395"/>
      <c r="K502" s="395"/>
      <c r="L502" s="395"/>
      <c r="M502" s="395"/>
      <c r="N502" s="395"/>
      <c r="O502" s="395"/>
      <c r="P502" s="395"/>
      <c r="Q502" s="395"/>
    </row>
    <row r="503">
      <c r="E503" s="394"/>
      <c r="J503" s="395"/>
      <c r="K503" s="395"/>
      <c r="L503" s="395"/>
      <c r="M503" s="395"/>
      <c r="N503" s="395"/>
      <c r="O503" s="395"/>
      <c r="P503" s="395"/>
      <c r="Q503" s="395"/>
    </row>
    <row r="504">
      <c r="E504" s="394"/>
      <c r="J504" s="395"/>
      <c r="K504" s="395"/>
      <c r="L504" s="395"/>
      <c r="M504" s="395"/>
      <c r="N504" s="395"/>
      <c r="O504" s="395"/>
      <c r="P504" s="395"/>
      <c r="Q504" s="395"/>
    </row>
    <row r="505">
      <c r="E505" s="394"/>
      <c r="J505" s="395"/>
      <c r="K505" s="395"/>
      <c r="L505" s="395"/>
      <c r="M505" s="395"/>
      <c r="N505" s="395"/>
      <c r="O505" s="395"/>
      <c r="P505" s="395"/>
      <c r="Q505" s="395"/>
    </row>
    <row r="506">
      <c r="E506" s="394"/>
      <c r="J506" s="395"/>
      <c r="K506" s="395"/>
      <c r="L506" s="395"/>
      <c r="M506" s="395"/>
      <c r="N506" s="395"/>
      <c r="O506" s="395"/>
      <c r="P506" s="395"/>
      <c r="Q506" s="395"/>
    </row>
    <row r="507">
      <c r="E507" s="394"/>
      <c r="J507" s="395"/>
      <c r="K507" s="395"/>
      <c r="L507" s="395"/>
      <c r="M507" s="395"/>
      <c r="N507" s="395"/>
      <c r="O507" s="395"/>
      <c r="P507" s="395"/>
      <c r="Q507" s="395"/>
    </row>
    <row r="508">
      <c r="E508" s="394"/>
      <c r="J508" s="395"/>
      <c r="K508" s="395"/>
      <c r="L508" s="395"/>
      <c r="M508" s="395"/>
      <c r="N508" s="395"/>
      <c r="O508" s="395"/>
      <c r="P508" s="395"/>
      <c r="Q508" s="395"/>
    </row>
    <row r="509">
      <c r="E509" s="394"/>
      <c r="J509" s="395"/>
      <c r="K509" s="395"/>
      <c r="L509" s="395"/>
      <c r="M509" s="395"/>
      <c r="N509" s="395"/>
      <c r="O509" s="395"/>
      <c r="P509" s="395"/>
      <c r="Q509" s="395"/>
    </row>
    <row r="510">
      <c r="E510" s="394"/>
      <c r="J510" s="395"/>
      <c r="K510" s="395"/>
      <c r="L510" s="395"/>
      <c r="M510" s="395"/>
      <c r="N510" s="395"/>
      <c r="O510" s="395"/>
      <c r="P510" s="395"/>
      <c r="Q510" s="395"/>
    </row>
    <row r="511">
      <c r="E511" s="394"/>
      <c r="J511" s="395"/>
      <c r="K511" s="395"/>
      <c r="L511" s="395"/>
      <c r="M511" s="395"/>
      <c r="N511" s="395"/>
      <c r="O511" s="395"/>
      <c r="P511" s="395"/>
      <c r="Q511" s="395"/>
    </row>
    <row r="512">
      <c r="E512" s="394"/>
      <c r="J512" s="395"/>
      <c r="K512" s="395"/>
      <c r="L512" s="395"/>
      <c r="M512" s="395"/>
      <c r="N512" s="395"/>
      <c r="O512" s="395"/>
      <c r="P512" s="395"/>
      <c r="Q512" s="395"/>
    </row>
    <row r="513">
      <c r="E513" s="394"/>
      <c r="J513" s="395"/>
      <c r="K513" s="395"/>
      <c r="L513" s="395"/>
      <c r="M513" s="395"/>
      <c r="N513" s="395"/>
      <c r="O513" s="395"/>
      <c r="P513" s="395"/>
      <c r="Q513" s="395"/>
    </row>
    <row r="514">
      <c r="E514" s="394"/>
      <c r="J514" s="395"/>
      <c r="K514" s="395"/>
      <c r="L514" s="395"/>
      <c r="M514" s="395"/>
      <c r="N514" s="395"/>
      <c r="O514" s="395"/>
      <c r="P514" s="395"/>
      <c r="Q514" s="395"/>
    </row>
    <row r="515">
      <c r="E515" s="394"/>
      <c r="J515" s="395"/>
      <c r="K515" s="395"/>
      <c r="L515" s="395"/>
      <c r="M515" s="395"/>
      <c r="N515" s="395"/>
      <c r="O515" s="395"/>
      <c r="P515" s="395"/>
      <c r="Q515" s="395"/>
    </row>
    <row r="516">
      <c r="E516" s="394"/>
      <c r="J516" s="395"/>
      <c r="K516" s="395"/>
      <c r="L516" s="395"/>
      <c r="M516" s="395"/>
      <c r="N516" s="395"/>
      <c r="O516" s="395"/>
      <c r="P516" s="395"/>
      <c r="Q516" s="395"/>
    </row>
    <row r="517">
      <c r="E517" s="394"/>
      <c r="J517" s="395"/>
      <c r="K517" s="395"/>
      <c r="L517" s="395"/>
      <c r="M517" s="395"/>
      <c r="N517" s="395"/>
      <c r="O517" s="395"/>
      <c r="P517" s="395"/>
      <c r="Q517" s="395"/>
    </row>
    <row r="518">
      <c r="E518" s="394"/>
      <c r="J518" s="395"/>
      <c r="K518" s="395"/>
      <c r="L518" s="395"/>
      <c r="M518" s="395"/>
      <c r="N518" s="395"/>
      <c r="O518" s="395"/>
      <c r="P518" s="395"/>
      <c r="Q518" s="395"/>
    </row>
    <row r="519">
      <c r="E519" s="394"/>
      <c r="J519" s="395"/>
      <c r="K519" s="395"/>
      <c r="L519" s="395"/>
      <c r="M519" s="395"/>
      <c r="N519" s="395"/>
      <c r="O519" s="395"/>
      <c r="P519" s="395"/>
      <c r="Q519" s="395"/>
    </row>
    <row r="520">
      <c r="E520" s="394"/>
      <c r="J520" s="395"/>
      <c r="K520" s="395"/>
      <c r="L520" s="395"/>
      <c r="M520" s="395"/>
      <c r="N520" s="395"/>
      <c r="O520" s="395"/>
      <c r="P520" s="395"/>
      <c r="Q520" s="395"/>
    </row>
    <row r="521">
      <c r="E521" s="394"/>
      <c r="J521" s="395"/>
      <c r="K521" s="395"/>
      <c r="L521" s="395"/>
      <c r="M521" s="395"/>
      <c r="N521" s="395"/>
      <c r="O521" s="395"/>
      <c r="P521" s="395"/>
      <c r="Q521" s="395"/>
    </row>
    <row r="522">
      <c r="E522" s="394"/>
      <c r="J522" s="395"/>
      <c r="K522" s="395"/>
      <c r="L522" s="395"/>
      <c r="M522" s="395"/>
      <c r="N522" s="395"/>
      <c r="O522" s="395"/>
      <c r="P522" s="395"/>
      <c r="Q522" s="395"/>
    </row>
    <row r="523">
      <c r="E523" s="394"/>
      <c r="J523" s="395"/>
      <c r="K523" s="395"/>
      <c r="L523" s="395"/>
      <c r="M523" s="395"/>
      <c r="N523" s="395"/>
      <c r="O523" s="395"/>
      <c r="P523" s="395"/>
      <c r="Q523" s="395"/>
    </row>
    <row r="524">
      <c r="E524" s="394"/>
      <c r="J524" s="395"/>
      <c r="K524" s="395"/>
      <c r="L524" s="395"/>
      <c r="M524" s="395"/>
      <c r="N524" s="395"/>
      <c r="O524" s="395"/>
      <c r="P524" s="395"/>
      <c r="Q524" s="395"/>
    </row>
    <row r="525">
      <c r="E525" s="394"/>
      <c r="J525" s="395"/>
      <c r="K525" s="395"/>
      <c r="L525" s="395"/>
      <c r="M525" s="395"/>
      <c r="N525" s="395"/>
      <c r="O525" s="395"/>
      <c r="P525" s="395"/>
      <c r="Q525" s="395"/>
    </row>
    <row r="526">
      <c r="E526" s="394"/>
      <c r="J526" s="395"/>
      <c r="K526" s="395"/>
      <c r="L526" s="395"/>
      <c r="M526" s="395"/>
      <c r="N526" s="395"/>
      <c r="O526" s="395"/>
      <c r="P526" s="395"/>
      <c r="Q526" s="395"/>
    </row>
    <row r="527">
      <c r="E527" s="394"/>
      <c r="J527" s="395"/>
      <c r="K527" s="395"/>
      <c r="L527" s="395"/>
      <c r="M527" s="395"/>
      <c r="N527" s="395"/>
      <c r="O527" s="395"/>
      <c r="P527" s="395"/>
      <c r="Q527" s="395"/>
    </row>
    <row r="528">
      <c r="E528" s="394"/>
      <c r="J528" s="395"/>
      <c r="K528" s="395"/>
      <c r="L528" s="395"/>
      <c r="M528" s="395"/>
      <c r="N528" s="395"/>
      <c r="O528" s="395"/>
      <c r="P528" s="395"/>
      <c r="Q528" s="395"/>
    </row>
    <row r="529">
      <c r="E529" s="394"/>
      <c r="J529" s="395"/>
      <c r="K529" s="395"/>
      <c r="L529" s="395"/>
      <c r="M529" s="395"/>
      <c r="N529" s="395"/>
      <c r="O529" s="395"/>
      <c r="P529" s="395"/>
      <c r="Q529" s="395"/>
    </row>
    <row r="530">
      <c r="E530" s="394"/>
      <c r="J530" s="395"/>
      <c r="K530" s="395"/>
      <c r="L530" s="395"/>
      <c r="M530" s="395"/>
      <c r="N530" s="395"/>
      <c r="O530" s="395"/>
      <c r="P530" s="395"/>
      <c r="Q530" s="395"/>
    </row>
    <row r="531">
      <c r="E531" s="394"/>
      <c r="J531" s="395"/>
      <c r="K531" s="395"/>
      <c r="L531" s="395"/>
      <c r="M531" s="395"/>
      <c r="N531" s="395"/>
      <c r="O531" s="395"/>
      <c r="P531" s="395"/>
      <c r="Q531" s="395"/>
    </row>
    <row r="532">
      <c r="E532" s="394"/>
      <c r="J532" s="395"/>
      <c r="K532" s="395"/>
      <c r="L532" s="395"/>
      <c r="M532" s="395"/>
      <c r="N532" s="395"/>
      <c r="O532" s="395"/>
      <c r="P532" s="395"/>
      <c r="Q532" s="395"/>
    </row>
    <row r="533">
      <c r="E533" s="394"/>
      <c r="J533" s="395"/>
      <c r="K533" s="395"/>
      <c r="L533" s="395"/>
      <c r="M533" s="395"/>
      <c r="N533" s="395"/>
      <c r="O533" s="395"/>
      <c r="P533" s="395"/>
      <c r="Q533" s="395"/>
    </row>
    <row r="534">
      <c r="E534" s="394"/>
      <c r="J534" s="395"/>
      <c r="K534" s="395"/>
      <c r="L534" s="395"/>
      <c r="M534" s="395"/>
      <c r="N534" s="395"/>
      <c r="O534" s="395"/>
      <c r="P534" s="395"/>
      <c r="Q534" s="395"/>
    </row>
    <row r="535">
      <c r="E535" s="394"/>
      <c r="J535" s="395"/>
      <c r="K535" s="395"/>
      <c r="L535" s="395"/>
      <c r="M535" s="395"/>
      <c r="N535" s="395"/>
      <c r="O535" s="395"/>
      <c r="P535" s="395"/>
      <c r="Q535" s="395"/>
    </row>
    <row r="536">
      <c r="E536" s="394"/>
      <c r="J536" s="395"/>
      <c r="K536" s="395"/>
      <c r="L536" s="395"/>
      <c r="M536" s="395"/>
      <c r="N536" s="395"/>
      <c r="O536" s="395"/>
      <c r="P536" s="395"/>
      <c r="Q536" s="395"/>
    </row>
    <row r="537">
      <c r="E537" s="394"/>
      <c r="J537" s="395"/>
      <c r="K537" s="395"/>
      <c r="L537" s="395"/>
      <c r="M537" s="395"/>
      <c r="N537" s="395"/>
      <c r="O537" s="395"/>
      <c r="P537" s="395"/>
      <c r="Q537" s="395"/>
    </row>
    <row r="538">
      <c r="E538" s="394"/>
      <c r="J538" s="395"/>
      <c r="K538" s="395"/>
      <c r="L538" s="395"/>
      <c r="M538" s="395"/>
      <c r="N538" s="395"/>
      <c r="O538" s="395"/>
      <c r="P538" s="395"/>
      <c r="Q538" s="395"/>
    </row>
    <row r="539">
      <c r="E539" s="394"/>
      <c r="J539" s="395"/>
      <c r="K539" s="395"/>
      <c r="L539" s="395"/>
      <c r="M539" s="395"/>
      <c r="N539" s="395"/>
      <c r="O539" s="395"/>
      <c r="P539" s="395"/>
      <c r="Q539" s="395"/>
    </row>
    <row r="540">
      <c r="E540" s="394"/>
      <c r="J540" s="395"/>
      <c r="K540" s="395"/>
      <c r="L540" s="395"/>
      <c r="M540" s="395"/>
      <c r="N540" s="395"/>
      <c r="O540" s="395"/>
      <c r="P540" s="395"/>
      <c r="Q540" s="395"/>
    </row>
    <row r="541">
      <c r="E541" s="394"/>
      <c r="J541" s="395"/>
      <c r="K541" s="395"/>
      <c r="L541" s="395"/>
      <c r="M541" s="395"/>
      <c r="N541" s="395"/>
      <c r="O541" s="395"/>
      <c r="P541" s="395"/>
      <c r="Q541" s="395"/>
    </row>
    <row r="542">
      <c r="E542" s="394"/>
      <c r="J542" s="395"/>
      <c r="K542" s="395"/>
      <c r="L542" s="395"/>
      <c r="M542" s="395"/>
      <c r="N542" s="395"/>
      <c r="O542" s="395"/>
      <c r="P542" s="395"/>
      <c r="Q542" s="395"/>
    </row>
    <row r="543">
      <c r="E543" s="394"/>
      <c r="J543" s="395"/>
      <c r="K543" s="395"/>
      <c r="L543" s="395"/>
      <c r="M543" s="395"/>
      <c r="N543" s="395"/>
      <c r="O543" s="395"/>
      <c r="P543" s="395"/>
      <c r="Q543" s="395"/>
    </row>
    <row r="544">
      <c r="E544" s="394"/>
      <c r="J544" s="395"/>
      <c r="K544" s="395"/>
      <c r="L544" s="395"/>
      <c r="M544" s="395"/>
      <c r="N544" s="395"/>
      <c r="O544" s="395"/>
      <c r="P544" s="395"/>
      <c r="Q544" s="395"/>
    </row>
    <row r="545">
      <c r="E545" s="394"/>
      <c r="J545" s="395"/>
      <c r="K545" s="395"/>
      <c r="L545" s="395"/>
      <c r="M545" s="395"/>
      <c r="N545" s="395"/>
      <c r="O545" s="395"/>
      <c r="P545" s="395"/>
      <c r="Q545" s="395"/>
    </row>
    <row r="546">
      <c r="E546" s="394"/>
      <c r="J546" s="395"/>
      <c r="K546" s="395"/>
      <c r="L546" s="395"/>
      <c r="M546" s="395"/>
      <c r="N546" s="395"/>
      <c r="O546" s="395"/>
      <c r="P546" s="395"/>
      <c r="Q546" s="395"/>
    </row>
    <row r="547">
      <c r="E547" s="394"/>
      <c r="J547" s="395"/>
      <c r="K547" s="395"/>
      <c r="L547" s="395"/>
      <c r="M547" s="395"/>
      <c r="N547" s="395"/>
      <c r="O547" s="395"/>
      <c r="P547" s="395"/>
      <c r="Q547" s="395"/>
    </row>
    <row r="548">
      <c r="E548" s="394"/>
      <c r="J548" s="395"/>
      <c r="K548" s="395"/>
      <c r="L548" s="395"/>
      <c r="M548" s="395"/>
      <c r="N548" s="395"/>
      <c r="O548" s="395"/>
      <c r="P548" s="395"/>
      <c r="Q548" s="395"/>
    </row>
    <row r="549">
      <c r="E549" s="394"/>
      <c r="J549" s="395"/>
      <c r="K549" s="395"/>
      <c r="L549" s="395"/>
      <c r="M549" s="395"/>
      <c r="N549" s="395"/>
      <c r="O549" s="395"/>
      <c r="P549" s="395"/>
      <c r="Q549" s="395"/>
    </row>
    <row r="550">
      <c r="E550" s="394"/>
      <c r="J550" s="395"/>
      <c r="K550" s="395"/>
      <c r="L550" s="395"/>
      <c r="M550" s="395"/>
      <c r="N550" s="395"/>
      <c r="O550" s="395"/>
      <c r="P550" s="395"/>
      <c r="Q550" s="395"/>
    </row>
    <row r="551">
      <c r="E551" s="394"/>
      <c r="J551" s="395"/>
      <c r="K551" s="395"/>
      <c r="L551" s="395"/>
      <c r="M551" s="395"/>
      <c r="N551" s="395"/>
      <c r="O551" s="395"/>
      <c r="P551" s="395"/>
      <c r="Q551" s="395"/>
    </row>
    <row r="552">
      <c r="E552" s="394"/>
      <c r="J552" s="395"/>
      <c r="K552" s="395"/>
      <c r="L552" s="395"/>
      <c r="M552" s="395"/>
      <c r="N552" s="395"/>
      <c r="O552" s="395"/>
      <c r="P552" s="395"/>
      <c r="Q552" s="395"/>
    </row>
    <row r="553">
      <c r="E553" s="394"/>
      <c r="J553" s="395"/>
      <c r="K553" s="395"/>
      <c r="L553" s="395"/>
      <c r="M553" s="395"/>
      <c r="N553" s="395"/>
      <c r="O553" s="395"/>
      <c r="P553" s="395"/>
      <c r="Q553" s="395"/>
    </row>
    <row r="554">
      <c r="E554" s="394"/>
      <c r="J554" s="395"/>
      <c r="K554" s="395"/>
      <c r="L554" s="395"/>
      <c r="M554" s="395"/>
      <c r="N554" s="395"/>
      <c r="O554" s="395"/>
      <c r="P554" s="395"/>
      <c r="Q554" s="395"/>
    </row>
    <row r="555">
      <c r="E555" s="394"/>
      <c r="J555" s="395"/>
      <c r="K555" s="395"/>
      <c r="L555" s="395"/>
      <c r="M555" s="395"/>
      <c r="N555" s="395"/>
      <c r="O555" s="395"/>
      <c r="P555" s="395"/>
      <c r="Q555" s="395"/>
    </row>
    <row r="556">
      <c r="E556" s="394"/>
      <c r="J556" s="395"/>
      <c r="K556" s="395"/>
      <c r="L556" s="395"/>
      <c r="M556" s="395"/>
      <c r="N556" s="395"/>
      <c r="O556" s="395"/>
      <c r="P556" s="395"/>
      <c r="Q556" s="395"/>
    </row>
    <row r="557">
      <c r="E557" s="394"/>
      <c r="J557" s="395"/>
      <c r="K557" s="395"/>
      <c r="L557" s="395"/>
      <c r="M557" s="395"/>
      <c r="N557" s="395"/>
      <c r="O557" s="395"/>
      <c r="P557" s="395"/>
      <c r="Q557" s="395"/>
    </row>
    <row r="558">
      <c r="E558" s="394"/>
      <c r="J558" s="395"/>
      <c r="K558" s="395"/>
      <c r="L558" s="395"/>
      <c r="M558" s="395"/>
      <c r="N558" s="395"/>
      <c r="O558" s="395"/>
      <c r="P558" s="395"/>
      <c r="Q558" s="395"/>
    </row>
    <row r="559">
      <c r="E559" s="394"/>
      <c r="J559" s="395"/>
      <c r="K559" s="395"/>
      <c r="L559" s="395"/>
      <c r="M559" s="395"/>
      <c r="N559" s="395"/>
      <c r="O559" s="395"/>
      <c r="P559" s="395"/>
      <c r="Q559" s="395"/>
    </row>
    <row r="560">
      <c r="E560" s="394"/>
      <c r="J560" s="395"/>
      <c r="K560" s="395"/>
      <c r="L560" s="395"/>
      <c r="M560" s="395"/>
      <c r="N560" s="395"/>
      <c r="O560" s="395"/>
      <c r="P560" s="395"/>
      <c r="Q560" s="395"/>
    </row>
    <row r="561">
      <c r="E561" s="394"/>
      <c r="J561" s="395"/>
      <c r="K561" s="395"/>
      <c r="L561" s="395"/>
      <c r="M561" s="395"/>
      <c r="N561" s="395"/>
      <c r="O561" s="395"/>
      <c r="P561" s="395"/>
      <c r="Q561" s="395"/>
    </row>
    <row r="562">
      <c r="E562" s="394"/>
      <c r="J562" s="395"/>
      <c r="K562" s="395"/>
      <c r="L562" s="395"/>
      <c r="M562" s="395"/>
      <c r="N562" s="395"/>
      <c r="O562" s="395"/>
      <c r="P562" s="395"/>
      <c r="Q562" s="395"/>
    </row>
    <row r="563">
      <c r="E563" s="394"/>
      <c r="J563" s="395"/>
      <c r="K563" s="395"/>
      <c r="L563" s="395"/>
      <c r="M563" s="395"/>
      <c r="N563" s="395"/>
      <c r="O563" s="395"/>
      <c r="P563" s="395"/>
      <c r="Q563" s="395"/>
    </row>
    <row r="564">
      <c r="E564" s="394"/>
      <c r="J564" s="395"/>
      <c r="K564" s="395"/>
      <c r="L564" s="395"/>
      <c r="M564" s="395"/>
      <c r="N564" s="395"/>
      <c r="O564" s="395"/>
      <c r="P564" s="395"/>
      <c r="Q564" s="395"/>
    </row>
    <row r="565">
      <c r="E565" s="394"/>
      <c r="J565" s="395"/>
      <c r="K565" s="395"/>
      <c r="L565" s="395"/>
      <c r="M565" s="395"/>
      <c r="N565" s="395"/>
      <c r="O565" s="395"/>
      <c r="P565" s="395"/>
      <c r="Q565" s="395"/>
    </row>
    <row r="566">
      <c r="E566" s="394"/>
      <c r="J566" s="395"/>
      <c r="K566" s="395"/>
      <c r="L566" s="395"/>
      <c r="M566" s="395"/>
      <c r="N566" s="395"/>
      <c r="O566" s="395"/>
      <c r="P566" s="395"/>
      <c r="Q566" s="395"/>
    </row>
    <row r="567">
      <c r="E567" s="394"/>
      <c r="J567" s="395"/>
      <c r="K567" s="395"/>
      <c r="L567" s="395"/>
      <c r="M567" s="395"/>
      <c r="N567" s="395"/>
      <c r="O567" s="395"/>
      <c r="P567" s="395"/>
      <c r="Q567" s="395"/>
    </row>
    <row r="568">
      <c r="E568" s="394"/>
      <c r="J568" s="395"/>
      <c r="K568" s="395"/>
      <c r="L568" s="395"/>
      <c r="M568" s="395"/>
      <c r="N568" s="395"/>
      <c r="O568" s="395"/>
      <c r="P568" s="395"/>
      <c r="Q568" s="395"/>
    </row>
    <row r="569">
      <c r="E569" s="394"/>
      <c r="J569" s="395"/>
      <c r="K569" s="395"/>
      <c r="L569" s="395"/>
      <c r="M569" s="395"/>
      <c r="N569" s="395"/>
      <c r="O569" s="395"/>
      <c r="P569" s="395"/>
      <c r="Q569" s="395"/>
    </row>
    <row r="570">
      <c r="E570" s="394"/>
      <c r="J570" s="395"/>
      <c r="K570" s="395"/>
      <c r="L570" s="395"/>
      <c r="M570" s="395"/>
      <c r="N570" s="395"/>
      <c r="O570" s="395"/>
      <c r="P570" s="395"/>
      <c r="Q570" s="395"/>
    </row>
    <row r="571">
      <c r="E571" s="394"/>
      <c r="J571" s="395"/>
      <c r="K571" s="395"/>
      <c r="L571" s="395"/>
      <c r="M571" s="395"/>
      <c r="N571" s="395"/>
      <c r="O571" s="395"/>
      <c r="P571" s="395"/>
      <c r="Q571" s="395"/>
    </row>
    <row r="572">
      <c r="E572" s="394"/>
      <c r="J572" s="395"/>
      <c r="K572" s="395"/>
      <c r="L572" s="395"/>
      <c r="M572" s="395"/>
      <c r="N572" s="395"/>
      <c r="O572" s="395"/>
      <c r="P572" s="395"/>
      <c r="Q572" s="395"/>
    </row>
    <row r="573">
      <c r="E573" s="394"/>
      <c r="J573" s="395"/>
      <c r="K573" s="395"/>
      <c r="L573" s="395"/>
      <c r="M573" s="395"/>
      <c r="N573" s="395"/>
      <c r="O573" s="395"/>
      <c r="P573" s="395"/>
      <c r="Q573" s="395"/>
    </row>
    <row r="574">
      <c r="E574" s="394"/>
      <c r="J574" s="395"/>
      <c r="K574" s="395"/>
      <c r="L574" s="395"/>
      <c r="M574" s="395"/>
      <c r="N574" s="395"/>
      <c r="O574" s="395"/>
      <c r="P574" s="395"/>
      <c r="Q574" s="395"/>
    </row>
    <row r="575">
      <c r="E575" s="394"/>
      <c r="J575" s="395"/>
      <c r="K575" s="395"/>
      <c r="L575" s="395"/>
      <c r="M575" s="395"/>
      <c r="N575" s="395"/>
      <c r="O575" s="395"/>
      <c r="P575" s="395"/>
      <c r="Q575" s="395"/>
    </row>
    <row r="576">
      <c r="E576" s="394"/>
      <c r="J576" s="395"/>
      <c r="K576" s="395"/>
      <c r="L576" s="395"/>
      <c r="M576" s="395"/>
      <c r="N576" s="395"/>
      <c r="O576" s="395"/>
      <c r="P576" s="395"/>
      <c r="Q576" s="395"/>
    </row>
    <row r="577">
      <c r="E577" s="394"/>
      <c r="J577" s="395"/>
      <c r="K577" s="395"/>
      <c r="L577" s="395"/>
      <c r="M577" s="395"/>
      <c r="N577" s="395"/>
      <c r="O577" s="395"/>
      <c r="P577" s="395"/>
      <c r="Q577" s="395"/>
    </row>
    <row r="578">
      <c r="E578" s="394"/>
      <c r="J578" s="395"/>
      <c r="K578" s="395"/>
      <c r="L578" s="395"/>
      <c r="M578" s="395"/>
      <c r="N578" s="395"/>
      <c r="O578" s="395"/>
      <c r="P578" s="395"/>
      <c r="Q578" s="395"/>
    </row>
    <row r="579">
      <c r="E579" s="394"/>
      <c r="J579" s="395"/>
      <c r="K579" s="395"/>
      <c r="L579" s="395"/>
      <c r="M579" s="395"/>
      <c r="N579" s="395"/>
      <c r="O579" s="395"/>
      <c r="P579" s="395"/>
      <c r="Q579" s="395"/>
    </row>
    <row r="580">
      <c r="E580" s="394"/>
      <c r="J580" s="395"/>
      <c r="K580" s="395"/>
      <c r="L580" s="395"/>
      <c r="M580" s="395"/>
      <c r="N580" s="395"/>
      <c r="O580" s="395"/>
      <c r="P580" s="395"/>
      <c r="Q580" s="395"/>
    </row>
    <row r="581">
      <c r="E581" s="394"/>
      <c r="J581" s="395"/>
      <c r="K581" s="395"/>
      <c r="L581" s="395"/>
      <c r="M581" s="395"/>
      <c r="N581" s="395"/>
      <c r="O581" s="395"/>
      <c r="P581" s="395"/>
      <c r="Q581" s="395"/>
    </row>
    <row r="582">
      <c r="E582" s="394"/>
      <c r="J582" s="395"/>
      <c r="K582" s="395"/>
      <c r="L582" s="395"/>
      <c r="M582" s="395"/>
      <c r="N582" s="395"/>
      <c r="O582" s="395"/>
      <c r="P582" s="395"/>
      <c r="Q582" s="395"/>
    </row>
    <row r="583">
      <c r="E583" s="394"/>
      <c r="J583" s="395"/>
      <c r="K583" s="395"/>
      <c r="L583" s="395"/>
      <c r="M583" s="395"/>
      <c r="N583" s="395"/>
      <c r="O583" s="395"/>
      <c r="P583" s="395"/>
      <c r="Q583" s="395"/>
    </row>
    <row r="584">
      <c r="E584" s="394"/>
      <c r="J584" s="395"/>
      <c r="K584" s="395"/>
      <c r="L584" s="395"/>
      <c r="M584" s="395"/>
      <c r="N584" s="395"/>
      <c r="O584" s="395"/>
      <c r="P584" s="395"/>
      <c r="Q584" s="395"/>
    </row>
    <row r="585">
      <c r="E585" s="394"/>
      <c r="J585" s="395"/>
      <c r="K585" s="395"/>
      <c r="L585" s="395"/>
      <c r="M585" s="395"/>
      <c r="N585" s="395"/>
      <c r="O585" s="395"/>
      <c r="P585" s="395"/>
      <c r="Q585" s="395"/>
    </row>
    <row r="586">
      <c r="E586" s="394"/>
      <c r="J586" s="395"/>
      <c r="K586" s="395"/>
      <c r="L586" s="395"/>
      <c r="M586" s="395"/>
      <c r="N586" s="395"/>
      <c r="O586" s="395"/>
      <c r="P586" s="395"/>
      <c r="Q586" s="395"/>
    </row>
    <row r="587">
      <c r="E587" s="394"/>
      <c r="J587" s="395"/>
      <c r="K587" s="395"/>
      <c r="L587" s="395"/>
      <c r="M587" s="395"/>
      <c r="N587" s="395"/>
      <c r="O587" s="395"/>
      <c r="P587" s="395"/>
      <c r="Q587" s="395"/>
    </row>
    <row r="588">
      <c r="E588" s="394"/>
      <c r="J588" s="395"/>
      <c r="K588" s="395"/>
      <c r="L588" s="395"/>
      <c r="M588" s="395"/>
      <c r="N588" s="395"/>
      <c r="O588" s="395"/>
      <c r="P588" s="395"/>
      <c r="Q588" s="395"/>
    </row>
    <row r="589">
      <c r="E589" s="394"/>
      <c r="J589" s="395"/>
      <c r="K589" s="395"/>
      <c r="L589" s="395"/>
      <c r="M589" s="395"/>
      <c r="N589" s="395"/>
      <c r="O589" s="395"/>
      <c r="P589" s="395"/>
      <c r="Q589" s="395"/>
    </row>
    <row r="590">
      <c r="E590" s="394"/>
      <c r="J590" s="395"/>
      <c r="K590" s="395"/>
      <c r="L590" s="395"/>
      <c r="M590" s="395"/>
      <c r="N590" s="395"/>
      <c r="O590" s="395"/>
      <c r="P590" s="395"/>
      <c r="Q590" s="395"/>
    </row>
    <row r="591">
      <c r="E591" s="394"/>
      <c r="J591" s="395"/>
      <c r="K591" s="395"/>
      <c r="L591" s="395"/>
      <c r="M591" s="395"/>
      <c r="N591" s="395"/>
      <c r="O591" s="395"/>
      <c r="P591" s="395"/>
      <c r="Q591" s="395"/>
    </row>
    <row r="592">
      <c r="E592" s="394"/>
      <c r="J592" s="395"/>
      <c r="K592" s="395"/>
      <c r="L592" s="395"/>
      <c r="M592" s="395"/>
      <c r="N592" s="395"/>
      <c r="O592" s="395"/>
      <c r="P592" s="395"/>
      <c r="Q592" s="395"/>
    </row>
    <row r="593">
      <c r="E593" s="394"/>
      <c r="J593" s="395"/>
      <c r="K593" s="395"/>
      <c r="L593" s="395"/>
      <c r="M593" s="395"/>
      <c r="N593" s="395"/>
      <c r="O593" s="395"/>
      <c r="P593" s="395"/>
      <c r="Q593" s="395"/>
    </row>
    <row r="594">
      <c r="E594" s="394"/>
      <c r="J594" s="395"/>
      <c r="K594" s="395"/>
      <c r="L594" s="395"/>
      <c r="M594" s="395"/>
      <c r="N594" s="395"/>
      <c r="O594" s="395"/>
      <c r="P594" s="395"/>
      <c r="Q594" s="395"/>
    </row>
    <row r="595">
      <c r="E595" s="394"/>
      <c r="J595" s="395"/>
      <c r="K595" s="395"/>
      <c r="L595" s="395"/>
      <c r="M595" s="395"/>
      <c r="N595" s="395"/>
      <c r="O595" s="395"/>
      <c r="P595" s="395"/>
      <c r="Q595" s="395"/>
    </row>
    <row r="596">
      <c r="E596" s="394"/>
      <c r="J596" s="395"/>
      <c r="K596" s="395"/>
      <c r="L596" s="395"/>
      <c r="M596" s="395"/>
      <c r="N596" s="395"/>
      <c r="O596" s="395"/>
      <c r="P596" s="395"/>
      <c r="Q596" s="395"/>
    </row>
    <row r="597">
      <c r="E597" s="394"/>
      <c r="J597" s="395"/>
      <c r="K597" s="395"/>
      <c r="L597" s="395"/>
      <c r="M597" s="395"/>
      <c r="N597" s="395"/>
      <c r="O597" s="395"/>
      <c r="P597" s="395"/>
      <c r="Q597" s="395"/>
    </row>
    <row r="598">
      <c r="E598" s="394"/>
      <c r="J598" s="395"/>
      <c r="K598" s="395"/>
      <c r="L598" s="395"/>
      <c r="M598" s="395"/>
      <c r="N598" s="395"/>
      <c r="O598" s="395"/>
      <c r="P598" s="395"/>
      <c r="Q598" s="395"/>
    </row>
    <row r="599">
      <c r="E599" s="394"/>
      <c r="J599" s="395"/>
      <c r="K599" s="395"/>
      <c r="L599" s="395"/>
      <c r="M599" s="395"/>
      <c r="N599" s="395"/>
      <c r="O599" s="395"/>
      <c r="P599" s="395"/>
      <c r="Q599" s="395"/>
    </row>
    <row r="600">
      <c r="E600" s="394"/>
      <c r="J600" s="395"/>
      <c r="K600" s="395"/>
      <c r="L600" s="395"/>
      <c r="M600" s="395"/>
      <c r="N600" s="395"/>
      <c r="O600" s="395"/>
      <c r="P600" s="395"/>
      <c r="Q600" s="395"/>
    </row>
    <row r="601">
      <c r="E601" s="394"/>
      <c r="J601" s="395"/>
      <c r="K601" s="395"/>
      <c r="L601" s="395"/>
      <c r="M601" s="395"/>
      <c r="N601" s="395"/>
      <c r="O601" s="395"/>
      <c r="P601" s="395"/>
      <c r="Q601" s="395"/>
    </row>
    <row r="602">
      <c r="E602" s="394"/>
      <c r="J602" s="395"/>
      <c r="K602" s="395"/>
      <c r="L602" s="395"/>
      <c r="M602" s="395"/>
      <c r="N602" s="395"/>
      <c r="O602" s="395"/>
      <c r="P602" s="395"/>
      <c r="Q602" s="395"/>
    </row>
    <row r="603">
      <c r="E603" s="394"/>
      <c r="J603" s="395"/>
      <c r="K603" s="395"/>
      <c r="L603" s="395"/>
      <c r="M603" s="395"/>
      <c r="N603" s="395"/>
      <c r="O603" s="395"/>
      <c r="P603" s="395"/>
      <c r="Q603" s="395"/>
    </row>
    <row r="604">
      <c r="E604" s="394"/>
      <c r="J604" s="395"/>
      <c r="K604" s="395"/>
      <c r="L604" s="395"/>
      <c r="M604" s="395"/>
      <c r="N604" s="395"/>
      <c r="O604" s="395"/>
      <c r="P604" s="395"/>
      <c r="Q604" s="395"/>
    </row>
    <row r="605">
      <c r="E605" s="394"/>
      <c r="J605" s="395"/>
      <c r="K605" s="395"/>
      <c r="L605" s="395"/>
      <c r="M605" s="395"/>
      <c r="N605" s="395"/>
      <c r="O605" s="395"/>
      <c r="P605" s="395"/>
      <c r="Q605" s="395"/>
    </row>
    <row r="606">
      <c r="E606" s="394"/>
      <c r="J606" s="395"/>
      <c r="K606" s="395"/>
      <c r="L606" s="395"/>
      <c r="M606" s="395"/>
      <c r="N606" s="395"/>
      <c r="O606" s="395"/>
      <c r="P606" s="395"/>
      <c r="Q606" s="395"/>
    </row>
    <row r="607">
      <c r="E607" s="394"/>
      <c r="J607" s="395"/>
      <c r="K607" s="395"/>
      <c r="L607" s="395"/>
      <c r="M607" s="395"/>
      <c r="N607" s="395"/>
      <c r="O607" s="395"/>
      <c r="P607" s="395"/>
      <c r="Q607" s="395"/>
    </row>
    <row r="608">
      <c r="E608" s="394"/>
      <c r="J608" s="395"/>
      <c r="K608" s="395"/>
      <c r="L608" s="395"/>
      <c r="M608" s="395"/>
      <c r="N608" s="395"/>
      <c r="O608" s="395"/>
      <c r="P608" s="395"/>
      <c r="Q608" s="395"/>
    </row>
    <row r="609">
      <c r="E609" s="394"/>
      <c r="J609" s="395"/>
      <c r="K609" s="395"/>
      <c r="L609" s="395"/>
      <c r="M609" s="395"/>
      <c r="N609" s="395"/>
      <c r="O609" s="395"/>
      <c r="P609" s="395"/>
      <c r="Q609" s="395"/>
    </row>
    <row r="610">
      <c r="E610" s="394"/>
      <c r="J610" s="395"/>
      <c r="K610" s="395"/>
      <c r="L610" s="395"/>
      <c r="M610" s="395"/>
      <c r="N610" s="395"/>
      <c r="O610" s="395"/>
      <c r="P610" s="395"/>
      <c r="Q610" s="395"/>
    </row>
    <row r="611">
      <c r="E611" s="394"/>
      <c r="J611" s="395"/>
      <c r="K611" s="395"/>
      <c r="L611" s="395"/>
      <c r="M611" s="395"/>
      <c r="N611" s="395"/>
      <c r="O611" s="395"/>
      <c r="P611" s="395"/>
      <c r="Q611" s="395"/>
    </row>
    <row r="612">
      <c r="E612" s="394"/>
      <c r="J612" s="395"/>
      <c r="K612" s="395"/>
      <c r="L612" s="395"/>
      <c r="M612" s="395"/>
      <c r="N612" s="395"/>
      <c r="O612" s="395"/>
      <c r="P612" s="395"/>
      <c r="Q612" s="395"/>
    </row>
    <row r="613">
      <c r="E613" s="394"/>
      <c r="J613" s="395"/>
      <c r="K613" s="395"/>
      <c r="L613" s="395"/>
      <c r="M613" s="395"/>
      <c r="N613" s="395"/>
      <c r="O613" s="395"/>
      <c r="P613" s="395"/>
      <c r="Q613" s="395"/>
    </row>
    <row r="614">
      <c r="E614" s="394"/>
      <c r="J614" s="395"/>
      <c r="K614" s="395"/>
      <c r="L614" s="395"/>
      <c r="M614" s="395"/>
      <c r="N614" s="395"/>
      <c r="O614" s="395"/>
      <c r="P614" s="395"/>
      <c r="Q614" s="395"/>
    </row>
    <row r="615">
      <c r="E615" s="394"/>
      <c r="J615" s="395"/>
      <c r="K615" s="395"/>
      <c r="L615" s="395"/>
      <c r="M615" s="395"/>
      <c r="N615" s="395"/>
      <c r="O615" s="395"/>
      <c r="P615" s="395"/>
      <c r="Q615" s="395"/>
    </row>
    <row r="616">
      <c r="E616" s="394"/>
      <c r="J616" s="395"/>
      <c r="K616" s="395"/>
      <c r="L616" s="395"/>
      <c r="M616" s="395"/>
      <c r="N616" s="395"/>
      <c r="O616" s="395"/>
      <c r="P616" s="395"/>
      <c r="Q616" s="395"/>
    </row>
    <row r="617">
      <c r="E617" s="394"/>
      <c r="J617" s="395"/>
      <c r="K617" s="395"/>
      <c r="L617" s="395"/>
      <c r="M617" s="395"/>
      <c r="N617" s="395"/>
      <c r="O617" s="395"/>
      <c r="P617" s="395"/>
      <c r="Q617" s="395"/>
    </row>
    <row r="618">
      <c r="E618" s="394"/>
      <c r="J618" s="395"/>
      <c r="K618" s="395"/>
      <c r="L618" s="395"/>
      <c r="M618" s="395"/>
      <c r="N618" s="395"/>
      <c r="O618" s="395"/>
      <c r="P618" s="395"/>
      <c r="Q618" s="395"/>
    </row>
    <row r="619">
      <c r="E619" s="394"/>
      <c r="J619" s="395"/>
      <c r="K619" s="395"/>
      <c r="L619" s="395"/>
      <c r="M619" s="395"/>
      <c r="N619" s="395"/>
      <c r="O619" s="395"/>
      <c r="P619" s="395"/>
      <c r="Q619" s="395"/>
    </row>
    <row r="620">
      <c r="E620" s="394"/>
      <c r="J620" s="395"/>
      <c r="K620" s="395"/>
      <c r="L620" s="395"/>
      <c r="M620" s="395"/>
      <c r="N620" s="395"/>
      <c r="O620" s="395"/>
      <c r="P620" s="395"/>
      <c r="Q620" s="395"/>
    </row>
    <row r="621">
      <c r="E621" s="394"/>
      <c r="J621" s="395"/>
      <c r="K621" s="395"/>
      <c r="L621" s="395"/>
      <c r="M621" s="395"/>
      <c r="N621" s="395"/>
      <c r="O621" s="395"/>
      <c r="P621" s="395"/>
      <c r="Q621" s="395"/>
    </row>
    <row r="622">
      <c r="E622" s="394"/>
      <c r="J622" s="395"/>
      <c r="K622" s="395"/>
      <c r="L622" s="395"/>
      <c r="M622" s="395"/>
      <c r="N622" s="395"/>
      <c r="O622" s="395"/>
      <c r="P622" s="395"/>
      <c r="Q622" s="395"/>
    </row>
    <row r="623">
      <c r="E623" s="394"/>
      <c r="J623" s="395"/>
      <c r="K623" s="395"/>
      <c r="L623" s="395"/>
      <c r="M623" s="395"/>
      <c r="N623" s="395"/>
      <c r="O623" s="395"/>
      <c r="P623" s="395"/>
      <c r="Q623" s="395"/>
    </row>
    <row r="624">
      <c r="E624" s="394"/>
      <c r="J624" s="395"/>
      <c r="K624" s="395"/>
      <c r="L624" s="395"/>
      <c r="M624" s="395"/>
      <c r="N624" s="395"/>
      <c r="O624" s="395"/>
      <c r="P624" s="395"/>
      <c r="Q624" s="395"/>
    </row>
    <row r="625">
      <c r="E625" s="394"/>
      <c r="J625" s="395"/>
      <c r="K625" s="395"/>
      <c r="L625" s="395"/>
      <c r="M625" s="395"/>
      <c r="N625" s="395"/>
      <c r="O625" s="395"/>
      <c r="P625" s="395"/>
      <c r="Q625" s="395"/>
    </row>
    <row r="626">
      <c r="E626" s="394"/>
      <c r="J626" s="395"/>
      <c r="K626" s="395"/>
      <c r="L626" s="395"/>
      <c r="M626" s="395"/>
      <c r="N626" s="395"/>
      <c r="O626" s="395"/>
      <c r="P626" s="395"/>
      <c r="Q626" s="395"/>
    </row>
    <row r="627">
      <c r="E627" s="394"/>
      <c r="J627" s="395"/>
      <c r="K627" s="395"/>
      <c r="L627" s="395"/>
      <c r="M627" s="395"/>
      <c r="N627" s="395"/>
      <c r="O627" s="395"/>
      <c r="P627" s="395"/>
      <c r="Q627" s="395"/>
    </row>
    <row r="628">
      <c r="E628" s="394"/>
      <c r="J628" s="395"/>
      <c r="K628" s="395"/>
      <c r="L628" s="395"/>
      <c r="M628" s="395"/>
      <c r="N628" s="395"/>
      <c r="O628" s="395"/>
      <c r="P628" s="395"/>
      <c r="Q628" s="395"/>
    </row>
    <row r="629">
      <c r="E629" s="394"/>
      <c r="J629" s="395"/>
      <c r="K629" s="395"/>
      <c r="L629" s="395"/>
      <c r="M629" s="395"/>
      <c r="N629" s="395"/>
      <c r="O629" s="395"/>
      <c r="P629" s="395"/>
      <c r="Q629" s="395"/>
    </row>
    <row r="630">
      <c r="E630" s="394"/>
      <c r="J630" s="395"/>
      <c r="K630" s="395"/>
      <c r="L630" s="395"/>
      <c r="M630" s="395"/>
      <c r="N630" s="395"/>
      <c r="O630" s="395"/>
      <c r="P630" s="395"/>
      <c r="Q630" s="395"/>
    </row>
    <row r="631">
      <c r="E631" s="394"/>
      <c r="J631" s="395"/>
      <c r="K631" s="395"/>
      <c r="L631" s="395"/>
      <c r="M631" s="395"/>
      <c r="N631" s="395"/>
      <c r="O631" s="395"/>
      <c r="P631" s="395"/>
      <c r="Q631" s="395"/>
    </row>
    <row r="632">
      <c r="E632" s="394"/>
      <c r="J632" s="395"/>
      <c r="K632" s="395"/>
      <c r="L632" s="395"/>
      <c r="M632" s="395"/>
      <c r="N632" s="395"/>
      <c r="O632" s="395"/>
      <c r="P632" s="395"/>
      <c r="Q632" s="395"/>
    </row>
    <row r="633">
      <c r="E633" s="394"/>
      <c r="J633" s="395"/>
      <c r="K633" s="395"/>
      <c r="L633" s="395"/>
      <c r="M633" s="395"/>
      <c r="N633" s="395"/>
      <c r="O633" s="395"/>
      <c r="P633" s="395"/>
      <c r="Q633" s="395"/>
    </row>
    <row r="634">
      <c r="E634" s="394"/>
      <c r="J634" s="395"/>
      <c r="K634" s="395"/>
      <c r="L634" s="395"/>
      <c r="M634" s="395"/>
      <c r="N634" s="395"/>
      <c r="O634" s="395"/>
      <c r="P634" s="395"/>
      <c r="Q634" s="395"/>
    </row>
    <row r="635">
      <c r="E635" s="394"/>
      <c r="J635" s="395"/>
      <c r="K635" s="395"/>
      <c r="L635" s="395"/>
      <c r="M635" s="395"/>
      <c r="N635" s="395"/>
      <c r="O635" s="395"/>
      <c r="P635" s="395"/>
      <c r="Q635" s="395"/>
    </row>
    <row r="636">
      <c r="E636" s="394"/>
      <c r="J636" s="395"/>
      <c r="K636" s="395"/>
      <c r="L636" s="395"/>
      <c r="M636" s="395"/>
      <c r="N636" s="395"/>
      <c r="O636" s="395"/>
      <c r="P636" s="395"/>
      <c r="Q636" s="395"/>
    </row>
    <row r="637">
      <c r="E637" s="394"/>
      <c r="J637" s="395"/>
      <c r="K637" s="395"/>
      <c r="L637" s="395"/>
      <c r="M637" s="395"/>
      <c r="N637" s="395"/>
      <c r="O637" s="395"/>
      <c r="P637" s="395"/>
      <c r="Q637" s="395"/>
    </row>
    <row r="638">
      <c r="E638" s="394"/>
      <c r="J638" s="395"/>
      <c r="K638" s="395"/>
      <c r="L638" s="395"/>
      <c r="M638" s="395"/>
      <c r="N638" s="395"/>
      <c r="O638" s="395"/>
      <c r="P638" s="395"/>
      <c r="Q638" s="395"/>
    </row>
    <row r="639">
      <c r="E639" s="394"/>
      <c r="J639" s="395"/>
      <c r="K639" s="395"/>
      <c r="L639" s="395"/>
      <c r="M639" s="395"/>
      <c r="N639" s="395"/>
      <c r="O639" s="395"/>
      <c r="P639" s="395"/>
      <c r="Q639" s="395"/>
    </row>
    <row r="640">
      <c r="E640" s="394"/>
      <c r="J640" s="395"/>
      <c r="K640" s="395"/>
      <c r="L640" s="395"/>
      <c r="M640" s="395"/>
      <c r="N640" s="395"/>
      <c r="O640" s="395"/>
      <c r="P640" s="395"/>
      <c r="Q640" s="395"/>
    </row>
    <row r="641">
      <c r="E641" s="394"/>
      <c r="J641" s="395"/>
      <c r="K641" s="395"/>
      <c r="L641" s="395"/>
      <c r="M641" s="395"/>
      <c r="N641" s="395"/>
      <c r="O641" s="395"/>
      <c r="P641" s="395"/>
      <c r="Q641" s="395"/>
    </row>
    <row r="642">
      <c r="E642" s="394"/>
      <c r="J642" s="395"/>
      <c r="K642" s="395"/>
      <c r="L642" s="395"/>
      <c r="M642" s="395"/>
      <c r="N642" s="395"/>
      <c r="O642" s="395"/>
      <c r="P642" s="395"/>
      <c r="Q642" s="395"/>
    </row>
    <row r="643">
      <c r="E643" s="394"/>
      <c r="J643" s="395"/>
      <c r="K643" s="395"/>
      <c r="L643" s="395"/>
      <c r="M643" s="395"/>
      <c r="N643" s="395"/>
      <c r="O643" s="395"/>
      <c r="P643" s="395"/>
      <c r="Q643" s="395"/>
    </row>
    <row r="644">
      <c r="E644" s="394"/>
      <c r="J644" s="395"/>
      <c r="K644" s="395"/>
      <c r="L644" s="395"/>
      <c r="M644" s="395"/>
      <c r="N644" s="395"/>
      <c r="O644" s="395"/>
      <c r="P644" s="395"/>
      <c r="Q644" s="395"/>
    </row>
    <row r="645">
      <c r="E645" s="394"/>
      <c r="J645" s="395"/>
      <c r="K645" s="395"/>
      <c r="L645" s="395"/>
      <c r="M645" s="395"/>
      <c r="N645" s="395"/>
      <c r="O645" s="395"/>
      <c r="P645" s="395"/>
      <c r="Q645" s="395"/>
    </row>
    <row r="646">
      <c r="E646" s="394"/>
      <c r="J646" s="395"/>
      <c r="K646" s="395"/>
      <c r="L646" s="395"/>
      <c r="M646" s="395"/>
      <c r="N646" s="395"/>
      <c r="O646" s="395"/>
      <c r="P646" s="395"/>
      <c r="Q646" s="395"/>
    </row>
    <row r="647">
      <c r="E647" s="394"/>
      <c r="J647" s="395"/>
      <c r="K647" s="395"/>
      <c r="L647" s="395"/>
      <c r="M647" s="395"/>
      <c r="N647" s="395"/>
      <c r="O647" s="395"/>
      <c r="P647" s="395"/>
      <c r="Q647" s="395"/>
    </row>
    <row r="648">
      <c r="E648" s="394"/>
      <c r="J648" s="395"/>
      <c r="K648" s="395"/>
      <c r="L648" s="395"/>
      <c r="M648" s="395"/>
      <c r="N648" s="395"/>
      <c r="O648" s="395"/>
      <c r="P648" s="395"/>
      <c r="Q648" s="395"/>
    </row>
    <row r="649">
      <c r="E649" s="394"/>
      <c r="J649" s="395"/>
      <c r="K649" s="395"/>
      <c r="L649" s="395"/>
      <c r="M649" s="395"/>
      <c r="N649" s="395"/>
      <c r="O649" s="395"/>
      <c r="P649" s="395"/>
      <c r="Q649" s="395"/>
    </row>
    <row r="650">
      <c r="E650" s="394"/>
      <c r="J650" s="395"/>
      <c r="K650" s="395"/>
      <c r="L650" s="395"/>
      <c r="M650" s="395"/>
      <c r="N650" s="395"/>
      <c r="O650" s="395"/>
      <c r="P650" s="395"/>
      <c r="Q650" s="395"/>
    </row>
    <row r="651">
      <c r="E651" s="394"/>
      <c r="J651" s="395"/>
      <c r="K651" s="395"/>
      <c r="L651" s="395"/>
      <c r="M651" s="395"/>
      <c r="N651" s="395"/>
      <c r="O651" s="395"/>
      <c r="P651" s="395"/>
      <c r="Q651" s="395"/>
    </row>
    <row r="652">
      <c r="E652" s="394"/>
      <c r="J652" s="395"/>
      <c r="K652" s="395"/>
      <c r="L652" s="395"/>
      <c r="M652" s="395"/>
      <c r="N652" s="395"/>
      <c r="O652" s="395"/>
      <c r="P652" s="395"/>
      <c r="Q652" s="395"/>
    </row>
    <row r="653">
      <c r="E653" s="394"/>
      <c r="J653" s="395"/>
      <c r="K653" s="395"/>
      <c r="L653" s="395"/>
      <c r="M653" s="395"/>
      <c r="N653" s="395"/>
      <c r="O653" s="395"/>
      <c r="P653" s="395"/>
      <c r="Q653" s="395"/>
    </row>
    <row r="654">
      <c r="E654" s="394"/>
      <c r="J654" s="395"/>
      <c r="K654" s="395"/>
      <c r="L654" s="395"/>
      <c r="M654" s="395"/>
      <c r="N654" s="395"/>
      <c r="O654" s="395"/>
      <c r="P654" s="395"/>
      <c r="Q654" s="395"/>
    </row>
    <row r="655">
      <c r="E655" s="394"/>
      <c r="J655" s="395"/>
      <c r="K655" s="395"/>
      <c r="L655" s="395"/>
      <c r="M655" s="395"/>
      <c r="N655" s="395"/>
      <c r="O655" s="395"/>
      <c r="P655" s="395"/>
      <c r="Q655" s="395"/>
    </row>
    <row r="656">
      <c r="E656" s="394"/>
      <c r="J656" s="395"/>
      <c r="K656" s="395"/>
      <c r="L656" s="395"/>
      <c r="M656" s="395"/>
      <c r="N656" s="395"/>
      <c r="O656" s="395"/>
      <c r="P656" s="395"/>
      <c r="Q656" s="395"/>
    </row>
    <row r="657">
      <c r="E657" s="394"/>
      <c r="J657" s="395"/>
      <c r="K657" s="395"/>
      <c r="L657" s="395"/>
      <c r="M657" s="395"/>
      <c r="N657" s="395"/>
      <c r="O657" s="395"/>
      <c r="P657" s="395"/>
      <c r="Q657" s="395"/>
    </row>
    <row r="658">
      <c r="E658" s="394"/>
      <c r="J658" s="395"/>
      <c r="K658" s="395"/>
      <c r="L658" s="395"/>
      <c r="M658" s="395"/>
      <c r="N658" s="395"/>
      <c r="O658" s="395"/>
      <c r="P658" s="395"/>
      <c r="Q658" s="395"/>
    </row>
    <row r="659">
      <c r="E659" s="394"/>
      <c r="J659" s="395"/>
      <c r="K659" s="395"/>
      <c r="L659" s="395"/>
      <c r="M659" s="395"/>
      <c r="N659" s="395"/>
      <c r="O659" s="395"/>
      <c r="P659" s="395"/>
      <c r="Q659" s="395"/>
    </row>
    <row r="660">
      <c r="E660" s="394"/>
      <c r="J660" s="395"/>
      <c r="K660" s="395"/>
      <c r="L660" s="395"/>
      <c r="M660" s="395"/>
      <c r="N660" s="395"/>
      <c r="O660" s="395"/>
      <c r="P660" s="395"/>
      <c r="Q660" s="395"/>
    </row>
    <row r="661">
      <c r="E661" s="394"/>
      <c r="J661" s="395"/>
      <c r="K661" s="395"/>
      <c r="L661" s="395"/>
      <c r="M661" s="395"/>
      <c r="N661" s="395"/>
      <c r="O661" s="395"/>
      <c r="P661" s="395"/>
      <c r="Q661" s="395"/>
    </row>
    <row r="662">
      <c r="E662" s="394"/>
      <c r="J662" s="395"/>
      <c r="K662" s="395"/>
      <c r="L662" s="395"/>
      <c r="M662" s="395"/>
      <c r="N662" s="395"/>
      <c r="O662" s="395"/>
      <c r="P662" s="395"/>
      <c r="Q662" s="395"/>
    </row>
    <row r="663">
      <c r="E663" s="394"/>
      <c r="J663" s="395"/>
      <c r="K663" s="395"/>
      <c r="L663" s="395"/>
      <c r="M663" s="395"/>
      <c r="N663" s="395"/>
      <c r="O663" s="395"/>
      <c r="P663" s="395"/>
      <c r="Q663" s="395"/>
    </row>
    <row r="664">
      <c r="E664" s="394"/>
      <c r="J664" s="395"/>
      <c r="K664" s="395"/>
      <c r="L664" s="395"/>
      <c r="M664" s="395"/>
      <c r="N664" s="395"/>
      <c r="O664" s="395"/>
      <c r="P664" s="395"/>
      <c r="Q664" s="395"/>
    </row>
    <row r="665">
      <c r="E665" s="394"/>
      <c r="J665" s="395"/>
      <c r="K665" s="395"/>
      <c r="L665" s="395"/>
      <c r="M665" s="395"/>
      <c r="N665" s="395"/>
      <c r="O665" s="395"/>
      <c r="P665" s="395"/>
      <c r="Q665" s="395"/>
    </row>
    <row r="666">
      <c r="E666" s="394"/>
      <c r="J666" s="395"/>
      <c r="K666" s="395"/>
      <c r="L666" s="395"/>
      <c r="M666" s="395"/>
      <c r="N666" s="395"/>
      <c r="O666" s="395"/>
      <c r="P666" s="395"/>
      <c r="Q666" s="395"/>
    </row>
    <row r="667">
      <c r="E667" s="394"/>
      <c r="J667" s="395"/>
      <c r="K667" s="395"/>
      <c r="L667" s="395"/>
      <c r="M667" s="395"/>
      <c r="N667" s="395"/>
      <c r="O667" s="395"/>
      <c r="P667" s="395"/>
      <c r="Q667" s="395"/>
    </row>
    <row r="668">
      <c r="E668" s="394"/>
      <c r="J668" s="395"/>
      <c r="K668" s="395"/>
      <c r="L668" s="395"/>
      <c r="M668" s="395"/>
      <c r="N668" s="395"/>
      <c r="O668" s="395"/>
      <c r="P668" s="395"/>
      <c r="Q668" s="395"/>
    </row>
    <row r="669">
      <c r="E669" s="394"/>
      <c r="J669" s="395"/>
      <c r="K669" s="395"/>
      <c r="L669" s="395"/>
      <c r="M669" s="395"/>
      <c r="N669" s="395"/>
      <c r="O669" s="395"/>
      <c r="P669" s="395"/>
      <c r="Q669" s="395"/>
    </row>
    <row r="670">
      <c r="E670" s="394"/>
      <c r="J670" s="395"/>
      <c r="K670" s="395"/>
      <c r="L670" s="395"/>
      <c r="M670" s="395"/>
      <c r="N670" s="395"/>
      <c r="O670" s="395"/>
      <c r="P670" s="395"/>
      <c r="Q670" s="395"/>
    </row>
    <row r="671">
      <c r="E671" s="394"/>
      <c r="J671" s="395"/>
      <c r="K671" s="395"/>
      <c r="L671" s="395"/>
      <c r="M671" s="395"/>
      <c r="N671" s="395"/>
      <c r="O671" s="395"/>
      <c r="P671" s="395"/>
      <c r="Q671" s="395"/>
    </row>
    <row r="672">
      <c r="E672" s="394"/>
      <c r="J672" s="395"/>
      <c r="K672" s="395"/>
      <c r="L672" s="395"/>
      <c r="M672" s="395"/>
      <c r="N672" s="395"/>
      <c r="O672" s="395"/>
      <c r="P672" s="395"/>
      <c r="Q672" s="395"/>
    </row>
    <row r="673">
      <c r="E673" s="394"/>
      <c r="J673" s="395"/>
      <c r="K673" s="395"/>
      <c r="L673" s="395"/>
      <c r="M673" s="395"/>
      <c r="N673" s="395"/>
      <c r="O673" s="395"/>
      <c r="P673" s="395"/>
      <c r="Q673" s="395"/>
    </row>
    <row r="674">
      <c r="E674" s="394"/>
      <c r="J674" s="395"/>
      <c r="K674" s="395"/>
      <c r="L674" s="395"/>
      <c r="M674" s="395"/>
      <c r="N674" s="395"/>
      <c r="O674" s="395"/>
      <c r="P674" s="395"/>
      <c r="Q674" s="395"/>
    </row>
    <row r="675">
      <c r="E675" s="394"/>
      <c r="J675" s="395"/>
      <c r="K675" s="395"/>
      <c r="L675" s="395"/>
      <c r="M675" s="395"/>
      <c r="N675" s="395"/>
      <c r="O675" s="395"/>
      <c r="P675" s="395"/>
      <c r="Q675" s="395"/>
    </row>
    <row r="676">
      <c r="E676" s="394"/>
      <c r="J676" s="395"/>
      <c r="K676" s="395"/>
      <c r="L676" s="395"/>
      <c r="M676" s="395"/>
      <c r="N676" s="395"/>
      <c r="O676" s="395"/>
      <c r="P676" s="395"/>
      <c r="Q676" s="395"/>
    </row>
    <row r="677">
      <c r="E677" s="394"/>
      <c r="J677" s="395"/>
      <c r="K677" s="395"/>
      <c r="L677" s="395"/>
      <c r="M677" s="395"/>
      <c r="N677" s="395"/>
      <c r="O677" s="395"/>
      <c r="P677" s="395"/>
      <c r="Q677" s="395"/>
    </row>
    <row r="678">
      <c r="E678" s="394"/>
      <c r="J678" s="395"/>
      <c r="K678" s="395"/>
      <c r="L678" s="395"/>
      <c r="M678" s="395"/>
      <c r="N678" s="395"/>
      <c r="O678" s="395"/>
      <c r="P678" s="395"/>
      <c r="Q678" s="395"/>
    </row>
    <row r="679">
      <c r="E679" s="394"/>
      <c r="J679" s="395"/>
      <c r="K679" s="395"/>
      <c r="L679" s="395"/>
      <c r="M679" s="395"/>
      <c r="N679" s="395"/>
      <c r="O679" s="395"/>
      <c r="P679" s="395"/>
      <c r="Q679" s="395"/>
    </row>
    <row r="680">
      <c r="E680" s="394"/>
      <c r="J680" s="395"/>
      <c r="K680" s="395"/>
      <c r="L680" s="395"/>
      <c r="M680" s="395"/>
      <c r="N680" s="395"/>
      <c r="O680" s="395"/>
      <c r="P680" s="395"/>
      <c r="Q680" s="395"/>
    </row>
    <row r="681">
      <c r="E681" s="394"/>
      <c r="J681" s="395"/>
      <c r="K681" s="395"/>
      <c r="L681" s="395"/>
      <c r="M681" s="395"/>
      <c r="N681" s="395"/>
      <c r="O681" s="395"/>
      <c r="P681" s="395"/>
      <c r="Q681" s="395"/>
    </row>
    <row r="682">
      <c r="E682" s="394"/>
      <c r="J682" s="395"/>
      <c r="K682" s="395"/>
      <c r="L682" s="395"/>
      <c r="M682" s="395"/>
      <c r="N682" s="395"/>
      <c r="O682" s="395"/>
      <c r="P682" s="395"/>
      <c r="Q682" s="395"/>
    </row>
    <row r="683">
      <c r="E683" s="394"/>
      <c r="J683" s="395"/>
      <c r="K683" s="395"/>
      <c r="L683" s="395"/>
      <c r="M683" s="395"/>
      <c r="N683" s="395"/>
      <c r="O683" s="395"/>
      <c r="P683" s="395"/>
      <c r="Q683" s="395"/>
    </row>
    <row r="684">
      <c r="E684" s="394"/>
      <c r="J684" s="395"/>
      <c r="K684" s="395"/>
      <c r="L684" s="395"/>
      <c r="M684" s="395"/>
      <c r="N684" s="395"/>
      <c r="O684" s="395"/>
      <c r="P684" s="395"/>
      <c r="Q684" s="395"/>
    </row>
    <row r="685">
      <c r="E685" s="394"/>
      <c r="J685" s="395"/>
      <c r="K685" s="395"/>
      <c r="L685" s="395"/>
      <c r="M685" s="395"/>
      <c r="N685" s="395"/>
      <c r="O685" s="395"/>
      <c r="P685" s="395"/>
      <c r="Q685" s="395"/>
    </row>
    <row r="686">
      <c r="E686" s="394"/>
      <c r="J686" s="395"/>
      <c r="K686" s="395"/>
      <c r="L686" s="395"/>
      <c r="M686" s="395"/>
      <c r="N686" s="395"/>
      <c r="O686" s="395"/>
      <c r="P686" s="395"/>
      <c r="Q686" s="395"/>
    </row>
    <row r="687">
      <c r="E687" s="394"/>
      <c r="J687" s="395"/>
      <c r="K687" s="395"/>
      <c r="L687" s="395"/>
      <c r="M687" s="395"/>
      <c r="N687" s="395"/>
      <c r="O687" s="395"/>
      <c r="P687" s="395"/>
      <c r="Q687" s="395"/>
    </row>
    <row r="688">
      <c r="E688" s="394"/>
      <c r="J688" s="395"/>
      <c r="K688" s="395"/>
      <c r="L688" s="395"/>
      <c r="M688" s="395"/>
      <c r="N688" s="395"/>
      <c r="O688" s="395"/>
      <c r="P688" s="395"/>
      <c r="Q688" s="395"/>
    </row>
    <row r="689">
      <c r="E689" s="394"/>
      <c r="J689" s="395"/>
      <c r="K689" s="395"/>
      <c r="L689" s="395"/>
      <c r="M689" s="395"/>
      <c r="N689" s="395"/>
      <c r="O689" s="395"/>
      <c r="P689" s="395"/>
      <c r="Q689" s="395"/>
    </row>
    <row r="690">
      <c r="E690" s="394"/>
      <c r="J690" s="395"/>
      <c r="K690" s="395"/>
      <c r="L690" s="395"/>
      <c r="M690" s="395"/>
      <c r="N690" s="395"/>
      <c r="O690" s="395"/>
      <c r="P690" s="395"/>
      <c r="Q690" s="395"/>
    </row>
    <row r="691">
      <c r="E691" s="394"/>
      <c r="J691" s="395"/>
      <c r="K691" s="395"/>
      <c r="L691" s="395"/>
      <c r="M691" s="395"/>
      <c r="N691" s="395"/>
      <c r="O691" s="395"/>
      <c r="P691" s="395"/>
      <c r="Q691" s="395"/>
    </row>
    <row r="692">
      <c r="E692" s="394"/>
      <c r="J692" s="395"/>
      <c r="K692" s="395"/>
      <c r="L692" s="395"/>
      <c r="M692" s="395"/>
      <c r="N692" s="395"/>
      <c r="O692" s="395"/>
      <c r="P692" s="395"/>
      <c r="Q692" s="395"/>
    </row>
    <row r="693">
      <c r="E693" s="394"/>
      <c r="J693" s="395"/>
      <c r="K693" s="395"/>
      <c r="L693" s="395"/>
      <c r="M693" s="395"/>
      <c r="N693" s="395"/>
      <c r="O693" s="395"/>
      <c r="P693" s="395"/>
      <c r="Q693" s="395"/>
    </row>
    <row r="694">
      <c r="E694" s="394"/>
      <c r="J694" s="395"/>
      <c r="K694" s="395"/>
      <c r="L694" s="395"/>
      <c r="M694" s="395"/>
      <c r="N694" s="395"/>
      <c r="O694" s="395"/>
      <c r="P694" s="395"/>
      <c r="Q694" s="395"/>
    </row>
    <row r="695">
      <c r="E695" s="394"/>
      <c r="J695" s="395"/>
      <c r="K695" s="395"/>
      <c r="L695" s="395"/>
      <c r="M695" s="395"/>
      <c r="N695" s="395"/>
      <c r="O695" s="395"/>
      <c r="P695" s="395"/>
      <c r="Q695" s="395"/>
    </row>
    <row r="696">
      <c r="E696" s="394"/>
      <c r="J696" s="395"/>
      <c r="K696" s="395"/>
      <c r="L696" s="395"/>
      <c r="M696" s="395"/>
      <c r="N696" s="395"/>
      <c r="O696" s="395"/>
      <c r="P696" s="395"/>
      <c r="Q696" s="395"/>
    </row>
    <row r="697">
      <c r="E697" s="394"/>
      <c r="J697" s="395"/>
      <c r="K697" s="395"/>
      <c r="L697" s="395"/>
      <c r="M697" s="395"/>
      <c r="N697" s="395"/>
      <c r="O697" s="395"/>
      <c r="P697" s="395"/>
      <c r="Q697" s="395"/>
    </row>
    <row r="698">
      <c r="E698" s="394"/>
      <c r="J698" s="395"/>
      <c r="K698" s="395"/>
      <c r="L698" s="395"/>
      <c r="M698" s="395"/>
      <c r="N698" s="395"/>
      <c r="O698" s="395"/>
      <c r="P698" s="395"/>
      <c r="Q698" s="395"/>
    </row>
    <row r="699">
      <c r="E699" s="394"/>
      <c r="J699" s="395"/>
      <c r="K699" s="395"/>
      <c r="L699" s="395"/>
      <c r="M699" s="395"/>
      <c r="N699" s="395"/>
      <c r="O699" s="395"/>
      <c r="P699" s="395"/>
      <c r="Q699" s="395"/>
    </row>
    <row r="700">
      <c r="E700" s="394"/>
      <c r="J700" s="395"/>
      <c r="K700" s="395"/>
      <c r="L700" s="395"/>
      <c r="M700" s="395"/>
      <c r="N700" s="395"/>
      <c r="O700" s="395"/>
      <c r="P700" s="395"/>
      <c r="Q700" s="395"/>
    </row>
    <row r="701">
      <c r="E701" s="394"/>
      <c r="J701" s="395"/>
      <c r="K701" s="395"/>
      <c r="L701" s="395"/>
      <c r="M701" s="395"/>
      <c r="N701" s="395"/>
      <c r="O701" s="395"/>
      <c r="P701" s="395"/>
      <c r="Q701" s="395"/>
    </row>
    <row r="702">
      <c r="E702" s="394"/>
      <c r="J702" s="395"/>
      <c r="K702" s="395"/>
      <c r="L702" s="395"/>
      <c r="M702" s="395"/>
      <c r="N702" s="395"/>
      <c r="O702" s="395"/>
      <c r="P702" s="395"/>
      <c r="Q702" s="395"/>
    </row>
    <row r="703">
      <c r="E703" s="394"/>
      <c r="J703" s="395"/>
      <c r="K703" s="395"/>
      <c r="L703" s="395"/>
      <c r="M703" s="395"/>
      <c r="N703" s="395"/>
      <c r="O703" s="395"/>
      <c r="P703" s="395"/>
      <c r="Q703" s="395"/>
    </row>
    <row r="704">
      <c r="E704" s="394"/>
      <c r="J704" s="395"/>
      <c r="K704" s="395"/>
      <c r="L704" s="395"/>
      <c r="M704" s="395"/>
      <c r="N704" s="395"/>
      <c r="O704" s="395"/>
      <c r="P704" s="395"/>
      <c r="Q704" s="395"/>
    </row>
    <row r="705">
      <c r="E705" s="394"/>
      <c r="J705" s="395"/>
      <c r="K705" s="395"/>
      <c r="L705" s="395"/>
      <c r="M705" s="395"/>
      <c r="N705" s="395"/>
      <c r="O705" s="395"/>
      <c r="P705" s="395"/>
      <c r="Q705" s="395"/>
    </row>
    <row r="706">
      <c r="E706" s="394"/>
      <c r="J706" s="395"/>
      <c r="K706" s="395"/>
      <c r="L706" s="395"/>
      <c r="M706" s="395"/>
      <c r="N706" s="395"/>
      <c r="O706" s="395"/>
      <c r="P706" s="395"/>
      <c r="Q706" s="395"/>
    </row>
    <row r="707">
      <c r="E707" s="394"/>
      <c r="J707" s="395"/>
      <c r="K707" s="395"/>
      <c r="L707" s="395"/>
      <c r="M707" s="395"/>
      <c r="N707" s="395"/>
      <c r="O707" s="395"/>
      <c r="P707" s="395"/>
      <c r="Q707" s="395"/>
    </row>
    <row r="708">
      <c r="E708" s="394"/>
      <c r="J708" s="395"/>
      <c r="K708" s="395"/>
      <c r="L708" s="395"/>
      <c r="M708" s="395"/>
      <c r="N708" s="395"/>
      <c r="O708" s="395"/>
      <c r="P708" s="395"/>
      <c r="Q708" s="395"/>
    </row>
    <row r="709">
      <c r="E709" s="394"/>
      <c r="J709" s="395"/>
      <c r="K709" s="395"/>
      <c r="L709" s="395"/>
      <c r="M709" s="395"/>
      <c r="N709" s="395"/>
      <c r="O709" s="395"/>
      <c r="P709" s="395"/>
      <c r="Q709" s="395"/>
    </row>
    <row r="710">
      <c r="E710" s="394"/>
      <c r="J710" s="395"/>
      <c r="K710" s="395"/>
      <c r="L710" s="395"/>
      <c r="M710" s="395"/>
      <c r="N710" s="395"/>
      <c r="O710" s="395"/>
      <c r="P710" s="395"/>
      <c r="Q710" s="395"/>
    </row>
    <row r="711">
      <c r="E711" s="394"/>
      <c r="J711" s="395"/>
      <c r="K711" s="395"/>
      <c r="L711" s="395"/>
      <c r="M711" s="395"/>
      <c r="N711" s="395"/>
      <c r="O711" s="395"/>
      <c r="P711" s="395"/>
      <c r="Q711" s="395"/>
    </row>
    <row r="712">
      <c r="E712" s="394"/>
      <c r="J712" s="395"/>
      <c r="K712" s="395"/>
      <c r="L712" s="395"/>
      <c r="M712" s="395"/>
      <c r="N712" s="395"/>
      <c r="O712" s="395"/>
      <c r="P712" s="395"/>
      <c r="Q712" s="395"/>
    </row>
    <row r="713">
      <c r="E713" s="394"/>
      <c r="J713" s="395"/>
      <c r="K713" s="395"/>
      <c r="L713" s="395"/>
      <c r="M713" s="395"/>
      <c r="N713" s="395"/>
      <c r="O713" s="395"/>
      <c r="P713" s="395"/>
      <c r="Q713" s="395"/>
    </row>
    <row r="714">
      <c r="E714" s="394"/>
      <c r="J714" s="395"/>
      <c r="K714" s="395"/>
      <c r="L714" s="395"/>
      <c r="M714" s="395"/>
      <c r="N714" s="395"/>
      <c r="O714" s="395"/>
      <c r="P714" s="395"/>
      <c r="Q714" s="395"/>
    </row>
    <row r="715">
      <c r="E715" s="394"/>
      <c r="J715" s="395"/>
      <c r="K715" s="395"/>
      <c r="L715" s="395"/>
      <c r="M715" s="395"/>
      <c r="N715" s="395"/>
      <c r="O715" s="395"/>
      <c r="P715" s="395"/>
      <c r="Q715" s="395"/>
    </row>
    <row r="716">
      <c r="E716" s="394"/>
      <c r="J716" s="395"/>
      <c r="K716" s="395"/>
      <c r="L716" s="395"/>
      <c r="M716" s="395"/>
      <c r="N716" s="395"/>
      <c r="O716" s="395"/>
      <c r="P716" s="395"/>
      <c r="Q716" s="395"/>
    </row>
    <row r="717">
      <c r="E717" s="394"/>
      <c r="J717" s="395"/>
      <c r="K717" s="395"/>
      <c r="L717" s="395"/>
      <c r="M717" s="395"/>
      <c r="N717" s="395"/>
      <c r="O717" s="395"/>
      <c r="P717" s="395"/>
      <c r="Q717" s="395"/>
    </row>
    <row r="718">
      <c r="E718" s="394"/>
      <c r="J718" s="395"/>
      <c r="K718" s="395"/>
      <c r="L718" s="395"/>
      <c r="M718" s="395"/>
      <c r="N718" s="395"/>
      <c r="O718" s="395"/>
      <c r="P718" s="395"/>
      <c r="Q718" s="395"/>
    </row>
    <row r="719">
      <c r="E719" s="394"/>
      <c r="J719" s="395"/>
      <c r="K719" s="395"/>
      <c r="L719" s="395"/>
      <c r="M719" s="395"/>
      <c r="N719" s="395"/>
      <c r="O719" s="395"/>
      <c r="P719" s="395"/>
      <c r="Q719" s="395"/>
    </row>
    <row r="720">
      <c r="E720" s="394"/>
      <c r="J720" s="395"/>
      <c r="K720" s="395"/>
      <c r="L720" s="395"/>
      <c r="M720" s="395"/>
      <c r="N720" s="395"/>
      <c r="O720" s="395"/>
      <c r="P720" s="395"/>
      <c r="Q720" s="395"/>
    </row>
    <row r="721">
      <c r="E721" s="394"/>
      <c r="J721" s="395"/>
      <c r="K721" s="395"/>
      <c r="L721" s="395"/>
      <c r="M721" s="395"/>
      <c r="N721" s="395"/>
      <c r="O721" s="395"/>
      <c r="P721" s="395"/>
      <c r="Q721" s="395"/>
    </row>
    <row r="722">
      <c r="E722" s="394"/>
      <c r="J722" s="395"/>
      <c r="K722" s="395"/>
      <c r="L722" s="395"/>
      <c r="M722" s="395"/>
      <c r="N722" s="395"/>
      <c r="O722" s="395"/>
      <c r="P722" s="395"/>
      <c r="Q722" s="395"/>
    </row>
    <row r="723">
      <c r="E723" s="394"/>
      <c r="J723" s="395"/>
      <c r="K723" s="395"/>
      <c r="L723" s="395"/>
      <c r="M723" s="395"/>
      <c r="N723" s="395"/>
      <c r="O723" s="395"/>
      <c r="P723" s="395"/>
      <c r="Q723" s="395"/>
    </row>
    <row r="724">
      <c r="E724" s="394"/>
      <c r="J724" s="395"/>
      <c r="K724" s="395"/>
      <c r="L724" s="395"/>
      <c r="M724" s="395"/>
      <c r="N724" s="395"/>
      <c r="O724" s="395"/>
      <c r="P724" s="395"/>
      <c r="Q724" s="395"/>
    </row>
    <row r="725">
      <c r="E725" s="394"/>
      <c r="J725" s="395"/>
      <c r="K725" s="395"/>
      <c r="L725" s="395"/>
      <c r="M725" s="395"/>
      <c r="N725" s="395"/>
      <c r="O725" s="395"/>
      <c r="P725" s="395"/>
      <c r="Q725" s="395"/>
    </row>
    <row r="726">
      <c r="E726" s="394"/>
      <c r="J726" s="395"/>
      <c r="K726" s="395"/>
      <c r="L726" s="395"/>
      <c r="M726" s="395"/>
      <c r="N726" s="395"/>
      <c r="O726" s="395"/>
      <c r="P726" s="395"/>
      <c r="Q726" s="395"/>
    </row>
    <row r="727">
      <c r="E727" s="394"/>
      <c r="J727" s="395"/>
      <c r="K727" s="395"/>
      <c r="L727" s="395"/>
      <c r="M727" s="395"/>
      <c r="N727" s="395"/>
      <c r="O727" s="395"/>
      <c r="P727" s="395"/>
      <c r="Q727" s="395"/>
    </row>
    <row r="728">
      <c r="E728" s="394"/>
      <c r="J728" s="395"/>
      <c r="K728" s="395"/>
      <c r="L728" s="395"/>
      <c r="M728" s="395"/>
      <c r="N728" s="395"/>
      <c r="O728" s="395"/>
      <c r="P728" s="395"/>
      <c r="Q728" s="395"/>
    </row>
    <row r="729">
      <c r="E729" s="394"/>
      <c r="J729" s="395"/>
      <c r="K729" s="395"/>
      <c r="L729" s="395"/>
      <c r="M729" s="395"/>
      <c r="N729" s="395"/>
      <c r="O729" s="395"/>
      <c r="P729" s="395"/>
      <c r="Q729" s="395"/>
    </row>
    <row r="730">
      <c r="E730" s="394"/>
      <c r="J730" s="395"/>
      <c r="K730" s="395"/>
      <c r="L730" s="395"/>
      <c r="M730" s="395"/>
      <c r="N730" s="395"/>
      <c r="O730" s="395"/>
      <c r="P730" s="395"/>
      <c r="Q730" s="395"/>
    </row>
    <row r="731">
      <c r="E731" s="394"/>
      <c r="J731" s="395"/>
      <c r="K731" s="395"/>
      <c r="L731" s="395"/>
      <c r="M731" s="395"/>
      <c r="N731" s="395"/>
      <c r="O731" s="395"/>
      <c r="P731" s="395"/>
      <c r="Q731" s="395"/>
    </row>
    <row r="732">
      <c r="E732" s="394"/>
      <c r="J732" s="395"/>
      <c r="K732" s="395"/>
      <c r="L732" s="395"/>
      <c r="M732" s="395"/>
      <c r="N732" s="395"/>
      <c r="O732" s="395"/>
      <c r="P732" s="395"/>
      <c r="Q732" s="395"/>
    </row>
    <row r="733">
      <c r="E733" s="394"/>
      <c r="J733" s="395"/>
      <c r="K733" s="395"/>
      <c r="L733" s="395"/>
      <c r="M733" s="395"/>
      <c r="N733" s="395"/>
      <c r="O733" s="395"/>
      <c r="P733" s="395"/>
      <c r="Q733" s="395"/>
    </row>
    <row r="734">
      <c r="E734" s="394"/>
      <c r="J734" s="395"/>
      <c r="K734" s="395"/>
      <c r="L734" s="395"/>
      <c r="M734" s="395"/>
      <c r="N734" s="395"/>
      <c r="O734" s="395"/>
      <c r="P734" s="395"/>
      <c r="Q734" s="395"/>
    </row>
    <row r="735">
      <c r="E735" s="394"/>
      <c r="J735" s="395"/>
      <c r="K735" s="395"/>
      <c r="L735" s="395"/>
      <c r="M735" s="395"/>
      <c r="N735" s="395"/>
      <c r="O735" s="395"/>
      <c r="P735" s="395"/>
      <c r="Q735" s="395"/>
    </row>
    <row r="736">
      <c r="E736" s="394"/>
      <c r="J736" s="395"/>
      <c r="K736" s="395"/>
      <c r="L736" s="395"/>
      <c r="M736" s="395"/>
      <c r="N736" s="395"/>
      <c r="O736" s="395"/>
      <c r="P736" s="395"/>
      <c r="Q736" s="395"/>
    </row>
    <row r="737">
      <c r="E737" s="394"/>
      <c r="J737" s="395"/>
      <c r="K737" s="395"/>
      <c r="L737" s="395"/>
      <c r="M737" s="395"/>
      <c r="N737" s="395"/>
      <c r="O737" s="395"/>
      <c r="P737" s="395"/>
      <c r="Q737" s="395"/>
    </row>
    <row r="738">
      <c r="E738" s="394"/>
      <c r="J738" s="395"/>
      <c r="K738" s="395"/>
      <c r="L738" s="395"/>
      <c r="M738" s="395"/>
      <c r="N738" s="395"/>
      <c r="O738" s="395"/>
      <c r="P738" s="395"/>
      <c r="Q738" s="395"/>
    </row>
    <row r="739">
      <c r="E739" s="394"/>
      <c r="J739" s="395"/>
      <c r="K739" s="395"/>
      <c r="L739" s="395"/>
      <c r="M739" s="395"/>
      <c r="N739" s="395"/>
      <c r="O739" s="395"/>
      <c r="P739" s="395"/>
      <c r="Q739" s="395"/>
    </row>
    <row r="740">
      <c r="E740" s="394"/>
      <c r="J740" s="395"/>
      <c r="K740" s="395"/>
      <c r="L740" s="395"/>
      <c r="M740" s="395"/>
      <c r="N740" s="395"/>
      <c r="O740" s="395"/>
      <c r="P740" s="395"/>
      <c r="Q740" s="395"/>
    </row>
    <row r="741">
      <c r="E741" s="394"/>
      <c r="J741" s="395"/>
      <c r="K741" s="395"/>
      <c r="L741" s="395"/>
      <c r="M741" s="395"/>
      <c r="N741" s="395"/>
      <c r="O741" s="395"/>
      <c r="P741" s="395"/>
      <c r="Q741" s="395"/>
    </row>
    <row r="742">
      <c r="E742" s="394"/>
      <c r="J742" s="395"/>
      <c r="K742" s="395"/>
      <c r="L742" s="395"/>
      <c r="M742" s="395"/>
      <c r="N742" s="395"/>
      <c r="O742" s="395"/>
      <c r="P742" s="395"/>
      <c r="Q742" s="395"/>
    </row>
    <row r="743">
      <c r="E743" s="394"/>
      <c r="J743" s="395"/>
      <c r="K743" s="395"/>
      <c r="L743" s="395"/>
      <c r="M743" s="395"/>
      <c r="N743" s="395"/>
      <c r="O743" s="395"/>
      <c r="P743" s="395"/>
      <c r="Q743" s="395"/>
    </row>
    <row r="744">
      <c r="E744" s="394"/>
      <c r="J744" s="395"/>
      <c r="K744" s="395"/>
      <c r="L744" s="395"/>
      <c r="M744" s="395"/>
      <c r="N744" s="395"/>
      <c r="O744" s="395"/>
      <c r="P744" s="395"/>
      <c r="Q744" s="395"/>
    </row>
    <row r="745">
      <c r="E745" s="394"/>
      <c r="J745" s="395"/>
      <c r="K745" s="395"/>
      <c r="L745" s="395"/>
      <c r="M745" s="395"/>
      <c r="N745" s="395"/>
      <c r="O745" s="395"/>
      <c r="P745" s="395"/>
      <c r="Q745" s="395"/>
    </row>
    <row r="746">
      <c r="E746" s="394"/>
      <c r="J746" s="395"/>
      <c r="K746" s="395"/>
      <c r="L746" s="395"/>
      <c r="M746" s="395"/>
      <c r="N746" s="395"/>
      <c r="O746" s="395"/>
      <c r="P746" s="395"/>
      <c r="Q746" s="395"/>
    </row>
    <row r="747">
      <c r="E747" s="394"/>
      <c r="J747" s="395"/>
      <c r="K747" s="395"/>
      <c r="L747" s="395"/>
      <c r="M747" s="395"/>
      <c r="N747" s="395"/>
      <c r="O747" s="395"/>
      <c r="P747" s="395"/>
      <c r="Q747" s="395"/>
    </row>
    <row r="748">
      <c r="E748" s="394"/>
      <c r="J748" s="395"/>
      <c r="K748" s="395"/>
      <c r="L748" s="395"/>
      <c r="M748" s="395"/>
      <c r="N748" s="395"/>
      <c r="O748" s="395"/>
      <c r="P748" s="395"/>
      <c r="Q748" s="395"/>
    </row>
    <row r="749">
      <c r="E749" s="394"/>
      <c r="J749" s="395"/>
      <c r="K749" s="395"/>
      <c r="L749" s="395"/>
      <c r="M749" s="395"/>
      <c r="N749" s="395"/>
      <c r="O749" s="395"/>
      <c r="P749" s="395"/>
      <c r="Q749" s="395"/>
    </row>
    <row r="750">
      <c r="E750" s="394"/>
      <c r="J750" s="395"/>
      <c r="K750" s="395"/>
      <c r="L750" s="395"/>
      <c r="M750" s="395"/>
      <c r="N750" s="395"/>
      <c r="O750" s="395"/>
      <c r="P750" s="395"/>
      <c r="Q750" s="395"/>
    </row>
    <row r="751">
      <c r="E751" s="394"/>
      <c r="J751" s="395"/>
      <c r="K751" s="395"/>
      <c r="L751" s="395"/>
      <c r="M751" s="395"/>
      <c r="N751" s="395"/>
      <c r="O751" s="395"/>
      <c r="P751" s="395"/>
      <c r="Q751" s="395"/>
    </row>
    <row r="752">
      <c r="E752" s="394"/>
      <c r="J752" s="395"/>
      <c r="K752" s="395"/>
      <c r="L752" s="395"/>
      <c r="M752" s="395"/>
      <c r="N752" s="395"/>
      <c r="O752" s="395"/>
      <c r="P752" s="395"/>
      <c r="Q752" s="395"/>
    </row>
    <row r="753">
      <c r="E753" s="394"/>
      <c r="J753" s="395"/>
      <c r="K753" s="395"/>
      <c r="L753" s="395"/>
      <c r="M753" s="395"/>
      <c r="N753" s="395"/>
      <c r="O753" s="395"/>
      <c r="P753" s="395"/>
      <c r="Q753" s="395"/>
    </row>
    <row r="754">
      <c r="E754" s="394"/>
      <c r="J754" s="395"/>
      <c r="K754" s="395"/>
      <c r="L754" s="395"/>
      <c r="M754" s="395"/>
      <c r="N754" s="395"/>
      <c r="O754" s="395"/>
      <c r="P754" s="395"/>
      <c r="Q754" s="395"/>
    </row>
    <row r="755">
      <c r="E755" s="394"/>
      <c r="J755" s="395"/>
      <c r="K755" s="395"/>
      <c r="L755" s="395"/>
      <c r="M755" s="395"/>
      <c r="N755" s="395"/>
      <c r="O755" s="395"/>
      <c r="P755" s="395"/>
      <c r="Q755" s="395"/>
    </row>
    <row r="756">
      <c r="E756" s="394"/>
      <c r="J756" s="395"/>
      <c r="K756" s="395"/>
      <c r="L756" s="395"/>
      <c r="M756" s="395"/>
      <c r="N756" s="395"/>
      <c r="O756" s="395"/>
      <c r="P756" s="395"/>
      <c r="Q756" s="395"/>
    </row>
    <row r="757">
      <c r="E757" s="394"/>
      <c r="J757" s="395"/>
      <c r="K757" s="395"/>
      <c r="L757" s="395"/>
      <c r="M757" s="395"/>
      <c r="N757" s="395"/>
      <c r="O757" s="395"/>
      <c r="P757" s="395"/>
      <c r="Q757" s="395"/>
    </row>
    <row r="758">
      <c r="E758" s="394"/>
      <c r="J758" s="395"/>
      <c r="K758" s="395"/>
      <c r="L758" s="395"/>
      <c r="M758" s="395"/>
      <c r="N758" s="395"/>
      <c r="O758" s="395"/>
      <c r="P758" s="395"/>
      <c r="Q758" s="395"/>
    </row>
    <row r="759">
      <c r="E759" s="394"/>
      <c r="J759" s="395"/>
      <c r="K759" s="395"/>
      <c r="L759" s="395"/>
      <c r="M759" s="395"/>
      <c r="N759" s="395"/>
      <c r="O759" s="395"/>
      <c r="P759" s="395"/>
      <c r="Q759" s="395"/>
    </row>
    <row r="760">
      <c r="E760" s="394"/>
      <c r="J760" s="395"/>
      <c r="K760" s="395"/>
      <c r="L760" s="395"/>
      <c r="M760" s="395"/>
      <c r="N760" s="395"/>
      <c r="O760" s="395"/>
      <c r="P760" s="395"/>
      <c r="Q760" s="395"/>
    </row>
    <row r="761">
      <c r="E761" s="394"/>
      <c r="J761" s="395"/>
      <c r="K761" s="395"/>
      <c r="L761" s="395"/>
      <c r="M761" s="395"/>
      <c r="N761" s="395"/>
      <c r="O761" s="395"/>
      <c r="P761" s="395"/>
      <c r="Q761" s="395"/>
    </row>
    <row r="762">
      <c r="E762" s="394"/>
      <c r="J762" s="395"/>
      <c r="K762" s="395"/>
      <c r="L762" s="395"/>
      <c r="M762" s="395"/>
      <c r="N762" s="395"/>
      <c r="O762" s="395"/>
      <c r="P762" s="395"/>
      <c r="Q762" s="395"/>
    </row>
    <row r="763">
      <c r="E763" s="394"/>
      <c r="J763" s="395"/>
      <c r="K763" s="395"/>
      <c r="L763" s="395"/>
      <c r="M763" s="395"/>
      <c r="N763" s="395"/>
      <c r="O763" s="395"/>
      <c r="P763" s="395"/>
      <c r="Q763" s="395"/>
    </row>
    <row r="764">
      <c r="E764" s="394"/>
      <c r="J764" s="395"/>
      <c r="K764" s="395"/>
      <c r="L764" s="395"/>
      <c r="M764" s="395"/>
      <c r="N764" s="395"/>
      <c r="O764" s="395"/>
      <c r="P764" s="395"/>
      <c r="Q764" s="395"/>
    </row>
    <row r="765">
      <c r="E765" s="394"/>
      <c r="J765" s="395"/>
      <c r="K765" s="395"/>
      <c r="L765" s="395"/>
      <c r="M765" s="395"/>
      <c r="N765" s="395"/>
      <c r="O765" s="395"/>
      <c r="P765" s="395"/>
      <c r="Q765" s="395"/>
    </row>
    <row r="766">
      <c r="E766" s="394"/>
      <c r="J766" s="395"/>
      <c r="K766" s="395"/>
      <c r="L766" s="395"/>
      <c r="M766" s="395"/>
      <c r="N766" s="395"/>
      <c r="O766" s="395"/>
      <c r="P766" s="395"/>
      <c r="Q766" s="395"/>
    </row>
    <row r="767">
      <c r="E767" s="394"/>
      <c r="J767" s="395"/>
      <c r="K767" s="395"/>
      <c r="L767" s="395"/>
      <c r="M767" s="395"/>
      <c r="N767" s="395"/>
      <c r="O767" s="395"/>
      <c r="P767" s="395"/>
      <c r="Q767" s="395"/>
    </row>
    <row r="768">
      <c r="E768" s="394"/>
      <c r="J768" s="395"/>
      <c r="K768" s="395"/>
      <c r="L768" s="395"/>
      <c r="M768" s="395"/>
      <c r="N768" s="395"/>
      <c r="O768" s="395"/>
      <c r="P768" s="395"/>
      <c r="Q768" s="395"/>
    </row>
    <row r="769">
      <c r="E769" s="394"/>
      <c r="J769" s="395"/>
      <c r="K769" s="395"/>
      <c r="L769" s="395"/>
      <c r="M769" s="395"/>
      <c r="N769" s="395"/>
      <c r="O769" s="395"/>
      <c r="P769" s="395"/>
      <c r="Q769" s="395"/>
    </row>
    <row r="770">
      <c r="E770" s="394"/>
      <c r="J770" s="395"/>
      <c r="K770" s="395"/>
      <c r="L770" s="395"/>
      <c r="M770" s="395"/>
      <c r="N770" s="395"/>
      <c r="O770" s="395"/>
      <c r="P770" s="395"/>
      <c r="Q770" s="395"/>
    </row>
    <row r="771">
      <c r="E771" s="394"/>
      <c r="J771" s="395"/>
      <c r="K771" s="395"/>
      <c r="L771" s="395"/>
      <c r="M771" s="395"/>
      <c r="N771" s="395"/>
      <c r="O771" s="395"/>
      <c r="P771" s="395"/>
      <c r="Q771" s="395"/>
    </row>
    <row r="772">
      <c r="E772" s="394"/>
      <c r="J772" s="395"/>
      <c r="K772" s="395"/>
      <c r="L772" s="395"/>
      <c r="M772" s="395"/>
      <c r="N772" s="395"/>
      <c r="O772" s="395"/>
      <c r="P772" s="395"/>
      <c r="Q772" s="395"/>
    </row>
    <row r="773">
      <c r="E773" s="394"/>
      <c r="J773" s="395"/>
      <c r="K773" s="395"/>
      <c r="L773" s="395"/>
      <c r="M773" s="395"/>
      <c r="N773" s="395"/>
      <c r="O773" s="395"/>
      <c r="P773" s="395"/>
      <c r="Q773" s="395"/>
    </row>
    <row r="774">
      <c r="E774" s="394"/>
      <c r="J774" s="395"/>
      <c r="K774" s="395"/>
      <c r="L774" s="395"/>
      <c r="M774" s="395"/>
      <c r="N774" s="395"/>
      <c r="O774" s="395"/>
      <c r="P774" s="395"/>
      <c r="Q774" s="395"/>
    </row>
    <row r="775">
      <c r="E775" s="394"/>
      <c r="J775" s="395"/>
      <c r="K775" s="395"/>
      <c r="L775" s="395"/>
      <c r="M775" s="395"/>
      <c r="N775" s="395"/>
      <c r="O775" s="395"/>
      <c r="P775" s="395"/>
      <c r="Q775" s="395"/>
    </row>
    <row r="776">
      <c r="E776" s="394"/>
      <c r="J776" s="395"/>
      <c r="K776" s="395"/>
      <c r="L776" s="395"/>
      <c r="M776" s="395"/>
      <c r="N776" s="395"/>
      <c r="O776" s="395"/>
      <c r="P776" s="395"/>
      <c r="Q776" s="395"/>
    </row>
    <row r="777">
      <c r="E777" s="394"/>
      <c r="J777" s="395"/>
      <c r="K777" s="395"/>
      <c r="L777" s="395"/>
      <c r="M777" s="395"/>
      <c r="N777" s="395"/>
      <c r="O777" s="395"/>
      <c r="P777" s="395"/>
      <c r="Q777" s="395"/>
    </row>
    <row r="778">
      <c r="E778" s="394"/>
      <c r="J778" s="395"/>
      <c r="K778" s="395"/>
      <c r="L778" s="395"/>
      <c r="M778" s="395"/>
      <c r="N778" s="395"/>
      <c r="O778" s="395"/>
      <c r="P778" s="395"/>
      <c r="Q778" s="395"/>
    </row>
    <row r="779">
      <c r="E779" s="394"/>
      <c r="J779" s="395"/>
      <c r="K779" s="395"/>
      <c r="L779" s="395"/>
      <c r="M779" s="395"/>
      <c r="N779" s="395"/>
      <c r="O779" s="395"/>
      <c r="P779" s="395"/>
      <c r="Q779" s="395"/>
    </row>
    <row r="780">
      <c r="E780" s="394"/>
      <c r="J780" s="395"/>
      <c r="K780" s="395"/>
      <c r="L780" s="395"/>
      <c r="M780" s="395"/>
      <c r="N780" s="395"/>
      <c r="O780" s="395"/>
      <c r="P780" s="395"/>
      <c r="Q780" s="395"/>
    </row>
    <row r="781">
      <c r="E781" s="394"/>
      <c r="J781" s="395"/>
      <c r="K781" s="395"/>
      <c r="L781" s="395"/>
      <c r="M781" s="395"/>
      <c r="N781" s="395"/>
      <c r="O781" s="395"/>
      <c r="P781" s="395"/>
      <c r="Q781" s="395"/>
    </row>
    <row r="782">
      <c r="E782" s="394"/>
      <c r="J782" s="395"/>
      <c r="K782" s="395"/>
      <c r="L782" s="395"/>
      <c r="M782" s="395"/>
      <c r="N782" s="395"/>
      <c r="O782" s="395"/>
      <c r="P782" s="395"/>
      <c r="Q782" s="395"/>
    </row>
    <row r="783">
      <c r="E783" s="394"/>
      <c r="J783" s="395"/>
      <c r="K783" s="395"/>
      <c r="L783" s="395"/>
      <c r="M783" s="395"/>
      <c r="N783" s="395"/>
      <c r="O783" s="395"/>
      <c r="P783" s="395"/>
      <c r="Q783" s="395"/>
    </row>
    <row r="784">
      <c r="E784" s="394"/>
      <c r="J784" s="395"/>
      <c r="K784" s="395"/>
      <c r="L784" s="395"/>
      <c r="M784" s="395"/>
      <c r="N784" s="395"/>
      <c r="O784" s="395"/>
      <c r="P784" s="395"/>
      <c r="Q784" s="395"/>
    </row>
    <row r="785">
      <c r="E785" s="394"/>
      <c r="J785" s="395"/>
      <c r="K785" s="395"/>
      <c r="L785" s="395"/>
      <c r="M785" s="395"/>
      <c r="N785" s="395"/>
      <c r="O785" s="395"/>
      <c r="P785" s="395"/>
      <c r="Q785" s="395"/>
    </row>
    <row r="786">
      <c r="E786" s="394"/>
      <c r="J786" s="395"/>
      <c r="K786" s="395"/>
      <c r="L786" s="395"/>
      <c r="M786" s="395"/>
      <c r="N786" s="395"/>
      <c r="O786" s="395"/>
      <c r="P786" s="395"/>
      <c r="Q786" s="395"/>
    </row>
    <row r="787">
      <c r="E787" s="394"/>
      <c r="J787" s="395"/>
      <c r="K787" s="395"/>
      <c r="L787" s="395"/>
      <c r="M787" s="395"/>
      <c r="N787" s="395"/>
      <c r="O787" s="395"/>
      <c r="P787" s="395"/>
      <c r="Q787" s="395"/>
    </row>
    <row r="788">
      <c r="E788" s="394"/>
      <c r="J788" s="395"/>
      <c r="K788" s="395"/>
      <c r="L788" s="395"/>
      <c r="M788" s="395"/>
      <c r="N788" s="395"/>
      <c r="O788" s="395"/>
      <c r="P788" s="395"/>
      <c r="Q788" s="395"/>
    </row>
    <row r="789">
      <c r="E789" s="394"/>
      <c r="J789" s="395"/>
      <c r="K789" s="395"/>
      <c r="L789" s="395"/>
      <c r="M789" s="395"/>
      <c r="N789" s="395"/>
      <c r="O789" s="395"/>
      <c r="P789" s="395"/>
      <c r="Q789" s="395"/>
    </row>
    <row r="790">
      <c r="E790" s="394"/>
      <c r="J790" s="395"/>
      <c r="K790" s="395"/>
      <c r="L790" s="395"/>
      <c r="M790" s="395"/>
      <c r="N790" s="395"/>
      <c r="O790" s="395"/>
      <c r="P790" s="395"/>
      <c r="Q790" s="395"/>
    </row>
    <row r="791">
      <c r="E791" s="394"/>
      <c r="J791" s="395"/>
      <c r="K791" s="395"/>
      <c r="L791" s="395"/>
      <c r="M791" s="395"/>
      <c r="N791" s="395"/>
      <c r="O791" s="395"/>
      <c r="P791" s="395"/>
      <c r="Q791" s="395"/>
    </row>
    <row r="792">
      <c r="E792" s="394"/>
      <c r="J792" s="395"/>
      <c r="K792" s="395"/>
      <c r="L792" s="395"/>
      <c r="M792" s="395"/>
      <c r="N792" s="395"/>
      <c r="O792" s="395"/>
      <c r="P792" s="395"/>
      <c r="Q792" s="395"/>
    </row>
    <row r="793">
      <c r="E793" s="394"/>
      <c r="J793" s="395"/>
      <c r="K793" s="395"/>
      <c r="L793" s="395"/>
      <c r="M793" s="395"/>
      <c r="N793" s="395"/>
      <c r="O793" s="395"/>
      <c r="P793" s="395"/>
      <c r="Q793" s="395"/>
    </row>
    <row r="794">
      <c r="E794" s="394"/>
      <c r="J794" s="395"/>
      <c r="K794" s="395"/>
      <c r="L794" s="395"/>
      <c r="M794" s="395"/>
      <c r="N794" s="395"/>
      <c r="O794" s="395"/>
      <c r="P794" s="395"/>
      <c r="Q794" s="395"/>
    </row>
    <row r="795">
      <c r="E795" s="394"/>
      <c r="J795" s="395"/>
      <c r="K795" s="395"/>
      <c r="L795" s="395"/>
      <c r="M795" s="395"/>
      <c r="N795" s="395"/>
      <c r="O795" s="395"/>
      <c r="P795" s="395"/>
      <c r="Q795" s="395"/>
    </row>
    <row r="796">
      <c r="E796" s="394"/>
      <c r="J796" s="395"/>
      <c r="K796" s="395"/>
      <c r="L796" s="395"/>
      <c r="M796" s="395"/>
      <c r="N796" s="395"/>
      <c r="O796" s="395"/>
      <c r="P796" s="395"/>
      <c r="Q796" s="395"/>
    </row>
    <row r="797">
      <c r="E797" s="394"/>
      <c r="J797" s="395"/>
      <c r="K797" s="395"/>
      <c r="L797" s="395"/>
      <c r="M797" s="395"/>
      <c r="N797" s="395"/>
      <c r="O797" s="395"/>
      <c r="P797" s="395"/>
      <c r="Q797" s="395"/>
    </row>
    <row r="798">
      <c r="E798" s="394"/>
      <c r="J798" s="395"/>
      <c r="K798" s="395"/>
      <c r="L798" s="395"/>
      <c r="M798" s="395"/>
      <c r="N798" s="395"/>
      <c r="O798" s="395"/>
      <c r="P798" s="395"/>
      <c r="Q798" s="395"/>
    </row>
    <row r="799">
      <c r="E799" s="394"/>
      <c r="J799" s="395"/>
      <c r="K799" s="395"/>
      <c r="L799" s="395"/>
      <c r="M799" s="395"/>
      <c r="N799" s="395"/>
      <c r="O799" s="395"/>
      <c r="P799" s="395"/>
      <c r="Q799" s="395"/>
    </row>
    <row r="800">
      <c r="E800" s="394"/>
      <c r="J800" s="395"/>
      <c r="K800" s="395"/>
      <c r="L800" s="395"/>
      <c r="M800" s="395"/>
      <c r="N800" s="395"/>
      <c r="O800" s="395"/>
      <c r="P800" s="395"/>
      <c r="Q800" s="395"/>
    </row>
    <row r="801">
      <c r="E801" s="394"/>
      <c r="J801" s="395"/>
      <c r="K801" s="395"/>
      <c r="L801" s="395"/>
      <c r="M801" s="395"/>
      <c r="N801" s="395"/>
      <c r="O801" s="395"/>
      <c r="P801" s="395"/>
      <c r="Q801" s="395"/>
    </row>
    <row r="802">
      <c r="E802" s="394"/>
      <c r="J802" s="395"/>
      <c r="K802" s="395"/>
      <c r="L802" s="395"/>
      <c r="M802" s="395"/>
      <c r="N802" s="395"/>
      <c r="O802" s="395"/>
      <c r="P802" s="395"/>
      <c r="Q802" s="395"/>
    </row>
    <row r="803">
      <c r="E803" s="394"/>
      <c r="J803" s="395"/>
      <c r="K803" s="395"/>
      <c r="L803" s="395"/>
      <c r="M803" s="395"/>
      <c r="N803" s="395"/>
      <c r="O803" s="395"/>
      <c r="P803" s="395"/>
      <c r="Q803" s="395"/>
    </row>
    <row r="804">
      <c r="E804" s="394"/>
      <c r="J804" s="395"/>
      <c r="K804" s="395"/>
      <c r="L804" s="395"/>
      <c r="M804" s="395"/>
      <c r="N804" s="395"/>
      <c r="O804" s="395"/>
      <c r="P804" s="395"/>
      <c r="Q804" s="395"/>
    </row>
    <row r="805">
      <c r="E805" s="394"/>
      <c r="J805" s="395"/>
      <c r="K805" s="395"/>
      <c r="L805" s="395"/>
      <c r="M805" s="395"/>
      <c r="N805" s="395"/>
      <c r="O805" s="395"/>
      <c r="P805" s="395"/>
      <c r="Q805" s="395"/>
    </row>
    <row r="806">
      <c r="E806" s="394"/>
      <c r="J806" s="395"/>
      <c r="K806" s="395"/>
      <c r="L806" s="395"/>
      <c r="M806" s="395"/>
      <c r="N806" s="395"/>
      <c r="O806" s="395"/>
      <c r="P806" s="395"/>
      <c r="Q806" s="395"/>
    </row>
    <row r="807">
      <c r="E807" s="394"/>
      <c r="J807" s="395"/>
      <c r="K807" s="395"/>
      <c r="L807" s="395"/>
      <c r="M807" s="395"/>
      <c r="N807" s="395"/>
      <c r="O807" s="395"/>
      <c r="P807" s="395"/>
      <c r="Q807" s="395"/>
    </row>
    <row r="808">
      <c r="E808" s="394"/>
      <c r="J808" s="395"/>
      <c r="K808" s="395"/>
      <c r="L808" s="395"/>
      <c r="M808" s="395"/>
      <c r="N808" s="395"/>
      <c r="O808" s="395"/>
      <c r="P808" s="395"/>
      <c r="Q808" s="395"/>
    </row>
    <row r="809">
      <c r="E809" s="394"/>
      <c r="J809" s="395"/>
      <c r="K809" s="395"/>
      <c r="L809" s="395"/>
      <c r="M809" s="395"/>
      <c r="N809" s="395"/>
      <c r="O809" s="395"/>
      <c r="P809" s="395"/>
      <c r="Q809" s="395"/>
    </row>
    <row r="810">
      <c r="E810" s="394"/>
      <c r="J810" s="395"/>
      <c r="K810" s="395"/>
      <c r="L810" s="395"/>
      <c r="M810" s="395"/>
      <c r="N810" s="395"/>
      <c r="O810" s="395"/>
      <c r="P810" s="395"/>
      <c r="Q810" s="395"/>
    </row>
    <row r="811">
      <c r="E811" s="394"/>
      <c r="J811" s="395"/>
      <c r="K811" s="395"/>
      <c r="L811" s="395"/>
      <c r="M811" s="395"/>
      <c r="N811" s="395"/>
      <c r="O811" s="395"/>
      <c r="P811" s="395"/>
      <c r="Q811" s="395"/>
    </row>
    <row r="812">
      <c r="E812" s="394"/>
      <c r="J812" s="395"/>
      <c r="K812" s="395"/>
      <c r="L812" s="395"/>
      <c r="M812" s="395"/>
      <c r="N812" s="395"/>
      <c r="O812" s="395"/>
      <c r="P812" s="395"/>
      <c r="Q812" s="395"/>
    </row>
    <row r="813">
      <c r="E813" s="394"/>
      <c r="J813" s="395"/>
      <c r="K813" s="395"/>
      <c r="L813" s="395"/>
      <c r="M813" s="395"/>
      <c r="N813" s="395"/>
      <c r="O813" s="395"/>
      <c r="P813" s="395"/>
      <c r="Q813" s="395"/>
    </row>
    <row r="814">
      <c r="E814" s="394"/>
      <c r="J814" s="395"/>
      <c r="K814" s="395"/>
      <c r="L814" s="395"/>
      <c r="M814" s="395"/>
      <c r="N814" s="395"/>
      <c r="O814" s="395"/>
      <c r="P814" s="395"/>
      <c r="Q814" s="395"/>
    </row>
    <row r="815">
      <c r="E815" s="394"/>
      <c r="J815" s="395"/>
      <c r="K815" s="395"/>
      <c r="L815" s="395"/>
      <c r="M815" s="395"/>
      <c r="N815" s="395"/>
      <c r="O815" s="395"/>
      <c r="P815" s="395"/>
      <c r="Q815" s="395"/>
    </row>
    <row r="816">
      <c r="E816" s="394"/>
      <c r="J816" s="395"/>
      <c r="K816" s="395"/>
      <c r="L816" s="395"/>
      <c r="M816" s="395"/>
      <c r="N816" s="395"/>
      <c r="O816" s="395"/>
      <c r="P816" s="395"/>
      <c r="Q816" s="395"/>
    </row>
    <row r="817">
      <c r="E817" s="394"/>
      <c r="J817" s="395"/>
      <c r="K817" s="395"/>
      <c r="L817" s="395"/>
      <c r="M817" s="395"/>
      <c r="N817" s="395"/>
      <c r="O817" s="395"/>
      <c r="P817" s="395"/>
      <c r="Q817" s="395"/>
    </row>
    <row r="818">
      <c r="E818" s="394"/>
      <c r="J818" s="395"/>
      <c r="K818" s="395"/>
      <c r="L818" s="395"/>
      <c r="M818" s="395"/>
      <c r="N818" s="395"/>
      <c r="O818" s="395"/>
      <c r="P818" s="395"/>
      <c r="Q818" s="395"/>
    </row>
    <row r="819">
      <c r="E819" s="394"/>
      <c r="J819" s="395"/>
      <c r="K819" s="395"/>
      <c r="L819" s="395"/>
      <c r="M819" s="395"/>
      <c r="N819" s="395"/>
      <c r="O819" s="395"/>
      <c r="P819" s="395"/>
      <c r="Q819" s="395"/>
    </row>
    <row r="820">
      <c r="E820" s="394"/>
      <c r="J820" s="395"/>
      <c r="K820" s="395"/>
      <c r="L820" s="395"/>
      <c r="M820" s="395"/>
      <c r="N820" s="395"/>
      <c r="O820" s="395"/>
      <c r="P820" s="395"/>
      <c r="Q820" s="395"/>
    </row>
    <row r="821">
      <c r="E821" s="394"/>
      <c r="J821" s="395"/>
      <c r="K821" s="395"/>
      <c r="L821" s="395"/>
      <c r="M821" s="395"/>
      <c r="N821" s="395"/>
      <c r="O821" s="395"/>
      <c r="P821" s="395"/>
      <c r="Q821" s="395"/>
    </row>
    <row r="822">
      <c r="E822" s="394"/>
      <c r="J822" s="395"/>
      <c r="K822" s="395"/>
      <c r="L822" s="395"/>
      <c r="M822" s="395"/>
      <c r="N822" s="395"/>
      <c r="O822" s="395"/>
      <c r="P822" s="395"/>
      <c r="Q822" s="395"/>
    </row>
    <row r="823">
      <c r="E823" s="394"/>
      <c r="J823" s="395"/>
      <c r="K823" s="395"/>
      <c r="L823" s="395"/>
      <c r="M823" s="395"/>
      <c r="N823" s="395"/>
      <c r="O823" s="395"/>
      <c r="P823" s="395"/>
      <c r="Q823" s="395"/>
    </row>
    <row r="824">
      <c r="E824" s="394"/>
      <c r="J824" s="395"/>
      <c r="K824" s="395"/>
      <c r="L824" s="395"/>
      <c r="M824" s="395"/>
      <c r="N824" s="395"/>
      <c r="O824" s="395"/>
      <c r="P824" s="395"/>
      <c r="Q824" s="395"/>
    </row>
    <row r="825">
      <c r="E825" s="394"/>
      <c r="J825" s="395"/>
      <c r="K825" s="395"/>
      <c r="L825" s="395"/>
      <c r="M825" s="395"/>
      <c r="N825" s="395"/>
      <c r="O825" s="395"/>
      <c r="P825" s="395"/>
      <c r="Q825" s="395"/>
    </row>
    <row r="826">
      <c r="E826" s="394"/>
      <c r="J826" s="395"/>
      <c r="K826" s="395"/>
      <c r="L826" s="395"/>
      <c r="M826" s="395"/>
      <c r="N826" s="395"/>
      <c r="O826" s="395"/>
      <c r="P826" s="395"/>
      <c r="Q826" s="395"/>
    </row>
    <row r="827">
      <c r="E827" s="394"/>
      <c r="J827" s="395"/>
      <c r="K827" s="395"/>
      <c r="L827" s="395"/>
      <c r="M827" s="395"/>
      <c r="N827" s="395"/>
      <c r="O827" s="395"/>
      <c r="P827" s="395"/>
      <c r="Q827" s="395"/>
    </row>
    <row r="828">
      <c r="E828" s="394"/>
      <c r="J828" s="395"/>
      <c r="K828" s="395"/>
      <c r="L828" s="395"/>
      <c r="M828" s="395"/>
      <c r="N828" s="395"/>
      <c r="O828" s="395"/>
      <c r="P828" s="395"/>
      <c r="Q828" s="395"/>
    </row>
    <row r="829">
      <c r="E829" s="394"/>
      <c r="J829" s="395"/>
      <c r="K829" s="395"/>
      <c r="L829" s="395"/>
      <c r="M829" s="395"/>
      <c r="N829" s="395"/>
      <c r="O829" s="395"/>
      <c r="P829" s="395"/>
      <c r="Q829" s="395"/>
    </row>
    <row r="830">
      <c r="E830" s="394"/>
      <c r="J830" s="395"/>
      <c r="K830" s="395"/>
      <c r="L830" s="395"/>
      <c r="M830" s="395"/>
      <c r="N830" s="395"/>
      <c r="O830" s="395"/>
      <c r="P830" s="395"/>
      <c r="Q830" s="395"/>
    </row>
    <row r="831">
      <c r="E831" s="394"/>
      <c r="J831" s="395"/>
      <c r="K831" s="395"/>
      <c r="L831" s="395"/>
      <c r="M831" s="395"/>
      <c r="N831" s="395"/>
      <c r="O831" s="395"/>
      <c r="P831" s="395"/>
      <c r="Q831" s="395"/>
    </row>
    <row r="832">
      <c r="E832" s="394"/>
      <c r="J832" s="395"/>
      <c r="K832" s="395"/>
      <c r="L832" s="395"/>
      <c r="M832" s="395"/>
      <c r="N832" s="395"/>
      <c r="O832" s="395"/>
      <c r="P832" s="395"/>
      <c r="Q832" s="395"/>
    </row>
    <row r="833">
      <c r="E833" s="394"/>
      <c r="J833" s="395"/>
      <c r="K833" s="395"/>
      <c r="L833" s="395"/>
      <c r="M833" s="395"/>
      <c r="N833" s="395"/>
      <c r="O833" s="395"/>
      <c r="P833" s="395"/>
      <c r="Q833" s="395"/>
    </row>
    <row r="834">
      <c r="E834" s="394"/>
      <c r="J834" s="395"/>
      <c r="K834" s="395"/>
      <c r="L834" s="395"/>
      <c r="M834" s="395"/>
      <c r="N834" s="395"/>
      <c r="O834" s="395"/>
      <c r="P834" s="395"/>
      <c r="Q834" s="395"/>
    </row>
    <row r="835">
      <c r="E835" s="394"/>
      <c r="J835" s="395"/>
      <c r="K835" s="395"/>
      <c r="L835" s="395"/>
      <c r="M835" s="395"/>
      <c r="N835" s="395"/>
      <c r="O835" s="395"/>
      <c r="P835" s="395"/>
      <c r="Q835" s="395"/>
    </row>
    <row r="836">
      <c r="E836" s="394"/>
      <c r="J836" s="395"/>
      <c r="K836" s="395"/>
      <c r="L836" s="395"/>
      <c r="M836" s="395"/>
      <c r="N836" s="395"/>
      <c r="O836" s="395"/>
      <c r="P836" s="395"/>
      <c r="Q836" s="395"/>
    </row>
    <row r="837">
      <c r="E837" s="394"/>
      <c r="J837" s="395"/>
      <c r="K837" s="395"/>
      <c r="L837" s="395"/>
      <c r="M837" s="395"/>
      <c r="N837" s="395"/>
      <c r="O837" s="395"/>
      <c r="P837" s="395"/>
      <c r="Q837" s="395"/>
    </row>
    <row r="838">
      <c r="E838" s="394"/>
      <c r="J838" s="395"/>
      <c r="K838" s="395"/>
      <c r="L838" s="395"/>
      <c r="M838" s="395"/>
      <c r="N838" s="395"/>
      <c r="O838" s="395"/>
      <c r="P838" s="395"/>
      <c r="Q838" s="395"/>
    </row>
    <row r="839">
      <c r="E839" s="394"/>
      <c r="J839" s="395"/>
      <c r="K839" s="395"/>
      <c r="L839" s="395"/>
      <c r="M839" s="395"/>
      <c r="N839" s="395"/>
      <c r="O839" s="395"/>
      <c r="P839" s="395"/>
      <c r="Q839" s="395"/>
    </row>
    <row r="840">
      <c r="E840" s="394"/>
      <c r="J840" s="395"/>
      <c r="K840" s="395"/>
      <c r="L840" s="395"/>
      <c r="M840" s="395"/>
      <c r="N840" s="395"/>
      <c r="O840" s="395"/>
      <c r="P840" s="395"/>
      <c r="Q840" s="395"/>
    </row>
    <row r="841">
      <c r="E841" s="394"/>
      <c r="J841" s="395"/>
      <c r="K841" s="395"/>
      <c r="L841" s="395"/>
      <c r="M841" s="395"/>
      <c r="N841" s="395"/>
      <c r="O841" s="395"/>
      <c r="P841" s="395"/>
      <c r="Q841" s="395"/>
    </row>
    <row r="842">
      <c r="E842" s="394"/>
      <c r="J842" s="395"/>
      <c r="K842" s="395"/>
      <c r="L842" s="395"/>
      <c r="M842" s="395"/>
      <c r="N842" s="395"/>
      <c r="O842" s="395"/>
      <c r="P842" s="395"/>
      <c r="Q842" s="395"/>
    </row>
    <row r="843">
      <c r="E843" s="394"/>
      <c r="J843" s="395"/>
      <c r="K843" s="395"/>
      <c r="L843" s="395"/>
      <c r="M843" s="395"/>
      <c r="N843" s="395"/>
      <c r="O843" s="395"/>
      <c r="P843" s="395"/>
      <c r="Q843" s="395"/>
    </row>
    <row r="844">
      <c r="E844" s="394"/>
      <c r="J844" s="395"/>
      <c r="K844" s="395"/>
      <c r="L844" s="395"/>
      <c r="M844" s="395"/>
      <c r="N844" s="395"/>
      <c r="O844" s="395"/>
      <c r="P844" s="395"/>
      <c r="Q844" s="395"/>
    </row>
    <row r="845">
      <c r="E845" s="394"/>
      <c r="J845" s="395"/>
      <c r="K845" s="395"/>
      <c r="L845" s="395"/>
      <c r="M845" s="395"/>
      <c r="N845" s="395"/>
      <c r="O845" s="395"/>
      <c r="P845" s="395"/>
      <c r="Q845" s="395"/>
    </row>
    <row r="846">
      <c r="E846" s="394"/>
      <c r="J846" s="395"/>
      <c r="K846" s="395"/>
      <c r="L846" s="395"/>
      <c r="M846" s="395"/>
      <c r="N846" s="395"/>
      <c r="O846" s="395"/>
      <c r="P846" s="395"/>
      <c r="Q846" s="395"/>
    </row>
    <row r="847">
      <c r="E847" s="394"/>
      <c r="J847" s="395"/>
      <c r="K847" s="395"/>
      <c r="L847" s="395"/>
      <c r="M847" s="395"/>
      <c r="N847" s="395"/>
      <c r="O847" s="395"/>
      <c r="P847" s="395"/>
      <c r="Q847" s="395"/>
    </row>
    <row r="848">
      <c r="E848" s="394"/>
      <c r="J848" s="395"/>
      <c r="K848" s="395"/>
      <c r="L848" s="395"/>
      <c r="M848" s="395"/>
      <c r="N848" s="395"/>
      <c r="O848" s="395"/>
      <c r="P848" s="395"/>
      <c r="Q848" s="395"/>
    </row>
    <row r="849">
      <c r="E849" s="394"/>
      <c r="J849" s="395"/>
      <c r="K849" s="395"/>
      <c r="L849" s="395"/>
      <c r="M849" s="395"/>
      <c r="N849" s="395"/>
      <c r="O849" s="395"/>
      <c r="P849" s="395"/>
      <c r="Q849" s="395"/>
    </row>
    <row r="850">
      <c r="E850" s="394"/>
      <c r="J850" s="395"/>
      <c r="K850" s="395"/>
      <c r="L850" s="395"/>
      <c r="M850" s="395"/>
      <c r="N850" s="395"/>
      <c r="O850" s="395"/>
      <c r="P850" s="395"/>
      <c r="Q850" s="395"/>
    </row>
    <row r="851">
      <c r="E851" s="394"/>
      <c r="J851" s="395"/>
      <c r="K851" s="395"/>
      <c r="L851" s="395"/>
      <c r="M851" s="395"/>
      <c r="N851" s="395"/>
      <c r="O851" s="395"/>
      <c r="P851" s="395"/>
      <c r="Q851" s="395"/>
    </row>
    <row r="852">
      <c r="E852" s="394"/>
      <c r="J852" s="395"/>
      <c r="K852" s="395"/>
      <c r="L852" s="395"/>
      <c r="M852" s="395"/>
      <c r="N852" s="395"/>
      <c r="O852" s="395"/>
      <c r="P852" s="395"/>
      <c r="Q852" s="395"/>
    </row>
    <row r="853">
      <c r="E853" s="394"/>
      <c r="J853" s="395"/>
      <c r="K853" s="395"/>
      <c r="L853" s="395"/>
      <c r="M853" s="395"/>
      <c r="N853" s="395"/>
      <c r="O853" s="395"/>
      <c r="P853" s="395"/>
      <c r="Q853" s="395"/>
    </row>
    <row r="854">
      <c r="E854" s="394"/>
      <c r="J854" s="395"/>
      <c r="K854" s="395"/>
      <c r="L854" s="395"/>
      <c r="M854" s="395"/>
      <c r="N854" s="395"/>
      <c r="O854" s="395"/>
      <c r="P854" s="395"/>
      <c r="Q854" s="395"/>
    </row>
    <row r="855">
      <c r="E855" s="394"/>
      <c r="J855" s="395"/>
      <c r="K855" s="395"/>
      <c r="L855" s="395"/>
      <c r="M855" s="395"/>
      <c r="N855" s="395"/>
      <c r="O855" s="395"/>
      <c r="P855" s="395"/>
      <c r="Q855" s="395"/>
    </row>
    <row r="856">
      <c r="E856" s="394"/>
      <c r="J856" s="395"/>
      <c r="K856" s="395"/>
      <c r="L856" s="395"/>
      <c r="M856" s="395"/>
      <c r="N856" s="395"/>
      <c r="O856" s="395"/>
      <c r="P856" s="395"/>
      <c r="Q856" s="395"/>
    </row>
    <row r="857">
      <c r="E857" s="394"/>
      <c r="J857" s="395"/>
      <c r="K857" s="395"/>
      <c r="L857" s="395"/>
      <c r="M857" s="395"/>
      <c r="N857" s="395"/>
      <c r="O857" s="395"/>
      <c r="P857" s="395"/>
      <c r="Q857" s="395"/>
    </row>
    <row r="858">
      <c r="E858" s="394"/>
      <c r="J858" s="395"/>
      <c r="K858" s="395"/>
      <c r="L858" s="395"/>
      <c r="M858" s="395"/>
      <c r="N858" s="395"/>
      <c r="O858" s="395"/>
      <c r="P858" s="395"/>
      <c r="Q858" s="395"/>
    </row>
    <row r="859">
      <c r="E859" s="394"/>
      <c r="J859" s="395"/>
      <c r="K859" s="395"/>
      <c r="L859" s="395"/>
      <c r="M859" s="395"/>
      <c r="N859" s="395"/>
      <c r="O859" s="395"/>
      <c r="P859" s="395"/>
      <c r="Q859" s="395"/>
    </row>
    <row r="860">
      <c r="E860" s="394"/>
      <c r="J860" s="395"/>
      <c r="K860" s="395"/>
      <c r="L860" s="395"/>
      <c r="M860" s="395"/>
      <c r="N860" s="395"/>
      <c r="O860" s="395"/>
      <c r="P860" s="395"/>
      <c r="Q860" s="395"/>
    </row>
    <row r="861">
      <c r="E861" s="394"/>
      <c r="J861" s="395"/>
      <c r="K861" s="395"/>
      <c r="L861" s="395"/>
      <c r="M861" s="395"/>
      <c r="N861" s="395"/>
      <c r="O861" s="395"/>
      <c r="P861" s="395"/>
      <c r="Q861" s="395"/>
    </row>
    <row r="862">
      <c r="E862" s="394"/>
      <c r="J862" s="395"/>
      <c r="K862" s="395"/>
      <c r="L862" s="395"/>
      <c r="M862" s="395"/>
      <c r="N862" s="395"/>
      <c r="O862" s="395"/>
      <c r="P862" s="395"/>
      <c r="Q862" s="395"/>
    </row>
    <row r="863">
      <c r="E863" s="394"/>
      <c r="J863" s="395"/>
      <c r="K863" s="395"/>
      <c r="L863" s="395"/>
      <c r="M863" s="395"/>
      <c r="N863" s="395"/>
      <c r="O863" s="395"/>
      <c r="P863" s="395"/>
      <c r="Q863" s="395"/>
    </row>
    <row r="864">
      <c r="E864" s="394"/>
      <c r="J864" s="395"/>
      <c r="K864" s="395"/>
      <c r="L864" s="395"/>
      <c r="M864" s="395"/>
      <c r="N864" s="395"/>
      <c r="O864" s="395"/>
      <c r="P864" s="395"/>
      <c r="Q864" s="395"/>
    </row>
    <row r="865">
      <c r="E865" s="394"/>
      <c r="J865" s="395"/>
      <c r="K865" s="395"/>
      <c r="L865" s="395"/>
      <c r="M865" s="395"/>
      <c r="N865" s="395"/>
      <c r="O865" s="395"/>
      <c r="P865" s="395"/>
      <c r="Q865" s="395"/>
    </row>
    <row r="866">
      <c r="E866" s="394"/>
      <c r="J866" s="395"/>
      <c r="K866" s="395"/>
      <c r="L866" s="395"/>
      <c r="M866" s="395"/>
      <c r="N866" s="395"/>
      <c r="O866" s="395"/>
      <c r="P866" s="395"/>
      <c r="Q866" s="395"/>
    </row>
    <row r="867">
      <c r="E867" s="394"/>
      <c r="J867" s="395"/>
      <c r="K867" s="395"/>
      <c r="L867" s="395"/>
      <c r="M867" s="395"/>
      <c r="N867" s="395"/>
      <c r="O867" s="395"/>
      <c r="P867" s="395"/>
      <c r="Q867" s="395"/>
    </row>
    <row r="868">
      <c r="E868" s="394"/>
      <c r="J868" s="395"/>
      <c r="K868" s="395"/>
      <c r="L868" s="395"/>
      <c r="M868" s="395"/>
      <c r="N868" s="395"/>
      <c r="O868" s="395"/>
      <c r="P868" s="395"/>
      <c r="Q868" s="395"/>
    </row>
    <row r="869">
      <c r="E869" s="394"/>
      <c r="J869" s="395"/>
      <c r="K869" s="395"/>
      <c r="L869" s="395"/>
      <c r="M869" s="395"/>
      <c r="N869" s="395"/>
      <c r="O869" s="395"/>
      <c r="P869" s="395"/>
      <c r="Q869" s="395"/>
    </row>
    <row r="870">
      <c r="E870" s="394"/>
      <c r="J870" s="395"/>
      <c r="K870" s="395"/>
      <c r="L870" s="395"/>
      <c r="M870" s="395"/>
      <c r="N870" s="395"/>
      <c r="O870" s="395"/>
      <c r="P870" s="395"/>
      <c r="Q870" s="395"/>
    </row>
    <row r="871">
      <c r="E871" s="394"/>
      <c r="J871" s="395"/>
      <c r="K871" s="395"/>
      <c r="L871" s="395"/>
      <c r="M871" s="395"/>
      <c r="N871" s="395"/>
      <c r="O871" s="395"/>
      <c r="P871" s="395"/>
      <c r="Q871" s="395"/>
    </row>
    <row r="872">
      <c r="E872" s="394"/>
      <c r="J872" s="395"/>
      <c r="K872" s="395"/>
      <c r="L872" s="395"/>
      <c r="M872" s="395"/>
      <c r="N872" s="395"/>
      <c r="O872" s="395"/>
      <c r="P872" s="395"/>
      <c r="Q872" s="395"/>
    </row>
    <row r="873">
      <c r="E873" s="394"/>
      <c r="J873" s="395"/>
      <c r="K873" s="395"/>
      <c r="L873" s="395"/>
      <c r="M873" s="395"/>
      <c r="N873" s="395"/>
      <c r="O873" s="395"/>
      <c r="P873" s="395"/>
      <c r="Q873" s="395"/>
    </row>
    <row r="874">
      <c r="E874" s="394"/>
      <c r="J874" s="395"/>
      <c r="K874" s="395"/>
      <c r="L874" s="395"/>
      <c r="M874" s="395"/>
      <c r="N874" s="395"/>
      <c r="O874" s="395"/>
      <c r="P874" s="395"/>
      <c r="Q874" s="395"/>
    </row>
    <row r="875">
      <c r="E875" s="394"/>
      <c r="J875" s="395"/>
      <c r="K875" s="395"/>
      <c r="L875" s="395"/>
      <c r="M875" s="395"/>
      <c r="N875" s="395"/>
      <c r="O875" s="395"/>
      <c r="P875" s="395"/>
      <c r="Q875" s="395"/>
    </row>
    <row r="876">
      <c r="E876" s="394"/>
      <c r="J876" s="395"/>
      <c r="K876" s="395"/>
      <c r="L876" s="395"/>
      <c r="M876" s="395"/>
      <c r="N876" s="395"/>
      <c r="O876" s="395"/>
      <c r="P876" s="395"/>
      <c r="Q876" s="395"/>
    </row>
    <row r="877">
      <c r="E877" s="394"/>
      <c r="J877" s="395"/>
      <c r="K877" s="395"/>
      <c r="L877" s="395"/>
      <c r="M877" s="395"/>
      <c r="N877" s="395"/>
      <c r="O877" s="395"/>
      <c r="P877" s="395"/>
      <c r="Q877" s="395"/>
    </row>
    <row r="878">
      <c r="E878" s="394"/>
      <c r="J878" s="395"/>
      <c r="K878" s="395"/>
      <c r="L878" s="395"/>
      <c r="M878" s="395"/>
      <c r="N878" s="395"/>
      <c r="O878" s="395"/>
      <c r="P878" s="395"/>
      <c r="Q878" s="395"/>
    </row>
    <row r="879">
      <c r="E879" s="394"/>
      <c r="J879" s="395"/>
      <c r="K879" s="395"/>
      <c r="L879" s="395"/>
      <c r="M879" s="395"/>
      <c r="N879" s="395"/>
      <c r="O879" s="395"/>
      <c r="P879" s="395"/>
      <c r="Q879" s="395"/>
    </row>
    <row r="880">
      <c r="E880" s="394"/>
      <c r="J880" s="395"/>
      <c r="K880" s="395"/>
      <c r="L880" s="395"/>
      <c r="M880" s="395"/>
      <c r="N880" s="395"/>
      <c r="O880" s="395"/>
      <c r="P880" s="395"/>
      <c r="Q880" s="395"/>
    </row>
    <row r="881">
      <c r="E881" s="394"/>
      <c r="J881" s="395"/>
      <c r="K881" s="395"/>
      <c r="L881" s="395"/>
      <c r="M881" s="395"/>
      <c r="N881" s="395"/>
      <c r="O881" s="395"/>
      <c r="P881" s="395"/>
      <c r="Q881" s="395"/>
    </row>
    <row r="882">
      <c r="E882" s="394"/>
      <c r="J882" s="395"/>
      <c r="K882" s="395"/>
      <c r="L882" s="395"/>
      <c r="M882" s="395"/>
      <c r="N882" s="395"/>
      <c r="O882" s="395"/>
      <c r="P882" s="395"/>
      <c r="Q882" s="395"/>
    </row>
    <row r="883">
      <c r="E883" s="394"/>
      <c r="J883" s="395"/>
      <c r="K883" s="395"/>
      <c r="L883" s="395"/>
      <c r="M883" s="395"/>
      <c r="N883" s="395"/>
      <c r="O883" s="395"/>
      <c r="P883" s="395"/>
      <c r="Q883" s="395"/>
    </row>
    <row r="884">
      <c r="E884" s="394"/>
      <c r="J884" s="395"/>
      <c r="K884" s="395"/>
      <c r="L884" s="395"/>
      <c r="M884" s="395"/>
      <c r="N884" s="395"/>
      <c r="O884" s="395"/>
      <c r="P884" s="395"/>
      <c r="Q884" s="395"/>
    </row>
    <row r="885">
      <c r="E885" s="394"/>
      <c r="J885" s="395"/>
      <c r="K885" s="395"/>
      <c r="L885" s="395"/>
      <c r="M885" s="395"/>
      <c r="N885" s="395"/>
      <c r="O885" s="395"/>
      <c r="P885" s="395"/>
      <c r="Q885" s="395"/>
    </row>
    <row r="886">
      <c r="E886" s="394"/>
      <c r="J886" s="395"/>
      <c r="K886" s="395"/>
      <c r="L886" s="395"/>
      <c r="M886" s="395"/>
      <c r="N886" s="395"/>
      <c r="O886" s="395"/>
      <c r="P886" s="395"/>
      <c r="Q886" s="395"/>
    </row>
    <row r="887">
      <c r="E887" s="394"/>
      <c r="J887" s="395"/>
      <c r="K887" s="395"/>
      <c r="L887" s="395"/>
      <c r="M887" s="395"/>
      <c r="N887" s="395"/>
      <c r="O887" s="395"/>
      <c r="P887" s="395"/>
      <c r="Q887" s="395"/>
    </row>
    <row r="888">
      <c r="E888" s="394"/>
      <c r="J888" s="395"/>
      <c r="K888" s="395"/>
      <c r="L888" s="395"/>
      <c r="M888" s="395"/>
      <c r="N888" s="395"/>
      <c r="O888" s="395"/>
      <c r="P888" s="395"/>
      <c r="Q888" s="395"/>
    </row>
    <row r="889">
      <c r="E889" s="394"/>
      <c r="J889" s="395"/>
      <c r="K889" s="395"/>
      <c r="L889" s="395"/>
      <c r="M889" s="395"/>
      <c r="N889" s="395"/>
      <c r="O889" s="395"/>
      <c r="P889" s="395"/>
      <c r="Q889" s="395"/>
    </row>
    <row r="890">
      <c r="E890" s="394"/>
      <c r="J890" s="395"/>
      <c r="K890" s="395"/>
      <c r="L890" s="395"/>
      <c r="M890" s="395"/>
      <c r="N890" s="395"/>
      <c r="O890" s="395"/>
      <c r="P890" s="395"/>
      <c r="Q890" s="395"/>
    </row>
    <row r="891">
      <c r="E891" s="394"/>
      <c r="J891" s="395"/>
      <c r="K891" s="395"/>
      <c r="L891" s="395"/>
      <c r="M891" s="395"/>
      <c r="N891" s="395"/>
      <c r="O891" s="395"/>
      <c r="P891" s="395"/>
      <c r="Q891" s="395"/>
    </row>
    <row r="892">
      <c r="E892" s="394"/>
      <c r="J892" s="395"/>
      <c r="K892" s="395"/>
      <c r="L892" s="395"/>
      <c r="M892" s="395"/>
      <c r="N892" s="395"/>
      <c r="O892" s="395"/>
      <c r="P892" s="395"/>
      <c r="Q892" s="395"/>
    </row>
    <row r="893">
      <c r="E893" s="394"/>
      <c r="J893" s="395"/>
      <c r="K893" s="395"/>
      <c r="L893" s="395"/>
      <c r="M893" s="395"/>
      <c r="N893" s="395"/>
      <c r="O893" s="395"/>
      <c r="P893" s="395"/>
      <c r="Q893" s="395"/>
    </row>
    <row r="894">
      <c r="E894" s="394"/>
      <c r="J894" s="395"/>
      <c r="K894" s="395"/>
      <c r="L894" s="395"/>
      <c r="M894" s="395"/>
      <c r="N894" s="395"/>
      <c r="O894" s="395"/>
      <c r="P894" s="395"/>
      <c r="Q894" s="395"/>
    </row>
    <row r="895">
      <c r="E895" s="394"/>
      <c r="J895" s="395"/>
      <c r="K895" s="395"/>
      <c r="L895" s="395"/>
      <c r="M895" s="395"/>
      <c r="N895" s="395"/>
      <c r="O895" s="395"/>
      <c r="P895" s="395"/>
      <c r="Q895" s="395"/>
    </row>
    <row r="896">
      <c r="E896" s="394"/>
      <c r="J896" s="395"/>
      <c r="K896" s="395"/>
      <c r="L896" s="395"/>
      <c r="M896" s="395"/>
      <c r="N896" s="395"/>
      <c r="O896" s="395"/>
      <c r="P896" s="395"/>
      <c r="Q896" s="395"/>
    </row>
    <row r="897">
      <c r="E897" s="394"/>
      <c r="J897" s="395"/>
      <c r="K897" s="395"/>
      <c r="L897" s="395"/>
      <c r="M897" s="395"/>
      <c r="N897" s="395"/>
      <c r="O897" s="395"/>
      <c r="P897" s="395"/>
      <c r="Q897" s="395"/>
    </row>
    <row r="898">
      <c r="E898" s="394"/>
      <c r="J898" s="395"/>
      <c r="K898" s="395"/>
      <c r="L898" s="395"/>
      <c r="M898" s="395"/>
      <c r="N898" s="395"/>
      <c r="O898" s="395"/>
      <c r="P898" s="395"/>
      <c r="Q898" s="395"/>
    </row>
    <row r="899">
      <c r="E899" s="394"/>
      <c r="J899" s="395"/>
      <c r="K899" s="395"/>
      <c r="L899" s="395"/>
      <c r="M899" s="395"/>
      <c r="N899" s="395"/>
      <c r="O899" s="395"/>
      <c r="P899" s="395"/>
      <c r="Q899" s="395"/>
    </row>
    <row r="900">
      <c r="E900" s="394"/>
      <c r="J900" s="395"/>
      <c r="K900" s="395"/>
      <c r="L900" s="395"/>
      <c r="M900" s="395"/>
      <c r="N900" s="395"/>
      <c r="O900" s="395"/>
      <c r="P900" s="395"/>
      <c r="Q900" s="395"/>
    </row>
    <row r="901">
      <c r="E901" s="394"/>
      <c r="J901" s="395"/>
      <c r="K901" s="395"/>
      <c r="L901" s="395"/>
      <c r="M901" s="395"/>
      <c r="N901" s="395"/>
      <c r="O901" s="395"/>
      <c r="P901" s="395"/>
      <c r="Q901" s="395"/>
    </row>
    <row r="902">
      <c r="E902" s="394"/>
      <c r="J902" s="395"/>
      <c r="K902" s="395"/>
      <c r="L902" s="395"/>
      <c r="M902" s="395"/>
      <c r="N902" s="395"/>
      <c r="O902" s="395"/>
      <c r="P902" s="395"/>
      <c r="Q902" s="395"/>
    </row>
    <row r="903">
      <c r="E903" s="394"/>
      <c r="J903" s="395"/>
      <c r="K903" s="395"/>
      <c r="L903" s="395"/>
      <c r="M903" s="395"/>
      <c r="N903" s="395"/>
      <c r="O903" s="395"/>
      <c r="P903" s="395"/>
      <c r="Q903" s="395"/>
    </row>
    <row r="904">
      <c r="E904" s="394"/>
      <c r="J904" s="395"/>
      <c r="K904" s="395"/>
      <c r="L904" s="395"/>
      <c r="M904" s="395"/>
      <c r="N904" s="395"/>
      <c r="O904" s="395"/>
      <c r="P904" s="395"/>
      <c r="Q904" s="395"/>
    </row>
    <row r="905">
      <c r="E905" s="394"/>
      <c r="J905" s="395"/>
      <c r="K905" s="395"/>
      <c r="L905" s="395"/>
      <c r="M905" s="395"/>
      <c r="N905" s="395"/>
      <c r="O905" s="395"/>
      <c r="P905" s="395"/>
      <c r="Q905" s="395"/>
    </row>
    <row r="906">
      <c r="E906" s="394"/>
      <c r="J906" s="395"/>
      <c r="K906" s="395"/>
      <c r="L906" s="395"/>
      <c r="M906" s="395"/>
      <c r="N906" s="395"/>
      <c r="O906" s="395"/>
      <c r="P906" s="395"/>
      <c r="Q906" s="395"/>
    </row>
    <row r="907">
      <c r="E907" s="394"/>
      <c r="J907" s="395"/>
      <c r="K907" s="395"/>
      <c r="L907" s="395"/>
      <c r="M907" s="395"/>
      <c r="N907" s="395"/>
      <c r="O907" s="395"/>
      <c r="P907" s="395"/>
      <c r="Q907" s="395"/>
    </row>
    <row r="908">
      <c r="E908" s="394"/>
      <c r="J908" s="395"/>
      <c r="K908" s="395"/>
      <c r="L908" s="395"/>
      <c r="M908" s="395"/>
      <c r="N908" s="395"/>
      <c r="O908" s="395"/>
      <c r="P908" s="395"/>
      <c r="Q908" s="395"/>
    </row>
    <row r="909">
      <c r="E909" s="394"/>
      <c r="J909" s="395"/>
      <c r="K909" s="395"/>
      <c r="L909" s="395"/>
      <c r="M909" s="395"/>
      <c r="N909" s="395"/>
      <c r="O909" s="395"/>
      <c r="P909" s="395"/>
      <c r="Q909" s="395"/>
    </row>
    <row r="910">
      <c r="E910" s="394"/>
      <c r="J910" s="395"/>
      <c r="K910" s="395"/>
      <c r="L910" s="395"/>
      <c r="M910" s="395"/>
      <c r="N910" s="395"/>
      <c r="O910" s="395"/>
      <c r="P910" s="395"/>
      <c r="Q910" s="395"/>
    </row>
    <row r="911">
      <c r="E911" s="394"/>
      <c r="J911" s="395"/>
      <c r="K911" s="395"/>
      <c r="L911" s="395"/>
      <c r="M911" s="395"/>
      <c r="N911" s="395"/>
      <c r="O911" s="395"/>
      <c r="P911" s="395"/>
      <c r="Q911" s="395"/>
    </row>
    <row r="912">
      <c r="E912" s="394"/>
      <c r="J912" s="395"/>
      <c r="K912" s="395"/>
      <c r="L912" s="395"/>
      <c r="M912" s="395"/>
      <c r="N912" s="395"/>
      <c r="O912" s="395"/>
      <c r="P912" s="395"/>
      <c r="Q912" s="395"/>
    </row>
    <row r="913">
      <c r="E913" s="394"/>
      <c r="J913" s="395"/>
      <c r="K913" s="395"/>
      <c r="L913" s="395"/>
      <c r="M913" s="395"/>
      <c r="N913" s="395"/>
      <c r="O913" s="395"/>
      <c r="P913" s="395"/>
      <c r="Q913" s="395"/>
    </row>
    <row r="914">
      <c r="E914" s="394"/>
      <c r="J914" s="395"/>
      <c r="K914" s="395"/>
      <c r="L914" s="395"/>
      <c r="M914" s="395"/>
      <c r="N914" s="395"/>
      <c r="O914" s="395"/>
      <c r="P914" s="395"/>
      <c r="Q914" s="395"/>
    </row>
    <row r="915">
      <c r="E915" s="394"/>
      <c r="J915" s="395"/>
      <c r="K915" s="395"/>
      <c r="L915" s="395"/>
      <c r="M915" s="395"/>
      <c r="N915" s="395"/>
      <c r="O915" s="395"/>
      <c r="P915" s="395"/>
      <c r="Q915" s="395"/>
    </row>
    <row r="916">
      <c r="E916" s="394"/>
      <c r="J916" s="395"/>
      <c r="K916" s="395"/>
      <c r="L916" s="395"/>
      <c r="M916" s="395"/>
      <c r="N916" s="395"/>
      <c r="O916" s="395"/>
      <c r="P916" s="395"/>
      <c r="Q916" s="395"/>
    </row>
    <row r="917">
      <c r="E917" s="394"/>
      <c r="J917" s="395"/>
      <c r="K917" s="395"/>
      <c r="L917" s="395"/>
      <c r="M917" s="395"/>
      <c r="N917" s="395"/>
      <c r="O917" s="395"/>
      <c r="P917" s="395"/>
      <c r="Q917" s="395"/>
    </row>
    <row r="918">
      <c r="E918" s="394"/>
      <c r="J918" s="395"/>
      <c r="K918" s="395"/>
      <c r="L918" s="395"/>
      <c r="M918" s="395"/>
      <c r="N918" s="395"/>
      <c r="O918" s="395"/>
      <c r="P918" s="395"/>
      <c r="Q918" s="395"/>
    </row>
    <row r="919">
      <c r="E919" s="394"/>
      <c r="J919" s="395"/>
      <c r="K919" s="395"/>
      <c r="L919" s="395"/>
      <c r="M919" s="395"/>
      <c r="N919" s="395"/>
      <c r="O919" s="395"/>
      <c r="P919" s="395"/>
      <c r="Q919" s="395"/>
    </row>
    <row r="920">
      <c r="E920" s="394"/>
      <c r="J920" s="395"/>
      <c r="K920" s="395"/>
      <c r="L920" s="395"/>
      <c r="M920" s="395"/>
      <c r="N920" s="395"/>
      <c r="O920" s="395"/>
      <c r="P920" s="395"/>
      <c r="Q920" s="395"/>
    </row>
    <row r="921">
      <c r="E921" s="394"/>
      <c r="J921" s="395"/>
      <c r="K921" s="395"/>
      <c r="L921" s="395"/>
      <c r="M921" s="395"/>
      <c r="N921" s="395"/>
      <c r="O921" s="395"/>
      <c r="P921" s="395"/>
      <c r="Q921" s="395"/>
    </row>
    <row r="922">
      <c r="E922" s="394"/>
      <c r="J922" s="395"/>
      <c r="K922" s="395"/>
      <c r="L922" s="395"/>
      <c r="M922" s="395"/>
      <c r="N922" s="395"/>
      <c r="O922" s="395"/>
      <c r="P922" s="395"/>
      <c r="Q922" s="395"/>
    </row>
    <row r="923">
      <c r="E923" s="394"/>
      <c r="J923" s="395"/>
      <c r="K923" s="395"/>
      <c r="L923" s="395"/>
      <c r="M923" s="395"/>
      <c r="N923" s="395"/>
      <c r="O923" s="395"/>
      <c r="P923" s="395"/>
      <c r="Q923" s="395"/>
    </row>
    <row r="924">
      <c r="E924" s="394"/>
      <c r="J924" s="395"/>
      <c r="K924" s="395"/>
      <c r="L924" s="395"/>
      <c r="M924" s="395"/>
      <c r="N924" s="395"/>
      <c r="O924" s="395"/>
      <c r="P924" s="395"/>
      <c r="Q924" s="395"/>
    </row>
    <row r="925">
      <c r="E925" s="394"/>
      <c r="J925" s="395"/>
      <c r="K925" s="395"/>
      <c r="L925" s="395"/>
      <c r="M925" s="395"/>
      <c r="N925" s="395"/>
      <c r="O925" s="395"/>
      <c r="P925" s="395"/>
      <c r="Q925" s="395"/>
    </row>
    <row r="926">
      <c r="E926" s="394"/>
      <c r="J926" s="395"/>
      <c r="K926" s="395"/>
      <c r="L926" s="395"/>
      <c r="M926" s="395"/>
      <c r="N926" s="395"/>
      <c r="O926" s="395"/>
      <c r="P926" s="395"/>
      <c r="Q926" s="395"/>
    </row>
    <row r="927">
      <c r="E927" s="394"/>
      <c r="J927" s="395"/>
      <c r="K927" s="395"/>
      <c r="L927" s="395"/>
      <c r="M927" s="395"/>
      <c r="N927" s="395"/>
      <c r="O927" s="395"/>
      <c r="P927" s="395"/>
      <c r="Q927" s="395"/>
    </row>
    <row r="928">
      <c r="E928" s="394"/>
      <c r="J928" s="395"/>
      <c r="K928" s="395"/>
      <c r="L928" s="395"/>
      <c r="M928" s="395"/>
      <c r="N928" s="395"/>
      <c r="O928" s="395"/>
      <c r="P928" s="395"/>
      <c r="Q928" s="395"/>
    </row>
    <row r="929">
      <c r="E929" s="394"/>
      <c r="J929" s="395"/>
      <c r="K929" s="395"/>
      <c r="L929" s="395"/>
      <c r="M929" s="395"/>
      <c r="N929" s="395"/>
      <c r="O929" s="395"/>
      <c r="P929" s="395"/>
      <c r="Q929" s="395"/>
    </row>
    <row r="930">
      <c r="E930" s="394"/>
      <c r="J930" s="395"/>
      <c r="K930" s="395"/>
      <c r="L930" s="395"/>
      <c r="M930" s="395"/>
      <c r="N930" s="395"/>
      <c r="O930" s="395"/>
      <c r="P930" s="395"/>
      <c r="Q930" s="395"/>
    </row>
    <row r="931">
      <c r="E931" s="394"/>
      <c r="J931" s="395"/>
      <c r="K931" s="395"/>
      <c r="L931" s="395"/>
      <c r="M931" s="395"/>
      <c r="N931" s="395"/>
      <c r="O931" s="395"/>
      <c r="P931" s="395"/>
      <c r="Q931" s="395"/>
    </row>
    <row r="932">
      <c r="E932" s="394"/>
      <c r="J932" s="395"/>
      <c r="K932" s="395"/>
      <c r="L932" s="395"/>
      <c r="M932" s="395"/>
      <c r="N932" s="395"/>
      <c r="O932" s="395"/>
      <c r="P932" s="395"/>
      <c r="Q932" s="395"/>
    </row>
    <row r="933">
      <c r="E933" s="394"/>
      <c r="J933" s="395"/>
      <c r="K933" s="395"/>
      <c r="L933" s="395"/>
      <c r="M933" s="395"/>
      <c r="N933" s="395"/>
      <c r="O933" s="395"/>
      <c r="P933" s="395"/>
      <c r="Q933" s="395"/>
    </row>
    <row r="934">
      <c r="E934" s="394"/>
      <c r="J934" s="395"/>
      <c r="K934" s="395"/>
      <c r="L934" s="395"/>
      <c r="M934" s="395"/>
      <c r="N934" s="395"/>
      <c r="O934" s="395"/>
      <c r="P934" s="395"/>
      <c r="Q934" s="395"/>
    </row>
    <row r="935">
      <c r="E935" s="394"/>
      <c r="J935" s="395"/>
      <c r="K935" s="395"/>
      <c r="L935" s="395"/>
      <c r="M935" s="395"/>
      <c r="N935" s="395"/>
      <c r="O935" s="395"/>
      <c r="P935" s="395"/>
      <c r="Q935" s="395"/>
    </row>
    <row r="936">
      <c r="E936" s="394"/>
      <c r="J936" s="395"/>
      <c r="K936" s="395"/>
      <c r="L936" s="395"/>
      <c r="M936" s="395"/>
      <c r="N936" s="395"/>
      <c r="O936" s="395"/>
      <c r="P936" s="395"/>
      <c r="Q936" s="395"/>
    </row>
    <row r="937">
      <c r="E937" s="394"/>
      <c r="J937" s="395"/>
      <c r="K937" s="395"/>
      <c r="L937" s="395"/>
      <c r="M937" s="395"/>
      <c r="N937" s="395"/>
      <c r="O937" s="395"/>
      <c r="P937" s="395"/>
      <c r="Q937" s="395"/>
    </row>
    <row r="938">
      <c r="E938" s="394"/>
      <c r="J938" s="395"/>
      <c r="K938" s="395"/>
      <c r="L938" s="395"/>
      <c r="M938" s="395"/>
      <c r="N938" s="395"/>
      <c r="O938" s="395"/>
      <c r="P938" s="395"/>
      <c r="Q938" s="395"/>
    </row>
    <row r="939">
      <c r="E939" s="394"/>
      <c r="J939" s="395"/>
      <c r="K939" s="395"/>
      <c r="L939" s="395"/>
      <c r="M939" s="395"/>
      <c r="N939" s="395"/>
      <c r="O939" s="395"/>
      <c r="P939" s="395"/>
      <c r="Q939" s="395"/>
    </row>
    <row r="940">
      <c r="E940" s="394"/>
      <c r="J940" s="395"/>
      <c r="K940" s="395"/>
      <c r="L940" s="395"/>
      <c r="M940" s="395"/>
      <c r="N940" s="395"/>
      <c r="O940" s="395"/>
      <c r="P940" s="395"/>
      <c r="Q940" s="395"/>
    </row>
    <row r="941">
      <c r="E941" s="394"/>
      <c r="J941" s="395"/>
      <c r="K941" s="395"/>
      <c r="L941" s="395"/>
      <c r="M941" s="395"/>
      <c r="N941" s="395"/>
      <c r="O941" s="395"/>
      <c r="P941" s="395"/>
      <c r="Q941" s="395"/>
    </row>
    <row r="942">
      <c r="E942" s="394"/>
      <c r="J942" s="395"/>
      <c r="K942" s="395"/>
      <c r="L942" s="395"/>
      <c r="M942" s="395"/>
      <c r="N942" s="395"/>
      <c r="O942" s="395"/>
      <c r="P942" s="395"/>
      <c r="Q942" s="395"/>
    </row>
    <row r="943">
      <c r="E943" s="394"/>
      <c r="J943" s="395"/>
      <c r="K943" s="395"/>
      <c r="L943" s="395"/>
      <c r="M943" s="395"/>
      <c r="N943" s="395"/>
      <c r="O943" s="395"/>
      <c r="P943" s="395"/>
      <c r="Q943" s="395"/>
    </row>
    <row r="944">
      <c r="E944" s="394"/>
      <c r="J944" s="395"/>
      <c r="K944" s="395"/>
      <c r="L944" s="395"/>
      <c r="M944" s="395"/>
      <c r="N944" s="395"/>
      <c r="O944" s="395"/>
      <c r="P944" s="395"/>
      <c r="Q944" s="395"/>
    </row>
    <row r="945">
      <c r="E945" s="394"/>
      <c r="J945" s="395"/>
      <c r="K945" s="395"/>
      <c r="L945" s="395"/>
      <c r="M945" s="395"/>
      <c r="N945" s="395"/>
      <c r="O945" s="395"/>
      <c r="P945" s="395"/>
      <c r="Q945" s="395"/>
    </row>
    <row r="946">
      <c r="E946" s="394"/>
      <c r="J946" s="395"/>
      <c r="K946" s="395"/>
      <c r="L946" s="395"/>
      <c r="M946" s="395"/>
      <c r="N946" s="395"/>
      <c r="O946" s="395"/>
      <c r="P946" s="395"/>
      <c r="Q946" s="395"/>
    </row>
    <row r="947">
      <c r="E947" s="394"/>
      <c r="J947" s="395"/>
      <c r="K947" s="395"/>
      <c r="L947" s="395"/>
      <c r="M947" s="395"/>
      <c r="N947" s="395"/>
      <c r="O947" s="395"/>
      <c r="P947" s="395"/>
      <c r="Q947" s="395"/>
    </row>
    <row r="948">
      <c r="E948" s="394"/>
      <c r="J948" s="395"/>
      <c r="K948" s="395"/>
      <c r="L948" s="395"/>
      <c r="M948" s="395"/>
      <c r="N948" s="395"/>
      <c r="O948" s="395"/>
      <c r="P948" s="395"/>
      <c r="Q948" s="395"/>
    </row>
    <row r="949">
      <c r="E949" s="394"/>
      <c r="J949" s="395"/>
      <c r="K949" s="395"/>
      <c r="L949" s="395"/>
      <c r="M949" s="395"/>
      <c r="N949" s="395"/>
      <c r="O949" s="395"/>
      <c r="P949" s="395"/>
      <c r="Q949" s="395"/>
    </row>
    <row r="950">
      <c r="E950" s="394"/>
      <c r="J950" s="395"/>
      <c r="K950" s="395"/>
      <c r="L950" s="395"/>
      <c r="M950" s="395"/>
      <c r="N950" s="395"/>
      <c r="O950" s="395"/>
      <c r="P950" s="395"/>
      <c r="Q950" s="395"/>
    </row>
    <row r="951">
      <c r="E951" s="394"/>
      <c r="J951" s="395"/>
      <c r="K951" s="395"/>
      <c r="L951" s="395"/>
      <c r="M951" s="395"/>
      <c r="N951" s="395"/>
      <c r="O951" s="395"/>
      <c r="P951" s="395"/>
      <c r="Q951" s="395"/>
    </row>
    <row r="952">
      <c r="E952" s="394"/>
      <c r="J952" s="395"/>
      <c r="K952" s="395"/>
      <c r="L952" s="395"/>
      <c r="M952" s="395"/>
      <c r="N952" s="395"/>
      <c r="O952" s="395"/>
      <c r="P952" s="395"/>
      <c r="Q952" s="395"/>
    </row>
    <row r="953">
      <c r="E953" s="394"/>
      <c r="J953" s="395"/>
      <c r="K953" s="395"/>
      <c r="L953" s="395"/>
      <c r="M953" s="395"/>
      <c r="N953" s="395"/>
      <c r="O953" s="395"/>
      <c r="P953" s="395"/>
      <c r="Q953" s="395"/>
    </row>
    <row r="954">
      <c r="E954" s="394"/>
      <c r="J954" s="395"/>
      <c r="K954" s="395"/>
      <c r="L954" s="395"/>
      <c r="M954" s="395"/>
      <c r="N954" s="395"/>
      <c r="O954" s="395"/>
      <c r="P954" s="395"/>
      <c r="Q954" s="395"/>
    </row>
    <row r="955">
      <c r="E955" s="394"/>
      <c r="J955" s="395"/>
      <c r="K955" s="395"/>
      <c r="L955" s="395"/>
      <c r="M955" s="395"/>
      <c r="N955" s="395"/>
      <c r="O955" s="395"/>
      <c r="P955" s="395"/>
      <c r="Q955" s="395"/>
    </row>
    <row r="956">
      <c r="E956" s="394"/>
      <c r="J956" s="395"/>
      <c r="K956" s="395"/>
      <c r="L956" s="395"/>
      <c r="M956" s="395"/>
      <c r="N956" s="395"/>
      <c r="O956" s="395"/>
      <c r="P956" s="395"/>
      <c r="Q956" s="395"/>
    </row>
    <row r="957">
      <c r="E957" s="394"/>
      <c r="J957" s="395"/>
      <c r="K957" s="395"/>
      <c r="L957" s="395"/>
      <c r="M957" s="395"/>
      <c r="N957" s="395"/>
      <c r="O957" s="395"/>
      <c r="P957" s="395"/>
      <c r="Q957" s="395"/>
    </row>
    <row r="958">
      <c r="E958" s="394"/>
      <c r="J958" s="395"/>
      <c r="K958" s="395"/>
      <c r="L958" s="395"/>
      <c r="M958" s="395"/>
      <c r="N958" s="395"/>
      <c r="O958" s="395"/>
      <c r="P958" s="395"/>
      <c r="Q958" s="395"/>
    </row>
    <row r="959">
      <c r="E959" s="394"/>
      <c r="J959" s="395"/>
      <c r="K959" s="395"/>
      <c r="L959" s="395"/>
      <c r="M959" s="395"/>
      <c r="N959" s="395"/>
      <c r="O959" s="395"/>
      <c r="P959" s="395"/>
      <c r="Q959" s="395"/>
    </row>
    <row r="960">
      <c r="E960" s="394"/>
      <c r="J960" s="395"/>
      <c r="K960" s="395"/>
      <c r="L960" s="395"/>
      <c r="M960" s="395"/>
      <c r="N960" s="395"/>
      <c r="O960" s="395"/>
      <c r="P960" s="395"/>
      <c r="Q960" s="395"/>
    </row>
    <row r="961">
      <c r="E961" s="394"/>
      <c r="J961" s="395"/>
      <c r="K961" s="395"/>
      <c r="L961" s="395"/>
      <c r="M961" s="395"/>
      <c r="N961" s="395"/>
      <c r="O961" s="395"/>
      <c r="P961" s="395"/>
      <c r="Q961" s="395"/>
    </row>
    <row r="962">
      <c r="E962" s="394"/>
      <c r="J962" s="395"/>
      <c r="K962" s="395"/>
      <c r="L962" s="395"/>
      <c r="M962" s="395"/>
      <c r="N962" s="395"/>
      <c r="O962" s="395"/>
      <c r="P962" s="395"/>
      <c r="Q962" s="395"/>
    </row>
    <row r="963">
      <c r="E963" s="394"/>
      <c r="J963" s="395"/>
      <c r="K963" s="395"/>
      <c r="L963" s="395"/>
      <c r="M963" s="395"/>
      <c r="N963" s="395"/>
      <c r="O963" s="395"/>
      <c r="P963" s="395"/>
      <c r="Q963" s="395"/>
    </row>
    <row r="964">
      <c r="E964" s="394"/>
      <c r="J964" s="395"/>
      <c r="K964" s="395"/>
      <c r="L964" s="395"/>
      <c r="M964" s="395"/>
      <c r="N964" s="395"/>
      <c r="O964" s="395"/>
      <c r="P964" s="395"/>
      <c r="Q964" s="395"/>
    </row>
    <row r="965">
      <c r="E965" s="394"/>
      <c r="J965" s="395"/>
      <c r="K965" s="395"/>
      <c r="L965" s="395"/>
      <c r="M965" s="395"/>
      <c r="N965" s="395"/>
      <c r="O965" s="395"/>
      <c r="P965" s="395"/>
      <c r="Q965" s="395"/>
    </row>
    <row r="966">
      <c r="E966" s="394"/>
      <c r="J966" s="395"/>
      <c r="K966" s="395"/>
      <c r="L966" s="395"/>
      <c r="M966" s="395"/>
      <c r="N966" s="395"/>
      <c r="O966" s="395"/>
      <c r="P966" s="395"/>
      <c r="Q966" s="395"/>
    </row>
    <row r="967">
      <c r="E967" s="394"/>
      <c r="J967" s="395"/>
      <c r="K967" s="395"/>
      <c r="L967" s="395"/>
      <c r="M967" s="395"/>
      <c r="N967" s="395"/>
      <c r="O967" s="395"/>
      <c r="P967" s="395"/>
      <c r="Q967" s="395"/>
    </row>
    <row r="968">
      <c r="E968" s="394"/>
      <c r="J968" s="395"/>
      <c r="K968" s="395"/>
      <c r="L968" s="395"/>
      <c r="M968" s="395"/>
      <c r="N968" s="395"/>
      <c r="O968" s="395"/>
      <c r="P968" s="395"/>
      <c r="Q968" s="395"/>
    </row>
    <row r="969">
      <c r="E969" s="394"/>
      <c r="J969" s="395"/>
      <c r="K969" s="395"/>
      <c r="L969" s="395"/>
      <c r="M969" s="395"/>
      <c r="N969" s="395"/>
      <c r="O969" s="395"/>
      <c r="P969" s="395"/>
      <c r="Q969" s="395"/>
    </row>
    <row r="970">
      <c r="E970" s="394"/>
      <c r="J970" s="395"/>
      <c r="K970" s="395"/>
      <c r="L970" s="395"/>
      <c r="M970" s="395"/>
      <c r="N970" s="395"/>
      <c r="O970" s="395"/>
      <c r="P970" s="395"/>
      <c r="Q970" s="395"/>
    </row>
    <row r="971">
      <c r="E971" s="394"/>
      <c r="J971" s="395"/>
      <c r="K971" s="395"/>
      <c r="L971" s="395"/>
      <c r="M971" s="395"/>
      <c r="N971" s="395"/>
      <c r="O971" s="395"/>
      <c r="P971" s="395"/>
      <c r="Q971" s="395"/>
    </row>
    <row r="972">
      <c r="E972" s="394"/>
      <c r="J972" s="395"/>
      <c r="K972" s="395"/>
      <c r="L972" s="395"/>
      <c r="M972" s="395"/>
      <c r="N972" s="395"/>
      <c r="O972" s="395"/>
      <c r="P972" s="395"/>
      <c r="Q972" s="395"/>
    </row>
    <row r="973">
      <c r="E973" s="394"/>
      <c r="J973" s="395"/>
      <c r="K973" s="395"/>
      <c r="L973" s="395"/>
      <c r="M973" s="395"/>
      <c r="N973" s="395"/>
      <c r="O973" s="395"/>
      <c r="P973" s="395"/>
      <c r="Q973" s="395"/>
    </row>
    <row r="974">
      <c r="E974" s="394"/>
      <c r="J974" s="395"/>
      <c r="K974" s="395"/>
      <c r="L974" s="395"/>
      <c r="M974" s="395"/>
      <c r="N974" s="395"/>
      <c r="O974" s="395"/>
      <c r="P974" s="395"/>
      <c r="Q974" s="395"/>
    </row>
    <row r="975">
      <c r="E975" s="394"/>
      <c r="J975" s="395"/>
      <c r="K975" s="395"/>
      <c r="L975" s="395"/>
      <c r="M975" s="395"/>
      <c r="N975" s="395"/>
      <c r="O975" s="395"/>
      <c r="P975" s="395"/>
      <c r="Q975" s="395"/>
    </row>
    <row r="976">
      <c r="E976" s="394"/>
      <c r="J976" s="395"/>
      <c r="K976" s="395"/>
      <c r="L976" s="395"/>
      <c r="M976" s="395"/>
      <c r="N976" s="395"/>
      <c r="O976" s="395"/>
      <c r="P976" s="395"/>
      <c r="Q976" s="395"/>
    </row>
    <row r="977">
      <c r="E977" s="394"/>
      <c r="J977" s="395"/>
      <c r="K977" s="395"/>
      <c r="L977" s="395"/>
      <c r="M977" s="395"/>
      <c r="N977" s="395"/>
      <c r="O977" s="395"/>
      <c r="P977" s="395"/>
      <c r="Q977" s="395"/>
    </row>
    <row r="978">
      <c r="E978" s="394"/>
      <c r="J978" s="395"/>
      <c r="K978" s="395"/>
      <c r="L978" s="395"/>
      <c r="M978" s="395"/>
      <c r="N978" s="395"/>
      <c r="O978" s="395"/>
      <c r="P978" s="395"/>
      <c r="Q978" s="395"/>
    </row>
    <row r="979">
      <c r="E979" s="394"/>
      <c r="J979" s="395"/>
      <c r="K979" s="395"/>
      <c r="L979" s="395"/>
      <c r="M979" s="395"/>
      <c r="N979" s="395"/>
      <c r="O979" s="395"/>
      <c r="P979" s="395"/>
      <c r="Q979" s="395"/>
    </row>
    <row r="980">
      <c r="E980" s="394"/>
      <c r="J980" s="395"/>
      <c r="K980" s="395"/>
      <c r="L980" s="395"/>
      <c r="M980" s="395"/>
      <c r="N980" s="395"/>
      <c r="O980" s="395"/>
      <c r="P980" s="395"/>
      <c r="Q980" s="395"/>
    </row>
    <row r="981">
      <c r="E981" s="394"/>
      <c r="J981" s="395"/>
      <c r="K981" s="395"/>
      <c r="L981" s="395"/>
      <c r="M981" s="395"/>
      <c r="N981" s="395"/>
      <c r="O981" s="395"/>
      <c r="P981" s="395"/>
      <c r="Q981" s="395"/>
    </row>
    <row r="982">
      <c r="E982" s="394"/>
      <c r="J982" s="395"/>
      <c r="K982" s="395"/>
      <c r="L982" s="395"/>
      <c r="M982" s="395"/>
      <c r="N982" s="395"/>
      <c r="O982" s="395"/>
      <c r="P982" s="395"/>
      <c r="Q982" s="395"/>
    </row>
    <row r="983">
      <c r="E983" s="394"/>
      <c r="J983" s="395"/>
      <c r="K983" s="395"/>
      <c r="L983" s="395"/>
      <c r="M983" s="395"/>
      <c r="N983" s="395"/>
      <c r="O983" s="395"/>
      <c r="P983" s="395"/>
      <c r="Q983" s="395"/>
    </row>
    <row r="984">
      <c r="E984" s="394"/>
      <c r="J984" s="395"/>
      <c r="K984" s="395"/>
      <c r="L984" s="395"/>
      <c r="M984" s="395"/>
      <c r="N984" s="395"/>
      <c r="O984" s="395"/>
      <c r="P984" s="395"/>
      <c r="Q984" s="395"/>
    </row>
    <row r="985">
      <c r="E985" s="394"/>
      <c r="J985" s="395"/>
      <c r="K985" s="395"/>
      <c r="L985" s="395"/>
      <c r="M985" s="395"/>
      <c r="N985" s="395"/>
      <c r="O985" s="395"/>
      <c r="P985" s="395"/>
      <c r="Q985" s="395"/>
    </row>
    <row r="986">
      <c r="E986" s="394"/>
      <c r="J986" s="395"/>
      <c r="K986" s="395"/>
      <c r="L986" s="395"/>
      <c r="M986" s="395"/>
      <c r="N986" s="395"/>
      <c r="O986" s="395"/>
      <c r="P986" s="395"/>
      <c r="Q986" s="395"/>
    </row>
    <row r="987">
      <c r="E987" s="394"/>
      <c r="J987" s="395"/>
      <c r="K987" s="395"/>
      <c r="L987" s="395"/>
      <c r="M987" s="395"/>
      <c r="N987" s="395"/>
      <c r="O987" s="395"/>
      <c r="P987" s="395"/>
      <c r="Q987" s="395"/>
    </row>
    <row r="988">
      <c r="E988" s="394"/>
      <c r="J988" s="395"/>
      <c r="K988" s="395"/>
      <c r="L988" s="395"/>
      <c r="M988" s="395"/>
      <c r="N988" s="395"/>
      <c r="O988" s="395"/>
      <c r="P988" s="395"/>
      <c r="Q988" s="395"/>
    </row>
    <row r="989">
      <c r="E989" s="394"/>
      <c r="J989" s="395"/>
      <c r="K989" s="395"/>
      <c r="L989" s="395"/>
      <c r="M989" s="395"/>
      <c r="N989" s="395"/>
      <c r="O989" s="395"/>
      <c r="P989" s="395"/>
      <c r="Q989" s="395"/>
    </row>
    <row r="990">
      <c r="E990" s="394"/>
      <c r="J990" s="395"/>
      <c r="K990" s="395"/>
      <c r="L990" s="395"/>
      <c r="M990" s="395"/>
      <c r="N990" s="395"/>
      <c r="O990" s="395"/>
      <c r="P990" s="395"/>
      <c r="Q990" s="395"/>
    </row>
    <row r="991">
      <c r="E991" s="394"/>
      <c r="J991" s="395"/>
      <c r="K991" s="395"/>
      <c r="L991" s="395"/>
      <c r="M991" s="395"/>
      <c r="N991" s="395"/>
      <c r="O991" s="395"/>
      <c r="P991" s="395"/>
      <c r="Q991" s="395"/>
    </row>
    <row r="992">
      <c r="E992" s="394"/>
      <c r="J992" s="395"/>
      <c r="K992" s="395"/>
      <c r="L992" s="395"/>
      <c r="M992" s="395"/>
      <c r="N992" s="395"/>
      <c r="O992" s="395"/>
      <c r="P992" s="395"/>
      <c r="Q992" s="395"/>
    </row>
    <row r="993">
      <c r="E993" s="394"/>
      <c r="J993" s="395"/>
      <c r="K993" s="395"/>
      <c r="L993" s="395"/>
      <c r="M993" s="395"/>
      <c r="N993" s="395"/>
      <c r="O993" s="395"/>
      <c r="P993" s="395"/>
      <c r="Q993" s="395"/>
    </row>
    <row r="994">
      <c r="E994" s="394"/>
      <c r="J994" s="395"/>
      <c r="K994" s="395"/>
      <c r="L994" s="395"/>
      <c r="M994" s="395"/>
      <c r="N994" s="395"/>
      <c r="O994" s="395"/>
      <c r="P994" s="395"/>
      <c r="Q994" s="395"/>
    </row>
    <row r="995">
      <c r="E995" s="394"/>
      <c r="J995" s="395"/>
      <c r="K995" s="395"/>
      <c r="L995" s="395"/>
      <c r="M995" s="395"/>
      <c r="N995" s="395"/>
      <c r="O995" s="395"/>
      <c r="P995" s="395"/>
      <c r="Q995" s="395"/>
    </row>
    <row r="996">
      <c r="E996" s="394"/>
      <c r="J996" s="395"/>
      <c r="K996" s="395"/>
      <c r="L996" s="395"/>
      <c r="M996" s="395"/>
      <c r="N996" s="395"/>
      <c r="O996" s="395"/>
      <c r="P996" s="395"/>
      <c r="Q996" s="395"/>
    </row>
    <row r="997">
      <c r="E997" s="394"/>
      <c r="J997" s="395"/>
      <c r="K997" s="395"/>
      <c r="L997" s="395"/>
      <c r="M997" s="395"/>
      <c r="N997" s="395"/>
      <c r="O997" s="395"/>
      <c r="P997" s="395"/>
      <c r="Q997" s="395"/>
    </row>
    <row r="998">
      <c r="E998" s="394"/>
      <c r="J998" s="395"/>
      <c r="K998" s="395"/>
      <c r="L998" s="395"/>
      <c r="M998" s="395"/>
      <c r="N998" s="395"/>
      <c r="O998" s="395"/>
      <c r="P998" s="395"/>
      <c r="Q998" s="395"/>
    </row>
    <row r="999">
      <c r="E999" s="394"/>
      <c r="J999" s="395"/>
      <c r="K999" s="395"/>
      <c r="L999" s="395"/>
      <c r="M999" s="395"/>
      <c r="N999" s="395"/>
      <c r="O999" s="395"/>
      <c r="P999" s="395"/>
      <c r="Q999" s="395"/>
    </row>
    <row r="1000">
      <c r="E1000" s="394"/>
      <c r="J1000" s="395"/>
      <c r="K1000" s="395"/>
      <c r="L1000" s="395"/>
      <c r="M1000" s="395"/>
      <c r="N1000" s="395"/>
      <c r="O1000" s="395"/>
      <c r="P1000" s="395"/>
      <c r="Q1000" s="395"/>
    </row>
    <row r="1001">
      <c r="E1001" s="394"/>
      <c r="J1001" s="395"/>
      <c r="K1001" s="395"/>
      <c r="L1001" s="395"/>
      <c r="M1001" s="395"/>
      <c r="N1001" s="395"/>
      <c r="O1001" s="395"/>
      <c r="P1001" s="395"/>
      <c r="Q1001" s="395"/>
    </row>
    <row r="1002">
      <c r="E1002" s="394"/>
      <c r="J1002" s="395"/>
      <c r="K1002" s="395"/>
      <c r="L1002" s="395"/>
      <c r="M1002" s="395"/>
      <c r="N1002" s="395"/>
      <c r="O1002" s="395"/>
      <c r="P1002" s="395"/>
      <c r="Q1002" s="395"/>
    </row>
    <row r="1003">
      <c r="E1003" s="394"/>
      <c r="J1003" s="395"/>
      <c r="K1003" s="395"/>
      <c r="L1003" s="395"/>
      <c r="M1003" s="395"/>
      <c r="N1003" s="395"/>
      <c r="O1003" s="395"/>
      <c r="P1003" s="395"/>
      <c r="Q1003" s="395"/>
    </row>
    <row r="1004">
      <c r="E1004" s="394"/>
      <c r="J1004" s="395"/>
      <c r="K1004" s="395"/>
      <c r="L1004" s="395"/>
      <c r="M1004" s="395"/>
      <c r="N1004" s="395"/>
      <c r="O1004" s="395"/>
      <c r="P1004" s="395"/>
      <c r="Q1004" s="395"/>
    </row>
    <row r="1005">
      <c r="E1005" s="394"/>
      <c r="J1005" s="395"/>
      <c r="K1005" s="395"/>
      <c r="L1005" s="395"/>
      <c r="M1005" s="395"/>
      <c r="N1005" s="395"/>
      <c r="O1005" s="395"/>
      <c r="P1005" s="395"/>
      <c r="Q1005" s="395"/>
    </row>
    <row r="1006">
      <c r="E1006" s="394"/>
      <c r="J1006" s="395"/>
      <c r="K1006" s="395"/>
      <c r="L1006" s="395"/>
      <c r="M1006" s="395"/>
      <c r="N1006" s="395"/>
      <c r="O1006" s="395"/>
      <c r="P1006" s="395"/>
      <c r="Q1006" s="395"/>
    </row>
    <row r="1007">
      <c r="E1007" s="394"/>
      <c r="J1007" s="395"/>
      <c r="K1007" s="395"/>
      <c r="L1007" s="395"/>
      <c r="M1007" s="395"/>
      <c r="N1007" s="395"/>
      <c r="O1007" s="395"/>
      <c r="P1007" s="395"/>
      <c r="Q1007" s="395"/>
    </row>
    <row r="1008">
      <c r="E1008" s="394"/>
      <c r="J1008" s="395"/>
      <c r="K1008" s="395"/>
      <c r="L1008" s="395"/>
      <c r="M1008" s="395"/>
      <c r="N1008" s="395"/>
      <c r="O1008" s="395"/>
      <c r="P1008" s="395"/>
      <c r="Q1008" s="395"/>
    </row>
    <row r="1009">
      <c r="E1009" s="394"/>
      <c r="J1009" s="395"/>
      <c r="K1009" s="395"/>
      <c r="L1009" s="395"/>
      <c r="M1009" s="395"/>
      <c r="N1009" s="395"/>
      <c r="O1009" s="395"/>
      <c r="P1009" s="395"/>
      <c r="Q1009" s="395"/>
    </row>
    <row r="1010">
      <c r="E1010" s="394"/>
      <c r="J1010" s="395"/>
      <c r="K1010" s="395"/>
      <c r="L1010" s="395"/>
      <c r="M1010" s="395"/>
      <c r="N1010" s="395"/>
      <c r="O1010" s="395"/>
      <c r="P1010" s="395"/>
      <c r="Q1010" s="395"/>
    </row>
    <row r="1011">
      <c r="E1011" s="394"/>
      <c r="J1011" s="395"/>
      <c r="K1011" s="395"/>
      <c r="L1011" s="395"/>
      <c r="M1011" s="395"/>
      <c r="N1011" s="395"/>
      <c r="O1011" s="395"/>
      <c r="P1011" s="395"/>
      <c r="Q1011" s="395"/>
    </row>
    <row r="1012">
      <c r="E1012" s="394"/>
      <c r="J1012" s="395"/>
      <c r="K1012" s="395"/>
      <c r="L1012" s="395"/>
      <c r="M1012" s="395"/>
      <c r="N1012" s="395"/>
      <c r="O1012" s="395"/>
      <c r="P1012" s="395"/>
      <c r="Q1012" s="395"/>
    </row>
    <row r="1013">
      <c r="E1013" s="394"/>
      <c r="J1013" s="395"/>
      <c r="K1013" s="395"/>
      <c r="L1013" s="395"/>
      <c r="M1013" s="395"/>
      <c r="N1013" s="395"/>
      <c r="O1013" s="395"/>
      <c r="P1013" s="395"/>
      <c r="Q1013" s="395"/>
    </row>
    <row r="1014">
      <c r="E1014" s="394"/>
      <c r="J1014" s="395"/>
      <c r="K1014" s="395"/>
      <c r="L1014" s="395"/>
      <c r="M1014" s="395"/>
      <c r="N1014" s="395"/>
      <c r="O1014" s="395"/>
      <c r="P1014" s="395"/>
      <c r="Q1014" s="395"/>
    </row>
    <row r="1015">
      <c r="E1015" s="394"/>
      <c r="J1015" s="395"/>
      <c r="K1015" s="395"/>
      <c r="L1015" s="395"/>
      <c r="M1015" s="395"/>
      <c r="N1015" s="395"/>
      <c r="O1015" s="395"/>
      <c r="P1015" s="395"/>
      <c r="Q1015" s="395"/>
    </row>
    <row r="1016">
      <c r="E1016" s="394"/>
      <c r="J1016" s="395"/>
      <c r="K1016" s="395"/>
      <c r="L1016" s="395"/>
      <c r="M1016" s="395"/>
      <c r="N1016" s="395"/>
      <c r="O1016" s="395"/>
      <c r="P1016" s="395"/>
      <c r="Q1016" s="395"/>
    </row>
    <row r="1017">
      <c r="E1017" s="394"/>
      <c r="J1017" s="395"/>
      <c r="K1017" s="395"/>
      <c r="L1017" s="395"/>
      <c r="M1017" s="395"/>
      <c r="N1017" s="395"/>
      <c r="O1017" s="395"/>
      <c r="P1017" s="395"/>
      <c r="Q1017" s="395"/>
    </row>
    <row r="1018">
      <c r="E1018" s="394"/>
      <c r="J1018" s="395"/>
      <c r="K1018" s="395"/>
      <c r="L1018" s="395"/>
      <c r="M1018" s="395"/>
      <c r="N1018" s="395"/>
      <c r="O1018" s="395"/>
      <c r="P1018" s="395"/>
      <c r="Q1018" s="395"/>
    </row>
    <row r="1019">
      <c r="E1019" s="394"/>
      <c r="J1019" s="395"/>
      <c r="K1019" s="395"/>
      <c r="L1019" s="395"/>
      <c r="M1019" s="395"/>
      <c r="N1019" s="395"/>
      <c r="O1019" s="395"/>
      <c r="P1019" s="395"/>
      <c r="Q1019" s="395"/>
    </row>
    <row r="1020">
      <c r="E1020" s="394"/>
      <c r="J1020" s="395"/>
      <c r="K1020" s="395"/>
      <c r="L1020" s="395"/>
      <c r="M1020" s="395"/>
      <c r="N1020" s="395"/>
      <c r="O1020" s="395"/>
      <c r="P1020" s="395"/>
      <c r="Q1020" s="395"/>
    </row>
    <row r="1021">
      <c r="E1021" s="394"/>
      <c r="J1021" s="395"/>
      <c r="K1021" s="395"/>
      <c r="L1021" s="395"/>
      <c r="M1021" s="395"/>
      <c r="N1021" s="395"/>
      <c r="O1021" s="395"/>
      <c r="P1021" s="395"/>
      <c r="Q1021" s="395"/>
    </row>
    <row r="1022">
      <c r="E1022" s="394"/>
      <c r="J1022" s="395"/>
      <c r="K1022" s="395"/>
      <c r="L1022" s="395"/>
      <c r="M1022" s="395"/>
      <c r="N1022" s="395"/>
      <c r="O1022" s="395"/>
      <c r="P1022" s="395"/>
      <c r="Q1022" s="395"/>
    </row>
    <row r="1023">
      <c r="E1023" s="394"/>
      <c r="J1023" s="395"/>
      <c r="K1023" s="395"/>
      <c r="L1023" s="395"/>
      <c r="M1023" s="395"/>
      <c r="N1023" s="395"/>
      <c r="O1023" s="395"/>
      <c r="P1023" s="395"/>
      <c r="Q1023" s="395"/>
    </row>
    <row r="1024">
      <c r="E1024" s="394"/>
      <c r="J1024" s="395"/>
      <c r="K1024" s="395"/>
      <c r="L1024" s="395"/>
      <c r="M1024" s="395"/>
      <c r="N1024" s="395"/>
      <c r="O1024" s="395"/>
      <c r="P1024" s="395"/>
      <c r="Q1024" s="395"/>
    </row>
    <row r="1025">
      <c r="E1025" s="394"/>
      <c r="J1025" s="395"/>
      <c r="K1025" s="395"/>
      <c r="L1025" s="395"/>
      <c r="M1025" s="395"/>
      <c r="N1025" s="395"/>
      <c r="O1025" s="395"/>
      <c r="P1025" s="395"/>
      <c r="Q1025" s="395"/>
    </row>
    <row r="1026">
      <c r="E1026" s="394"/>
      <c r="J1026" s="395"/>
      <c r="K1026" s="395"/>
      <c r="L1026" s="395"/>
      <c r="M1026" s="395"/>
      <c r="N1026" s="395"/>
      <c r="O1026" s="395"/>
      <c r="P1026" s="395"/>
      <c r="Q1026" s="395"/>
    </row>
    <row r="1027">
      <c r="E1027" s="394"/>
      <c r="J1027" s="395"/>
      <c r="K1027" s="395"/>
      <c r="L1027" s="395"/>
      <c r="M1027" s="395"/>
      <c r="N1027" s="395"/>
      <c r="O1027" s="395"/>
      <c r="P1027" s="395"/>
      <c r="Q1027" s="395"/>
    </row>
    <row r="1028">
      <c r="E1028" s="394"/>
      <c r="J1028" s="395"/>
      <c r="K1028" s="395"/>
      <c r="L1028" s="395"/>
      <c r="M1028" s="395"/>
      <c r="N1028" s="395"/>
      <c r="O1028" s="395"/>
      <c r="P1028" s="395"/>
      <c r="Q1028" s="395"/>
    </row>
    <row r="1029">
      <c r="E1029" s="394"/>
      <c r="J1029" s="395"/>
      <c r="K1029" s="395"/>
      <c r="L1029" s="395"/>
      <c r="M1029" s="395"/>
      <c r="N1029" s="395"/>
      <c r="O1029" s="395"/>
      <c r="P1029" s="395"/>
      <c r="Q1029" s="395"/>
    </row>
    <row r="1030">
      <c r="E1030" s="394"/>
      <c r="J1030" s="395"/>
      <c r="K1030" s="395"/>
      <c r="L1030" s="395"/>
      <c r="M1030" s="395"/>
      <c r="N1030" s="395"/>
      <c r="O1030" s="395"/>
      <c r="P1030" s="395"/>
      <c r="Q1030" s="395"/>
    </row>
    <row r="1031">
      <c r="E1031" s="394"/>
      <c r="J1031" s="395"/>
      <c r="K1031" s="395"/>
      <c r="L1031" s="395"/>
      <c r="M1031" s="395"/>
      <c r="N1031" s="395"/>
      <c r="O1031" s="395"/>
      <c r="P1031" s="395"/>
      <c r="Q1031" s="395"/>
    </row>
    <row r="1032">
      <c r="E1032" s="394"/>
      <c r="J1032" s="395"/>
      <c r="K1032" s="395"/>
      <c r="L1032" s="395"/>
      <c r="M1032" s="395"/>
      <c r="N1032" s="395"/>
      <c r="O1032" s="395"/>
      <c r="P1032" s="395"/>
      <c r="Q1032" s="395"/>
    </row>
    <row r="1033">
      <c r="E1033" s="394"/>
      <c r="J1033" s="395"/>
      <c r="K1033" s="395"/>
      <c r="L1033" s="395"/>
      <c r="M1033" s="395"/>
      <c r="N1033" s="395"/>
      <c r="O1033" s="395"/>
      <c r="P1033" s="395"/>
      <c r="Q1033" s="395"/>
    </row>
    <row r="1034">
      <c r="E1034" s="394"/>
      <c r="J1034" s="395"/>
      <c r="K1034" s="395"/>
      <c r="L1034" s="395"/>
      <c r="M1034" s="395"/>
      <c r="N1034" s="395"/>
      <c r="O1034" s="395"/>
      <c r="P1034" s="395"/>
      <c r="Q1034" s="395"/>
    </row>
    <row r="1035">
      <c r="E1035" s="394"/>
      <c r="J1035" s="395"/>
      <c r="K1035" s="395"/>
      <c r="L1035" s="395"/>
      <c r="M1035" s="395"/>
      <c r="N1035" s="395"/>
      <c r="O1035" s="395"/>
      <c r="P1035" s="395"/>
      <c r="Q1035" s="395"/>
    </row>
    <row r="1036">
      <c r="E1036" s="394"/>
      <c r="J1036" s="395"/>
      <c r="K1036" s="395"/>
      <c r="L1036" s="395"/>
      <c r="M1036" s="395"/>
      <c r="N1036" s="395"/>
      <c r="O1036" s="395"/>
      <c r="P1036" s="395"/>
      <c r="Q1036" s="395"/>
    </row>
    <row r="1037">
      <c r="E1037" s="394"/>
      <c r="J1037" s="395"/>
      <c r="K1037" s="395"/>
      <c r="L1037" s="395"/>
      <c r="M1037" s="395"/>
      <c r="N1037" s="395"/>
      <c r="O1037" s="395"/>
      <c r="P1037" s="395"/>
      <c r="Q1037" s="395"/>
    </row>
    <row r="1038">
      <c r="E1038" s="394"/>
      <c r="J1038" s="395"/>
      <c r="K1038" s="395"/>
      <c r="L1038" s="395"/>
      <c r="M1038" s="395"/>
      <c r="N1038" s="395"/>
      <c r="O1038" s="395"/>
      <c r="P1038" s="395"/>
      <c r="Q1038" s="395"/>
    </row>
    <row r="1039">
      <c r="E1039" s="394"/>
      <c r="J1039" s="395"/>
      <c r="K1039" s="395"/>
      <c r="L1039" s="395"/>
      <c r="M1039" s="395"/>
      <c r="N1039" s="395"/>
      <c r="O1039" s="395"/>
      <c r="P1039" s="395"/>
      <c r="Q1039" s="395"/>
    </row>
    <row r="1040">
      <c r="E1040" s="394"/>
      <c r="J1040" s="395"/>
      <c r="K1040" s="395"/>
      <c r="L1040" s="395"/>
      <c r="M1040" s="395"/>
      <c r="N1040" s="395"/>
      <c r="O1040" s="395"/>
      <c r="P1040" s="395"/>
      <c r="Q1040" s="395"/>
    </row>
    <row r="1041">
      <c r="E1041" s="394"/>
      <c r="J1041" s="395"/>
      <c r="K1041" s="395"/>
      <c r="L1041" s="395"/>
      <c r="M1041" s="395"/>
      <c r="N1041" s="395"/>
      <c r="O1041" s="395"/>
      <c r="P1041" s="395"/>
      <c r="Q1041" s="395"/>
    </row>
    <row r="1042">
      <c r="E1042" s="394"/>
      <c r="J1042" s="395"/>
      <c r="K1042" s="395"/>
      <c r="L1042" s="395"/>
      <c r="M1042" s="395"/>
      <c r="N1042" s="395"/>
      <c r="O1042" s="395"/>
      <c r="P1042" s="395"/>
      <c r="Q1042" s="395"/>
    </row>
    <row r="1043">
      <c r="E1043" s="394"/>
      <c r="J1043" s="395"/>
      <c r="K1043" s="395"/>
      <c r="L1043" s="395"/>
      <c r="M1043" s="395"/>
      <c r="N1043" s="395"/>
      <c r="O1043" s="395"/>
      <c r="P1043" s="395"/>
      <c r="Q1043" s="395"/>
    </row>
    <row r="1044">
      <c r="E1044" s="394"/>
      <c r="J1044" s="395"/>
      <c r="K1044" s="395"/>
      <c r="L1044" s="395"/>
      <c r="M1044" s="395"/>
      <c r="N1044" s="395"/>
      <c r="O1044" s="395"/>
      <c r="P1044" s="395"/>
      <c r="Q1044" s="395"/>
    </row>
    <row r="1045">
      <c r="E1045" s="394"/>
      <c r="J1045" s="395"/>
      <c r="K1045" s="395"/>
      <c r="L1045" s="395"/>
      <c r="M1045" s="395"/>
      <c r="N1045" s="395"/>
      <c r="O1045" s="395"/>
      <c r="P1045" s="395"/>
      <c r="Q1045" s="395"/>
    </row>
    <row r="1046">
      <c r="E1046" s="394"/>
      <c r="J1046" s="395"/>
      <c r="K1046" s="395"/>
      <c r="L1046" s="395"/>
      <c r="M1046" s="395"/>
      <c r="N1046" s="395"/>
      <c r="O1046" s="395"/>
      <c r="P1046" s="395"/>
      <c r="Q1046" s="395"/>
    </row>
    <row r="1047">
      <c r="E1047" s="394"/>
      <c r="J1047" s="395"/>
      <c r="K1047" s="395"/>
      <c r="L1047" s="395"/>
      <c r="M1047" s="395"/>
      <c r="N1047" s="395"/>
      <c r="O1047" s="395"/>
      <c r="P1047" s="395"/>
      <c r="Q1047" s="395"/>
    </row>
    <row r="1048">
      <c r="E1048" s="394"/>
      <c r="J1048" s="395"/>
      <c r="K1048" s="395"/>
      <c r="L1048" s="395"/>
      <c r="M1048" s="395"/>
      <c r="N1048" s="395"/>
      <c r="O1048" s="395"/>
      <c r="P1048" s="395"/>
      <c r="Q1048" s="395"/>
    </row>
    <row r="1049">
      <c r="E1049" s="394"/>
      <c r="J1049" s="395"/>
      <c r="K1049" s="395"/>
      <c r="L1049" s="395"/>
      <c r="M1049" s="395"/>
      <c r="N1049" s="395"/>
      <c r="O1049" s="395"/>
      <c r="P1049" s="395"/>
      <c r="Q1049" s="395"/>
    </row>
    <row r="1050">
      <c r="E1050" s="394"/>
      <c r="J1050" s="395"/>
      <c r="K1050" s="395"/>
      <c r="L1050" s="395"/>
      <c r="M1050" s="395"/>
      <c r="N1050" s="395"/>
      <c r="O1050" s="395"/>
      <c r="P1050" s="395"/>
      <c r="Q1050" s="395"/>
    </row>
    <row r="1051">
      <c r="E1051" s="394"/>
      <c r="J1051" s="395"/>
      <c r="K1051" s="395"/>
      <c r="L1051" s="395"/>
      <c r="M1051" s="395"/>
      <c r="N1051" s="395"/>
      <c r="O1051" s="395"/>
      <c r="P1051" s="395"/>
      <c r="Q1051" s="395"/>
    </row>
    <row r="1052">
      <c r="E1052" s="394"/>
      <c r="J1052" s="395"/>
      <c r="K1052" s="395"/>
      <c r="L1052" s="395"/>
      <c r="M1052" s="395"/>
      <c r="N1052" s="395"/>
      <c r="O1052" s="395"/>
      <c r="P1052" s="395"/>
      <c r="Q1052" s="395"/>
    </row>
    <row r="1053">
      <c r="E1053" s="394"/>
      <c r="J1053" s="395"/>
      <c r="K1053" s="395"/>
      <c r="L1053" s="395"/>
      <c r="M1053" s="395"/>
      <c r="N1053" s="395"/>
      <c r="O1053" s="395"/>
      <c r="P1053" s="395"/>
      <c r="Q1053" s="395"/>
    </row>
    <row r="1054">
      <c r="E1054" s="394"/>
      <c r="J1054" s="395"/>
      <c r="K1054" s="395"/>
      <c r="L1054" s="395"/>
      <c r="M1054" s="395"/>
      <c r="N1054" s="395"/>
      <c r="O1054" s="395"/>
      <c r="P1054" s="395"/>
      <c r="Q1054" s="395"/>
    </row>
    <row r="1055">
      <c r="E1055" s="394"/>
      <c r="J1055" s="395"/>
      <c r="K1055" s="395"/>
      <c r="L1055" s="395"/>
      <c r="M1055" s="395"/>
      <c r="N1055" s="395"/>
      <c r="O1055" s="395"/>
      <c r="P1055" s="395"/>
      <c r="Q1055" s="395"/>
    </row>
    <row r="1056">
      <c r="E1056" s="394"/>
      <c r="J1056" s="395"/>
      <c r="K1056" s="395"/>
      <c r="L1056" s="395"/>
      <c r="M1056" s="395"/>
      <c r="N1056" s="395"/>
      <c r="O1056" s="395"/>
      <c r="P1056" s="395"/>
      <c r="Q1056" s="395"/>
    </row>
    <row r="1057">
      <c r="E1057" s="394"/>
      <c r="J1057" s="395"/>
      <c r="K1057" s="395"/>
      <c r="L1057" s="395"/>
      <c r="M1057" s="395"/>
      <c r="N1057" s="395"/>
      <c r="O1057" s="395"/>
      <c r="P1057" s="395"/>
      <c r="Q1057" s="395"/>
    </row>
    <row r="1058">
      <c r="E1058" s="394"/>
      <c r="J1058" s="395"/>
      <c r="K1058" s="395"/>
      <c r="L1058" s="395"/>
      <c r="M1058" s="395"/>
      <c r="N1058" s="395"/>
      <c r="O1058" s="395"/>
      <c r="P1058" s="395"/>
      <c r="Q1058" s="395"/>
    </row>
    <row r="1059">
      <c r="E1059" s="394"/>
      <c r="J1059" s="395"/>
      <c r="K1059" s="395"/>
      <c r="L1059" s="395"/>
      <c r="M1059" s="395"/>
      <c r="N1059" s="395"/>
      <c r="O1059" s="395"/>
      <c r="P1059" s="395"/>
      <c r="Q1059" s="395"/>
    </row>
    <row r="1060">
      <c r="E1060" s="394"/>
      <c r="J1060" s="395"/>
      <c r="K1060" s="395"/>
      <c r="L1060" s="395"/>
      <c r="M1060" s="395"/>
      <c r="N1060" s="395"/>
      <c r="O1060" s="395"/>
      <c r="P1060" s="395"/>
      <c r="Q1060" s="395"/>
    </row>
    <row r="1061">
      <c r="E1061" s="394"/>
      <c r="J1061" s="395"/>
      <c r="K1061" s="395"/>
      <c r="L1061" s="395"/>
      <c r="M1061" s="395"/>
      <c r="N1061" s="395"/>
      <c r="O1061" s="395"/>
      <c r="P1061" s="395"/>
      <c r="Q1061" s="395"/>
    </row>
    <row r="1062">
      <c r="E1062" s="394"/>
      <c r="J1062" s="395"/>
      <c r="K1062" s="395"/>
      <c r="L1062" s="395"/>
      <c r="M1062" s="395"/>
      <c r="N1062" s="395"/>
      <c r="O1062" s="395"/>
      <c r="P1062" s="395"/>
      <c r="Q1062" s="395"/>
    </row>
    <row r="1063">
      <c r="E1063" s="394"/>
      <c r="J1063" s="395"/>
      <c r="K1063" s="395"/>
      <c r="L1063" s="395"/>
      <c r="M1063" s="395"/>
      <c r="N1063" s="395"/>
      <c r="O1063" s="395"/>
      <c r="P1063" s="395"/>
      <c r="Q1063" s="395"/>
    </row>
    <row r="1064">
      <c r="E1064" s="394"/>
      <c r="J1064" s="395"/>
      <c r="K1064" s="395"/>
      <c r="L1064" s="395"/>
      <c r="M1064" s="395"/>
      <c r="N1064" s="395"/>
      <c r="O1064" s="395"/>
      <c r="P1064" s="395"/>
      <c r="Q1064" s="395"/>
    </row>
    <row r="1065">
      <c r="E1065" s="394"/>
      <c r="J1065" s="395"/>
      <c r="K1065" s="395"/>
      <c r="L1065" s="395"/>
      <c r="M1065" s="395"/>
      <c r="N1065" s="395"/>
      <c r="O1065" s="395"/>
      <c r="P1065" s="395"/>
      <c r="Q1065" s="395"/>
    </row>
    <row r="1066">
      <c r="E1066" s="394"/>
      <c r="J1066" s="395"/>
      <c r="K1066" s="395"/>
      <c r="L1066" s="395"/>
      <c r="M1066" s="395"/>
      <c r="N1066" s="395"/>
      <c r="O1066" s="395"/>
      <c r="P1066" s="395"/>
      <c r="Q1066" s="395"/>
    </row>
    <row r="1067">
      <c r="E1067" s="394"/>
      <c r="J1067" s="395"/>
      <c r="K1067" s="395"/>
      <c r="L1067" s="395"/>
      <c r="M1067" s="395"/>
      <c r="N1067" s="395"/>
      <c r="O1067" s="395"/>
      <c r="P1067" s="395"/>
      <c r="Q1067" s="395"/>
    </row>
    <row r="1068">
      <c r="E1068" s="394"/>
      <c r="J1068" s="395"/>
      <c r="K1068" s="395"/>
      <c r="L1068" s="395"/>
      <c r="M1068" s="395"/>
      <c r="N1068" s="395"/>
      <c r="O1068" s="395"/>
      <c r="P1068" s="395"/>
      <c r="Q1068" s="395"/>
    </row>
    <row r="1069">
      <c r="E1069" s="394"/>
      <c r="J1069" s="395"/>
      <c r="K1069" s="395"/>
      <c r="L1069" s="395"/>
      <c r="M1069" s="395"/>
      <c r="N1069" s="395"/>
      <c r="O1069" s="395"/>
      <c r="P1069" s="395"/>
      <c r="Q1069" s="395"/>
    </row>
    <row r="1070">
      <c r="E1070" s="394"/>
      <c r="J1070" s="395"/>
      <c r="K1070" s="395"/>
      <c r="L1070" s="395"/>
      <c r="M1070" s="395"/>
      <c r="N1070" s="395"/>
      <c r="O1070" s="395"/>
      <c r="P1070" s="395"/>
      <c r="Q1070" s="395"/>
    </row>
    <row r="1071">
      <c r="E1071" s="394"/>
      <c r="J1071" s="395"/>
      <c r="K1071" s="395"/>
      <c r="L1071" s="395"/>
      <c r="M1071" s="395"/>
      <c r="N1071" s="395"/>
      <c r="O1071" s="395"/>
      <c r="P1071" s="395"/>
      <c r="Q1071" s="395"/>
    </row>
    <row r="1072">
      <c r="E1072" s="394"/>
      <c r="J1072" s="395"/>
      <c r="K1072" s="395"/>
      <c r="L1072" s="395"/>
      <c r="M1072" s="395"/>
      <c r="N1072" s="395"/>
      <c r="O1072" s="395"/>
      <c r="P1072" s="395"/>
      <c r="Q1072" s="395"/>
    </row>
    <row r="1073">
      <c r="E1073" s="394"/>
      <c r="J1073" s="395"/>
      <c r="K1073" s="395"/>
      <c r="L1073" s="395"/>
      <c r="M1073" s="395"/>
      <c r="N1073" s="395"/>
      <c r="O1073" s="395"/>
      <c r="P1073" s="395"/>
      <c r="Q1073" s="395"/>
    </row>
  </sheetData>
  <autoFilter ref="$A$1:$R$110"/>
  <customSheetViews>
    <customSheetView guid="{22FC5C8B-F969-4BDC-BCB8-FF2BCE3E803A}" filter="1" showAutoFilter="1">
      <autoFilter ref="$A$1:$R$110">
        <filterColumn colId="2">
          <filters>
            <filter val="Kennedy Central"/>
          </filters>
        </filterColumn>
      </autoFilter>
    </customSheetView>
    <customSheetView guid="{D4602E98-F668-4065-977B-37E5116EB3EB}" filter="1" showAutoFilter="1">
      <autoFilter ref="$A$1:$R$110">
        <filterColumn colId="2">
          <filters>
            <filter val="Class"/>
          </filters>
        </filterColumn>
      </autoFilter>
    </customSheetView>
    <customSheetView guid="{3014FF2E-FE8D-40DE-AB79-914253CDCC26}" filter="1" showAutoFilter="1">
      <autoFilter ref="$A$1:$Y$110">
        <filterColumn colId="8">
          <filters>
            <filter val="23/01/2026"/>
            <filter val="31/01/2026"/>
            <filter val="13/01/2026"/>
            <filter val="30/01/2026"/>
            <filter val="15/01/2026"/>
            <filter val="14/01/2026"/>
            <filter val="29/01/2026"/>
            <filter val="16/01/2026"/>
            <filter val="26/02/2026"/>
            <filter val="02/01/2026"/>
            <filter val="07/03/2026"/>
            <filter val="19/12/2025"/>
          </filters>
        </filterColumn>
      </autoFilter>
    </customSheetView>
    <customSheetView guid="{A43F538C-62E3-4A8B-9E4E-306D25701A5D}" filter="1" showAutoFilter="1">
      <autoFilter ref="$A$1:$R$110"/>
    </customSheetView>
  </customSheetViews>
  <dataValidations>
    <dataValidation type="list" allowBlank="1" showErrorMessage="1" sqref="A2:A110">
      <formula1>"NORTE,SUR"</formula1>
    </dataValidation>
    <dataValidation type="list" allowBlank="1" showErrorMessage="1" sqref="D2:D11 D23:D25">
      <formula1>"8:00 am,11:00AM,2:00PM,3:00PM,4:00PM,1:00 PM,3:30 PM,10:00 AM,12:30 M,5:00 PM,8:00 PM,9:00 PM"</formula1>
    </dataValidation>
    <dataValidation type="list" allowBlank="1" showErrorMessage="1" sqref="E2:E110">
      <formula1>"ALABANZA,ESTUDIO BIBLICO,ENSEÑANZA,TERRITORIO,ALMUERZO,BINGO,SEGUIMIENTO"</formula1>
    </dataValidation>
    <dataValidation type="list" allowBlank="1" showErrorMessage="1" sqref="F2:F110">
      <formula1>"AFINIDAD,POLITICO COMUNITARIA,LIBERTAD RELIGIOSA,N/A"</formula1>
    </dataValidation>
    <dataValidation type="list" allowBlank="1" showErrorMessage="1" sqref="D12:D22 D26:D110">
      <formula1>"8:00 AM,11:00 AM,6:00 PM,6:30 PM,5:00 PM,7:00 PM,7:00 AM,2:00 PM,1:30 PM,1:00 PM,2:30 PM,3:00 PM,4:00 PM,5.30 PM,10:00 AM,11:30 AM,12:00 M,12:30 M,4:30 PM,3:30 PM,9:00 AM,10:30 AM,5:30 PM,6:30 AM,3:30 PM,1:30 PM,9:30 am,8:30 AM"</formula1>
    </dataValidation>
    <dataValidation type="list" allowBlank="1" showErrorMessage="1" sqref="C2:C110">
      <formula1>"Kennedy Central,Carvajal,Class,Patio Bonito,N/A,Virtual,Localidad"</formula1>
    </dataValidation>
  </dataValidations>
  <hyperlinks>
    <hyperlink r:id="rId1" ref="M8"/>
    <hyperlink r:id="rId2" ref="M9"/>
    <hyperlink r:id="rId3" ref="M10"/>
    <hyperlink r:id="rId4" ref="M11"/>
    <hyperlink r:id="rId5" ref="N12"/>
    <hyperlink r:id="rId6" ref="N13"/>
    <hyperlink r:id="rId7" ref="M15"/>
    <hyperlink r:id="rId8" ref="N16"/>
    <hyperlink r:id="rId9" ref="N17"/>
    <hyperlink r:id="rId10" ref="M18"/>
    <hyperlink r:id="rId11" ref="M20"/>
    <hyperlink r:id="rId12" ref="M21"/>
    <hyperlink r:id="rId13" ref="N22"/>
    <hyperlink r:id="rId14" ref="M25"/>
    <hyperlink r:id="rId15" ref="N25"/>
    <hyperlink r:id="rId16" ref="M26"/>
    <hyperlink r:id="rId17" ref="M27"/>
    <hyperlink r:id="rId18" ref="M28"/>
    <hyperlink r:id="rId19" ref="M29"/>
    <hyperlink r:id="rId20" ref="M30"/>
    <hyperlink r:id="rId21" ref="M31"/>
    <hyperlink r:id="rId22" ref="M32"/>
    <hyperlink r:id="rId23" ref="M33"/>
    <hyperlink r:id="rId24" ref="M35"/>
    <hyperlink r:id="rId25" ref="M36"/>
    <hyperlink r:id="rId26" ref="M37"/>
    <hyperlink r:id="rId27" ref="N38"/>
    <hyperlink r:id="rId28" ref="M39"/>
    <hyperlink r:id="rId29" ref="M40"/>
    <hyperlink r:id="rId30" ref="N41"/>
    <hyperlink r:id="rId31" ref="M42"/>
    <hyperlink r:id="rId32" ref="M43"/>
    <hyperlink r:id="rId33" ref="M45"/>
    <hyperlink r:id="rId34" ref="M46"/>
    <hyperlink r:id="rId35" ref="M47"/>
    <hyperlink r:id="rId36" ref="M48"/>
    <hyperlink r:id="rId37" ref="M49"/>
    <hyperlink r:id="rId38" ref="M50"/>
    <hyperlink r:id="rId39" ref="M52"/>
    <hyperlink r:id="rId40" ref="M53"/>
    <hyperlink r:id="rId41" ref="M54"/>
    <hyperlink r:id="rId42" ref="M55"/>
    <hyperlink r:id="rId43" ref="M56"/>
    <hyperlink r:id="rId44" ref="M57"/>
    <hyperlink r:id="rId45" ref="M58"/>
    <hyperlink r:id="rId46" ref="M59"/>
    <hyperlink r:id="rId47" ref="M60"/>
    <hyperlink r:id="rId48" ref="M61"/>
    <hyperlink r:id="rId49" ref="M62"/>
    <hyperlink r:id="rId50" ref="M63"/>
    <hyperlink r:id="rId51" ref="M65"/>
    <hyperlink r:id="rId52" ref="M66"/>
    <hyperlink r:id="rId53" ref="M67"/>
    <hyperlink r:id="rId54" ref="M68"/>
    <hyperlink r:id="rId55" ref="M69"/>
    <hyperlink r:id="rId56" ref="N70"/>
    <hyperlink r:id="rId57" ref="M71"/>
    <hyperlink r:id="rId58" ref="M73"/>
    <hyperlink r:id="rId59" ref="M74"/>
    <hyperlink r:id="rId60" ref="N75"/>
    <hyperlink r:id="rId61" ref="M76"/>
    <hyperlink r:id="rId62" ref="M77"/>
    <hyperlink r:id="rId63" ref="M79"/>
    <hyperlink r:id="rId64" ref="M80"/>
    <hyperlink r:id="rId65" ref="M81"/>
    <hyperlink r:id="rId66" ref="M82"/>
    <hyperlink r:id="rId67" ref="M83"/>
    <hyperlink r:id="rId68" ref="M84"/>
    <hyperlink r:id="rId69" ref="M85"/>
    <hyperlink r:id="rId70" ref="M86"/>
    <hyperlink r:id="rId71" ref="M87"/>
    <hyperlink r:id="rId72" ref="M88"/>
    <hyperlink r:id="rId73" ref="M90"/>
    <hyperlink r:id="rId74" ref="M91"/>
    <hyperlink r:id="rId75" ref="M93"/>
    <hyperlink r:id="rId76" ref="M94"/>
    <hyperlink r:id="rId77" ref="M96"/>
    <hyperlink r:id="rId78" ref="M97"/>
    <hyperlink r:id="rId79" ref="M98"/>
    <hyperlink r:id="rId80" ref="M100"/>
    <hyperlink r:id="rId81" ref="M102"/>
    <hyperlink r:id="rId82" ref="M103"/>
    <hyperlink r:id="rId83" ref="M104"/>
    <hyperlink r:id="rId84" ref="M106"/>
    <hyperlink r:id="rId85" ref="M107"/>
    <hyperlink r:id="rId86" ref="M108"/>
  </hyperlinks>
  <drawing r:id="rId8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3.5"/>
  </cols>
  <sheetData>
    <row r="1">
      <c r="A1" s="398" t="s">
        <v>477</v>
      </c>
      <c r="B1" s="398" t="s">
        <v>478</v>
      </c>
      <c r="C1" s="398" t="s">
        <v>479</v>
      </c>
      <c r="D1" s="398" t="s">
        <v>480</v>
      </c>
      <c r="E1" s="398" t="s">
        <v>481</v>
      </c>
      <c r="F1" s="398" t="s">
        <v>482</v>
      </c>
      <c r="G1" s="398" t="s">
        <v>483</v>
      </c>
      <c r="H1" s="399" t="s">
        <v>484</v>
      </c>
      <c r="I1" s="398" t="s">
        <v>485</v>
      </c>
      <c r="J1" s="398" t="s">
        <v>486</v>
      </c>
      <c r="K1" s="398" t="s">
        <v>487</v>
      </c>
      <c r="L1" s="398" t="s">
        <v>1</v>
      </c>
      <c r="M1" s="398" t="s">
        <v>488</v>
      </c>
      <c r="N1" s="398" t="s">
        <v>489</v>
      </c>
      <c r="O1" s="398" t="s">
        <v>490</v>
      </c>
      <c r="P1" s="399" t="s">
        <v>491</v>
      </c>
      <c r="Q1" s="398" t="s">
        <v>492</v>
      </c>
      <c r="R1" s="398" t="s">
        <v>493</v>
      </c>
      <c r="S1" s="398" t="s">
        <v>494</v>
      </c>
      <c r="T1" s="398" t="s">
        <v>495</v>
      </c>
      <c r="U1" s="398" t="s">
        <v>496</v>
      </c>
      <c r="V1" s="398" t="s">
        <v>497</v>
      </c>
      <c r="W1" s="398" t="s">
        <v>498</v>
      </c>
      <c r="X1" s="398" t="s">
        <v>499</v>
      </c>
      <c r="Y1" s="400" t="s">
        <v>500</v>
      </c>
      <c r="Z1" s="400" t="s">
        <v>501</v>
      </c>
      <c r="AA1" s="401" t="s">
        <v>502</v>
      </c>
      <c r="AB1" s="398" t="s">
        <v>503</v>
      </c>
      <c r="AC1" s="398" t="s">
        <v>504</v>
      </c>
      <c r="AD1" s="398" t="s">
        <v>505</v>
      </c>
      <c r="AE1" s="398" t="s">
        <v>506</v>
      </c>
      <c r="AF1" s="398" t="s">
        <v>507</v>
      </c>
      <c r="AG1" s="398" t="s">
        <v>508</v>
      </c>
      <c r="AH1" s="398" t="s">
        <v>509</v>
      </c>
      <c r="AI1" s="398" t="s">
        <v>510</v>
      </c>
      <c r="AJ1" s="398" t="s">
        <v>511</v>
      </c>
    </row>
    <row r="2">
      <c r="A2" s="402">
        <v>2024.0</v>
      </c>
      <c r="B2" s="402">
        <v>1.0</v>
      </c>
      <c r="C2" s="403" t="s">
        <v>155</v>
      </c>
      <c r="D2" s="403">
        <v>2.02400007E8</v>
      </c>
      <c r="E2" s="404" t="s">
        <v>512</v>
      </c>
      <c r="F2" s="403" t="s">
        <v>513</v>
      </c>
      <c r="G2" s="405" t="s">
        <v>514</v>
      </c>
      <c r="H2" s="405" t="s">
        <v>515</v>
      </c>
      <c r="I2" s="403" t="s">
        <v>516</v>
      </c>
      <c r="J2" s="403" t="s">
        <v>249</v>
      </c>
      <c r="K2" s="403" t="s">
        <v>517</v>
      </c>
      <c r="L2" s="403" t="s">
        <v>518</v>
      </c>
      <c r="M2" s="403" t="s">
        <v>53</v>
      </c>
      <c r="N2" s="403" t="str">
        <f>BUSCARX(R[0]C[-1],CONVENCIONES!R12C1:R42C1,CONVENCIONES!R12C2:R42C2)</f>
        <v>#ERROR!</v>
      </c>
      <c r="O2" s="403" t="s">
        <v>519</v>
      </c>
      <c r="P2" s="403" t="s">
        <v>520</v>
      </c>
      <c r="Q2" s="403" t="s">
        <v>521</v>
      </c>
      <c r="R2" s="403">
        <v>1.145933937E9</v>
      </c>
      <c r="S2" s="405" t="s">
        <v>522</v>
      </c>
      <c r="T2" s="403" t="s">
        <v>523</v>
      </c>
      <c r="U2" s="403" t="s">
        <v>524</v>
      </c>
      <c r="V2" s="403">
        <v>3.143946191E9</v>
      </c>
      <c r="W2" s="404" t="s">
        <v>525</v>
      </c>
      <c r="X2" s="404" t="s">
        <v>526</v>
      </c>
      <c r="Y2" s="404" t="s">
        <v>527</v>
      </c>
      <c r="Z2" s="404" t="s">
        <v>528</v>
      </c>
      <c r="AA2" s="403" t="s">
        <v>53</v>
      </c>
      <c r="AB2" s="406">
        <v>45314.0</v>
      </c>
      <c r="AC2" s="406" t="s">
        <v>53</v>
      </c>
      <c r="AD2" s="404" t="s">
        <v>529</v>
      </c>
      <c r="AE2" s="404" t="s">
        <v>530</v>
      </c>
      <c r="AF2" s="407" t="s">
        <v>531</v>
      </c>
      <c r="AG2" s="405" t="s">
        <v>532</v>
      </c>
      <c r="AH2" s="408" t="s">
        <v>533</v>
      </c>
      <c r="AI2" s="409"/>
      <c r="AJ2" s="410" t="s">
        <v>534</v>
      </c>
    </row>
    <row r="3" ht="40.5" customHeight="1">
      <c r="A3" s="402">
        <v>2024.0</v>
      </c>
      <c r="B3" s="402">
        <v>1.0</v>
      </c>
      <c r="C3" s="403" t="s">
        <v>155</v>
      </c>
      <c r="D3" s="403">
        <v>2.02400025E8</v>
      </c>
      <c r="E3" s="404" t="s">
        <v>512</v>
      </c>
      <c r="F3" s="403" t="s">
        <v>535</v>
      </c>
      <c r="G3" s="411"/>
      <c r="H3" s="405" t="s">
        <v>536</v>
      </c>
      <c r="I3" s="403" t="s">
        <v>537</v>
      </c>
      <c r="J3" s="403" t="s">
        <v>538</v>
      </c>
      <c r="K3" s="403" t="s">
        <v>517</v>
      </c>
      <c r="L3" s="403" t="s">
        <v>518</v>
      </c>
      <c r="M3" s="403" t="s">
        <v>53</v>
      </c>
      <c r="N3" s="403" t="str">
        <f>BUSCARX(R[0]C[-1],CONVENCIONES!R12C1:R42C1,CONVENCIONES!R12C2:R42C2)</f>
        <v>#ERROR!</v>
      </c>
      <c r="O3" s="403" t="s">
        <v>519</v>
      </c>
      <c r="P3" s="403" t="s">
        <v>539</v>
      </c>
      <c r="Q3" s="403" t="s">
        <v>540</v>
      </c>
      <c r="R3" s="403">
        <v>7109640.0</v>
      </c>
      <c r="S3" s="405" t="s">
        <v>53</v>
      </c>
      <c r="T3" s="403" t="s">
        <v>541</v>
      </c>
      <c r="U3" s="403" t="s">
        <v>542</v>
      </c>
      <c r="V3" s="403" t="s">
        <v>543</v>
      </c>
      <c r="W3" s="404" t="s">
        <v>525</v>
      </c>
      <c r="X3" s="404" t="s">
        <v>544</v>
      </c>
      <c r="Y3" s="404" t="s">
        <v>527</v>
      </c>
      <c r="Z3" s="404" t="s">
        <v>528</v>
      </c>
      <c r="AA3" s="403" t="s">
        <v>53</v>
      </c>
      <c r="AB3" s="406">
        <v>41668.0</v>
      </c>
      <c r="AC3" s="406" t="s">
        <v>53</v>
      </c>
      <c r="AD3" s="404" t="s">
        <v>529</v>
      </c>
      <c r="AE3" s="404" t="s">
        <v>530</v>
      </c>
      <c r="AF3" s="405" t="s">
        <v>531</v>
      </c>
      <c r="AG3" s="405" t="s">
        <v>532</v>
      </c>
      <c r="AH3" s="408" t="s">
        <v>545</v>
      </c>
      <c r="AI3" s="409"/>
      <c r="AJ3" s="410" t="s">
        <v>534</v>
      </c>
    </row>
    <row r="4">
      <c r="A4" s="402">
        <v>2024.0</v>
      </c>
      <c r="B4" s="402">
        <v>2.0</v>
      </c>
      <c r="C4" s="405" t="s">
        <v>363</v>
      </c>
      <c r="D4" s="403">
        <v>2.02400038E8</v>
      </c>
      <c r="E4" s="404" t="s">
        <v>512</v>
      </c>
      <c r="F4" s="403" t="s">
        <v>535</v>
      </c>
      <c r="G4" s="405" t="s">
        <v>546</v>
      </c>
      <c r="H4" s="405" t="s">
        <v>547</v>
      </c>
      <c r="I4" s="403" t="s">
        <v>537</v>
      </c>
      <c r="J4" s="403" t="s">
        <v>85</v>
      </c>
      <c r="K4" s="403" t="s">
        <v>517</v>
      </c>
      <c r="L4" s="403" t="s">
        <v>518</v>
      </c>
      <c r="M4" s="403" t="s">
        <v>548</v>
      </c>
      <c r="N4" s="403" t="str">
        <f>BUSCARX(R[0]C[-1],CONVENCIONES!R12C1:R42C1,CONVENCIONES!R12C2:R42C2)</f>
        <v>#ERROR!</v>
      </c>
      <c r="O4" s="403" t="s">
        <v>519</v>
      </c>
      <c r="P4" s="403" t="s">
        <v>549</v>
      </c>
      <c r="Q4" s="403" t="s">
        <v>540</v>
      </c>
      <c r="R4" s="403">
        <v>1.028785887E9</v>
      </c>
      <c r="S4" s="405" t="s">
        <v>53</v>
      </c>
      <c r="T4" s="406" t="s">
        <v>53</v>
      </c>
      <c r="U4" s="403" t="s">
        <v>550</v>
      </c>
      <c r="V4" s="403">
        <v>3.226438335E9</v>
      </c>
      <c r="W4" s="404" t="s">
        <v>525</v>
      </c>
      <c r="X4" s="404" t="s">
        <v>526</v>
      </c>
      <c r="Y4" s="404" t="s">
        <v>527</v>
      </c>
      <c r="Z4" s="404" t="s">
        <v>528</v>
      </c>
      <c r="AA4" s="405" t="s">
        <v>551</v>
      </c>
      <c r="AB4" s="406">
        <v>45330.0</v>
      </c>
      <c r="AC4" s="406">
        <v>44966.0</v>
      </c>
      <c r="AD4" s="412" t="s">
        <v>529</v>
      </c>
      <c r="AE4" s="404" t="s">
        <v>552</v>
      </c>
      <c r="AF4" s="407" t="s">
        <v>531</v>
      </c>
      <c r="AG4" s="405" t="s">
        <v>532</v>
      </c>
      <c r="AH4" s="408" t="s">
        <v>553</v>
      </c>
      <c r="AI4" s="409"/>
      <c r="AJ4" s="410" t="s">
        <v>534</v>
      </c>
    </row>
    <row r="5">
      <c r="A5" s="402">
        <v>2024.0</v>
      </c>
      <c r="B5" s="402">
        <v>2.0</v>
      </c>
      <c r="C5" s="405" t="s">
        <v>363</v>
      </c>
      <c r="D5" s="403">
        <v>2.02400079E8</v>
      </c>
      <c r="E5" s="404" t="s">
        <v>512</v>
      </c>
      <c r="F5" s="403" t="s">
        <v>513</v>
      </c>
      <c r="G5" s="405" t="s">
        <v>554</v>
      </c>
      <c r="H5" s="405" t="s">
        <v>555</v>
      </c>
      <c r="I5" s="403" t="s">
        <v>556</v>
      </c>
      <c r="J5" s="403" t="s">
        <v>93</v>
      </c>
      <c r="K5" s="403" t="s">
        <v>517</v>
      </c>
      <c r="L5" s="403" t="s">
        <v>518</v>
      </c>
      <c r="M5" s="403" t="s">
        <v>557</v>
      </c>
      <c r="N5" s="403" t="str">
        <f>BUSCARX(R[0]C[-1],CONVENCIONES!R12C1:R42C1,CONVENCIONES!R12C2:R42C2)</f>
        <v>#ERROR!</v>
      </c>
      <c r="O5" s="403" t="s">
        <v>519</v>
      </c>
      <c r="P5" s="403" t="s">
        <v>558</v>
      </c>
      <c r="Q5" s="403" t="s">
        <v>521</v>
      </c>
      <c r="R5" s="403">
        <v>4894006.0</v>
      </c>
      <c r="S5" s="405" t="s">
        <v>559</v>
      </c>
      <c r="T5" s="405" t="s">
        <v>560</v>
      </c>
      <c r="U5" s="403" t="s">
        <v>53</v>
      </c>
      <c r="V5" s="403" t="s">
        <v>561</v>
      </c>
      <c r="W5" s="404" t="s">
        <v>525</v>
      </c>
      <c r="X5" s="404" t="s">
        <v>526</v>
      </c>
      <c r="Y5" s="404" t="s">
        <v>527</v>
      </c>
      <c r="Z5" s="404" t="s">
        <v>53</v>
      </c>
      <c r="AA5" s="403" t="s">
        <v>561</v>
      </c>
      <c r="AB5" s="406">
        <v>45351.0</v>
      </c>
      <c r="AC5" s="406" t="s">
        <v>53</v>
      </c>
      <c r="AD5" s="404" t="s">
        <v>529</v>
      </c>
      <c r="AE5" s="404" t="s">
        <v>530</v>
      </c>
      <c r="AF5" s="407" t="s">
        <v>531</v>
      </c>
      <c r="AG5" s="405" t="s">
        <v>532</v>
      </c>
      <c r="AH5" s="408" t="s">
        <v>562</v>
      </c>
      <c r="AI5" s="409"/>
      <c r="AJ5" s="410" t="s">
        <v>534</v>
      </c>
    </row>
    <row r="6">
      <c r="A6" s="402">
        <v>2024.0</v>
      </c>
      <c r="B6" s="402">
        <v>3.0</v>
      </c>
      <c r="C6" s="403" t="s">
        <v>450</v>
      </c>
      <c r="D6" s="403">
        <v>2.02400082E8</v>
      </c>
      <c r="E6" s="404" t="s">
        <v>512</v>
      </c>
      <c r="F6" s="403" t="s">
        <v>513</v>
      </c>
      <c r="G6" s="411"/>
      <c r="H6" s="405" t="s">
        <v>563</v>
      </c>
      <c r="I6" s="403" t="s">
        <v>564</v>
      </c>
      <c r="J6" s="403" t="s">
        <v>29</v>
      </c>
      <c r="K6" s="403" t="s">
        <v>517</v>
      </c>
      <c r="L6" s="403" t="s">
        <v>518</v>
      </c>
      <c r="M6" s="403" t="s">
        <v>565</v>
      </c>
      <c r="N6" s="403" t="str">
        <f>BUSCARX(R[0]C[-1],CONVENCIONES!R12C1:R42C1,CONVENCIONES!R12C2:R42C2)</f>
        <v>#ERROR!</v>
      </c>
      <c r="O6" s="403" t="s">
        <v>519</v>
      </c>
      <c r="P6" s="403" t="s">
        <v>566</v>
      </c>
      <c r="Q6" s="403" t="s">
        <v>521</v>
      </c>
      <c r="R6" s="403">
        <v>5947933.0</v>
      </c>
      <c r="S6" s="405" t="s">
        <v>53</v>
      </c>
      <c r="T6" s="403" t="s">
        <v>567</v>
      </c>
      <c r="U6" s="403" t="s">
        <v>53</v>
      </c>
      <c r="V6" s="403">
        <v>3.104781799E9</v>
      </c>
      <c r="W6" s="404" t="s">
        <v>525</v>
      </c>
      <c r="X6" s="404" t="s">
        <v>526</v>
      </c>
      <c r="Y6" s="404" t="s">
        <v>527</v>
      </c>
      <c r="Z6" s="404" t="s">
        <v>568</v>
      </c>
      <c r="AA6" s="403" t="s">
        <v>569</v>
      </c>
      <c r="AB6" s="406">
        <v>45352.0</v>
      </c>
      <c r="AC6" s="406" t="str">
        <f>DIA.LAB(R[0]C[-1],15)</f>
        <v>#ERROR!</v>
      </c>
      <c r="AD6" s="404" t="s">
        <v>529</v>
      </c>
      <c r="AE6" s="404" t="s">
        <v>570</v>
      </c>
      <c r="AF6" s="407" t="s">
        <v>531</v>
      </c>
      <c r="AG6" s="405" t="s">
        <v>532</v>
      </c>
      <c r="AH6" s="408" t="s">
        <v>571</v>
      </c>
      <c r="AI6" s="409"/>
      <c r="AJ6" s="410" t="s">
        <v>534</v>
      </c>
    </row>
    <row r="7">
      <c r="A7" s="402">
        <v>2024.0</v>
      </c>
      <c r="B7" s="402">
        <v>3.0</v>
      </c>
      <c r="C7" s="403" t="s">
        <v>450</v>
      </c>
      <c r="D7" s="403">
        <v>2.02400086E8</v>
      </c>
      <c r="E7" s="404" t="s">
        <v>512</v>
      </c>
      <c r="F7" s="403" t="s">
        <v>513</v>
      </c>
      <c r="G7" s="411"/>
      <c r="H7" s="405" t="s">
        <v>572</v>
      </c>
      <c r="I7" s="403" t="s">
        <v>516</v>
      </c>
      <c r="J7" s="403" t="s">
        <v>573</v>
      </c>
      <c r="K7" s="403" t="s">
        <v>517</v>
      </c>
      <c r="L7" s="403" t="s">
        <v>518</v>
      </c>
      <c r="M7" s="403" t="s">
        <v>565</v>
      </c>
      <c r="N7" s="403" t="str">
        <f>BUSCARX(R[0]C[-1],CONVENCIONES!R12C1:R42C1,CONVENCIONES!R12C2:R42C2)</f>
        <v>#ERROR!</v>
      </c>
      <c r="O7" s="403" t="s">
        <v>519</v>
      </c>
      <c r="P7" s="403" t="s">
        <v>574</v>
      </c>
      <c r="Q7" s="403" t="s">
        <v>540</v>
      </c>
      <c r="R7" s="403">
        <v>4.1308189E7</v>
      </c>
      <c r="S7" s="405" t="s">
        <v>575</v>
      </c>
      <c r="T7" s="405" t="s">
        <v>576</v>
      </c>
      <c r="U7" s="403" t="s">
        <v>53</v>
      </c>
      <c r="V7" s="403">
        <v>3.228569868E9</v>
      </c>
      <c r="W7" s="404" t="s">
        <v>525</v>
      </c>
      <c r="X7" s="404" t="s">
        <v>526</v>
      </c>
      <c r="Y7" s="404" t="s">
        <v>527</v>
      </c>
      <c r="Z7" s="404" t="s">
        <v>528</v>
      </c>
      <c r="AA7" s="403" t="s">
        <v>577</v>
      </c>
      <c r="AB7" s="406">
        <v>45362.0</v>
      </c>
      <c r="AC7" s="406" t="str">
        <f>DIA.LAB(R[0]C[-1],15)</f>
        <v>#ERROR!</v>
      </c>
      <c r="AD7" s="404" t="s">
        <v>529</v>
      </c>
      <c r="AE7" s="404" t="s">
        <v>570</v>
      </c>
      <c r="AF7" s="407" t="s">
        <v>531</v>
      </c>
      <c r="AG7" s="405" t="s">
        <v>532</v>
      </c>
      <c r="AH7" s="408" t="s">
        <v>578</v>
      </c>
      <c r="AI7" s="409"/>
      <c r="AJ7" s="410" t="s">
        <v>534</v>
      </c>
    </row>
    <row r="8">
      <c r="A8" s="402">
        <v>2024.0</v>
      </c>
      <c r="B8" s="402">
        <v>3.0</v>
      </c>
      <c r="C8" s="403" t="s">
        <v>450</v>
      </c>
      <c r="D8" s="403">
        <v>2.0240009E8</v>
      </c>
      <c r="E8" s="404" t="s">
        <v>512</v>
      </c>
      <c r="F8" s="403" t="s">
        <v>513</v>
      </c>
      <c r="G8" s="405" t="s">
        <v>514</v>
      </c>
      <c r="H8" s="405" t="s">
        <v>579</v>
      </c>
      <c r="I8" s="403" t="s">
        <v>516</v>
      </c>
      <c r="J8" s="403" t="s">
        <v>580</v>
      </c>
      <c r="K8" s="403" t="s">
        <v>517</v>
      </c>
      <c r="L8" s="403" t="s">
        <v>518</v>
      </c>
      <c r="M8" s="403" t="s">
        <v>548</v>
      </c>
      <c r="N8" s="403" t="str">
        <f>BUSCARX(R[0]C[-1],CONVENCIONES!R12C1:R42C1,CONVENCIONES!R12C2:R42C2)</f>
        <v>#ERROR!</v>
      </c>
      <c r="O8" s="403" t="s">
        <v>519</v>
      </c>
      <c r="P8" s="403" t="s">
        <v>581</v>
      </c>
      <c r="Q8" s="403" t="s">
        <v>540</v>
      </c>
      <c r="R8" s="403" t="s">
        <v>582</v>
      </c>
      <c r="S8" s="405" t="s">
        <v>583</v>
      </c>
      <c r="T8" s="405" t="s">
        <v>584</v>
      </c>
      <c r="U8" s="403" t="s">
        <v>585</v>
      </c>
      <c r="V8" s="403" t="s">
        <v>586</v>
      </c>
      <c r="W8" s="404" t="s">
        <v>525</v>
      </c>
      <c r="X8" s="404" t="s">
        <v>526</v>
      </c>
      <c r="Y8" s="404" t="s">
        <v>527</v>
      </c>
      <c r="Z8" s="404" t="s">
        <v>528</v>
      </c>
      <c r="AA8" s="403" t="s">
        <v>53</v>
      </c>
      <c r="AB8" s="406">
        <v>45363.0</v>
      </c>
      <c r="AC8" s="413">
        <v>45365.0</v>
      </c>
      <c r="AD8" s="404" t="s">
        <v>529</v>
      </c>
      <c r="AE8" s="404" t="s">
        <v>530</v>
      </c>
      <c r="AF8" s="407" t="s">
        <v>531</v>
      </c>
      <c r="AG8" s="405" t="s">
        <v>532</v>
      </c>
      <c r="AH8" s="408" t="s">
        <v>587</v>
      </c>
      <c r="AI8" s="409"/>
      <c r="AJ8" s="410" t="s">
        <v>534</v>
      </c>
    </row>
    <row r="9">
      <c r="A9" s="402">
        <v>2024.0</v>
      </c>
      <c r="B9" s="402">
        <v>3.0</v>
      </c>
      <c r="C9" s="403" t="s">
        <v>450</v>
      </c>
      <c r="D9" s="403">
        <v>2.02400091E8</v>
      </c>
      <c r="E9" s="404" t="s">
        <v>512</v>
      </c>
      <c r="F9" s="403" t="s">
        <v>513</v>
      </c>
      <c r="G9" s="405" t="s">
        <v>514</v>
      </c>
      <c r="H9" s="405" t="s">
        <v>588</v>
      </c>
      <c r="I9" s="403" t="s">
        <v>516</v>
      </c>
      <c r="J9" s="403" t="s">
        <v>589</v>
      </c>
      <c r="K9" s="403" t="s">
        <v>517</v>
      </c>
      <c r="L9" s="403" t="s">
        <v>518</v>
      </c>
      <c r="M9" s="403" t="s">
        <v>548</v>
      </c>
      <c r="N9" s="403" t="str">
        <f>BUSCARX(R[0]C[-1],CONVENCIONES!R12C1:R42C1,CONVENCIONES!R12C2:R42C2)</f>
        <v>#ERROR!</v>
      </c>
      <c r="O9" s="403" t="s">
        <v>519</v>
      </c>
      <c r="P9" s="403" t="s">
        <v>590</v>
      </c>
      <c r="Q9" s="403" t="s">
        <v>521</v>
      </c>
      <c r="R9" s="403" t="s">
        <v>591</v>
      </c>
      <c r="S9" s="405" t="s">
        <v>592</v>
      </c>
      <c r="T9" s="405" t="s">
        <v>593</v>
      </c>
      <c r="U9" s="403" t="s">
        <v>594</v>
      </c>
      <c r="V9" s="403">
        <v>3.143367599E9</v>
      </c>
      <c r="W9" s="404" t="s">
        <v>525</v>
      </c>
      <c r="X9" s="404" t="s">
        <v>526</v>
      </c>
      <c r="Y9" s="404" t="s">
        <v>527</v>
      </c>
      <c r="Z9" s="404" t="s">
        <v>528</v>
      </c>
      <c r="AA9" s="403" t="s">
        <v>53</v>
      </c>
      <c r="AB9" s="406">
        <v>45364.0</v>
      </c>
      <c r="AC9" s="406">
        <v>45370.0</v>
      </c>
      <c r="AD9" s="404" t="s">
        <v>529</v>
      </c>
      <c r="AE9" s="404" t="s">
        <v>530</v>
      </c>
      <c r="AF9" s="407" t="s">
        <v>531</v>
      </c>
      <c r="AG9" s="405" t="s">
        <v>532</v>
      </c>
      <c r="AH9" s="408" t="s">
        <v>595</v>
      </c>
      <c r="AI9" s="409"/>
      <c r="AJ9" s="410" t="s">
        <v>534</v>
      </c>
    </row>
    <row r="10">
      <c r="A10" s="402">
        <v>2024.0</v>
      </c>
      <c r="B10" s="402">
        <v>3.0</v>
      </c>
      <c r="C10" s="403" t="s">
        <v>450</v>
      </c>
      <c r="D10" s="403">
        <v>2.02400093E8</v>
      </c>
      <c r="E10" s="404" t="s">
        <v>512</v>
      </c>
      <c r="F10" s="403" t="s">
        <v>513</v>
      </c>
      <c r="G10" s="405" t="s">
        <v>596</v>
      </c>
      <c r="H10" s="405" t="s">
        <v>597</v>
      </c>
      <c r="I10" s="403" t="s">
        <v>516</v>
      </c>
      <c r="J10" s="403" t="s">
        <v>589</v>
      </c>
      <c r="K10" s="403" t="s">
        <v>517</v>
      </c>
      <c r="L10" s="403" t="s">
        <v>518</v>
      </c>
      <c r="M10" s="403" t="s">
        <v>548</v>
      </c>
      <c r="N10" s="403" t="str">
        <f>BUSCARX(R[0]C[-1],CONVENCIONES!R12C1:R42C1,CONVENCIONES!R12C2:R42C2)</f>
        <v>#ERROR!</v>
      </c>
      <c r="O10" s="403" t="s">
        <v>519</v>
      </c>
      <c r="P10" s="403" t="s">
        <v>598</v>
      </c>
      <c r="Q10" s="403" t="s">
        <v>521</v>
      </c>
      <c r="R10" s="403">
        <v>2278975.0</v>
      </c>
      <c r="S10" s="405" t="s">
        <v>599</v>
      </c>
      <c r="T10" s="405" t="s">
        <v>600</v>
      </c>
      <c r="U10" s="403" t="s">
        <v>601</v>
      </c>
      <c r="V10" s="403" t="s">
        <v>602</v>
      </c>
      <c r="W10" s="404" t="s">
        <v>525</v>
      </c>
      <c r="X10" s="404" t="s">
        <v>526</v>
      </c>
      <c r="Y10" s="404" t="s">
        <v>603</v>
      </c>
      <c r="Z10" s="404" t="s">
        <v>568</v>
      </c>
      <c r="AA10" s="403" t="s">
        <v>604</v>
      </c>
      <c r="AB10" s="406">
        <v>45365.0</v>
      </c>
      <c r="AC10" s="406" t="s">
        <v>53</v>
      </c>
      <c r="AD10" s="404" t="s">
        <v>529</v>
      </c>
      <c r="AE10" s="404" t="s">
        <v>530</v>
      </c>
      <c r="AF10" s="407" t="s">
        <v>531</v>
      </c>
      <c r="AG10" s="405" t="s">
        <v>532</v>
      </c>
      <c r="AH10" s="408" t="s">
        <v>605</v>
      </c>
      <c r="AI10" s="409"/>
      <c r="AJ10" s="410" t="s">
        <v>534</v>
      </c>
    </row>
    <row r="11">
      <c r="A11" s="402">
        <v>2024.0</v>
      </c>
      <c r="B11" s="402">
        <v>3.0</v>
      </c>
      <c r="C11" s="403" t="s">
        <v>450</v>
      </c>
      <c r="D11" s="403">
        <v>2.02400104E8</v>
      </c>
      <c r="E11" s="404" t="s">
        <v>512</v>
      </c>
      <c r="F11" s="403" t="s">
        <v>513</v>
      </c>
      <c r="G11" s="405" t="s">
        <v>606</v>
      </c>
      <c r="H11" s="405" t="s">
        <v>607</v>
      </c>
      <c r="I11" s="403" t="s">
        <v>516</v>
      </c>
      <c r="J11" s="403" t="s">
        <v>249</v>
      </c>
      <c r="K11" s="403" t="s">
        <v>517</v>
      </c>
      <c r="L11" s="403" t="s">
        <v>518</v>
      </c>
      <c r="M11" s="403" t="s">
        <v>53</v>
      </c>
      <c r="N11" s="403" t="str">
        <f>BUSCARX(R[0]C[-1],CONVENCIONES!R12C1:R42C1,CONVENCIONES!R12C2:R42C2)</f>
        <v>#ERROR!</v>
      </c>
      <c r="O11" s="403" t="s">
        <v>519</v>
      </c>
      <c r="P11" s="403" t="s">
        <v>608</v>
      </c>
      <c r="Q11" s="403" t="s">
        <v>540</v>
      </c>
      <c r="R11" s="403">
        <v>5.290362E7</v>
      </c>
      <c r="S11" s="405" t="s">
        <v>609</v>
      </c>
      <c r="T11" s="405" t="s">
        <v>610</v>
      </c>
      <c r="U11" s="403" t="s">
        <v>611</v>
      </c>
      <c r="V11" s="403" t="s">
        <v>612</v>
      </c>
      <c r="W11" s="404" t="s">
        <v>525</v>
      </c>
      <c r="X11" s="404" t="s">
        <v>544</v>
      </c>
      <c r="Y11" s="404" t="s">
        <v>527</v>
      </c>
      <c r="Z11" s="404" t="s">
        <v>528</v>
      </c>
      <c r="AA11" s="403" t="s">
        <v>53</v>
      </c>
      <c r="AB11" s="406">
        <v>45371.0</v>
      </c>
      <c r="AC11" s="406" t="s">
        <v>53</v>
      </c>
      <c r="AD11" s="404" t="s">
        <v>529</v>
      </c>
      <c r="AE11" s="404" t="s">
        <v>530</v>
      </c>
      <c r="AF11" s="407" t="s">
        <v>531</v>
      </c>
      <c r="AG11" s="405" t="s">
        <v>532</v>
      </c>
      <c r="AH11" s="408" t="s">
        <v>613</v>
      </c>
      <c r="AI11" s="409"/>
      <c r="AJ11" s="410" t="s">
        <v>534</v>
      </c>
    </row>
    <row r="12">
      <c r="A12" s="402">
        <v>2024.0</v>
      </c>
      <c r="B12" s="402">
        <v>4.0</v>
      </c>
      <c r="C12" s="403" t="s">
        <v>614</v>
      </c>
      <c r="D12" s="403">
        <v>2.0240011E8</v>
      </c>
      <c r="E12" s="404" t="s">
        <v>512</v>
      </c>
      <c r="F12" s="403" t="s">
        <v>513</v>
      </c>
      <c r="G12" s="405" t="s">
        <v>514</v>
      </c>
      <c r="H12" s="405" t="s">
        <v>615</v>
      </c>
      <c r="I12" s="403" t="s">
        <v>516</v>
      </c>
      <c r="J12" s="403" t="s">
        <v>616</v>
      </c>
      <c r="K12" s="403" t="s">
        <v>517</v>
      </c>
      <c r="L12" s="403" t="s">
        <v>518</v>
      </c>
      <c r="M12" s="403" t="s">
        <v>557</v>
      </c>
      <c r="N12" s="403" t="str">
        <f>BUSCARX(R[0]C[-1],CONVENCIONES!R12C1:R42C1,CONVENCIONES!R12C2:R42C2)</f>
        <v>#ERROR!</v>
      </c>
      <c r="O12" s="403" t="s">
        <v>519</v>
      </c>
      <c r="P12" s="403" t="s">
        <v>617</v>
      </c>
      <c r="Q12" s="403" t="s">
        <v>540</v>
      </c>
      <c r="R12" s="403">
        <v>5.2016841E7</v>
      </c>
      <c r="S12" s="405" t="s">
        <v>618</v>
      </c>
      <c r="T12" s="405" t="s">
        <v>619</v>
      </c>
      <c r="U12" s="403" t="s">
        <v>620</v>
      </c>
      <c r="V12" s="403">
        <v>3.024382399E9</v>
      </c>
      <c r="W12" s="404" t="s">
        <v>525</v>
      </c>
      <c r="X12" s="392"/>
      <c r="Y12" s="404" t="s">
        <v>527</v>
      </c>
      <c r="Z12" s="404" t="s">
        <v>528</v>
      </c>
      <c r="AA12" s="403" t="s">
        <v>53</v>
      </c>
      <c r="AB12" s="406">
        <v>45384.0</v>
      </c>
      <c r="AC12" s="406">
        <v>45391.0</v>
      </c>
      <c r="AD12" s="404" t="s">
        <v>529</v>
      </c>
      <c r="AE12" s="404" t="s">
        <v>530</v>
      </c>
      <c r="AF12" s="407" t="s">
        <v>531</v>
      </c>
      <c r="AG12" s="405" t="s">
        <v>532</v>
      </c>
      <c r="AH12" s="414" t="s">
        <v>621</v>
      </c>
      <c r="AI12" s="409"/>
      <c r="AJ12" s="410" t="s">
        <v>534</v>
      </c>
    </row>
    <row r="13">
      <c r="A13" s="402">
        <v>2024.0</v>
      </c>
      <c r="B13" s="402">
        <v>4.0</v>
      </c>
      <c r="C13" s="403" t="s">
        <v>614</v>
      </c>
      <c r="D13" s="403">
        <v>2.0240014E8</v>
      </c>
      <c r="E13" s="404" t="s">
        <v>512</v>
      </c>
      <c r="F13" s="403" t="s">
        <v>513</v>
      </c>
      <c r="G13" s="405" t="s">
        <v>554</v>
      </c>
      <c r="H13" s="405" t="s">
        <v>622</v>
      </c>
      <c r="I13" s="403" t="s">
        <v>516</v>
      </c>
      <c r="J13" s="403" t="s">
        <v>623</v>
      </c>
      <c r="K13" s="403" t="s">
        <v>517</v>
      </c>
      <c r="L13" s="403" t="s">
        <v>518</v>
      </c>
      <c r="M13" s="403" t="s">
        <v>548</v>
      </c>
      <c r="N13" s="403" t="str">
        <f>BUSCARX(R[0]C[-1],CONVENCIONES!R12C1:R42C1,CONVENCIONES!R12C2:R42C2)</f>
        <v>#ERROR!</v>
      </c>
      <c r="O13" s="403" t="s">
        <v>519</v>
      </c>
      <c r="P13" s="403" t="s">
        <v>624</v>
      </c>
      <c r="Q13" s="403" t="s">
        <v>53</v>
      </c>
      <c r="R13" s="403">
        <v>7.6231536E7</v>
      </c>
      <c r="S13" s="405" t="s">
        <v>625</v>
      </c>
      <c r="T13" s="405" t="s">
        <v>626</v>
      </c>
      <c r="U13" s="403" t="s">
        <v>627</v>
      </c>
      <c r="V13" s="403" t="s">
        <v>628</v>
      </c>
      <c r="W13" s="404" t="s">
        <v>525</v>
      </c>
      <c r="X13" s="404" t="s">
        <v>526</v>
      </c>
      <c r="Y13" s="404" t="s">
        <v>527</v>
      </c>
      <c r="Z13" s="404" t="s">
        <v>528</v>
      </c>
      <c r="AA13" s="403" t="s">
        <v>53</v>
      </c>
      <c r="AB13" s="406">
        <v>45402.0</v>
      </c>
      <c r="AC13" s="406">
        <v>45412.0</v>
      </c>
      <c r="AD13" s="404" t="s">
        <v>529</v>
      </c>
      <c r="AE13" s="404" t="s">
        <v>530</v>
      </c>
      <c r="AF13" s="407" t="s">
        <v>531</v>
      </c>
      <c r="AG13" s="405" t="s">
        <v>532</v>
      </c>
      <c r="AH13" s="414" t="s">
        <v>621</v>
      </c>
      <c r="AI13" s="409"/>
      <c r="AJ13" s="410" t="s">
        <v>534</v>
      </c>
    </row>
    <row r="14">
      <c r="A14" s="402">
        <v>2024.0</v>
      </c>
      <c r="B14" s="402">
        <v>4.0</v>
      </c>
      <c r="C14" s="403" t="s">
        <v>614</v>
      </c>
      <c r="D14" s="403">
        <v>2.02400142E8</v>
      </c>
      <c r="E14" s="404" t="s">
        <v>512</v>
      </c>
      <c r="F14" s="403" t="s">
        <v>513</v>
      </c>
      <c r="G14" s="405" t="s">
        <v>514</v>
      </c>
      <c r="H14" s="405" t="s">
        <v>629</v>
      </c>
      <c r="I14" s="403" t="s">
        <v>516</v>
      </c>
      <c r="J14" s="403" t="s">
        <v>630</v>
      </c>
      <c r="K14" s="403" t="s">
        <v>517</v>
      </c>
      <c r="L14" s="403" t="s">
        <v>518</v>
      </c>
      <c r="M14" s="403" t="s">
        <v>548</v>
      </c>
      <c r="N14" s="403" t="str">
        <f>BUSCARX(R[0]C[-1],CONVENCIONES!R12C1:R42C1,CONVENCIONES!R12C2:R42C2)</f>
        <v>#ERROR!</v>
      </c>
      <c r="O14" s="403" t="s">
        <v>519</v>
      </c>
      <c r="P14" s="403" t="s">
        <v>631</v>
      </c>
      <c r="Q14" s="403" t="s">
        <v>540</v>
      </c>
      <c r="R14" s="403">
        <v>2.0925201E7</v>
      </c>
      <c r="S14" s="405" t="s">
        <v>632</v>
      </c>
      <c r="T14" s="405" t="s">
        <v>633</v>
      </c>
      <c r="U14" s="403" t="s">
        <v>634</v>
      </c>
      <c r="V14" s="403" t="s">
        <v>635</v>
      </c>
      <c r="W14" s="404" t="s">
        <v>525</v>
      </c>
      <c r="X14" s="392"/>
      <c r="Y14" s="404" t="s">
        <v>527</v>
      </c>
      <c r="Z14" s="404" t="s">
        <v>528</v>
      </c>
      <c r="AA14" s="403" t="s">
        <v>53</v>
      </c>
      <c r="AB14" s="406">
        <v>45404.0</v>
      </c>
      <c r="AC14" s="406" t="s">
        <v>53</v>
      </c>
      <c r="AD14" s="404" t="s">
        <v>529</v>
      </c>
      <c r="AE14" s="404" t="s">
        <v>530</v>
      </c>
      <c r="AF14" s="407" t="s">
        <v>531</v>
      </c>
      <c r="AG14" s="405" t="s">
        <v>532</v>
      </c>
      <c r="AH14" s="414" t="s">
        <v>621</v>
      </c>
      <c r="AI14" s="409"/>
      <c r="AJ14" s="410" t="s">
        <v>534</v>
      </c>
    </row>
    <row r="15">
      <c r="A15" s="402">
        <v>2024.0</v>
      </c>
      <c r="B15" s="402">
        <v>4.0</v>
      </c>
      <c r="C15" s="403" t="s">
        <v>614</v>
      </c>
      <c r="D15" s="403">
        <v>2.02400144E8</v>
      </c>
      <c r="E15" s="404" t="s">
        <v>512</v>
      </c>
      <c r="F15" s="403" t="s">
        <v>513</v>
      </c>
      <c r="G15" s="405" t="s">
        <v>514</v>
      </c>
      <c r="H15" s="405" t="s">
        <v>636</v>
      </c>
      <c r="I15" s="403" t="s">
        <v>516</v>
      </c>
      <c r="J15" s="403" t="s">
        <v>637</v>
      </c>
      <c r="K15" s="403" t="s">
        <v>517</v>
      </c>
      <c r="L15" s="403" t="s">
        <v>518</v>
      </c>
      <c r="M15" s="403" t="s">
        <v>53</v>
      </c>
      <c r="N15" s="403" t="str">
        <f>BUSCARX(R[0]C[-1],CONVENCIONES!R12C1:R42C1,CONVENCIONES!R12C2:R42C2)</f>
        <v>#ERROR!</v>
      </c>
      <c r="O15" s="403" t="s">
        <v>519</v>
      </c>
      <c r="P15" s="403" t="s">
        <v>638</v>
      </c>
      <c r="Q15" s="403" t="s">
        <v>521</v>
      </c>
      <c r="R15" s="403">
        <v>1.9306458E9</v>
      </c>
      <c r="S15" s="405" t="s">
        <v>639</v>
      </c>
      <c r="T15" s="405" t="s">
        <v>640</v>
      </c>
      <c r="U15" s="403" t="s">
        <v>641</v>
      </c>
      <c r="V15" s="403">
        <v>3.217458382E9</v>
      </c>
      <c r="W15" s="404" t="s">
        <v>525</v>
      </c>
      <c r="X15" s="392"/>
      <c r="Y15" s="404" t="s">
        <v>527</v>
      </c>
      <c r="Z15" s="404" t="s">
        <v>603</v>
      </c>
      <c r="AA15" s="403" t="s">
        <v>53</v>
      </c>
      <c r="AB15" s="406">
        <v>45404.0</v>
      </c>
      <c r="AC15" s="406" t="s">
        <v>53</v>
      </c>
      <c r="AD15" s="404" t="s">
        <v>529</v>
      </c>
      <c r="AE15" s="404" t="s">
        <v>530</v>
      </c>
      <c r="AF15" s="407" t="s">
        <v>531</v>
      </c>
      <c r="AG15" s="405" t="s">
        <v>532</v>
      </c>
      <c r="AH15" s="414" t="s">
        <v>621</v>
      </c>
      <c r="AI15" s="409"/>
      <c r="AJ15" s="410" t="s">
        <v>534</v>
      </c>
    </row>
    <row r="16">
      <c r="A16" s="402">
        <v>2024.0</v>
      </c>
      <c r="B16" s="402">
        <v>4.0</v>
      </c>
      <c r="C16" s="403" t="s">
        <v>614</v>
      </c>
      <c r="D16" s="403">
        <v>2.02400149E8</v>
      </c>
      <c r="E16" s="404" t="s">
        <v>512</v>
      </c>
      <c r="F16" s="403" t="s">
        <v>513</v>
      </c>
      <c r="G16" s="411"/>
      <c r="H16" s="405" t="s">
        <v>642</v>
      </c>
      <c r="I16" s="403" t="s">
        <v>516</v>
      </c>
      <c r="J16" s="403" t="s">
        <v>71</v>
      </c>
      <c r="K16" s="403" t="s">
        <v>517</v>
      </c>
      <c r="L16" s="403" t="s">
        <v>518</v>
      </c>
      <c r="M16" s="403" t="s">
        <v>548</v>
      </c>
      <c r="N16" s="403" t="str">
        <f>BUSCARX(R[0]C[-1],CONVENCIONES!R12C1:R42C1,CONVENCIONES!R12C2:R42C2)</f>
        <v>#ERROR!</v>
      </c>
      <c r="O16" s="403" t="s">
        <v>519</v>
      </c>
      <c r="P16" s="403" t="s">
        <v>643</v>
      </c>
      <c r="Q16" s="403" t="s">
        <v>540</v>
      </c>
      <c r="R16" s="403">
        <v>4.1445987E7</v>
      </c>
      <c r="S16" s="405" t="s">
        <v>644</v>
      </c>
      <c r="T16" s="405" t="s">
        <v>645</v>
      </c>
      <c r="U16" s="403" t="s">
        <v>53</v>
      </c>
      <c r="V16" s="403">
        <v>3.222262371E9</v>
      </c>
      <c r="W16" s="404" t="s">
        <v>525</v>
      </c>
      <c r="X16" s="404" t="s">
        <v>526</v>
      </c>
      <c r="Y16" s="404" t="s">
        <v>527</v>
      </c>
      <c r="Z16" s="404" t="s">
        <v>528</v>
      </c>
      <c r="AA16" s="403" t="s">
        <v>577</v>
      </c>
      <c r="AB16" s="406">
        <v>45405.0</v>
      </c>
      <c r="AC16" s="406" t="str">
        <f>DIA.LAB(R[0]C[-1],15)</f>
        <v>#ERROR!</v>
      </c>
      <c r="AD16" s="404" t="s">
        <v>529</v>
      </c>
      <c r="AE16" s="404" t="s">
        <v>570</v>
      </c>
      <c r="AF16" s="407" t="s">
        <v>531</v>
      </c>
      <c r="AG16" s="405" t="s">
        <v>532</v>
      </c>
      <c r="AH16" s="408" t="s">
        <v>646</v>
      </c>
      <c r="AI16" s="409"/>
      <c r="AJ16" s="410" t="s">
        <v>534</v>
      </c>
    </row>
    <row r="17">
      <c r="A17" s="402">
        <v>2024.0</v>
      </c>
      <c r="B17" s="402">
        <v>4.0</v>
      </c>
      <c r="C17" s="403" t="s">
        <v>614</v>
      </c>
      <c r="D17" s="403">
        <v>2.0240015E8</v>
      </c>
      <c r="E17" s="404" t="s">
        <v>512</v>
      </c>
      <c r="F17" s="403" t="s">
        <v>647</v>
      </c>
      <c r="G17" s="411"/>
      <c r="H17" s="405" t="s">
        <v>648</v>
      </c>
      <c r="I17" s="403" t="s">
        <v>649</v>
      </c>
      <c r="J17" s="403" t="s">
        <v>650</v>
      </c>
      <c r="K17" s="403" t="s">
        <v>517</v>
      </c>
      <c r="L17" s="403" t="s">
        <v>518</v>
      </c>
      <c r="M17" s="403" t="s">
        <v>548</v>
      </c>
      <c r="N17" s="403" t="str">
        <f>BUSCARX(R[0]C[-1],CONVENCIONES!R12C1:R42C1,CONVENCIONES!R12C2:R42C2)</f>
        <v>#ERROR!</v>
      </c>
      <c r="O17" s="403" t="s">
        <v>519</v>
      </c>
      <c r="P17" s="403" t="s">
        <v>651</v>
      </c>
      <c r="Q17" s="403" t="s">
        <v>540</v>
      </c>
      <c r="R17" s="403">
        <v>1.007095114E9</v>
      </c>
      <c r="S17" s="405" t="s">
        <v>652</v>
      </c>
      <c r="T17" s="405" t="s">
        <v>653</v>
      </c>
      <c r="U17" s="403" t="s">
        <v>654</v>
      </c>
      <c r="V17" s="403" t="s">
        <v>655</v>
      </c>
      <c r="W17" s="404" t="s">
        <v>525</v>
      </c>
      <c r="X17" s="392"/>
      <c r="Y17" s="404" t="s">
        <v>527</v>
      </c>
      <c r="Z17" s="404" t="s">
        <v>528</v>
      </c>
      <c r="AA17" s="403" t="s">
        <v>53</v>
      </c>
      <c r="AB17" s="406">
        <v>45405.0</v>
      </c>
      <c r="AC17" s="406" t="s">
        <v>53</v>
      </c>
      <c r="AD17" s="404" t="s">
        <v>529</v>
      </c>
      <c r="AE17" s="404" t="s">
        <v>530</v>
      </c>
      <c r="AF17" s="407" t="s">
        <v>531</v>
      </c>
      <c r="AG17" s="405" t="s">
        <v>532</v>
      </c>
      <c r="AH17" s="414" t="s">
        <v>621</v>
      </c>
      <c r="AI17" s="409"/>
      <c r="AJ17" s="410" t="s">
        <v>534</v>
      </c>
    </row>
    <row r="18">
      <c r="A18" s="402">
        <v>2024.0</v>
      </c>
      <c r="B18" s="402">
        <v>4.0</v>
      </c>
      <c r="C18" s="403" t="s">
        <v>614</v>
      </c>
      <c r="D18" s="403">
        <v>2.02400154E8</v>
      </c>
      <c r="E18" s="404" t="s">
        <v>512</v>
      </c>
      <c r="F18" s="403" t="s">
        <v>513</v>
      </c>
      <c r="G18" s="405" t="s">
        <v>514</v>
      </c>
      <c r="H18" s="405" t="s">
        <v>656</v>
      </c>
      <c r="I18" s="403" t="s">
        <v>516</v>
      </c>
      <c r="J18" s="403" t="s">
        <v>279</v>
      </c>
      <c r="K18" s="403" t="s">
        <v>517</v>
      </c>
      <c r="L18" s="403" t="s">
        <v>518</v>
      </c>
      <c r="M18" s="403" t="s">
        <v>557</v>
      </c>
      <c r="N18" s="403" t="str">
        <f>BUSCARX(R[0]C[-1],CONVENCIONES!R12C1:R42C1,CONVENCIONES!R12C2:R42C2)</f>
        <v>#ERROR!</v>
      </c>
      <c r="O18" s="403" t="s">
        <v>519</v>
      </c>
      <c r="P18" s="403" t="s">
        <v>657</v>
      </c>
      <c r="Q18" s="403" t="s">
        <v>540</v>
      </c>
      <c r="R18" s="403">
        <v>2.8834677E7</v>
      </c>
      <c r="S18" s="405" t="s">
        <v>658</v>
      </c>
      <c r="T18" s="405" t="s">
        <v>659</v>
      </c>
      <c r="U18" s="403" t="s">
        <v>660</v>
      </c>
      <c r="V18" s="403">
        <v>3.114500159E9</v>
      </c>
      <c r="W18" s="404" t="s">
        <v>525</v>
      </c>
      <c r="X18" s="392"/>
      <c r="Y18" s="404" t="s">
        <v>527</v>
      </c>
      <c r="Z18" s="404" t="s">
        <v>528</v>
      </c>
      <c r="AA18" s="403" t="s">
        <v>53</v>
      </c>
      <c r="AB18" s="406">
        <v>45406.0</v>
      </c>
      <c r="AC18" s="406" t="s">
        <v>53</v>
      </c>
      <c r="AD18" s="404" t="s">
        <v>529</v>
      </c>
      <c r="AE18" s="404" t="s">
        <v>530</v>
      </c>
      <c r="AF18" s="407" t="s">
        <v>531</v>
      </c>
      <c r="AG18" s="405" t="s">
        <v>532</v>
      </c>
      <c r="AH18" s="414" t="s">
        <v>621</v>
      </c>
      <c r="AI18" s="409"/>
      <c r="AJ18" s="410" t="s">
        <v>534</v>
      </c>
    </row>
    <row r="19">
      <c r="A19" s="402">
        <v>2024.0</v>
      </c>
      <c r="B19" s="402">
        <v>4.0</v>
      </c>
      <c r="C19" s="403" t="s">
        <v>614</v>
      </c>
      <c r="D19" s="403">
        <v>2.02400157E8</v>
      </c>
      <c r="E19" s="404" t="s">
        <v>512</v>
      </c>
      <c r="F19" s="403" t="s">
        <v>513</v>
      </c>
      <c r="G19" s="405" t="s">
        <v>554</v>
      </c>
      <c r="H19" s="405" t="s">
        <v>661</v>
      </c>
      <c r="I19" s="403" t="s">
        <v>516</v>
      </c>
      <c r="J19" s="403" t="s">
        <v>662</v>
      </c>
      <c r="K19" s="403" t="s">
        <v>517</v>
      </c>
      <c r="L19" s="403" t="s">
        <v>518</v>
      </c>
      <c r="M19" s="403" t="s">
        <v>557</v>
      </c>
      <c r="N19" s="403" t="str">
        <f>BUSCARX(R[0]C[-1],CONVENCIONES!R12C1:R42C1,CONVENCIONES!R12C2:R42C2)</f>
        <v>#ERROR!</v>
      </c>
      <c r="O19" s="403" t="s">
        <v>519</v>
      </c>
      <c r="P19" s="403" t="s">
        <v>663</v>
      </c>
      <c r="Q19" s="403" t="s">
        <v>521</v>
      </c>
      <c r="R19" s="403">
        <v>7.9635982E7</v>
      </c>
      <c r="S19" s="405" t="s">
        <v>664</v>
      </c>
      <c r="T19" s="405" t="s">
        <v>665</v>
      </c>
      <c r="U19" s="403" t="s">
        <v>666</v>
      </c>
      <c r="V19" s="403">
        <v>3.118469096E9</v>
      </c>
      <c r="W19" s="404" t="s">
        <v>525</v>
      </c>
      <c r="X19" s="392"/>
      <c r="Y19" s="404" t="s">
        <v>527</v>
      </c>
      <c r="Z19" s="404" t="s">
        <v>528</v>
      </c>
      <c r="AA19" s="403" t="s">
        <v>53</v>
      </c>
      <c r="AB19" s="406">
        <v>45406.0</v>
      </c>
      <c r="AC19" s="406" t="s">
        <v>53</v>
      </c>
      <c r="AD19" s="404" t="s">
        <v>529</v>
      </c>
      <c r="AE19" s="404" t="s">
        <v>530</v>
      </c>
      <c r="AF19" s="407" t="s">
        <v>531</v>
      </c>
      <c r="AG19" s="405" t="s">
        <v>532</v>
      </c>
      <c r="AH19" s="414" t="s">
        <v>621</v>
      </c>
      <c r="AI19" s="409"/>
      <c r="AJ19" s="410" t="s">
        <v>534</v>
      </c>
    </row>
    <row r="20">
      <c r="A20" s="402">
        <v>2024.0</v>
      </c>
      <c r="B20" s="402">
        <v>4.0</v>
      </c>
      <c r="C20" s="403" t="s">
        <v>614</v>
      </c>
      <c r="D20" s="403">
        <v>2.02400158E8</v>
      </c>
      <c r="E20" s="404" t="s">
        <v>512</v>
      </c>
      <c r="F20" s="403" t="s">
        <v>513</v>
      </c>
      <c r="G20" s="405" t="s">
        <v>514</v>
      </c>
      <c r="H20" s="405" t="s">
        <v>667</v>
      </c>
      <c r="I20" s="403" t="s">
        <v>516</v>
      </c>
      <c r="J20" s="403" t="s">
        <v>668</v>
      </c>
      <c r="K20" s="403" t="s">
        <v>517</v>
      </c>
      <c r="L20" s="403" t="s">
        <v>518</v>
      </c>
      <c r="M20" s="403" t="s">
        <v>548</v>
      </c>
      <c r="N20" s="403" t="str">
        <f>BUSCARX(R[0]C[-1],CONVENCIONES!R12C1:R42C1,CONVENCIONES!R12C2:R42C2)</f>
        <v>#ERROR!</v>
      </c>
      <c r="O20" s="403" t="s">
        <v>519</v>
      </c>
      <c r="P20" s="403" t="s">
        <v>669</v>
      </c>
      <c r="Q20" s="403" t="s">
        <v>540</v>
      </c>
      <c r="R20" s="403">
        <v>4.1515508E7</v>
      </c>
      <c r="S20" s="405" t="s">
        <v>670</v>
      </c>
      <c r="T20" s="405" t="s">
        <v>671</v>
      </c>
      <c r="U20" s="403" t="s">
        <v>672</v>
      </c>
      <c r="V20" s="403">
        <v>3.102502262E9</v>
      </c>
      <c r="W20" s="404" t="s">
        <v>525</v>
      </c>
      <c r="X20" s="392"/>
      <c r="Y20" s="404" t="s">
        <v>527</v>
      </c>
      <c r="Z20" s="404" t="s">
        <v>528</v>
      </c>
      <c r="AA20" s="403" t="s">
        <v>53</v>
      </c>
      <c r="AB20" s="406">
        <v>45412.0</v>
      </c>
      <c r="AC20" s="406" t="s">
        <v>53</v>
      </c>
      <c r="AD20" s="404" t="s">
        <v>529</v>
      </c>
      <c r="AE20" s="404" t="s">
        <v>530</v>
      </c>
      <c r="AF20" s="407" t="s">
        <v>531</v>
      </c>
      <c r="AG20" s="405" t="s">
        <v>532</v>
      </c>
      <c r="AH20" s="414" t="s">
        <v>621</v>
      </c>
      <c r="AI20" s="409"/>
      <c r="AJ20" s="410" t="s">
        <v>534</v>
      </c>
    </row>
    <row r="21">
      <c r="A21" s="402">
        <v>2024.0</v>
      </c>
      <c r="B21" s="402">
        <v>4.0</v>
      </c>
      <c r="C21" s="403" t="s">
        <v>614</v>
      </c>
      <c r="D21" s="403">
        <v>2.02400159E8</v>
      </c>
      <c r="E21" s="404" t="s">
        <v>512</v>
      </c>
      <c r="F21" s="403" t="s">
        <v>513</v>
      </c>
      <c r="G21" s="405" t="s">
        <v>673</v>
      </c>
      <c r="H21" s="405" t="s">
        <v>674</v>
      </c>
      <c r="I21" s="403" t="s">
        <v>516</v>
      </c>
      <c r="J21" s="403" t="s">
        <v>675</v>
      </c>
      <c r="K21" s="403" t="s">
        <v>517</v>
      </c>
      <c r="L21" s="403" t="s">
        <v>518</v>
      </c>
      <c r="M21" s="403" t="s">
        <v>557</v>
      </c>
      <c r="N21" s="403" t="str">
        <f>BUSCARX(R[0]C[-1],CONVENCIONES!R12C1:R42C1,CONVENCIONES!R12C2:R42C2)</f>
        <v>#ERROR!</v>
      </c>
      <c r="O21" s="403" t="s">
        <v>519</v>
      </c>
      <c r="P21" s="403" t="s">
        <v>676</v>
      </c>
      <c r="Q21" s="403" t="s">
        <v>540</v>
      </c>
      <c r="R21" s="403">
        <v>3.9749227E7</v>
      </c>
      <c r="S21" s="405" t="s">
        <v>677</v>
      </c>
      <c r="T21" s="405" t="s">
        <v>678</v>
      </c>
      <c r="U21" s="403" t="s">
        <v>679</v>
      </c>
      <c r="V21" s="403" t="s">
        <v>680</v>
      </c>
      <c r="W21" s="404" t="s">
        <v>525</v>
      </c>
      <c r="X21" s="392"/>
      <c r="Y21" s="404" t="s">
        <v>527</v>
      </c>
      <c r="Z21" s="404" t="s">
        <v>603</v>
      </c>
      <c r="AA21" s="403" t="s">
        <v>681</v>
      </c>
      <c r="AB21" s="406">
        <v>45412.0</v>
      </c>
      <c r="AC21" s="406" t="s">
        <v>53</v>
      </c>
      <c r="AD21" s="404" t="s">
        <v>529</v>
      </c>
      <c r="AE21" s="404" t="s">
        <v>530</v>
      </c>
      <c r="AF21" s="407" t="s">
        <v>531</v>
      </c>
      <c r="AG21" s="405" t="s">
        <v>532</v>
      </c>
      <c r="AH21" s="414" t="s">
        <v>621</v>
      </c>
      <c r="AI21" s="409"/>
      <c r="AJ21" s="410" t="s">
        <v>534</v>
      </c>
    </row>
    <row r="22">
      <c r="A22" s="402">
        <v>2024.0</v>
      </c>
      <c r="B22" s="402">
        <v>4.0</v>
      </c>
      <c r="C22" s="405" t="s">
        <v>614</v>
      </c>
      <c r="D22" s="403">
        <v>2.02400176E8</v>
      </c>
      <c r="E22" s="404" t="s">
        <v>512</v>
      </c>
      <c r="F22" s="403" t="s">
        <v>535</v>
      </c>
      <c r="G22" s="411"/>
      <c r="H22" s="405" t="s">
        <v>682</v>
      </c>
      <c r="I22" s="403" t="s">
        <v>537</v>
      </c>
      <c r="J22" s="403" t="s">
        <v>93</v>
      </c>
      <c r="K22" s="403" t="s">
        <v>517</v>
      </c>
      <c r="L22" s="403" t="s">
        <v>518</v>
      </c>
      <c r="M22" s="403" t="s">
        <v>557</v>
      </c>
      <c r="N22" s="403" t="str">
        <f>BUSCARX(R[0]C[-1],CONVENCIONES!R12C1:R42C1,CONVENCIONES!R12C2:R42C2)</f>
        <v>#ERROR!</v>
      </c>
      <c r="O22" s="403" t="s">
        <v>519</v>
      </c>
      <c r="P22" s="403" t="s">
        <v>683</v>
      </c>
      <c r="Q22" s="403" t="s">
        <v>540</v>
      </c>
      <c r="R22" s="403" t="s">
        <v>684</v>
      </c>
      <c r="S22" s="405" t="s">
        <v>685</v>
      </c>
      <c r="T22" s="405" t="s">
        <v>686</v>
      </c>
      <c r="U22" s="403" t="s">
        <v>687</v>
      </c>
      <c r="V22" s="403">
        <v>3.14796221E9</v>
      </c>
      <c r="W22" s="404" t="s">
        <v>525</v>
      </c>
      <c r="X22" s="392"/>
      <c r="Y22" s="404" t="s">
        <v>527</v>
      </c>
      <c r="Z22" s="415" t="s">
        <v>528</v>
      </c>
      <c r="AA22" s="405" t="s">
        <v>688</v>
      </c>
      <c r="AB22" s="406">
        <v>45407.0</v>
      </c>
      <c r="AC22" s="406">
        <v>45422.0</v>
      </c>
      <c r="AD22" s="412" t="s">
        <v>529</v>
      </c>
      <c r="AE22" s="404" t="s">
        <v>530</v>
      </c>
      <c r="AF22" s="407" t="s">
        <v>531</v>
      </c>
      <c r="AG22" s="405" t="s">
        <v>532</v>
      </c>
      <c r="AH22" s="414" t="s">
        <v>621</v>
      </c>
      <c r="AI22" s="409"/>
      <c r="AJ22" s="410" t="s">
        <v>534</v>
      </c>
    </row>
    <row r="23">
      <c r="A23" s="402">
        <v>2024.0</v>
      </c>
      <c r="B23" s="402">
        <v>5.0</v>
      </c>
      <c r="C23" s="405" t="s">
        <v>689</v>
      </c>
      <c r="D23" s="403">
        <v>2.02400179E8</v>
      </c>
      <c r="E23" s="404" t="s">
        <v>512</v>
      </c>
      <c r="F23" s="403" t="s">
        <v>513</v>
      </c>
      <c r="G23" s="405" t="s">
        <v>514</v>
      </c>
      <c r="H23" s="405" t="s">
        <v>690</v>
      </c>
      <c r="I23" s="403" t="s">
        <v>516</v>
      </c>
      <c r="J23" s="403" t="s">
        <v>214</v>
      </c>
      <c r="K23" s="403" t="s">
        <v>517</v>
      </c>
      <c r="L23" s="403" t="s">
        <v>518</v>
      </c>
      <c r="M23" s="403" t="s">
        <v>548</v>
      </c>
      <c r="N23" s="403" t="str">
        <f>BUSCARX(R[0]C[-1],CONVENCIONES!R12C1:R42C1,CONVENCIONES!R12C2:R42C2)</f>
        <v>#ERROR!</v>
      </c>
      <c r="O23" s="403" t="s">
        <v>519</v>
      </c>
      <c r="P23" s="403" t="s">
        <v>691</v>
      </c>
      <c r="Q23" s="403" t="s">
        <v>540</v>
      </c>
      <c r="R23" s="403">
        <v>2.8190396E7</v>
      </c>
      <c r="S23" s="405" t="s">
        <v>692</v>
      </c>
      <c r="T23" s="405" t="s">
        <v>693</v>
      </c>
      <c r="U23" s="403" t="s">
        <v>694</v>
      </c>
      <c r="V23" s="403" t="s">
        <v>695</v>
      </c>
      <c r="W23" s="404" t="s">
        <v>525</v>
      </c>
      <c r="X23" s="404" t="s">
        <v>526</v>
      </c>
      <c r="Y23" s="404" t="s">
        <v>527</v>
      </c>
      <c r="Z23" s="415" t="s">
        <v>528</v>
      </c>
      <c r="AA23" s="403" t="s">
        <v>53</v>
      </c>
      <c r="AB23" s="406">
        <v>45427.0</v>
      </c>
      <c r="AC23" s="406" t="s">
        <v>53</v>
      </c>
      <c r="AD23" s="404" t="s">
        <v>529</v>
      </c>
      <c r="AE23" s="404" t="s">
        <v>530</v>
      </c>
      <c r="AF23" s="407" t="s">
        <v>531</v>
      </c>
      <c r="AG23" s="405" t="s">
        <v>532</v>
      </c>
      <c r="AH23" s="414" t="s">
        <v>621</v>
      </c>
      <c r="AI23" s="409"/>
      <c r="AJ23" s="410" t="s">
        <v>534</v>
      </c>
    </row>
    <row r="24">
      <c r="A24" s="402">
        <v>2024.0</v>
      </c>
      <c r="B24" s="402">
        <v>5.0</v>
      </c>
      <c r="C24" s="403" t="s">
        <v>689</v>
      </c>
      <c r="D24" s="403">
        <v>2.02400181E8</v>
      </c>
      <c r="E24" s="404" t="s">
        <v>512</v>
      </c>
      <c r="F24" s="403" t="s">
        <v>513</v>
      </c>
      <c r="G24" s="405" t="s">
        <v>673</v>
      </c>
      <c r="H24" s="405" t="s">
        <v>696</v>
      </c>
      <c r="I24" s="403" t="s">
        <v>516</v>
      </c>
      <c r="J24" s="405" t="s">
        <v>697</v>
      </c>
      <c r="K24" s="405" t="s">
        <v>517</v>
      </c>
      <c r="L24" s="403" t="s">
        <v>518</v>
      </c>
      <c r="M24" s="403" t="s">
        <v>548</v>
      </c>
      <c r="N24" s="403" t="str">
        <f>BUSCARX(R[0]C[-1],CONVENCIONES!R12C1:R42C1,CONVENCIONES!R12C2:R42C2)</f>
        <v>#ERROR!</v>
      </c>
      <c r="O24" s="403" t="s">
        <v>519</v>
      </c>
      <c r="P24" s="405" t="s">
        <v>698</v>
      </c>
      <c r="Q24" s="405" t="s">
        <v>540</v>
      </c>
      <c r="R24" s="403">
        <v>2.0858218E7</v>
      </c>
      <c r="S24" s="405" t="s">
        <v>699</v>
      </c>
      <c r="T24" s="405" t="s">
        <v>700</v>
      </c>
      <c r="U24" s="403" t="s">
        <v>701</v>
      </c>
      <c r="V24" s="403">
        <v>3.138010381E9</v>
      </c>
      <c r="W24" s="404" t="s">
        <v>525</v>
      </c>
      <c r="X24" s="404" t="s">
        <v>526</v>
      </c>
      <c r="Y24" s="404" t="s">
        <v>702</v>
      </c>
      <c r="Z24" s="404" t="s">
        <v>603</v>
      </c>
      <c r="AA24" s="403" t="s">
        <v>53</v>
      </c>
      <c r="AB24" s="416">
        <v>45427.0</v>
      </c>
      <c r="AC24" s="406" t="s">
        <v>53</v>
      </c>
      <c r="AD24" s="404" t="s">
        <v>529</v>
      </c>
      <c r="AE24" s="404" t="s">
        <v>530</v>
      </c>
      <c r="AF24" s="407" t="s">
        <v>531</v>
      </c>
      <c r="AG24" s="405" t="s">
        <v>532</v>
      </c>
      <c r="AH24" s="414" t="s">
        <v>621</v>
      </c>
      <c r="AI24" s="409"/>
      <c r="AJ24" s="410" t="s">
        <v>534</v>
      </c>
    </row>
    <row r="25">
      <c r="A25" s="402">
        <v>2024.0</v>
      </c>
      <c r="B25" s="402">
        <v>5.0</v>
      </c>
      <c r="C25" s="403" t="s">
        <v>689</v>
      </c>
      <c r="D25" s="403">
        <v>2.02400182E8</v>
      </c>
      <c r="E25" s="404" t="s">
        <v>512</v>
      </c>
      <c r="F25" s="403" t="s">
        <v>513</v>
      </c>
      <c r="G25" s="405" t="s">
        <v>514</v>
      </c>
      <c r="H25" s="405" t="s">
        <v>703</v>
      </c>
      <c r="I25" s="403" t="s">
        <v>516</v>
      </c>
      <c r="J25" s="405" t="s">
        <v>39</v>
      </c>
      <c r="K25" s="405" t="s">
        <v>517</v>
      </c>
      <c r="L25" s="403" t="s">
        <v>518</v>
      </c>
      <c r="M25" s="403" t="s">
        <v>704</v>
      </c>
      <c r="N25" s="403" t="str">
        <f>BUSCARX(R[0]C[-1],CONVENCIONES!R12C1:R42C1,CONVENCIONES!R12C2:R42C2)</f>
        <v>#ERROR!</v>
      </c>
      <c r="O25" s="403" t="s">
        <v>519</v>
      </c>
      <c r="P25" s="405" t="s">
        <v>705</v>
      </c>
      <c r="Q25" s="405" t="s">
        <v>521</v>
      </c>
      <c r="R25" s="403">
        <v>1.023410547E9</v>
      </c>
      <c r="S25" s="405" t="s">
        <v>706</v>
      </c>
      <c r="T25" s="403" t="s">
        <v>707</v>
      </c>
      <c r="U25" s="403" t="s">
        <v>708</v>
      </c>
      <c r="V25" s="403">
        <v>3.163437486E9</v>
      </c>
      <c r="W25" s="404" t="s">
        <v>525</v>
      </c>
      <c r="X25" s="404" t="s">
        <v>526</v>
      </c>
      <c r="Y25" s="404" t="s">
        <v>702</v>
      </c>
      <c r="Z25" s="404" t="s">
        <v>603</v>
      </c>
      <c r="AA25" s="403" t="s">
        <v>53</v>
      </c>
      <c r="AB25" s="416">
        <v>45427.0</v>
      </c>
      <c r="AC25" s="406" t="s">
        <v>53</v>
      </c>
      <c r="AD25" s="404" t="s">
        <v>529</v>
      </c>
      <c r="AE25" s="404" t="s">
        <v>530</v>
      </c>
      <c r="AF25" s="407" t="s">
        <v>531</v>
      </c>
      <c r="AG25" s="405" t="s">
        <v>532</v>
      </c>
      <c r="AH25" s="414" t="s">
        <v>621</v>
      </c>
      <c r="AI25" s="409"/>
      <c r="AJ25" s="410" t="s">
        <v>534</v>
      </c>
    </row>
    <row r="26">
      <c r="A26" s="402">
        <v>2024.0</v>
      </c>
      <c r="B26" s="402">
        <v>5.0</v>
      </c>
      <c r="C26" s="403" t="s">
        <v>689</v>
      </c>
      <c r="D26" s="403">
        <v>2.02400284E8</v>
      </c>
      <c r="E26" s="404" t="s">
        <v>512</v>
      </c>
      <c r="F26" s="403" t="s">
        <v>513</v>
      </c>
      <c r="G26" s="411"/>
      <c r="H26" s="405" t="s">
        <v>709</v>
      </c>
      <c r="I26" s="403" t="s">
        <v>516</v>
      </c>
      <c r="J26" s="403" t="s">
        <v>710</v>
      </c>
      <c r="K26" s="403" t="s">
        <v>517</v>
      </c>
      <c r="L26" s="403" t="s">
        <v>518</v>
      </c>
      <c r="M26" s="403" t="s">
        <v>565</v>
      </c>
      <c r="N26" s="403" t="str">
        <f>BUSCARX(R[0]C[-1],CONVENCIONES!R12C1:R42C1,CONVENCIONES!R12C2:R42C2)</f>
        <v>#ERROR!</v>
      </c>
      <c r="O26" s="403" t="s">
        <v>519</v>
      </c>
      <c r="P26" s="403" t="s">
        <v>711</v>
      </c>
      <c r="Q26" s="403" t="s">
        <v>540</v>
      </c>
      <c r="R26" s="403">
        <v>2.6533998E7</v>
      </c>
      <c r="S26" s="405" t="s">
        <v>712</v>
      </c>
      <c r="T26" s="405" t="s">
        <v>713</v>
      </c>
      <c r="U26" s="417" t="s">
        <v>714</v>
      </c>
      <c r="V26" s="403">
        <v>3.108548307E9</v>
      </c>
      <c r="W26" s="404" t="s">
        <v>525</v>
      </c>
      <c r="X26" s="404" t="s">
        <v>526</v>
      </c>
      <c r="Y26" s="404" t="s">
        <v>527</v>
      </c>
      <c r="Z26" s="404" t="s">
        <v>528</v>
      </c>
      <c r="AA26" s="403" t="s">
        <v>715</v>
      </c>
      <c r="AB26" s="406">
        <v>45439.0</v>
      </c>
      <c r="AC26" s="406">
        <v>45449.0</v>
      </c>
      <c r="AD26" s="404" t="s">
        <v>529</v>
      </c>
      <c r="AE26" s="404" t="s">
        <v>570</v>
      </c>
      <c r="AF26" s="407" t="s">
        <v>531</v>
      </c>
      <c r="AG26" s="405" t="s">
        <v>532</v>
      </c>
      <c r="AH26" s="408" t="s">
        <v>716</v>
      </c>
      <c r="AI26" s="409"/>
      <c r="AJ26" s="410" t="s">
        <v>534</v>
      </c>
    </row>
    <row r="27">
      <c r="A27" s="402">
        <v>2024.0</v>
      </c>
      <c r="B27" s="402">
        <v>5.0</v>
      </c>
      <c r="C27" s="403" t="s">
        <v>689</v>
      </c>
      <c r="D27" s="403">
        <v>2.02400285E8</v>
      </c>
      <c r="E27" s="404" t="s">
        <v>512</v>
      </c>
      <c r="F27" s="403" t="s">
        <v>513</v>
      </c>
      <c r="G27" s="411"/>
      <c r="H27" s="405" t="s">
        <v>717</v>
      </c>
      <c r="I27" s="403" t="s">
        <v>516</v>
      </c>
      <c r="J27" s="403" t="s">
        <v>710</v>
      </c>
      <c r="K27" s="403" t="s">
        <v>517</v>
      </c>
      <c r="L27" s="403" t="s">
        <v>518</v>
      </c>
      <c r="M27" s="403" t="s">
        <v>565</v>
      </c>
      <c r="N27" s="403" t="str">
        <f>BUSCARX(R[0]C[-1],CONVENCIONES!R12C1:R42C1,CONVENCIONES!R12C2:R42C2)</f>
        <v>#ERROR!</v>
      </c>
      <c r="O27" s="403" t="s">
        <v>519</v>
      </c>
      <c r="P27" s="403" t="s">
        <v>718</v>
      </c>
      <c r="Q27" s="403" t="s">
        <v>521</v>
      </c>
      <c r="R27" s="403">
        <v>1.9244568E7</v>
      </c>
      <c r="S27" s="405" t="s">
        <v>712</v>
      </c>
      <c r="T27" s="405" t="s">
        <v>713</v>
      </c>
      <c r="U27" s="417" t="s">
        <v>714</v>
      </c>
      <c r="V27" s="403">
        <v>3.108548307E9</v>
      </c>
      <c r="W27" s="404" t="s">
        <v>525</v>
      </c>
      <c r="X27" s="404" t="s">
        <v>526</v>
      </c>
      <c r="Y27" s="404" t="s">
        <v>527</v>
      </c>
      <c r="Z27" s="404" t="s">
        <v>528</v>
      </c>
      <c r="AA27" s="403" t="s">
        <v>715</v>
      </c>
      <c r="AB27" s="406">
        <v>45439.0</v>
      </c>
      <c r="AC27" s="406">
        <v>45449.0</v>
      </c>
      <c r="AD27" s="404" t="s">
        <v>529</v>
      </c>
      <c r="AE27" s="404" t="s">
        <v>570</v>
      </c>
      <c r="AF27" s="407" t="s">
        <v>531</v>
      </c>
      <c r="AG27" s="405" t="s">
        <v>532</v>
      </c>
      <c r="AH27" s="408" t="s">
        <v>719</v>
      </c>
      <c r="AI27" s="409"/>
      <c r="AJ27" s="410" t="s">
        <v>534</v>
      </c>
    </row>
    <row r="28">
      <c r="A28" s="402">
        <v>2024.0</v>
      </c>
      <c r="B28" s="402">
        <v>5.0</v>
      </c>
      <c r="C28" s="403" t="s">
        <v>689</v>
      </c>
      <c r="D28" s="403">
        <v>2.02400292E8</v>
      </c>
      <c r="E28" s="404" t="s">
        <v>512</v>
      </c>
      <c r="F28" s="403" t="s">
        <v>513</v>
      </c>
      <c r="G28" s="405" t="s">
        <v>720</v>
      </c>
      <c r="H28" s="405" t="s">
        <v>721</v>
      </c>
      <c r="I28" s="403" t="s">
        <v>556</v>
      </c>
      <c r="J28" s="403" t="s">
        <v>722</v>
      </c>
      <c r="K28" s="403" t="s">
        <v>517</v>
      </c>
      <c r="L28" s="403" t="s">
        <v>518</v>
      </c>
      <c r="M28" s="403" t="s">
        <v>53</v>
      </c>
      <c r="N28" s="403" t="str">
        <f>BUSCARX(R[0]C[-1],CONVENCIONES!R12C1:R42C1,CONVENCIONES!R12C2:R42C2)</f>
        <v>#ERROR!</v>
      </c>
      <c r="O28" s="403" t="s">
        <v>519</v>
      </c>
      <c r="P28" s="403" t="s">
        <v>723</v>
      </c>
      <c r="Q28" s="403" t="s">
        <v>540</v>
      </c>
      <c r="R28" s="403">
        <v>5.2734656E7</v>
      </c>
      <c r="S28" s="405" t="s">
        <v>724</v>
      </c>
      <c r="T28" s="405" t="s">
        <v>725</v>
      </c>
      <c r="U28" s="403" t="s">
        <v>726</v>
      </c>
      <c r="V28" s="403">
        <v>3.05751959E9</v>
      </c>
      <c r="W28" s="404" t="s">
        <v>525</v>
      </c>
      <c r="X28" s="392"/>
      <c r="Y28" s="404" t="s">
        <v>527</v>
      </c>
      <c r="Z28" s="404" t="s">
        <v>528</v>
      </c>
      <c r="AA28" s="403" t="s">
        <v>727</v>
      </c>
      <c r="AB28" s="406">
        <v>45433.0</v>
      </c>
      <c r="AC28" s="406">
        <v>45440.0</v>
      </c>
      <c r="AD28" s="404" t="s">
        <v>529</v>
      </c>
      <c r="AE28" s="404" t="s">
        <v>530</v>
      </c>
      <c r="AF28" s="407" t="s">
        <v>531</v>
      </c>
      <c r="AG28" s="405" t="s">
        <v>532</v>
      </c>
      <c r="AH28" s="414" t="s">
        <v>621</v>
      </c>
      <c r="AI28" s="409"/>
      <c r="AJ28" s="410" t="s">
        <v>534</v>
      </c>
    </row>
    <row r="29">
      <c r="A29" s="402">
        <v>2024.0</v>
      </c>
      <c r="B29" s="402">
        <v>6.0</v>
      </c>
      <c r="C29" s="403" t="s">
        <v>728</v>
      </c>
      <c r="D29" s="403">
        <v>2.02400382E8</v>
      </c>
      <c r="E29" s="404" t="s">
        <v>512</v>
      </c>
      <c r="F29" s="403" t="s">
        <v>513</v>
      </c>
      <c r="G29" s="411"/>
      <c r="H29" s="405" t="s">
        <v>729</v>
      </c>
      <c r="I29" s="403" t="s">
        <v>516</v>
      </c>
      <c r="J29" s="403" t="s">
        <v>29</v>
      </c>
      <c r="K29" s="403" t="s">
        <v>517</v>
      </c>
      <c r="L29" s="403" t="s">
        <v>518</v>
      </c>
      <c r="M29" s="403" t="s">
        <v>565</v>
      </c>
      <c r="N29" s="403" t="str">
        <f>BUSCARX(R[0]C[-1],CONVENCIONES!R12C1:R42C1,CONVENCIONES!R12C2:R42C2)</f>
        <v>#ERROR!</v>
      </c>
      <c r="O29" s="403" t="s">
        <v>519</v>
      </c>
      <c r="P29" s="403" t="s">
        <v>730</v>
      </c>
      <c r="Q29" s="403" t="s">
        <v>521</v>
      </c>
      <c r="R29" s="403">
        <v>1.4269252E7</v>
      </c>
      <c r="S29" s="405" t="s">
        <v>731</v>
      </c>
      <c r="T29" s="405" t="s">
        <v>732</v>
      </c>
      <c r="U29" s="403" t="s">
        <v>733</v>
      </c>
      <c r="V29" s="403">
        <v>3.133683676E9</v>
      </c>
      <c r="W29" s="404" t="s">
        <v>525</v>
      </c>
      <c r="X29" s="404" t="s">
        <v>526</v>
      </c>
      <c r="Y29" s="404" t="s">
        <v>527</v>
      </c>
      <c r="Z29" s="404" t="s">
        <v>528</v>
      </c>
      <c r="AA29" s="403" t="s">
        <v>734</v>
      </c>
      <c r="AB29" s="406">
        <v>45468.0</v>
      </c>
      <c r="AC29" s="406" t="str">
        <f>DIA.LAB(R[0]C[-1],15)</f>
        <v>#ERROR!</v>
      </c>
      <c r="AD29" s="404" t="s">
        <v>529</v>
      </c>
      <c r="AE29" s="404" t="s">
        <v>570</v>
      </c>
      <c r="AF29" s="418" t="s">
        <v>531</v>
      </c>
      <c r="AG29" s="403" t="s">
        <v>532</v>
      </c>
      <c r="AH29" s="408" t="s">
        <v>735</v>
      </c>
      <c r="AI29" s="409"/>
      <c r="AJ29" s="410" t="s">
        <v>534</v>
      </c>
    </row>
    <row r="30">
      <c r="A30" s="402">
        <v>2024.0</v>
      </c>
      <c r="B30" s="402">
        <v>7.0</v>
      </c>
      <c r="C30" s="403" t="s">
        <v>736</v>
      </c>
      <c r="D30" s="403">
        <v>2.02400416E8</v>
      </c>
      <c r="E30" s="404" t="s">
        <v>512</v>
      </c>
      <c r="F30" s="403" t="s">
        <v>513</v>
      </c>
      <c r="G30" s="405" t="s">
        <v>514</v>
      </c>
      <c r="H30" s="405" t="s">
        <v>737</v>
      </c>
      <c r="I30" s="403" t="s">
        <v>516</v>
      </c>
      <c r="J30" s="403" t="s">
        <v>100</v>
      </c>
      <c r="K30" s="403" t="s">
        <v>517</v>
      </c>
      <c r="L30" s="403" t="s">
        <v>518</v>
      </c>
      <c r="M30" s="403" t="s">
        <v>738</v>
      </c>
      <c r="N30" s="403" t="str">
        <f>BUSCARX(R[0]C[-1],CONVENCIONES!R12C1:R42C1,CONVENCIONES!R12C2:R42C2)</f>
        <v>#ERROR!</v>
      </c>
      <c r="O30" s="403" t="s">
        <v>519</v>
      </c>
      <c r="P30" s="403" t="s">
        <v>739</v>
      </c>
      <c r="Q30" s="403" t="s">
        <v>540</v>
      </c>
      <c r="R30" s="403">
        <v>2.0285203E7</v>
      </c>
      <c r="S30" s="405" t="s">
        <v>740</v>
      </c>
      <c r="T30" s="405" t="s">
        <v>741</v>
      </c>
      <c r="U30" s="403" t="s">
        <v>742</v>
      </c>
      <c r="V30" s="403">
        <v>3.102099828E9</v>
      </c>
      <c r="W30" s="404" t="s">
        <v>525</v>
      </c>
      <c r="X30" s="404" t="s">
        <v>526</v>
      </c>
      <c r="Y30" s="404" t="s">
        <v>527</v>
      </c>
      <c r="Z30" s="404" t="s">
        <v>528</v>
      </c>
      <c r="AA30" s="403" t="s">
        <v>743</v>
      </c>
      <c r="AB30" s="406">
        <v>45475.0</v>
      </c>
      <c r="AC30" s="406" t="s">
        <v>53</v>
      </c>
      <c r="AD30" s="404" t="s">
        <v>529</v>
      </c>
      <c r="AE30" s="404" t="s">
        <v>744</v>
      </c>
      <c r="AF30" s="418" t="s">
        <v>531</v>
      </c>
      <c r="AG30" s="403" t="s">
        <v>532</v>
      </c>
      <c r="AH30" s="408" t="s">
        <v>739</v>
      </c>
      <c r="AI30" s="409"/>
      <c r="AJ30" s="410" t="s">
        <v>534</v>
      </c>
    </row>
    <row r="31">
      <c r="A31" s="402">
        <v>2024.0</v>
      </c>
      <c r="B31" s="402">
        <v>7.0</v>
      </c>
      <c r="C31" s="403" t="s">
        <v>736</v>
      </c>
      <c r="D31" s="403">
        <v>2.02400422E8</v>
      </c>
      <c r="E31" s="404" t="s">
        <v>512</v>
      </c>
      <c r="F31" s="403" t="s">
        <v>513</v>
      </c>
      <c r="G31" s="411"/>
      <c r="H31" s="405" t="s">
        <v>745</v>
      </c>
      <c r="I31" s="403" t="s">
        <v>516</v>
      </c>
      <c r="J31" s="403" t="s">
        <v>746</v>
      </c>
      <c r="K31" s="403" t="s">
        <v>517</v>
      </c>
      <c r="L31" s="403" t="s">
        <v>518</v>
      </c>
      <c r="M31" s="403" t="s">
        <v>565</v>
      </c>
      <c r="N31" s="403" t="str">
        <f>BUSCARX(R[0]C[-1],CONVENCIONES!R12C1:R42C1,CONVENCIONES!R12C2:R42C2)</f>
        <v>#ERROR!</v>
      </c>
      <c r="O31" s="403" t="s">
        <v>519</v>
      </c>
      <c r="P31" s="403" t="s">
        <v>747</v>
      </c>
      <c r="Q31" s="403" t="s">
        <v>540</v>
      </c>
      <c r="R31" s="403">
        <v>2.3486496E7</v>
      </c>
      <c r="S31" s="405" t="s">
        <v>748</v>
      </c>
      <c r="T31" s="405" t="s">
        <v>749</v>
      </c>
      <c r="U31" s="403" t="s">
        <v>750</v>
      </c>
      <c r="V31" s="403">
        <v>3.114738322E9</v>
      </c>
      <c r="W31" s="404" t="s">
        <v>525</v>
      </c>
      <c r="X31" s="404" t="s">
        <v>526</v>
      </c>
      <c r="Y31" s="404" t="s">
        <v>527</v>
      </c>
      <c r="Z31" s="404" t="s">
        <v>528</v>
      </c>
      <c r="AA31" s="403" t="s">
        <v>751</v>
      </c>
      <c r="AB31" s="406">
        <v>45477.0</v>
      </c>
      <c r="AC31" s="406" t="s">
        <v>53</v>
      </c>
      <c r="AD31" s="404" t="s">
        <v>529</v>
      </c>
      <c r="AE31" s="404" t="s">
        <v>570</v>
      </c>
      <c r="AF31" s="418" t="s">
        <v>531</v>
      </c>
      <c r="AG31" s="403" t="s">
        <v>532</v>
      </c>
      <c r="AH31" s="408" t="s">
        <v>752</v>
      </c>
      <c r="AI31" s="409"/>
      <c r="AJ31" s="410" t="s">
        <v>534</v>
      </c>
    </row>
    <row r="32">
      <c r="A32" s="402">
        <v>2024.0</v>
      </c>
      <c r="B32" s="402">
        <v>7.0</v>
      </c>
      <c r="C32" s="403" t="s">
        <v>736</v>
      </c>
      <c r="D32" s="403">
        <v>2.02400423E8</v>
      </c>
      <c r="E32" s="404" t="s">
        <v>512</v>
      </c>
      <c r="F32" s="403" t="s">
        <v>535</v>
      </c>
      <c r="G32" s="411"/>
      <c r="H32" s="405" t="s">
        <v>753</v>
      </c>
      <c r="I32" s="403" t="s">
        <v>537</v>
      </c>
      <c r="J32" s="403" t="s">
        <v>465</v>
      </c>
      <c r="K32" s="403" t="s">
        <v>517</v>
      </c>
      <c r="L32" s="403" t="s">
        <v>518</v>
      </c>
      <c r="M32" s="403" t="s">
        <v>557</v>
      </c>
      <c r="N32" s="403" t="str">
        <f>BUSCARX(R[0]C[-1],CONVENCIONES!R12C1:R42C1,CONVENCIONES!R12C2:R42C2)</f>
        <v>#ERROR!</v>
      </c>
      <c r="O32" s="403" t="s">
        <v>519</v>
      </c>
      <c r="P32" s="403" t="s">
        <v>754</v>
      </c>
      <c r="Q32" s="403" t="s">
        <v>540</v>
      </c>
      <c r="R32" s="403">
        <v>6.7041434E7</v>
      </c>
      <c r="S32" s="405" t="s">
        <v>755</v>
      </c>
      <c r="T32" s="405" t="s">
        <v>756</v>
      </c>
      <c r="U32" s="403" t="s">
        <v>757</v>
      </c>
      <c r="V32" s="403">
        <v>3.182990558E9</v>
      </c>
      <c r="W32" s="404" t="s">
        <v>525</v>
      </c>
      <c r="X32" s="404" t="s">
        <v>526</v>
      </c>
      <c r="Y32" s="404" t="s">
        <v>527</v>
      </c>
      <c r="Z32" s="404" t="s">
        <v>568</v>
      </c>
      <c r="AA32" s="403" t="s">
        <v>758</v>
      </c>
      <c r="AB32" s="406">
        <v>45477.0</v>
      </c>
      <c r="AC32" s="406" t="s">
        <v>53</v>
      </c>
      <c r="AD32" s="404" t="s">
        <v>529</v>
      </c>
      <c r="AE32" s="404" t="s">
        <v>570</v>
      </c>
      <c r="AF32" s="418" t="s">
        <v>531</v>
      </c>
      <c r="AG32" s="403" t="s">
        <v>532</v>
      </c>
      <c r="AH32" s="408" t="s">
        <v>759</v>
      </c>
      <c r="AI32" s="409"/>
      <c r="AJ32" s="410" t="s">
        <v>534</v>
      </c>
    </row>
    <row r="33">
      <c r="A33" s="402">
        <v>2024.0</v>
      </c>
      <c r="B33" s="402">
        <v>7.0</v>
      </c>
      <c r="C33" s="403" t="s">
        <v>736</v>
      </c>
      <c r="D33" s="403">
        <v>2.02400432E8</v>
      </c>
      <c r="E33" s="404" t="s">
        <v>512</v>
      </c>
      <c r="F33" s="403" t="s">
        <v>513</v>
      </c>
      <c r="G33" s="405" t="s">
        <v>554</v>
      </c>
      <c r="H33" s="405" t="s">
        <v>760</v>
      </c>
      <c r="I33" s="403" t="s">
        <v>556</v>
      </c>
      <c r="J33" s="403" t="s">
        <v>761</v>
      </c>
      <c r="K33" s="403" t="s">
        <v>517</v>
      </c>
      <c r="L33" s="403" t="s">
        <v>518</v>
      </c>
      <c r="M33" s="403" t="s">
        <v>548</v>
      </c>
      <c r="N33" s="403" t="str">
        <f>BUSCARX(R[0]C[-1],CONVENCIONES!R12C1:R42C1,CONVENCIONES!R12C2:R42C2)</f>
        <v>#ERROR!</v>
      </c>
      <c r="O33" s="403" t="s">
        <v>519</v>
      </c>
      <c r="P33" s="403" t="s">
        <v>762</v>
      </c>
      <c r="Q33" s="403" t="s">
        <v>540</v>
      </c>
      <c r="R33" s="403">
        <v>2.7876793E7</v>
      </c>
      <c r="S33" s="405" t="s">
        <v>763</v>
      </c>
      <c r="T33" s="405" t="s">
        <v>764</v>
      </c>
      <c r="U33" s="403" t="s">
        <v>765</v>
      </c>
      <c r="V33" s="403" t="s">
        <v>766</v>
      </c>
      <c r="W33" s="404" t="s">
        <v>525</v>
      </c>
      <c r="X33" s="404" t="s">
        <v>526</v>
      </c>
      <c r="Y33" s="404" t="s">
        <v>702</v>
      </c>
      <c r="Z33" s="404" t="s">
        <v>603</v>
      </c>
      <c r="AA33" s="403" t="s">
        <v>767</v>
      </c>
      <c r="AB33" s="406">
        <v>45481.0</v>
      </c>
      <c r="AC33" s="406" t="s">
        <v>53</v>
      </c>
      <c r="AD33" s="404" t="s">
        <v>529</v>
      </c>
      <c r="AE33" s="404" t="s">
        <v>530</v>
      </c>
      <c r="AF33" s="418" t="s">
        <v>531</v>
      </c>
      <c r="AG33" s="403" t="s">
        <v>532</v>
      </c>
      <c r="AH33" s="414" t="s">
        <v>621</v>
      </c>
      <c r="AI33" s="409"/>
      <c r="AJ33" s="410" t="s">
        <v>534</v>
      </c>
    </row>
    <row r="34">
      <c r="A34" s="402">
        <v>2024.0</v>
      </c>
      <c r="B34" s="402">
        <v>7.0</v>
      </c>
      <c r="C34" s="403" t="s">
        <v>736</v>
      </c>
      <c r="D34" s="403">
        <v>2.02400441E8</v>
      </c>
      <c r="E34" s="404" t="s">
        <v>512</v>
      </c>
      <c r="F34" s="403" t="s">
        <v>768</v>
      </c>
      <c r="G34" s="411"/>
      <c r="H34" s="405" t="s">
        <v>769</v>
      </c>
      <c r="I34" s="403" t="s">
        <v>770</v>
      </c>
      <c r="J34" s="403" t="s">
        <v>771</v>
      </c>
      <c r="K34" s="403" t="s">
        <v>517</v>
      </c>
      <c r="L34" s="403" t="s">
        <v>518</v>
      </c>
      <c r="M34" s="403" t="s">
        <v>548</v>
      </c>
      <c r="N34" s="403" t="str">
        <f>BUSCARX(R[0]C[-1],CONVENCIONES!R12C1:R42C1,CONVENCIONES!R12C2:R42C2)</f>
        <v>#ERROR!</v>
      </c>
      <c r="O34" s="403" t="s">
        <v>519</v>
      </c>
      <c r="P34" s="403" t="s">
        <v>772</v>
      </c>
      <c r="Q34" s="403" t="s">
        <v>521</v>
      </c>
      <c r="R34" s="403">
        <v>1.022430676E9</v>
      </c>
      <c r="S34" s="405" t="s">
        <v>773</v>
      </c>
      <c r="T34" s="405" t="s">
        <v>774</v>
      </c>
      <c r="U34" s="403" t="s">
        <v>775</v>
      </c>
      <c r="V34" s="403" t="s">
        <v>776</v>
      </c>
      <c r="W34" s="404" t="s">
        <v>525</v>
      </c>
      <c r="X34" s="404" t="s">
        <v>53</v>
      </c>
      <c r="Y34" s="404" t="s">
        <v>527</v>
      </c>
      <c r="Z34" s="404" t="s">
        <v>528</v>
      </c>
      <c r="AA34" s="403" t="s">
        <v>777</v>
      </c>
      <c r="AB34" s="406">
        <v>45483.0</v>
      </c>
      <c r="AC34" s="413" t="s">
        <v>53</v>
      </c>
      <c r="AD34" s="404" t="s">
        <v>529</v>
      </c>
      <c r="AE34" s="404" t="s">
        <v>530</v>
      </c>
      <c r="AF34" s="418" t="s">
        <v>531</v>
      </c>
      <c r="AG34" s="403" t="s">
        <v>532</v>
      </c>
      <c r="AH34" s="414" t="s">
        <v>621</v>
      </c>
      <c r="AI34" s="409"/>
      <c r="AJ34" s="410" t="s">
        <v>534</v>
      </c>
    </row>
    <row r="35">
      <c r="A35" s="402">
        <v>2024.0</v>
      </c>
      <c r="B35" s="402">
        <v>7.0</v>
      </c>
      <c r="C35" s="403" t="s">
        <v>736</v>
      </c>
      <c r="D35" s="403">
        <v>2.02400449E8</v>
      </c>
      <c r="E35" s="404" t="s">
        <v>512</v>
      </c>
      <c r="F35" s="403" t="s">
        <v>513</v>
      </c>
      <c r="G35" s="411"/>
      <c r="H35" s="405" t="s">
        <v>778</v>
      </c>
      <c r="I35" s="403" t="s">
        <v>516</v>
      </c>
      <c r="J35" s="403" t="s">
        <v>29</v>
      </c>
      <c r="K35" s="403" t="s">
        <v>517</v>
      </c>
      <c r="L35" s="403" t="s">
        <v>518</v>
      </c>
      <c r="M35" s="403" t="s">
        <v>565</v>
      </c>
      <c r="N35" s="403" t="str">
        <f>BUSCARX(R[0]C[-1],CONVENCIONES!R12C1:R42C1,CONVENCIONES!R12C2:R42C2)</f>
        <v>#ERROR!</v>
      </c>
      <c r="O35" s="403" t="s">
        <v>519</v>
      </c>
      <c r="P35" s="403" t="s">
        <v>779</v>
      </c>
      <c r="Q35" s="403" t="s">
        <v>521</v>
      </c>
      <c r="R35" s="403">
        <v>7.9713798E7</v>
      </c>
      <c r="S35" s="405" t="s">
        <v>780</v>
      </c>
      <c r="T35" s="405" t="s">
        <v>781</v>
      </c>
      <c r="U35" s="403" t="s">
        <v>782</v>
      </c>
      <c r="V35" s="403">
        <v>3.143908862E9</v>
      </c>
      <c r="W35" s="404" t="s">
        <v>525</v>
      </c>
      <c r="X35" s="404" t="s">
        <v>526</v>
      </c>
      <c r="Y35" s="404" t="s">
        <v>527</v>
      </c>
      <c r="Z35" s="404" t="s">
        <v>528</v>
      </c>
      <c r="AA35" s="403" t="s">
        <v>783</v>
      </c>
      <c r="AB35" s="406">
        <v>45484.0</v>
      </c>
      <c r="AC35" s="413" t="s">
        <v>53</v>
      </c>
      <c r="AD35" s="404" t="s">
        <v>529</v>
      </c>
      <c r="AE35" s="404" t="s">
        <v>570</v>
      </c>
      <c r="AF35" s="418" t="s">
        <v>531</v>
      </c>
      <c r="AG35" s="403" t="s">
        <v>532</v>
      </c>
      <c r="AH35" s="408" t="s">
        <v>784</v>
      </c>
      <c r="AI35" s="409"/>
      <c r="AJ35" s="410" t="s">
        <v>534</v>
      </c>
    </row>
    <row r="36">
      <c r="A36" s="402">
        <v>2024.0</v>
      </c>
      <c r="B36" s="402">
        <v>7.0</v>
      </c>
      <c r="C36" s="403" t="s">
        <v>736</v>
      </c>
      <c r="D36" s="403">
        <v>2.02400529E8</v>
      </c>
      <c r="E36" s="404" t="s">
        <v>512</v>
      </c>
      <c r="F36" s="403" t="s">
        <v>535</v>
      </c>
      <c r="G36" s="411"/>
      <c r="H36" s="405" t="s">
        <v>785</v>
      </c>
      <c r="I36" s="403" t="s">
        <v>537</v>
      </c>
      <c r="J36" s="403" t="s">
        <v>786</v>
      </c>
      <c r="K36" s="403" t="s">
        <v>517</v>
      </c>
      <c r="L36" s="403" t="s">
        <v>518</v>
      </c>
      <c r="M36" s="403" t="s">
        <v>557</v>
      </c>
      <c r="N36" s="403" t="str">
        <f>BUSCARX(R[0]C[-1],CONVENCIONES!R12C1:R42C1,CONVENCIONES!R12C2:R42C2)</f>
        <v>#ERROR!</v>
      </c>
      <c r="O36" s="403" t="s">
        <v>519</v>
      </c>
      <c r="P36" s="403" t="s">
        <v>787</v>
      </c>
      <c r="Q36" s="403" t="s">
        <v>540</v>
      </c>
      <c r="R36" s="403">
        <v>5.2468928E7</v>
      </c>
      <c r="S36" s="405" t="s">
        <v>788</v>
      </c>
      <c r="T36" s="405" t="s">
        <v>789</v>
      </c>
      <c r="U36" s="403" t="s">
        <v>790</v>
      </c>
      <c r="V36" s="403" t="s">
        <v>791</v>
      </c>
      <c r="W36" s="404" t="s">
        <v>792</v>
      </c>
      <c r="X36" s="404" t="s">
        <v>526</v>
      </c>
      <c r="Y36" s="404" t="s">
        <v>527</v>
      </c>
      <c r="Z36" s="404" t="s">
        <v>528</v>
      </c>
      <c r="AA36" s="392"/>
      <c r="AB36" s="413">
        <v>45496.0</v>
      </c>
      <c r="AC36" s="413" t="s">
        <v>53</v>
      </c>
      <c r="AD36" s="404" t="s">
        <v>529</v>
      </c>
      <c r="AE36" s="404" t="s">
        <v>530</v>
      </c>
      <c r="AF36" s="418" t="s">
        <v>531</v>
      </c>
      <c r="AG36" s="403" t="s">
        <v>532</v>
      </c>
      <c r="AH36" s="408" t="s">
        <v>793</v>
      </c>
      <c r="AI36" s="409"/>
      <c r="AJ36" s="410" t="s">
        <v>534</v>
      </c>
    </row>
    <row r="37">
      <c r="A37" s="402">
        <v>2024.0</v>
      </c>
      <c r="B37" s="402">
        <v>7.0</v>
      </c>
      <c r="C37" s="403" t="s">
        <v>736</v>
      </c>
      <c r="D37" s="403">
        <v>2.02400533E8</v>
      </c>
      <c r="E37" s="404" t="s">
        <v>512</v>
      </c>
      <c r="F37" s="403" t="s">
        <v>513</v>
      </c>
      <c r="G37" s="405" t="s">
        <v>514</v>
      </c>
      <c r="H37" s="405" t="s">
        <v>794</v>
      </c>
      <c r="I37" s="403" t="s">
        <v>516</v>
      </c>
      <c r="J37" s="403" t="s">
        <v>795</v>
      </c>
      <c r="K37" s="403" t="s">
        <v>517</v>
      </c>
      <c r="L37" s="403" t="s">
        <v>518</v>
      </c>
      <c r="M37" s="403" t="s">
        <v>548</v>
      </c>
      <c r="N37" s="403" t="str">
        <f>BUSCARX(R[0]C[-1],CONVENCIONES!R12C1:R42C1,CONVENCIONES!R12C2:R42C2)</f>
        <v>#ERROR!</v>
      </c>
      <c r="O37" s="403" t="s">
        <v>519</v>
      </c>
      <c r="P37" s="403" t="s">
        <v>796</v>
      </c>
      <c r="Q37" s="403" t="s">
        <v>540</v>
      </c>
      <c r="R37" s="403">
        <v>3.8248419E7</v>
      </c>
      <c r="S37" s="405" t="s">
        <v>797</v>
      </c>
      <c r="T37" s="405" t="s">
        <v>798</v>
      </c>
      <c r="U37" s="403" t="s">
        <v>799</v>
      </c>
      <c r="V37" s="403">
        <v>3.104725272E9</v>
      </c>
      <c r="W37" s="404" t="s">
        <v>525</v>
      </c>
      <c r="X37" s="404" t="s">
        <v>526</v>
      </c>
      <c r="Y37" s="404" t="s">
        <v>702</v>
      </c>
      <c r="Z37" s="404" t="s">
        <v>603</v>
      </c>
      <c r="AA37" s="392"/>
      <c r="AB37" s="413">
        <v>45503.0</v>
      </c>
      <c r="AC37" s="419"/>
      <c r="AD37" s="404" t="s">
        <v>529</v>
      </c>
      <c r="AE37" s="404" t="s">
        <v>530</v>
      </c>
      <c r="AF37" s="418" t="s">
        <v>531</v>
      </c>
      <c r="AG37" s="403" t="s">
        <v>532</v>
      </c>
      <c r="AH37" s="408" t="s">
        <v>800</v>
      </c>
      <c r="AI37" s="409"/>
      <c r="AJ37" s="410" t="s">
        <v>534</v>
      </c>
    </row>
    <row r="38">
      <c r="A38" s="402">
        <v>2024.0</v>
      </c>
      <c r="B38" s="402">
        <v>7.0</v>
      </c>
      <c r="C38" s="403" t="s">
        <v>736</v>
      </c>
      <c r="D38" s="403">
        <v>2.02400539E8</v>
      </c>
      <c r="E38" s="404" t="s">
        <v>512</v>
      </c>
      <c r="F38" s="403" t="s">
        <v>513</v>
      </c>
      <c r="G38" s="405" t="s">
        <v>801</v>
      </c>
      <c r="H38" s="405" t="s">
        <v>802</v>
      </c>
      <c r="I38" s="403" t="s">
        <v>556</v>
      </c>
      <c r="J38" s="403" t="s">
        <v>249</v>
      </c>
      <c r="K38" s="403" t="s">
        <v>517</v>
      </c>
      <c r="L38" s="403" t="s">
        <v>518</v>
      </c>
      <c r="M38" s="403" t="s">
        <v>548</v>
      </c>
      <c r="N38" s="403" t="str">
        <f>BUSCARX(R[0]C[-1],CONVENCIONES!R12C1:R42C1,CONVENCIONES!R12C2:R42C2)</f>
        <v>#ERROR!</v>
      </c>
      <c r="O38" s="403" t="s">
        <v>519</v>
      </c>
      <c r="P38" s="403" t="s">
        <v>803</v>
      </c>
      <c r="Q38" s="403" t="s">
        <v>540</v>
      </c>
      <c r="R38" s="403">
        <v>5.1843877E7</v>
      </c>
      <c r="S38" s="405" t="s">
        <v>804</v>
      </c>
      <c r="T38" s="405" t="s">
        <v>805</v>
      </c>
      <c r="U38" s="403" t="s">
        <v>806</v>
      </c>
      <c r="V38" s="403">
        <v>3.174591892E9</v>
      </c>
      <c r="W38" s="404" t="s">
        <v>525</v>
      </c>
      <c r="X38" s="404" t="s">
        <v>544</v>
      </c>
      <c r="Y38" s="404" t="s">
        <v>527</v>
      </c>
      <c r="Z38" s="404" t="s">
        <v>528</v>
      </c>
      <c r="AA38" s="403" t="s">
        <v>807</v>
      </c>
      <c r="AB38" s="406">
        <v>45503.0</v>
      </c>
      <c r="AC38" s="419"/>
      <c r="AD38" s="404" t="s">
        <v>529</v>
      </c>
      <c r="AE38" s="404" t="s">
        <v>530</v>
      </c>
      <c r="AF38" s="418" t="s">
        <v>531</v>
      </c>
      <c r="AG38" s="403" t="s">
        <v>532</v>
      </c>
      <c r="AH38" s="408" t="s">
        <v>808</v>
      </c>
      <c r="AI38" s="409"/>
      <c r="AJ38" s="410" t="s">
        <v>534</v>
      </c>
    </row>
    <row r="39">
      <c r="A39" s="402">
        <v>2024.0</v>
      </c>
      <c r="B39" s="402">
        <v>8.0</v>
      </c>
      <c r="C39" s="403" t="s">
        <v>809</v>
      </c>
      <c r="D39" s="403">
        <v>2.02400554E8</v>
      </c>
      <c r="E39" s="404" t="s">
        <v>512</v>
      </c>
      <c r="F39" s="403" t="s">
        <v>810</v>
      </c>
      <c r="G39" s="405" t="s">
        <v>811</v>
      </c>
      <c r="H39" s="405" t="s">
        <v>812</v>
      </c>
      <c r="I39" s="403" t="s">
        <v>813</v>
      </c>
      <c r="J39" s="403" t="s">
        <v>814</v>
      </c>
      <c r="K39" s="403" t="s">
        <v>517</v>
      </c>
      <c r="L39" s="403" t="s">
        <v>518</v>
      </c>
      <c r="M39" s="403" t="s">
        <v>53</v>
      </c>
      <c r="N39" s="403" t="str">
        <f>BUSCARX(R[0]C[-1],CONVENCIONES!R12C1:R42C1,CONVENCIONES!R12C2:R42C2)</f>
        <v>#ERROR!</v>
      </c>
      <c r="O39" s="403" t="s">
        <v>519</v>
      </c>
      <c r="P39" s="403" t="s">
        <v>815</v>
      </c>
      <c r="Q39" s="403" t="s">
        <v>540</v>
      </c>
      <c r="R39" s="403" t="s">
        <v>816</v>
      </c>
      <c r="S39" s="405" t="s">
        <v>817</v>
      </c>
      <c r="T39" s="405" t="s">
        <v>818</v>
      </c>
      <c r="U39" s="403" t="s">
        <v>819</v>
      </c>
      <c r="V39" s="403">
        <v>3.124907493E9</v>
      </c>
      <c r="W39" s="404" t="s">
        <v>525</v>
      </c>
      <c r="X39" s="404" t="s">
        <v>544</v>
      </c>
      <c r="Y39" s="404" t="s">
        <v>527</v>
      </c>
      <c r="Z39" s="404" t="s">
        <v>528</v>
      </c>
      <c r="AA39" s="403" t="s">
        <v>820</v>
      </c>
      <c r="AB39" s="413">
        <v>45505.0</v>
      </c>
      <c r="AC39" s="413">
        <v>45505.0</v>
      </c>
      <c r="AD39" s="404" t="s">
        <v>529</v>
      </c>
      <c r="AE39" s="404" t="s">
        <v>552</v>
      </c>
      <c r="AF39" s="418" t="s">
        <v>531</v>
      </c>
      <c r="AG39" s="403" t="s">
        <v>532</v>
      </c>
      <c r="AH39" s="408" t="s">
        <v>821</v>
      </c>
      <c r="AI39" s="409"/>
      <c r="AJ39" s="410" t="s">
        <v>534</v>
      </c>
    </row>
    <row r="40">
      <c r="A40" s="402">
        <v>2024.0</v>
      </c>
      <c r="B40" s="402">
        <v>8.0</v>
      </c>
      <c r="C40" s="403" t="s">
        <v>809</v>
      </c>
      <c r="D40" s="403">
        <v>2.02400555E8</v>
      </c>
      <c r="E40" s="404" t="s">
        <v>512</v>
      </c>
      <c r="F40" s="403" t="s">
        <v>810</v>
      </c>
      <c r="G40" s="411"/>
      <c r="H40" s="405" t="s">
        <v>822</v>
      </c>
      <c r="I40" s="403" t="s">
        <v>516</v>
      </c>
      <c r="J40" s="403" t="s">
        <v>814</v>
      </c>
      <c r="K40" s="403" t="s">
        <v>517</v>
      </c>
      <c r="L40" s="403" t="s">
        <v>518</v>
      </c>
      <c r="M40" s="403" t="s">
        <v>53</v>
      </c>
      <c r="N40" s="403" t="str">
        <f>BUSCARX(R[0]C[-1],CONVENCIONES!R12C1:R42C1,CONVENCIONES!R12C2:R42C2)</f>
        <v>#ERROR!</v>
      </c>
      <c r="O40" s="403" t="s">
        <v>519</v>
      </c>
      <c r="P40" s="403" t="s">
        <v>815</v>
      </c>
      <c r="Q40" s="403" t="s">
        <v>540</v>
      </c>
      <c r="R40" s="403" t="s">
        <v>816</v>
      </c>
      <c r="S40" s="405" t="s">
        <v>817</v>
      </c>
      <c r="T40" s="405" t="s">
        <v>818</v>
      </c>
      <c r="U40" s="403" t="s">
        <v>819</v>
      </c>
      <c r="V40" s="403">
        <v>3.124907493E9</v>
      </c>
      <c r="W40" s="404" t="s">
        <v>525</v>
      </c>
      <c r="X40" s="404" t="s">
        <v>544</v>
      </c>
      <c r="Y40" s="404" t="s">
        <v>527</v>
      </c>
      <c r="Z40" s="404" t="s">
        <v>528</v>
      </c>
      <c r="AA40" s="403" t="s">
        <v>823</v>
      </c>
      <c r="AB40" s="413">
        <v>45505.0</v>
      </c>
      <c r="AC40" s="413">
        <v>45524.0</v>
      </c>
      <c r="AD40" s="404" t="s">
        <v>529</v>
      </c>
      <c r="AE40" s="404" t="s">
        <v>744</v>
      </c>
      <c r="AF40" s="418" t="s">
        <v>531</v>
      </c>
      <c r="AG40" s="403" t="s">
        <v>532</v>
      </c>
      <c r="AH40" s="408" t="s">
        <v>824</v>
      </c>
      <c r="AI40" s="409"/>
      <c r="AJ40" s="410" t="s">
        <v>534</v>
      </c>
    </row>
    <row r="41">
      <c r="A41" s="402">
        <v>2024.0</v>
      </c>
      <c r="B41" s="402">
        <v>8.0</v>
      </c>
      <c r="C41" s="403" t="s">
        <v>809</v>
      </c>
      <c r="D41" s="403">
        <v>2.02400557E8</v>
      </c>
      <c r="E41" s="404" t="s">
        <v>512</v>
      </c>
      <c r="F41" s="403" t="s">
        <v>513</v>
      </c>
      <c r="G41" s="405" t="s">
        <v>514</v>
      </c>
      <c r="H41" s="405" t="s">
        <v>825</v>
      </c>
      <c r="I41" s="403" t="s">
        <v>516</v>
      </c>
      <c r="J41" s="403" t="s">
        <v>826</v>
      </c>
      <c r="K41" s="403" t="s">
        <v>517</v>
      </c>
      <c r="L41" s="403" t="s">
        <v>518</v>
      </c>
      <c r="M41" s="403" t="s">
        <v>557</v>
      </c>
      <c r="N41" s="403" t="str">
        <f>BUSCARX(R[0]C[-1],CONVENCIONES!R12C1:R42C1,CONVENCIONES!R12C2:R42C2)</f>
        <v>#ERROR!</v>
      </c>
      <c r="O41" s="403" t="s">
        <v>519</v>
      </c>
      <c r="P41" s="403" t="s">
        <v>827</v>
      </c>
      <c r="Q41" s="403" t="s">
        <v>540</v>
      </c>
      <c r="R41" s="403">
        <v>1.0306458E9</v>
      </c>
      <c r="S41" s="405" t="s">
        <v>828</v>
      </c>
      <c r="T41" s="405" t="s">
        <v>829</v>
      </c>
      <c r="U41" s="403" t="s">
        <v>830</v>
      </c>
      <c r="V41" s="403">
        <v>3.217458382E9</v>
      </c>
      <c r="W41" s="404" t="s">
        <v>525</v>
      </c>
      <c r="X41" s="404" t="s">
        <v>544</v>
      </c>
      <c r="Y41" s="404" t="s">
        <v>527</v>
      </c>
      <c r="Z41" s="404" t="s">
        <v>603</v>
      </c>
      <c r="AA41" s="403" t="s">
        <v>831</v>
      </c>
      <c r="AB41" s="413">
        <v>45506.0</v>
      </c>
      <c r="AC41" s="419"/>
      <c r="AD41" s="404" t="s">
        <v>529</v>
      </c>
      <c r="AE41" s="404" t="s">
        <v>530</v>
      </c>
      <c r="AF41" s="418" t="s">
        <v>531</v>
      </c>
      <c r="AG41" s="403" t="s">
        <v>532</v>
      </c>
      <c r="AH41" s="408" t="s">
        <v>832</v>
      </c>
      <c r="AI41" s="409"/>
      <c r="AJ41" s="410" t="s">
        <v>534</v>
      </c>
    </row>
    <row r="42">
      <c r="A42" s="402">
        <v>2024.0</v>
      </c>
      <c r="B42" s="402">
        <v>8.0</v>
      </c>
      <c r="C42" s="403" t="s">
        <v>809</v>
      </c>
      <c r="D42" s="403">
        <v>2.0240056E8</v>
      </c>
      <c r="E42" s="404" t="s">
        <v>512</v>
      </c>
      <c r="F42" s="403" t="s">
        <v>513</v>
      </c>
      <c r="G42" s="405" t="s">
        <v>596</v>
      </c>
      <c r="H42" s="405" t="s">
        <v>833</v>
      </c>
      <c r="I42" s="403" t="s">
        <v>556</v>
      </c>
      <c r="J42" s="403" t="s">
        <v>834</v>
      </c>
      <c r="K42" s="403" t="s">
        <v>517</v>
      </c>
      <c r="L42" s="403" t="s">
        <v>518</v>
      </c>
      <c r="M42" s="403" t="s">
        <v>557</v>
      </c>
      <c r="N42" s="403" t="str">
        <f>BUSCARX(R[0]C[-1],CONVENCIONES!R12C1:R42C1,CONVENCIONES!R12C2:R42C2)</f>
        <v>#ERROR!</v>
      </c>
      <c r="O42" s="403" t="s">
        <v>519</v>
      </c>
      <c r="P42" s="403" t="s">
        <v>835</v>
      </c>
      <c r="Q42" s="403" t="s">
        <v>540</v>
      </c>
      <c r="R42" s="403">
        <v>3160835.0</v>
      </c>
      <c r="S42" s="405" t="s">
        <v>836</v>
      </c>
      <c r="T42" s="405" t="s">
        <v>837</v>
      </c>
      <c r="U42" s="403" t="s">
        <v>838</v>
      </c>
      <c r="V42" s="403">
        <v>3.203630467E9</v>
      </c>
      <c r="W42" s="404" t="s">
        <v>525</v>
      </c>
      <c r="X42" s="404" t="s">
        <v>526</v>
      </c>
      <c r="Y42" s="404" t="s">
        <v>702</v>
      </c>
      <c r="Z42" s="404" t="s">
        <v>603</v>
      </c>
      <c r="AA42" s="392"/>
      <c r="AB42" s="413" t="s">
        <v>839</v>
      </c>
      <c r="AC42" s="419"/>
      <c r="AD42" s="404" t="s">
        <v>529</v>
      </c>
      <c r="AE42" s="404" t="s">
        <v>530</v>
      </c>
      <c r="AF42" s="418" t="s">
        <v>531</v>
      </c>
      <c r="AG42" s="403" t="s">
        <v>532</v>
      </c>
      <c r="AH42" s="414" t="s">
        <v>621</v>
      </c>
      <c r="AI42" s="409"/>
      <c r="AJ42" s="410" t="s">
        <v>534</v>
      </c>
    </row>
    <row r="43">
      <c r="A43" s="402">
        <v>2024.0</v>
      </c>
      <c r="B43" s="402">
        <v>8.0</v>
      </c>
      <c r="C43" s="403" t="s">
        <v>809</v>
      </c>
      <c r="D43" s="403">
        <v>2.02400573E8</v>
      </c>
      <c r="E43" s="404" t="s">
        <v>512</v>
      </c>
      <c r="F43" s="403" t="s">
        <v>513</v>
      </c>
      <c r="G43" s="405" t="s">
        <v>554</v>
      </c>
      <c r="H43" s="405" t="s">
        <v>840</v>
      </c>
      <c r="I43" s="403" t="s">
        <v>516</v>
      </c>
      <c r="J43" s="403" t="s">
        <v>841</v>
      </c>
      <c r="K43" s="403" t="s">
        <v>517</v>
      </c>
      <c r="L43" s="403" t="s">
        <v>518</v>
      </c>
      <c r="M43" s="403" t="s">
        <v>548</v>
      </c>
      <c r="N43" s="403" t="str">
        <f>BUSCARX(R[0]C[-1],CONVENCIONES!R12C1:R42C1,CONVENCIONES!R12C2:R42C2)</f>
        <v>#ERROR!</v>
      </c>
      <c r="O43" s="403" t="s">
        <v>519</v>
      </c>
      <c r="P43" s="403" t="s">
        <v>842</v>
      </c>
      <c r="Q43" s="403" t="s">
        <v>521</v>
      </c>
      <c r="R43" s="403">
        <v>7.6231536E7</v>
      </c>
      <c r="S43" s="405" t="s">
        <v>625</v>
      </c>
      <c r="T43" s="405" t="s">
        <v>843</v>
      </c>
      <c r="U43" s="403" t="s">
        <v>627</v>
      </c>
      <c r="V43" s="403" t="s">
        <v>628</v>
      </c>
      <c r="W43" s="404" t="s">
        <v>525</v>
      </c>
      <c r="X43" s="404" t="s">
        <v>526</v>
      </c>
      <c r="Y43" s="404" t="s">
        <v>527</v>
      </c>
      <c r="Z43" s="404" t="s">
        <v>528</v>
      </c>
      <c r="AA43" s="392"/>
      <c r="AB43" s="413">
        <v>45513.0</v>
      </c>
      <c r="AC43" s="419"/>
      <c r="AD43" s="404" t="s">
        <v>529</v>
      </c>
      <c r="AE43" s="404" t="s">
        <v>530</v>
      </c>
      <c r="AF43" s="418" t="s">
        <v>531</v>
      </c>
      <c r="AG43" s="403" t="s">
        <v>532</v>
      </c>
      <c r="AH43" s="414" t="s">
        <v>621</v>
      </c>
      <c r="AI43" s="409"/>
      <c r="AJ43" s="410" t="s">
        <v>534</v>
      </c>
    </row>
    <row r="44">
      <c r="A44" s="402">
        <v>2024.0</v>
      </c>
      <c r="B44" s="402">
        <v>8.0</v>
      </c>
      <c r="C44" s="403" t="s">
        <v>809</v>
      </c>
      <c r="D44" s="403">
        <v>2.02400617E8</v>
      </c>
      <c r="E44" s="404" t="s">
        <v>512</v>
      </c>
      <c r="F44" s="403" t="s">
        <v>513</v>
      </c>
      <c r="G44" s="411"/>
      <c r="H44" s="405" t="s">
        <v>844</v>
      </c>
      <c r="I44" s="403" t="s">
        <v>516</v>
      </c>
      <c r="J44" s="403" t="s">
        <v>845</v>
      </c>
      <c r="K44" s="403" t="s">
        <v>517</v>
      </c>
      <c r="L44" s="403" t="s">
        <v>518</v>
      </c>
      <c r="M44" s="403" t="s">
        <v>548</v>
      </c>
      <c r="N44" s="403" t="str">
        <f>BUSCARX(R[0]C[-1],CONVENCIONES!R12C1:R42C1,CONVENCIONES!R12C2:R42C2)</f>
        <v>#ERROR!</v>
      </c>
      <c r="O44" s="403" t="s">
        <v>519</v>
      </c>
      <c r="P44" s="403" t="s">
        <v>846</v>
      </c>
      <c r="Q44" s="403" t="s">
        <v>540</v>
      </c>
      <c r="R44" s="403">
        <v>1.030695465E9</v>
      </c>
      <c r="S44" s="405" t="s">
        <v>847</v>
      </c>
      <c r="T44" s="405" t="s">
        <v>848</v>
      </c>
      <c r="U44" s="403" t="s">
        <v>849</v>
      </c>
      <c r="V44" s="403">
        <v>3.205577764E9</v>
      </c>
      <c r="W44" s="404" t="s">
        <v>525</v>
      </c>
      <c r="X44" s="404" t="s">
        <v>526</v>
      </c>
      <c r="Y44" s="404" t="s">
        <v>527</v>
      </c>
      <c r="Z44" s="404" t="s">
        <v>528</v>
      </c>
      <c r="AA44" s="403" t="s">
        <v>850</v>
      </c>
      <c r="AB44" s="413">
        <v>45526.0</v>
      </c>
      <c r="AC44" s="419"/>
      <c r="AD44" s="404" t="s">
        <v>529</v>
      </c>
      <c r="AE44" s="404" t="s">
        <v>570</v>
      </c>
      <c r="AF44" s="418" t="s">
        <v>531</v>
      </c>
      <c r="AG44" s="403" t="s">
        <v>532</v>
      </c>
      <c r="AH44" s="403" t="s">
        <v>851</v>
      </c>
      <c r="AI44" s="409"/>
      <c r="AJ44" s="410" t="s">
        <v>534</v>
      </c>
    </row>
    <row r="45">
      <c r="A45" s="402">
        <v>2024.0</v>
      </c>
      <c r="B45" s="402">
        <v>8.0</v>
      </c>
      <c r="C45" s="403" t="s">
        <v>809</v>
      </c>
      <c r="D45" s="403">
        <v>2.02400619E8</v>
      </c>
      <c r="E45" s="404" t="s">
        <v>512</v>
      </c>
      <c r="F45" s="403" t="s">
        <v>535</v>
      </c>
      <c r="G45" s="411"/>
      <c r="H45" s="405" t="s">
        <v>852</v>
      </c>
      <c r="I45" s="403" t="s">
        <v>537</v>
      </c>
      <c r="J45" s="403" t="s">
        <v>845</v>
      </c>
      <c r="K45" s="403" t="s">
        <v>517</v>
      </c>
      <c r="L45" s="403" t="s">
        <v>518</v>
      </c>
      <c r="M45" s="403" t="s">
        <v>548</v>
      </c>
      <c r="N45" s="403" t="str">
        <f>BUSCARX(R[0]C[-1],CONVENCIONES!R12C1:R42C1,CONVENCIONES!R12C2:R42C2)</f>
        <v>#ERROR!</v>
      </c>
      <c r="O45" s="403" t="s">
        <v>519</v>
      </c>
      <c r="P45" s="403" t="s">
        <v>853</v>
      </c>
      <c r="Q45" s="403" t="s">
        <v>521</v>
      </c>
      <c r="R45" s="403">
        <v>1.000154383E9</v>
      </c>
      <c r="S45" s="405" t="s">
        <v>847</v>
      </c>
      <c r="T45" s="405" t="s">
        <v>848</v>
      </c>
      <c r="U45" s="403" t="s">
        <v>854</v>
      </c>
      <c r="V45" s="403">
        <v>3.057909818E9</v>
      </c>
      <c r="W45" s="404" t="s">
        <v>525</v>
      </c>
      <c r="X45" s="404" t="s">
        <v>526</v>
      </c>
      <c r="Y45" s="404" t="s">
        <v>527</v>
      </c>
      <c r="Z45" s="404" t="s">
        <v>528</v>
      </c>
      <c r="AA45" s="403" t="s">
        <v>855</v>
      </c>
      <c r="AB45" s="413">
        <v>45526.0</v>
      </c>
      <c r="AC45" s="419"/>
      <c r="AD45" s="404" t="s">
        <v>529</v>
      </c>
      <c r="AE45" s="404" t="s">
        <v>570</v>
      </c>
      <c r="AF45" s="418" t="s">
        <v>531</v>
      </c>
      <c r="AG45" s="403" t="s">
        <v>532</v>
      </c>
      <c r="AH45" s="403" t="s">
        <v>851</v>
      </c>
      <c r="AI45" s="409"/>
      <c r="AJ45" s="410" t="s">
        <v>534</v>
      </c>
    </row>
    <row r="46">
      <c r="A46" s="402">
        <v>2024.0</v>
      </c>
      <c r="B46" s="402">
        <v>8.0</v>
      </c>
      <c r="C46" s="403" t="s">
        <v>809</v>
      </c>
      <c r="D46" s="403">
        <v>2.02400629E8</v>
      </c>
      <c r="E46" s="404" t="s">
        <v>512</v>
      </c>
      <c r="F46" s="403" t="s">
        <v>856</v>
      </c>
      <c r="G46" s="411"/>
      <c r="H46" s="405" t="s">
        <v>857</v>
      </c>
      <c r="I46" s="403" t="s">
        <v>564</v>
      </c>
      <c r="J46" s="403" t="s">
        <v>858</v>
      </c>
      <c r="K46" s="403" t="s">
        <v>517</v>
      </c>
      <c r="L46" s="403" t="s">
        <v>518</v>
      </c>
      <c r="M46" s="403" t="s">
        <v>53</v>
      </c>
      <c r="N46" s="403" t="str">
        <f>BUSCARX(R[0]C[-1],CONVENCIONES!R12C1:R42C1,CONVENCIONES!R12C2:R42C2)</f>
        <v>#ERROR!</v>
      </c>
      <c r="O46" s="403" t="s">
        <v>519</v>
      </c>
      <c r="P46" s="403" t="s">
        <v>859</v>
      </c>
      <c r="Q46" s="403" t="s">
        <v>521</v>
      </c>
      <c r="R46" s="403">
        <v>1.0216194E7</v>
      </c>
      <c r="S46" s="405" t="s">
        <v>860</v>
      </c>
      <c r="T46" s="405" t="s">
        <v>861</v>
      </c>
      <c r="U46" s="392"/>
      <c r="V46" s="403">
        <v>3.164438876E9</v>
      </c>
      <c r="W46" s="404" t="s">
        <v>525</v>
      </c>
      <c r="X46" s="404" t="s">
        <v>544</v>
      </c>
      <c r="Y46" s="404" t="s">
        <v>527</v>
      </c>
      <c r="Z46" s="404" t="s">
        <v>528</v>
      </c>
      <c r="AA46" s="403" t="s">
        <v>783</v>
      </c>
      <c r="AB46" s="413">
        <v>45531.0</v>
      </c>
      <c r="AC46" s="419"/>
      <c r="AD46" s="404" t="s">
        <v>529</v>
      </c>
      <c r="AE46" s="404" t="s">
        <v>570</v>
      </c>
      <c r="AF46" s="418" t="s">
        <v>531</v>
      </c>
      <c r="AG46" s="403" t="s">
        <v>532</v>
      </c>
      <c r="AH46" s="403" t="s">
        <v>851</v>
      </c>
      <c r="AI46" s="409"/>
      <c r="AJ46" s="410" t="s">
        <v>534</v>
      </c>
    </row>
    <row r="47">
      <c r="A47" s="402">
        <v>2024.0</v>
      </c>
      <c r="B47" s="402">
        <v>9.0</v>
      </c>
      <c r="C47" s="403" t="s">
        <v>862</v>
      </c>
      <c r="D47" s="403">
        <v>2.02400655E8</v>
      </c>
      <c r="E47" s="404" t="s">
        <v>512</v>
      </c>
      <c r="F47" s="403" t="s">
        <v>863</v>
      </c>
      <c r="G47" s="411"/>
      <c r="H47" s="405" t="s">
        <v>864</v>
      </c>
      <c r="I47" s="403" t="s">
        <v>865</v>
      </c>
      <c r="J47" s="403" t="s">
        <v>786</v>
      </c>
      <c r="K47" s="403" t="s">
        <v>517</v>
      </c>
      <c r="L47" s="403" t="s">
        <v>518</v>
      </c>
      <c r="M47" s="403" t="s">
        <v>557</v>
      </c>
      <c r="N47" s="403" t="str">
        <f>BUSCARX(R[0]C[-1],CONVENCIONES!R12C1:R42C1,CONVENCIONES!R12C2:R42C2)</f>
        <v>#ERROR!</v>
      </c>
      <c r="O47" s="403" t="s">
        <v>519</v>
      </c>
      <c r="P47" s="403" t="s">
        <v>866</v>
      </c>
      <c r="Q47" s="403" t="s">
        <v>540</v>
      </c>
      <c r="R47" s="403">
        <v>5.2468928E7</v>
      </c>
      <c r="S47" s="405" t="s">
        <v>867</v>
      </c>
      <c r="T47" s="405" t="s">
        <v>868</v>
      </c>
      <c r="U47" s="403" t="s">
        <v>790</v>
      </c>
      <c r="V47" s="403">
        <v>3.115918677E9</v>
      </c>
      <c r="W47" s="404" t="s">
        <v>525</v>
      </c>
      <c r="X47" s="404" t="s">
        <v>526</v>
      </c>
      <c r="Y47" s="404" t="s">
        <v>527</v>
      </c>
      <c r="Z47" s="404" t="s">
        <v>603</v>
      </c>
      <c r="AA47" s="403" t="s">
        <v>869</v>
      </c>
      <c r="AB47" s="413">
        <v>45538.0</v>
      </c>
      <c r="AC47" s="413">
        <v>45538.0</v>
      </c>
      <c r="AD47" s="404" t="s">
        <v>529</v>
      </c>
      <c r="AE47" s="404" t="s">
        <v>530</v>
      </c>
      <c r="AF47" s="418" t="s">
        <v>531</v>
      </c>
      <c r="AG47" s="403" t="s">
        <v>532</v>
      </c>
      <c r="AH47" s="414" t="s">
        <v>621</v>
      </c>
      <c r="AI47" s="409"/>
      <c r="AJ47" s="410" t="s">
        <v>534</v>
      </c>
    </row>
    <row r="48">
      <c r="A48" s="402">
        <v>2024.0</v>
      </c>
      <c r="B48" s="402">
        <v>9.0</v>
      </c>
      <c r="C48" s="403" t="s">
        <v>862</v>
      </c>
      <c r="D48" s="403">
        <v>2.02400658E8</v>
      </c>
      <c r="E48" s="404" t="s">
        <v>512</v>
      </c>
      <c r="F48" s="403" t="s">
        <v>513</v>
      </c>
      <c r="G48" s="411"/>
      <c r="H48" s="405" t="s">
        <v>870</v>
      </c>
      <c r="I48" s="403" t="s">
        <v>516</v>
      </c>
      <c r="J48" s="403" t="s">
        <v>871</v>
      </c>
      <c r="K48" s="403" t="s">
        <v>517</v>
      </c>
      <c r="L48" s="403" t="s">
        <v>518</v>
      </c>
      <c r="M48" s="403" t="s">
        <v>565</v>
      </c>
      <c r="N48" s="403" t="str">
        <f>BUSCARX(R[0]C[-1],CONVENCIONES!R12C1:R42C1,CONVENCIONES!R12C2:R42C2)</f>
        <v>#ERROR!</v>
      </c>
      <c r="O48" s="403" t="s">
        <v>519</v>
      </c>
      <c r="P48" s="403" t="s">
        <v>872</v>
      </c>
      <c r="Q48" s="403" t="s">
        <v>540</v>
      </c>
      <c r="R48" s="403">
        <v>5.3072797E7</v>
      </c>
      <c r="S48" s="405" t="s">
        <v>873</v>
      </c>
      <c r="T48" s="405" t="s">
        <v>874</v>
      </c>
      <c r="U48" s="403" t="s">
        <v>714</v>
      </c>
      <c r="V48" s="403">
        <v>3.227682914E9</v>
      </c>
      <c r="W48" s="404" t="s">
        <v>525</v>
      </c>
      <c r="X48" s="404" t="s">
        <v>526</v>
      </c>
      <c r="Y48" s="404" t="s">
        <v>527</v>
      </c>
      <c r="Z48" s="404" t="s">
        <v>528</v>
      </c>
      <c r="AA48" s="403" t="s">
        <v>734</v>
      </c>
      <c r="AB48" s="413">
        <v>45538.0</v>
      </c>
      <c r="AC48" s="419"/>
      <c r="AD48" s="404" t="s">
        <v>529</v>
      </c>
      <c r="AE48" s="404" t="s">
        <v>570</v>
      </c>
      <c r="AF48" s="418" t="s">
        <v>531</v>
      </c>
      <c r="AG48" s="403" t="s">
        <v>532</v>
      </c>
      <c r="AH48" s="408" t="s">
        <v>875</v>
      </c>
      <c r="AI48" s="409"/>
      <c r="AJ48" s="410" t="s">
        <v>534</v>
      </c>
    </row>
    <row r="49">
      <c r="A49" s="402">
        <v>2024.0</v>
      </c>
      <c r="B49" s="402">
        <v>9.0</v>
      </c>
      <c r="C49" s="403" t="s">
        <v>862</v>
      </c>
      <c r="D49" s="403">
        <v>2.02400674E8</v>
      </c>
      <c r="E49" s="404" t="s">
        <v>512</v>
      </c>
      <c r="F49" s="403" t="s">
        <v>513</v>
      </c>
      <c r="G49" s="411"/>
      <c r="H49" s="405" t="s">
        <v>876</v>
      </c>
      <c r="I49" s="403" t="s">
        <v>516</v>
      </c>
      <c r="J49" s="392"/>
      <c r="K49" s="403" t="s">
        <v>517</v>
      </c>
      <c r="L49" s="403" t="s">
        <v>518</v>
      </c>
      <c r="M49" s="403" t="s">
        <v>704</v>
      </c>
      <c r="N49" s="403" t="str">
        <f>BUSCARX(R[0]C[-1],CONVENCIONES!R12C1:R42C1,CONVENCIONES!R12C2:R42C2)</f>
        <v>#ERROR!</v>
      </c>
      <c r="O49" s="403" t="s">
        <v>519</v>
      </c>
      <c r="P49" s="403" t="s">
        <v>877</v>
      </c>
      <c r="Q49" s="403" t="s">
        <v>540</v>
      </c>
      <c r="R49" s="403">
        <v>1.141323104E9</v>
      </c>
      <c r="S49" s="405" t="s">
        <v>878</v>
      </c>
      <c r="T49" s="411"/>
      <c r="U49" s="392"/>
      <c r="V49" s="403">
        <v>3.003060874E9</v>
      </c>
      <c r="W49" s="404" t="s">
        <v>525</v>
      </c>
      <c r="X49" s="404" t="s">
        <v>526</v>
      </c>
      <c r="Y49" s="404" t="s">
        <v>527</v>
      </c>
      <c r="Z49" s="404" t="s">
        <v>528</v>
      </c>
      <c r="AA49" s="403" t="s">
        <v>734</v>
      </c>
      <c r="AB49" s="413">
        <v>45541.0</v>
      </c>
      <c r="AC49" s="419"/>
      <c r="AD49" s="404" t="s">
        <v>529</v>
      </c>
      <c r="AE49" s="404" t="s">
        <v>570</v>
      </c>
      <c r="AF49" s="418" t="s">
        <v>531</v>
      </c>
      <c r="AG49" s="403" t="s">
        <v>532</v>
      </c>
      <c r="AH49" s="408" t="s">
        <v>879</v>
      </c>
      <c r="AI49" s="409"/>
      <c r="AJ49" s="410" t="s">
        <v>534</v>
      </c>
    </row>
    <row r="50">
      <c r="A50" s="402">
        <v>2024.0</v>
      </c>
      <c r="B50" s="402">
        <v>9.0</v>
      </c>
      <c r="C50" s="403" t="s">
        <v>862</v>
      </c>
      <c r="D50" s="403">
        <v>2.0240068E8</v>
      </c>
      <c r="E50" s="404" t="s">
        <v>512</v>
      </c>
      <c r="F50" s="403" t="s">
        <v>768</v>
      </c>
      <c r="G50" s="411"/>
      <c r="H50" s="405" t="s">
        <v>880</v>
      </c>
      <c r="I50" s="403" t="s">
        <v>881</v>
      </c>
      <c r="J50" s="403" t="s">
        <v>882</v>
      </c>
      <c r="K50" s="403" t="s">
        <v>517</v>
      </c>
      <c r="L50" s="403" t="s">
        <v>518</v>
      </c>
      <c r="M50" s="403" t="s">
        <v>548</v>
      </c>
      <c r="N50" s="403" t="str">
        <f>BUSCARX(R[0]C[-1],CONVENCIONES!R12C1:R42C1,CONVENCIONES!R12C2:R42C2)</f>
        <v>#ERROR!</v>
      </c>
      <c r="O50" s="403" t="s">
        <v>519</v>
      </c>
      <c r="P50" s="403" t="s">
        <v>883</v>
      </c>
      <c r="Q50" s="403" t="s">
        <v>521</v>
      </c>
      <c r="R50" s="403">
        <v>1.056410139E9</v>
      </c>
      <c r="S50" s="405" t="s">
        <v>884</v>
      </c>
      <c r="T50" s="405" t="s">
        <v>885</v>
      </c>
      <c r="U50" s="403" t="s">
        <v>886</v>
      </c>
      <c r="V50" s="403">
        <v>3.012216643E9</v>
      </c>
      <c r="W50" s="404" t="s">
        <v>525</v>
      </c>
      <c r="X50" s="404" t="s">
        <v>526</v>
      </c>
      <c r="Y50" s="404" t="s">
        <v>527</v>
      </c>
      <c r="Z50" s="404" t="s">
        <v>528</v>
      </c>
      <c r="AA50" s="392"/>
      <c r="AB50" s="413">
        <v>45530.0</v>
      </c>
      <c r="AC50" s="413">
        <v>45544.0</v>
      </c>
      <c r="AD50" s="404" t="s">
        <v>529</v>
      </c>
      <c r="AE50" s="404" t="s">
        <v>530</v>
      </c>
      <c r="AF50" s="418" t="s">
        <v>531</v>
      </c>
      <c r="AG50" s="403" t="s">
        <v>532</v>
      </c>
      <c r="AH50" s="408" t="s">
        <v>887</v>
      </c>
      <c r="AI50" s="409"/>
      <c r="AJ50" s="410" t="s">
        <v>534</v>
      </c>
    </row>
    <row r="51">
      <c r="A51" s="402">
        <v>2024.0</v>
      </c>
      <c r="B51" s="402">
        <v>9.0</v>
      </c>
      <c r="C51" s="403" t="s">
        <v>862</v>
      </c>
      <c r="D51" s="403">
        <v>2.02400689E8</v>
      </c>
      <c r="E51" s="404" t="s">
        <v>512</v>
      </c>
      <c r="F51" s="403" t="s">
        <v>513</v>
      </c>
      <c r="G51" s="411"/>
      <c r="H51" s="405" t="s">
        <v>888</v>
      </c>
      <c r="I51" s="403" t="s">
        <v>516</v>
      </c>
      <c r="J51" s="403" t="s">
        <v>845</v>
      </c>
      <c r="K51" s="403" t="s">
        <v>517</v>
      </c>
      <c r="L51" s="403" t="s">
        <v>518</v>
      </c>
      <c r="M51" s="403" t="s">
        <v>548</v>
      </c>
      <c r="N51" s="403" t="str">
        <f>BUSCARX(R[0]C[-1],CONVENCIONES!R12C1:R42C1,CONVENCIONES!R12C2:R42C2)</f>
        <v>#ERROR!</v>
      </c>
      <c r="O51" s="403" t="s">
        <v>519</v>
      </c>
      <c r="P51" s="403" t="s">
        <v>846</v>
      </c>
      <c r="Q51" s="403" t="s">
        <v>540</v>
      </c>
      <c r="R51" s="403">
        <v>1.030695465E9</v>
      </c>
      <c r="S51" s="405" t="s">
        <v>847</v>
      </c>
      <c r="T51" s="405" t="s">
        <v>848</v>
      </c>
      <c r="U51" s="403" t="s">
        <v>849</v>
      </c>
      <c r="V51" s="403">
        <v>3.205577764E9</v>
      </c>
      <c r="W51" s="404" t="s">
        <v>525</v>
      </c>
      <c r="X51" s="404" t="s">
        <v>526</v>
      </c>
      <c r="Y51" s="404" t="s">
        <v>527</v>
      </c>
      <c r="Z51" s="404" t="s">
        <v>528</v>
      </c>
      <c r="AA51" s="403" t="s">
        <v>850</v>
      </c>
      <c r="AB51" s="413">
        <v>45545.0</v>
      </c>
      <c r="AC51" s="419"/>
      <c r="AD51" s="404" t="s">
        <v>529</v>
      </c>
      <c r="AE51" s="404" t="s">
        <v>570</v>
      </c>
      <c r="AF51" s="418" t="s">
        <v>531</v>
      </c>
      <c r="AG51" s="403" t="s">
        <v>532</v>
      </c>
      <c r="AH51" s="403" t="s">
        <v>851</v>
      </c>
      <c r="AI51" s="409"/>
      <c r="AJ51" s="410" t="s">
        <v>534</v>
      </c>
    </row>
    <row r="52">
      <c r="A52" s="402">
        <v>2024.0</v>
      </c>
      <c r="B52" s="402">
        <v>9.0</v>
      </c>
      <c r="C52" s="403" t="s">
        <v>862</v>
      </c>
      <c r="D52" s="403">
        <v>2.02400779E8</v>
      </c>
      <c r="E52" s="404" t="s">
        <v>512</v>
      </c>
      <c r="F52" s="403" t="s">
        <v>513</v>
      </c>
      <c r="G52" s="411"/>
      <c r="H52" s="405" t="s">
        <v>889</v>
      </c>
      <c r="I52" s="403" t="s">
        <v>516</v>
      </c>
      <c r="J52" s="403" t="s">
        <v>890</v>
      </c>
      <c r="K52" s="403" t="s">
        <v>517</v>
      </c>
      <c r="L52" s="403" t="s">
        <v>518</v>
      </c>
      <c r="M52" s="403" t="s">
        <v>565</v>
      </c>
      <c r="N52" s="403" t="str">
        <f>BUSCARX(R[0]C[-1],CONVENCIONES!R12C1:R42C1,CONVENCIONES!R12C2:R42C2)</f>
        <v>#ERROR!</v>
      </c>
      <c r="O52" s="403" t="s">
        <v>519</v>
      </c>
      <c r="P52" s="403" t="s">
        <v>891</v>
      </c>
      <c r="Q52" s="403" t="s">
        <v>540</v>
      </c>
      <c r="R52" s="403">
        <v>2.5533998E7</v>
      </c>
      <c r="S52" s="403" t="s">
        <v>712</v>
      </c>
      <c r="T52" s="403" t="s">
        <v>892</v>
      </c>
      <c r="U52" s="403" t="s">
        <v>893</v>
      </c>
      <c r="V52" s="403">
        <v>3.108548307E9</v>
      </c>
      <c r="W52" s="404" t="s">
        <v>525</v>
      </c>
      <c r="X52" s="404" t="s">
        <v>526</v>
      </c>
      <c r="Y52" s="404" t="s">
        <v>527</v>
      </c>
      <c r="Z52" s="404" t="s">
        <v>528</v>
      </c>
      <c r="AA52" s="403" t="s">
        <v>734</v>
      </c>
      <c r="AB52" s="413">
        <v>45565.0</v>
      </c>
      <c r="AC52" s="419"/>
      <c r="AD52" s="404" t="s">
        <v>529</v>
      </c>
      <c r="AE52" s="404" t="s">
        <v>570</v>
      </c>
      <c r="AF52" s="418" t="s">
        <v>531</v>
      </c>
      <c r="AG52" s="403" t="s">
        <v>532</v>
      </c>
      <c r="AH52" s="408" t="s">
        <v>894</v>
      </c>
      <c r="AI52" s="409"/>
      <c r="AJ52" s="410" t="s">
        <v>534</v>
      </c>
    </row>
    <row r="53">
      <c r="A53" s="402">
        <v>2024.0</v>
      </c>
      <c r="B53" s="402">
        <v>10.0</v>
      </c>
      <c r="C53" s="403" t="s">
        <v>895</v>
      </c>
      <c r="D53" s="403">
        <v>2.02400818E8</v>
      </c>
      <c r="E53" s="404" t="s">
        <v>512</v>
      </c>
      <c r="F53" s="403" t="s">
        <v>513</v>
      </c>
      <c r="G53" s="405" t="s">
        <v>801</v>
      </c>
      <c r="H53" s="405" t="s">
        <v>896</v>
      </c>
      <c r="I53" s="403" t="s">
        <v>556</v>
      </c>
      <c r="J53" s="403" t="s">
        <v>249</v>
      </c>
      <c r="K53" s="403" t="s">
        <v>517</v>
      </c>
      <c r="L53" s="403" t="s">
        <v>518</v>
      </c>
      <c r="M53" s="403" t="s">
        <v>548</v>
      </c>
      <c r="N53" s="403" t="str">
        <f>BUSCARX(R[0]C[-1],CONVENCIONES!R12C1:R42C1,CONVENCIONES!R12C2:R42C2)</f>
        <v>#ERROR!</v>
      </c>
      <c r="O53" s="403" t="s">
        <v>519</v>
      </c>
      <c r="P53" s="403" t="s">
        <v>803</v>
      </c>
      <c r="Q53" s="403" t="s">
        <v>540</v>
      </c>
      <c r="R53" s="403">
        <v>5.1843877E7</v>
      </c>
      <c r="S53" s="405" t="s">
        <v>804</v>
      </c>
      <c r="T53" s="405" t="s">
        <v>805</v>
      </c>
      <c r="U53" s="403" t="s">
        <v>806</v>
      </c>
      <c r="V53" s="403">
        <v>3.174591892E9</v>
      </c>
      <c r="W53" s="404" t="s">
        <v>525</v>
      </c>
      <c r="X53" s="404" t="s">
        <v>544</v>
      </c>
      <c r="Y53" s="404" t="s">
        <v>527</v>
      </c>
      <c r="Z53" s="404" t="s">
        <v>528</v>
      </c>
      <c r="AA53" s="403" t="s">
        <v>807</v>
      </c>
      <c r="AB53" s="406">
        <v>45572.0</v>
      </c>
      <c r="AC53" s="419"/>
      <c r="AD53" s="404" t="s">
        <v>529</v>
      </c>
      <c r="AE53" s="404" t="s">
        <v>530</v>
      </c>
      <c r="AF53" s="418" t="s">
        <v>531</v>
      </c>
      <c r="AG53" s="403" t="s">
        <v>532</v>
      </c>
      <c r="AH53" s="408" t="s">
        <v>897</v>
      </c>
      <c r="AI53" s="409"/>
      <c r="AJ53" s="410" t="s">
        <v>534</v>
      </c>
    </row>
    <row r="54">
      <c r="A54" s="402">
        <v>2024.0</v>
      </c>
      <c r="B54" s="402">
        <v>10.0</v>
      </c>
      <c r="C54" s="403" t="s">
        <v>895</v>
      </c>
      <c r="D54" s="403">
        <v>2.02400845E8</v>
      </c>
      <c r="E54" s="404" t="s">
        <v>512</v>
      </c>
      <c r="F54" s="403" t="s">
        <v>535</v>
      </c>
      <c r="G54" s="411"/>
      <c r="H54" s="405" t="s">
        <v>898</v>
      </c>
      <c r="I54" s="403" t="s">
        <v>537</v>
      </c>
      <c r="J54" s="403" t="s">
        <v>899</v>
      </c>
      <c r="K54" s="403" t="s">
        <v>517</v>
      </c>
      <c r="L54" s="403" t="s">
        <v>518</v>
      </c>
      <c r="M54" s="403" t="s">
        <v>557</v>
      </c>
      <c r="N54" s="403" t="str">
        <f>BUSCARX(R[0]C[-1],CONVENCIONES!R12C1:R42C1,CONVENCIONES!R12C2:R42C2)</f>
        <v>#ERROR!</v>
      </c>
      <c r="O54" s="403" t="s">
        <v>519</v>
      </c>
      <c r="P54" s="403" t="s">
        <v>900</v>
      </c>
      <c r="Q54" s="403" t="s">
        <v>540</v>
      </c>
      <c r="R54" s="403">
        <v>5.2468928E7</v>
      </c>
      <c r="S54" s="403" t="s">
        <v>901</v>
      </c>
      <c r="T54" s="403" t="s">
        <v>902</v>
      </c>
      <c r="U54" s="403" t="s">
        <v>790</v>
      </c>
      <c r="V54" s="403">
        <v>3.115918677E9</v>
      </c>
      <c r="W54" s="404" t="s">
        <v>525</v>
      </c>
      <c r="X54" s="404" t="s">
        <v>526</v>
      </c>
      <c r="Y54" s="404" t="s">
        <v>603</v>
      </c>
      <c r="Z54" s="404" t="s">
        <v>528</v>
      </c>
      <c r="AA54" s="392"/>
      <c r="AB54" s="413">
        <v>45574.0</v>
      </c>
      <c r="AC54" s="419"/>
      <c r="AD54" s="404" t="s">
        <v>529</v>
      </c>
      <c r="AE54" s="404" t="s">
        <v>530</v>
      </c>
      <c r="AF54" s="418" t="s">
        <v>531</v>
      </c>
      <c r="AG54" s="403" t="s">
        <v>532</v>
      </c>
      <c r="AH54" s="414" t="s">
        <v>621</v>
      </c>
      <c r="AI54" s="409"/>
      <c r="AJ54" s="410" t="s">
        <v>534</v>
      </c>
    </row>
    <row r="55">
      <c r="A55" s="402">
        <v>2024.0</v>
      </c>
      <c r="B55" s="402">
        <v>10.0</v>
      </c>
      <c r="C55" s="403" t="s">
        <v>895</v>
      </c>
      <c r="D55" s="403">
        <v>2.02400899E8</v>
      </c>
      <c r="E55" s="404" t="s">
        <v>512</v>
      </c>
      <c r="F55" s="403" t="s">
        <v>513</v>
      </c>
      <c r="G55" s="405" t="s">
        <v>514</v>
      </c>
      <c r="H55" s="405" t="s">
        <v>903</v>
      </c>
      <c r="I55" s="403" t="s">
        <v>516</v>
      </c>
      <c r="J55" s="403" t="s">
        <v>904</v>
      </c>
      <c r="K55" s="403" t="s">
        <v>517</v>
      </c>
      <c r="L55" s="403" t="s">
        <v>518</v>
      </c>
      <c r="M55" s="403" t="s">
        <v>548</v>
      </c>
      <c r="N55" s="403" t="str">
        <f>BUSCARX(R[0]C[-1],CONVENCIONES!R12C1:R42C1,CONVENCIONES!R12C2:R42C2)</f>
        <v>#ERROR!</v>
      </c>
      <c r="O55" s="403" t="s">
        <v>519</v>
      </c>
      <c r="P55" s="403" t="s">
        <v>905</v>
      </c>
      <c r="Q55" s="403" t="s">
        <v>521</v>
      </c>
      <c r="R55" s="403" t="s">
        <v>906</v>
      </c>
      <c r="S55" s="403" t="s">
        <v>907</v>
      </c>
      <c r="T55" s="403" t="s">
        <v>908</v>
      </c>
      <c r="U55" s="403" t="s">
        <v>909</v>
      </c>
      <c r="V55" s="403">
        <v>3.108285941E9</v>
      </c>
      <c r="W55" s="404" t="s">
        <v>525</v>
      </c>
      <c r="X55" s="404" t="s">
        <v>526</v>
      </c>
      <c r="Y55" s="404" t="s">
        <v>702</v>
      </c>
      <c r="Z55" s="404" t="s">
        <v>603</v>
      </c>
      <c r="AA55" s="403" t="s">
        <v>910</v>
      </c>
      <c r="AB55" s="413">
        <v>45590.0</v>
      </c>
      <c r="AC55" s="419"/>
      <c r="AD55" s="404" t="s">
        <v>529</v>
      </c>
      <c r="AE55" s="404" t="s">
        <v>530</v>
      </c>
      <c r="AF55" s="418" t="s">
        <v>531</v>
      </c>
      <c r="AG55" s="403" t="s">
        <v>532</v>
      </c>
      <c r="AH55" s="408" t="s">
        <v>911</v>
      </c>
      <c r="AI55" s="409"/>
      <c r="AJ55" s="410" t="s">
        <v>534</v>
      </c>
    </row>
    <row r="56">
      <c r="A56" s="402">
        <v>2024.0</v>
      </c>
      <c r="B56" s="402">
        <v>10.0</v>
      </c>
      <c r="C56" s="403" t="s">
        <v>895</v>
      </c>
      <c r="D56" s="403">
        <v>2.02400901E8</v>
      </c>
      <c r="E56" s="404" t="s">
        <v>512</v>
      </c>
      <c r="F56" s="403" t="s">
        <v>912</v>
      </c>
      <c r="G56" s="411"/>
      <c r="H56" s="405" t="s">
        <v>913</v>
      </c>
      <c r="I56" s="403" t="s">
        <v>914</v>
      </c>
      <c r="J56" s="403" t="s">
        <v>915</v>
      </c>
      <c r="K56" s="403" t="s">
        <v>517</v>
      </c>
      <c r="L56" s="403" t="s">
        <v>518</v>
      </c>
      <c r="M56" s="403" t="s">
        <v>548</v>
      </c>
      <c r="N56" s="403" t="str">
        <f>BUSCARX(R[0]C[-1],CONVENCIONES!R12C1:R42C1,CONVENCIONES!R12C2:R42C2)</f>
        <v>#ERROR!</v>
      </c>
      <c r="O56" s="403" t="s">
        <v>519</v>
      </c>
      <c r="P56" s="403" t="s">
        <v>916</v>
      </c>
      <c r="Q56" s="403" t="s">
        <v>540</v>
      </c>
      <c r="R56" s="403">
        <v>2.3876086E7</v>
      </c>
      <c r="S56" s="403" t="s">
        <v>917</v>
      </c>
      <c r="T56" s="403" t="s">
        <v>918</v>
      </c>
      <c r="U56" s="403" t="s">
        <v>919</v>
      </c>
      <c r="V56" s="403">
        <v>3.027065819E9</v>
      </c>
      <c r="W56" s="404" t="s">
        <v>525</v>
      </c>
      <c r="X56" s="404" t="s">
        <v>526</v>
      </c>
      <c r="Y56" s="404" t="s">
        <v>603</v>
      </c>
      <c r="Z56" s="404" t="s">
        <v>603</v>
      </c>
      <c r="AA56" s="392"/>
      <c r="AB56" s="413">
        <v>45589.0</v>
      </c>
      <c r="AC56" s="419"/>
      <c r="AD56" s="404" t="s">
        <v>529</v>
      </c>
      <c r="AE56" s="404" t="s">
        <v>530</v>
      </c>
      <c r="AF56" s="418" t="s">
        <v>531</v>
      </c>
      <c r="AG56" s="403" t="s">
        <v>532</v>
      </c>
      <c r="AH56" s="414" t="s">
        <v>621</v>
      </c>
      <c r="AI56" s="409"/>
      <c r="AJ56" s="410" t="s">
        <v>534</v>
      </c>
    </row>
    <row r="57">
      <c r="A57" s="402">
        <v>2024.0</v>
      </c>
      <c r="B57" s="402">
        <v>11.0</v>
      </c>
      <c r="C57" s="403" t="s">
        <v>920</v>
      </c>
      <c r="D57" s="403">
        <v>2.02400945E8</v>
      </c>
      <c r="E57" s="404" t="s">
        <v>512</v>
      </c>
      <c r="F57" s="403" t="s">
        <v>513</v>
      </c>
      <c r="G57" s="405" t="s">
        <v>514</v>
      </c>
      <c r="H57" s="405" t="s">
        <v>921</v>
      </c>
      <c r="I57" s="403" t="s">
        <v>516</v>
      </c>
      <c r="J57" s="403" t="s">
        <v>29</v>
      </c>
      <c r="K57" s="403" t="s">
        <v>517</v>
      </c>
      <c r="L57" s="403" t="s">
        <v>518</v>
      </c>
      <c r="M57" s="403" t="s">
        <v>548</v>
      </c>
      <c r="N57" s="403" t="str">
        <f>BUSCARX(R[0]C[-1],CONVENCIONES!R12C1:R42C1,CONVENCIONES!R12C2:R42C2)</f>
        <v>#ERROR!</v>
      </c>
      <c r="O57" s="403" t="s">
        <v>519</v>
      </c>
      <c r="P57" s="403" t="s">
        <v>922</v>
      </c>
      <c r="Q57" s="403" t="s">
        <v>521</v>
      </c>
      <c r="R57" s="403">
        <v>1.9349545E7</v>
      </c>
      <c r="S57" s="403" t="s">
        <v>923</v>
      </c>
      <c r="T57" s="403" t="s">
        <v>924</v>
      </c>
      <c r="U57" s="403" t="s">
        <v>925</v>
      </c>
      <c r="V57" s="403" t="s">
        <v>926</v>
      </c>
      <c r="W57" s="404" t="s">
        <v>525</v>
      </c>
      <c r="X57" s="404" t="s">
        <v>544</v>
      </c>
      <c r="Y57" s="404" t="s">
        <v>527</v>
      </c>
      <c r="Z57" s="404" t="s">
        <v>528</v>
      </c>
      <c r="AA57" s="392"/>
      <c r="AB57" s="413">
        <v>45601.0</v>
      </c>
      <c r="AC57" s="413">
        <v>45637.0</v>
      </c>
      <c r="AD57" s="404" t="s">
        <v>529</v>
      </c>
      <c r="AE57" s="404" t="s">
        <v>530</v>
      </c>
      <c r="AF57" s="418" t="s">
        <v>531</v>
      </c>
      <c r="AG57" s="403" t="s">
        <v>532</v>
      </c>
      <c r="AH57" s="408" t="s">
        <v>927</v>
      </c>
      <c r="AI57" s="409"/>
      <c r="AJ57" s="410" t="s">
        <v>534</v>
      </c>
    </row>
    <row r="58">
      <c r="A58" s="402">
        <v>2024.0</v>
      </c>
      <c r="B58" s="402">
        <v>11.0</v>
      </c>
      <c r="C58" s="403" t="s">
        <v>920</v>
      </c>
      <c r="D58" s="403">
        <v>2.02401021E8</v>
      </c>
      <c r="E58" s="404" t="s">
        <v>512</v>
      </c>
      <c r="F58" s="403" t="s">
        <v>513</v>
      </c>
      <c r="G58" s="405" t="s">
        <v>554</v>
      </c>
      <c r="H58" s="405" t="s">
        <v>928</v>
      </c>
      <c r="I58" s="403" t="s">
        <v>516</v>
      </c>
      <c r="J58" s="403" t="s">
        <v>214</v>
      </c>
      <c r="K58" s="403" t="s">
        <v>517</v>
      </c>
      <c r="L58" s="403" t="s">
        <v>518</v>
      </c>
      <c r="M58" s="403" t="s">
        <v>548</v>
      </c>
      <c r="N58" s="403" t="str">
        <f>BUSCARX(R[0]C[-1],CONVENCIONES!R12C1:R42C1,CONVENCIONES!R12C2:R42C2)</f>
        <v>#ERROR!</v>
      </c>
      <c r="O58" s="403" t="s">
        <v>519</v>
      </c>
      <c r="P58" s="403" t="s">
        <v>929</v>
      </c>
      <c r="Q58" s="403" t="s">
        <v>540</v>
      </c>
      <c r="R58" s="403" t="s">
        <v>930</v>
      </c>
      <c r="S58" s="403" t="s">
        <v>931</v>
      </c>
      <c r="T58" s="403" t="s">
        <v>932</v>
      </c>
      <c r="U58" s="403" t="s">
        <v>933</v>
      </c>
      <c r="V58" s="403">
        <v>3.21303224E9</v>
      </c>
      <c r="W58" s="404" t="s">
        <v>525</v>
      </c>
      <c r="X58" s="404" t="s">
        <v>526</v>
      </c>
      <c r="Y58" s="404" t="s">
        <v>527</v>
      </c>
      <c r="Z58" s="404" t="s">
        <v>528</v>
      </c>
      <c r="AA58" s="403" t="s">
        <v>934</v>
      </c>
      <c r="AB58" s="413">
        <v>45623.0</v>
      </c>
      <c r="AC58" s="413">
        <v>45631.0</v>
      </c>
      <c r="AD58" s="404" t="s">
        <v>529</v>
      </c>
      <c r="AE58" s="404" t="s">
        <v>530</v>
      </c>
      <c r="AF58" s="418" t="s">
        <v>531</v>
      </c>
      <c r="AG58" s="403" t="s">
        <v>532</v>
      </c>
      <c r="AH58" s="408" t="s">
        <v>935</v>
      </c>
      <c r="AI58" s="409"/>
      <c r="AJ58" s="410" t="s">
        <v>534</v>
      </c>
    </row>
    <row r="59">
      <c r="A59" s="402">
        <v>2024.0</v>
      </c>
      <c r="B59" s="402">
        <v>11.0</v>
      </c>
      <c r="C59" s="403" t="s">
        <v>920</v>
      </c>
      <c r="D59" s="403">
        <v>2.02401024E8</v>
      </c>
      <c r="E59" s="404" t="s">
        <v>512</v>
      </c>
      <c r="F59" s="403" t="s">
        <v>513</v>
      </c>
      <c r="G59" s="405" t="s">
        <v>554</v>
      </c>
      <c r="H59" s="405" t="s">
        <v>936</v>
      </c>
      <c r="I59" s="403" t="s">
        <v>516</v>
      </c>
      <c r="J59" s="403" t="s">
        <v>937</v>
      </c>
      <c r="K59" s="403" t="s">
        <v>517</v>
      </c>
      <c r="L59" s="403" t="s">
        <v>518</v>
      </c>
      <c r="M59" s="403" t="s">
        <v>548</v>
      </c>
      <c r="N59" s="403" t="str">
        <f>BUSCARX(R[0]C[-1],CONVENCIONES!R12C1:R42C1,CONVENCIONES!R12C2:R42C2)</f>
        <v>#ERROR!</v>
      </c>
      <c r="O59" s="403" t="s">
        <v>519</v>
      </c>
      <c r="P59" s="403" t="s">
        <v>938</v>
      </c>
      <c r="Q59" s="403" t="s">
        <v>521</v>
      </c>
      <c r="R59" s="403">
        <v>1.1376966E7</v>
      </c>
      <c r="S59" s="403" t="s">
        <v>939</v>
      </c>
      <c r="T59" s="403" t="s">
        <v>940</v>
      </c>
      <c r="U59" s="403" t="s">
        <v>941</v>
      </c>
      <c r="V59" s="403">
        <v>3.124651116E9</v>
      </c>
      <c r="W59" s="404" t="s">
        <v>525</v>
      </c>
      <c r="X59" s="404" t="s">
        <v>526</v>
      </c>
      <c r="Y59" s="404" t="s">
        <v>527</v>
      </c>
      <c r="Z59" s="404" t="s">
        <v>528</v>
      </c>
      <c r="AA59" s="403" t="s">
        <v>942</v>
      </c>
      <c r="AB59" s="413">
        <v>45623.0</v>
      </c>
      <c r="AC59" s="413">
        <v>45631.0</v>
      </c>
      <c r="AD59" s="404" t="s">
        <v>529</v>
      </c>
      <c r="AE59" s="404" t="s">
        <v>530</v>
      </c>
      <c r="AF59" s="418" t="s">
        <v>531</v>
      </c>
      <c r="AG59" s="403" t="s">
        <v>532</v>
      </c>
      <c r="AH59" s="408" t="s">
        <v>943</v>
      </c>
      <c r="AI59" s="409"/>
      <c r="AJ59" s="410" t="s">
        <v>534</v>
      </c>
    </row>
    <row r="60">
      <c r="A60" s="402">
        <v>2024.0</v>
      </c>
      <c r="B60" s="402">
        <v>12.0</v>
      </c>
      <c r="C60" s="403" t="s">
        <v>24</v>
      </c>
      <c r="D60" s="403">
        <v>2.02401059E8</v>
      </c>
      <c r="E60" s="404" t="s">
        <v>512</v>
      </c>
      <c r="F60" s="403" t="s">
        <v>535</v>
      </c>
      <c r="G60" s="411"/>
      <c r="H60" s="405" t="s">
        <v>944</v>
      </c>
      <c r="I60" s="403" t="s">
        <v>537</v>
      </c>
      <c r="J60" s="403" t="s">
        <v>93</v>
      </c>
      <c r="K60" s="403" t="s">
        <v>517</v>
      </c>
      <c r="L60" s="403" t="s">
        <v>518</v>
      </c>
      <c r="M60" s="403" t="s">
        <v>53</v>
      </c>
      <c r="N60" s="403" t="str">
        <f>BUSCARX(R[0]C[-1],CONVENCIONES!R12C1:R42C1,CONVENCIONES!R12C2:R42C2)</f>
        <v>#ERROR!</v>
      </c>
      <c r="O60" s="403" t="s">
        <v>519</v>
      </c>
      <c r="P60" s="403" t="s">
        <v>945</v>
      </c>
      <c r="Q60" s="403" t="s">
        <v>540</v>
      </c>
      <c r="R60" s="403">
        <v>1.030571557E9</v>
      </c>
      <c r="S60" s="403" t="s">
        <v>946</v>
      </c>
      <c r="T60" s="403" t="s">
        <v>947</v>
      </c>
      <c r="U60" s="403" t="s">
        <v>948</v>
      </c>
      <c r="V60" s="403">
        <v>3.142142372E9</v>
      </c>
      <c r="W60" s="404" t="s">
        <v>525</v>
      </c>
      <c r="X60" s="404" t="s">
        <v>544</v>
      </c>
      <c r="Y60" s="404" t="s">
        <v>527</v>
      </c>
      <c r="Z60" s="404" t="s">
        <v>528</v>
      </c>
      <c r="AA60" s="403" t="s">
        <v>949</v>
      </c>
      <c r="AB60" s="413">
        <v>45632.0</v>
      </c>
      <c r="AC60" s="413">
        <v>45641.0</v>
      </c>
      <c r="AD60" s="404" t="s">
        <v>529</v>
      </c>
      <c r="AE60" s="404" t="s">
        <v>744</v>
      </c>
      <c r="AF60" s="418" t="s">
        <v>531</v>
      </c>
      <c r="AG60" s="403" t="s">
        <v>532</v>
      </c>
      <c r="AH60" s="408" t="s">
        <v>950</v>
      </c>
      <c r="AI60" s="409"/>
      <c r="AJ60" s="410" t="s">
        <v>534</v>
      </c>
    </row>
    <row r="61">
      <c r="A61" s="402">
        <v>2024.0</v>
      </c>
      <c r="B61" s="402">
        <v>12.0</v>
      </c>
      <c r="C61" s="403" t="s">
        <v>24</v>
      </c>
      <c r="D61" s="403">
        <v>2.02401077E8</v>
      </c>
      <c r="E61" s="404" t="s">
        <v>512</v>
      </c>
      <c r="F61" s="403" t="s">
        <v>513</v>
      </c>
      <c r="G61" s="411"/>
      <c r="H61" s="405" t="s">
        <v>951</v>
      </c>
      <c r="I61" s="403" t="s">
        <v>516</v>
      </c>
      <c r="J61" s="403" t="s">
        <v>952</v>
      </c>
      <c r="K61" s="403" t="s">
        <v>517</v>
      </c>
      <c r="L61" s="403" t="s">
        <v>518</v>
      </c>
      <c r="M61" s="403" t="s">
        <v>548</v>
      </c>
      <c r="N61" s="403" t="str">
        <f>BUSCARX(R[0]C[-1],CONVENCIONES!R12C1:R42C1,CONVENCIONES!R12C2:R42C2)</f>
        <v>#ERROR!</v>
      </c>
      <c r="O61" s="403" t="s">
        <v>519</v>
      </c>
      <c r="P61" s="403" t="s">
        <v>953</v>
      </c>
      <c r="Q61" s="403" t="s">
        <v>521</v>
      </c>
      <c r="R61" s="403">
        <v>1.7199831E7</v>
      </c>
      <c r="S61" s="403" t="s">
        <v>954</v>
      </c>
      <c r="T61" s="403" t="s">
        <v>955</v>
      </c>
      <c r="U61" s="403" t="s">
        <v>956</v>
      </c>
      <c r="V61" s="403">
        <v>3.158679628E9</v>
      </c>
      <c r="W61" s="404" t="s">
        <v>525</v>
      </c>
      <c r="X61" s="404" t="s">
        <v>526</v>
      </c>
      <c r="Y61" s="404" t="s">
        <v>702</v>
      </c>
      <c r="Z61" s="404" t="s">
        <v>603</v>
      </c>
      <c r="AA61" s="403" t="s">
        <v>957</v>
      </c>
      <c r="AB61" s="413">
        <v>45637.0</v>
      </c>
      <c r="AC61" s="420"/>
      <c r="AD61" s="404" t="s">
        <v>529</v>
      </c>
      <c r="AE61" s="404" t="s">
        <v>958</v>
      </c>
      <c r="AF61" s="418" t="s">
        <v>531</v>
      </c>
      <c r="AG61" s="403" t="s">
        <v>532</v>
      </c>
      <c r="AH61" s="408" t="s">
        <v>959</v>
      </c>
      <c r="AI61" s="409"/>
      <c r="AJ61" s="410" t="s">
        <v>534</v>
      </c>
    </row>
    <row r="62">
      <c r="A62" s="402">
        <v>2024.0</v>
      </c>
      <c r="B62" s="402">
        <v>12.0</v>
      </c>
      <c r="C62" s="403" t="s">
        <v>24</v>
      </c>
      <c r="D62" s="403">
        <v>2.02401078E8</v>
      </c>
      <c r="E62" s="404" t="s">
        <v>512</v>
      </c>
      <c r="F62" s="403" t="s">
        <v>513</v>
      </c>
      <c r="G62" s="411"/>
      <c r="H62" s="405" t="s">
        <v>960</v>
      </c>
      <c r="I62" s="403" t="s">
        <v>961</v>
      </c>
      <c r="J62" s="403" t="s">
        <v>952</v>
      </c>
      <c r="K62" s="392"/>
      <c r="L62" s="403" t="s">
        <v>518</v>
      </c>
      <c r="M62" s="403" t="s">
        <v>548</v>
      </c>
      <c r="N62" s="403" t="str">
        <f>BUSCARX(R[0]C[-1],CONVENCIONES!R12C1:R42C1,CONVENCIONES!R12C2:R42C2)</f>
        <v>#ERROR!</v>
      </c>
      <c r="O62" s="403" t="s">
        <v>519</v>
      </c>
      <c r="P62" s="403" t="s">
        <v>953</v>
      </c>
      <c r="Q62" s="403" t="s">
        <v>521</v>
      </c>
      <c r="R62" s="403">
        <v>1.7199831E7</v>
      </c>
      <c r="S62" s="403" t="s">
        <v>954</v>
      </c>
      <c r="T62" s="403" t="s">
        <v>962</v>
      </c>
      <c r="U62" s="403" t="s">
        <v>956</v>
      </c>
      <c r="V62" s="403">
        <v>3.158679628E9</v>
      </c>
      <c r="W62" s="404" t="s">
        <v>525</v>
      </c>
      <c r="X62" s="404" t="s">
        <v>526</v>
      </c>
      <c r="Y62" s="404" t="s">
        <v>702</v>
      </c>
      <c r="Z62" s="404" t="s">
        <v>603</v>
      </c>
      <c r="AA62" s="403" t="s">
        <v>957</v>
      </c>
      <c r="AB62" s="413">
        <v>45638.0</v>
      </c>
      <c r="AC62" s="420"/>
      <c r="AD62" s="404" t="s">
        <v>529</v>
      </c>
      <c r="AE62" s="404" t="s">
        <v>958</v>
      </c>
      <c r="AF62" s="418" t="s">
        <v>531</v>
      </c>
      <c r="AG62" s="403" t="s">
        <v>532</v>
      </c>
      <c r="AH62" s="408" t="s">
        <v>959</v>
      </c>
      <c r="AI62" s="409"/>
      <c r="AJ62" s="410" t="s">
        <v>534</v>
      </c>
    </row>
    <row r="63">
      <c r="A63" s="402">
        <v>2024.0</v>
      </c>
      <c r="B63" s="402">
        <v>12.0</v>
      </c>
      <c r="C63" s="403" t="s">
        <v>24</v>
      </c>
      <c r="D63" s="403">
        <v>2.02401079E8</v>
      </c>
      <c r="E63" s="404" t="s">
        <v>512</v>
      </c>
      <c r="F63" s="403" t="s">
        <v>963</v>
      </c>
      <c r="G63" s="411"/>
      <c r="H63" s="405" t="s">
        <v>964</v>
      </c>
      <c r="I63" s="403" t="s">
        <v>965</v>
      </c>
      <c r="J63" s="403" t="s">
        <v>966</v>
      </c>
      <c r="K63" s="403" t="s">
        <v>517</v>
      </c>
      <c r="L63" s="403" t="s">
        <v>518</v>
      </c>
      <c r="M63" s="403" t="s">
        <v>548</v>
      </c>
      <c r="N63" s="403" t="str">
        <f>BUSCARX(R[0]C[-1],CONVENCIONES!R12C1:R42C1,CONVENCIONES!R12C2:R42C2)</f>
        <v>#ERROR!</v>
      </c>
      <c r="O63" s="403" t="s">
        <v>519</v>
      </c>
      <c r="P63" s="403" t="s">
        <v>967</v>
      </c>
      <c r="Q63" s="403" t="s">
        <v>521</v>
      </c>
      <c r="R63" s="403">
        <v>7.0725282E7</v>
      </c>
      <c r="S63" s="403" t="s">
        <v>968</v>
      </c>
      <c r="T63" s="403" t="s">
        <v>969</v>
      </c>
      <c r="U63" s="403" t="s">
        <v>970</v>
      </c>
      <c r="V63" s="403">
        <v>3.1347283E9</v>
      </c>
      <c r="W63" s="404" t="s">
        <v>525</v>
      </c>
      <c r="X63" s="404" t="s">
        <v>526</v>
      </c>
      <c r="Y63" s="404" t="s">
        <v>702</v>
      </c>
      <c r="Z63" s="404" t="s">
        <v>603</v>
      </c>
      <c r="AA63" s="392"/>
      <c r="AB63" s="413">
        <v>45637.0</v>
      </c>
      <c r="AC63" s="419"/>
      <c r="AD63" s="404" t="s">
        <v>529</v>
      </c>
      <c r="AE63" s="404" t="s">
        <v>530</v>
      </c>
      <c r="AF63" s="418" t="s">
        <v>531</v>
      </c>
      <c r="AG63" s="403" t="s">
        <v>532</v>
      </c>
      <c r="AH63" s="408" t="s">
        <v>971</v>
      </c>
      <c r="AI63" s="409"/>
      <c r="AJ63" s="410" t="s">
        <v>534</v>
      </c>
    </row>
    <row r="64">
      <c r="A64" s="402">
        <v>2024.0</v>
      </c>
      <c r="B64" s="402">
        <v>12.0</v>
      </c>
      <c r="C64" s="403" t="s">
        <v>24</v>
      </c>
      <c r="D64" s="403">
        <v>2.024011E8</v>
      </c>
      <c r="E64" s="404" t="s">
        <v>512</v>
      </c>
      <c r="F64" s="403" t="s">
        <v>513</v>
      </c>
      <c r="G64" s="405" t="s">
        <v>554</v>
      </c>
      <c r="H64" s="405" t="s">
        <v>972</v>
      </c>
      <c r="I64" s="403" t="s">
        <v>516</v>
      </c>
      <c r="J64" s="403" t="s">
        <v>761</v>
      </c>
      <c r="K64" s="403" t="s">
        <v>517</v>
      </c>
      <c r="L64" s="403" t="s">
        <v>518</v>
      </c>
      <c r="M64" s="403" t="s">
        <v>548</v>
      </c>
      <c r="N64" s="403" t="str">
        <f>BUSCARX(R[0]C[-1],CONVENCIONES!R12C1:R42C1,CONVENCIONES!R12C2:R42C2)</f>
        <v>#ERROR!</v>
      </c>
      <c r="O64" s="403" t="s">
        <v>519</v>
      </c>
      <c r="P64" s="403" t="s">
        <v>973</v>
      </c>
      <c r="Q64" s="403" t="s">
        <v>540</v>
      </c>
      <c r="R64" s="403">
        <v>1.9366572E7</v>
      </c>
      <c r="S64" s="403" t="s">
        <v>974</v>
      </c>
      <c r="T64" s="403" t="s">
        <v>975</v>
      </c>
      <c r="U64" s="403" t="s">
        <v>976</v>
      </c>
      <c r="V64" s="403" t="s">
        <v>977</v>
      </c>
      <c r="W64" s="404" t="s">
        <v>525</v>
      </c>
      <c r="X64" s="404" t="s">
        <v>526</v>
      </c>
      <c r="Y64" s="404" t="s">
        <v>527</v>
      </c>
      <c r="Z64" s="404" t="s">
        <v>528</v>
      </c>
      <c r="AA64" s="403" t="s">
        <v>978</v>
      </c>
      <c r="AB64" s="413">
        <v>45643.0</v>
      </c>
      <c r="AC64" s="419"/>
      <c r="AD64" s="404" t="s">
        <v>529</v>
      </c>
      <c r="AE64" s="404" t="s">
        <v>530</v>
      </c>
      <c r="AF64" s="418" t="s">
        <v>531</v>
      </c>
      <c r="AG64" s="403" t="s">
        <v>532</v>
      </c>
      <c r="AH64" s="408" t="s">
        <v>979</v>
      </c>
      <c r="AI64" s="409"/>
      <c r="AJ64" s="410" t="s">
        <v>534</v>
      </c>
    </row>
    <row r="65">
      <c r="A65" s="402">
        <v>2024.0</v>
      </c>
      <c r="B65" s="402">
        <v>12.0</v>
      </c>
      <c r="C65" s="403" t="s">
        <v>24</v>
      </c>
      <c r="D65" s="403">
        <v>2.0240111E8</v>
      </c>
      <c r="E65" s="404" t="s">
        <v>512</v>
      </c>
      <c r="F65" s="403" t="s">
        <v>856</v>
      </c>
      <c r="G65" s="411"/>
      <c r="H65" s="405" t="s">
        <v>980</v>
      </c>
      <c r="I65" s="403" t="s">
        <v>564</v>
      </c>
      <c r="J65" s="403" t="s">
        <v>981</v>
      </c>
      <c r="K65" s="403" t="s">
        <v>517</v>
      </c>
      <c r="L65" s="403" t="s">
        <v>518</v>
      </c>
      <c r="M65" s="403" t="s">
        <v>565</v>
      </c>
      <c r="N65" s="403" t="str">
        <f>BUSCARX(R[0]C[-1],CONVENCIONES!R12C1:R42C1,CONVENCIONES!R12C2:R42C2)</f>
        <v>#ERROR!</v>
      </c>
      <c r="O65" s="403" t="s">
        <v>519</v>
      </c>
      <c r="P65" s="403" t="s">
        <v>982</v>
      </c>
      <c r="Q65" s="403" t="s">
        <v>540</v>
      </c>
      <c r="R65" s="403">
        <v>5.1569838E7</v>
      </c>
      <c r="S65" s="403" t="s">
        <v>983</v>
      </c>
      <c r="T65" s="403" t="s">
        <v>984</v>
      </c>
      <c r="U65" s="403" t="s">
        <v>985</v>
      </c>
      <c r="V65" s="403">
        <v>3.14462378E9</v>
      </c>
      <c r="W65" s="404" t="s">
        <v>525</v>
      </c>
      <c r="X65" s="404" t="s">
        <v>526</v>
      </c>
      <c r="Y65" s="404" t="s">
        <v>527</v>
      </c>
      <c r="Z65" s="404" t="s">
        <v>528</v>
      </c>
      <c r="AA65" s="403" t="s">
        <v>986</v>
      </c>
      <c r="AB65" s="413">
        <v>45644.0</v>
      </c>
      <c r="AC65" s="419"/>
      <c r="AD65" s="404" t="s">
        <v>529</v>
      </c>
      <c r="AE65" s="404" t="s">
        <v>570</v>
      </c>
      <c r="AF65" s="418" t="s">
        <v>531</v>
      </c>
      <c r="AG65" s="403" t="s">
        <v>532</v>
      </c>
      <c r="AH65" s="403" t="s">
        <v>851</v>
      </c>
      <c r="AI65" s="409"/>
      <c r="AJ65" s="410" t="s">
        <v>534</v>
      </c>
    </row>
    <row r="66">
      <c r="A66" s="402">
        <v>2025.0</v>
      </c>
      <c r="B66" s="402">
        <v>1.0</v>
      </c>
      <c r="C66" s="403" t="s">
        <v>155</v>
      </c>
      <c r="D66" s="403">
        <v>2.02500001E8</v>
      </c>
      <c r="E66" s="404" t="s">
        <v>512</v>
      </c>
      <c r="F66" s="403" t="s">
        <v>535</v>
      </c>
      <c r="G66" s="411"/>
      <c r="H66" s="405" t="s">
        <v>987</v>
      </c>
      <c r="I66" s="403" t="s">
        <v>988</v>
      </c>
      <c r="J66" s="392"/>
      <c r="K66" s="403" t="s">
        <v>517</v>
      </c>
      <c r="L66" s="403" t="s">
        <v>518</v>
      </c>
      <c r="M66" s="403" t="s">
        <v>548</v>
      </c>
      <c r="N66" s="403" t="str">
        <f>BUSCARX(R[0]C[-1],CONVENCIONES!R12C1:R42C1,CONVENCIONES!R12C2:R42C2)</f>
        <v>#ERROR!</v>
      </c>
      <c r="O66" s="403" t="s">
        <v>53</v>
      </c>
      <c r="P66" s="403" t="s">
        <v>989</v>
      </c>
      <c r="Q66" s="403" t="s">
        <v>521</v>
      </c>
      <c r="R66" s="403">
        <v>1.007866539E9</v>
      </c>
      <c r="S66" s="392"/>
      <c r="T66" s="392"/>
      <c r="U66" s="403" t="s">
        <v>990</v>
      </c>
      <c r="V66" s="403">
        <v>3.237132604E9</v>
      </c>
      <c r="W66" s="404" t="s">
        <v>525</v>
      </c>
      <c r="X66" s="404" t="s">
        <v>526</v>
      </c>
      <c r="Y66" s="404" t="s">
        <v>702</v>
      </c>
      <c r="Z66" s="404" t="s">
        <v>603</v>
      </c>
      <c r="AA66" s="392"/>
      <c r="AB66" s="413">
        <v>45660.0</v>
      </c>
      <c r="AC66" s="419"/>
      <c r="AD66" s="404" t="s">
        <v>529</v>
      </c>
      <c r="AE66" s="404" t="s">
        <v>570</v>
      </c>
      <c r="AF66" s="418" t="s">
        <v>531</v>
      </c>
      <c r="AG66" s="403" t="s">
        <v>532</v>
      </c>
      <c r="AH66" s="408" t="s">
        <v>991</v>
      </c>
      <c r="AI66" s="409"/>
      <c r="AJ66" s="410" t="s">
        <v>534</v>
      </c>
    </row>
    <row r="67">
      <c r="A67" s="402">
        <v>2025.0</v>
      </c>
      <c r="B67" s="402">
        <v>1.0</v>
      </c>
      <c r="C67" s="403" t="s">
        <v>155</v>
      </c>
      <c r="D67" s="403">
        <v>2.02500002E8</v>
      </c>
      <c r="E67" s="404" t="s">
        <v>512</v>
      </c>
      <c r="F67" s="403" t="s">
        <v>856</v>
      </c>
      <c r="G67" s="411"/>
      <c r="H67" s="405" t="s">
        <v>992</v>
      </c>
      <c r="I67" s="403" t="s">
        <v>564</v>
      </c>
      <c r="J67" s="392"/>
      <c r="K67" s="403" t="s">
        <v>517</v>
      </c>
      <c r="L67" s="403" t="s">
        <v>518</v>
      </c>
      <c r="M67" s="403" t="s">
        <v>548</v>
      </c>
      <c r="N67" s="403" t="str">
        <f>BUSCARX(R[0]C[-1],CONVENCIONES!R12C1:R42C1,CONVENCIONES!R12C2:R42C2)</f>
        <v>#ERROR!</v>
      </c>
      <c r="O67" s="403" t="s">
        <v>53</v>
      </c>
      <c r="P67" s="403" t="s">
        <v>989</v>
      </c>
      <c r="Q67" s="403" t="s">
        <v>521</v>
      </c>
      <c r="R67" s="403">
        <v>1.007866539E9</v>
      </c>
      <c r="S67" s="392"/>
      <c r="T67" s="392"/>
      <c r="U67" s="403" t="s">
        <v>990</v>
      </c>
      <c r="V67" s="403">
        <v>3.237132604E9</v>
      </c>
      <c r="W67" s="404" t="s">
        <v>525</v>
      </c>
      <c r="X67" s="404" t="s">
        <v>526</v>
      </c>
      <c r="Y67" s="404" t="s">
        <v>702</v>
      </c>
      <c r="Z67" s="404" t="s">
        <v>603</v>
      </c>
      <c r="AA67" s="392"/>
      <c r="AB67" s="413">
        <v>45660.0</v>
      </c>
      <c r="AC67" s="419"/>
      <c r="AD67" s="404" t="s">
        <v>529</v>
      </c>
      <c r="AE67" s="404" t="s">
        <v>570</v>
      </c>
      <c r="AF67" s="418" t="s">
        <v>531</v>
      </c>
      <c r="AG67" s="403" t="s">
        <v>532</v>
      </c>
      <c r="AH67" s="408" t="s">
        <v>993</v>
      </c>
      <c r="AI67" s="409"/>
      <c r="AJ67" s="410" t="s">
        <v>534</v>
      </c>
    </row>
    <row r="68">
      <c r="A68" s="402">
        <v>2025.0</v>
      </c>
      <c r="B68" s="402">
        <v>1.0</v>
      </c>
      <c r="C68" s="403" t="s">
        <v>155</v>
      </c>
      <c r="D68" s="403">
        <v>2.02500003E8</v>
      </c>
      <c r="E68" s="404" t="s">
        <v>512</v>
      </c>
      <c r="F68" s="403" t="s">
        <v>535</v>
      </c>
      <c r="G68" s="411"/>
      <c r="H68" s="405" t="s">
        <v>994</v>
      </c>
      <c r="I68" s="403" t="s">
        <v>537</v>
      </c>
      <c r="J68" s="403" t="s">
        <v>360</v>
      </c>
      <c r="K68" s="403" t="s">
        <v>517</v>
      </c>
      <c r="L68" s="403" t="s">
        <v>518</v>
      </c>
      <c r="M68" s="403" t="s">
        <v>557</v>
      </c>
      <c r="N68" s="403" t="str">
        <f>BUSCARX(R[0]C[-1],CONVENCIONES!R12C1:R42C1,CONVENCIONES!R12C2:R42C2)</f>
        <v>#ERROR!</v>
      </c>
      <c r="O68" s="403" t="s">
        <v>53</v>
      </c>
      <c r="P68" s="403" t="s">
        <v>995</v>
      </c>
      <c r="Q68" s="403" t="s">
        <v>521</v>
      </c>
      <c r="R68" s="403" t="s">
        <v>996</v>
      </c>
      <c r="S68" s="403" t="s">
        <v>997</v>
      </c>
      <c r="T68" s="403" t="s">
        <v>998</v>
      </c>
      <c r="U68" s="403" t="s">
        <v>999</v>
      </c>
      <c r="V68" s="403" t="s">
        <v>1000</v>
      </c>
      <c r="W68" s="404" t="s">
        <v>525</v>
      </c>
      <c r="X68" s="404" t="s">
        <v>526</v>
      </c>
      <c r="Y68" s="404" t="s">
        <v>527</v>
      </c>
      <c r="Z68" s="404" t="s">
        <v>528</v>
      </c>
      <c r="AA68" s="392"/>
      <c r="AB68" s="413">
        <v>45662.0</v>
      </c>
      <c r="AC68" s="413">
        <v>45671.0</v>
      </c>
      <c r="AD68" s="404" t="s">
        <v>529</v>
      </c>
      <c r="AE68" s="404" t="s">
        <v>530</v>
      </c>
      <c r="AF68" s="418" t="s">
        <v>531</v>
      </c>
      <c r="AG68" s="403" t="s">
        <v>532</v>
      </c>
      <c r="AH68" s="408" t="s">
        <v>1001</v>
      </c>
      <c r="AI68" s="409"/>
      <c r="AJ68" s="410" t="s">
        <v>534</v>
      </c>
    </row>
    <row r="69">
      <c r="A69" s="402">
        <v>2025.0</v>
      </c>
      <c r="B69" s="402">
        <v>1.0</v>
      </c>
      <c r="C69" s="403" t="s">
        <v>155</v>
      </c>
      <c r="D69" s="403">
        <v>2.02500005E8</v>
      </c>
      <c r="E69" s="404" t="s">
        <v>512</v>
      </c>
      <c r="F69" s="403" t="s">
        <v>513</v>
      </c>
      <c r="G69" s="405" t="s">
        <v>514</v>
      </c>
      <c r="H69" s="405" t="s">
        <v>1002</v>
      </c>
      <c r="I69" s="403" t="s">
        <v>516</v>
      </c>
      <c r="J69" s="403" t="s">
        <v>573</v>
      </c>
      <c r="K69" s="403" t="s">
        <v>517</v>
      </c>
      <c r="L69" s="403" t="s">
        <v>518</v>
      </c>
      <c r="M69" s="403" t="s">
        <v>565</v>
      </c>
      <c r="N69" s="403" t="str">
        <f>BUSCARX(R[0]C[-1],CONVENCIONES!R12C1:R42C1,CONVENCIONES!R12C2:R42C2)</f>
        <v>#ERROR!</v>
      </c>
      <c r="O69" s="403" t="s">
        <v>1003</v>
      </c>
      <c r="P69" s="403" t="s">
        <v>1004</v>
      </c>
      <c r="Q69" s="403" t="s">
        <v>521</v>
      </c>
      <c r="R69" s="403">
        <v>1.1312952E7</v>
      </c>
      <c r="S69" s="403" t="s">
        <v>1005</v>
      </c>
      <c r="T69" s="403" t="s">
        <v>1006</v>
      </c>
      <c r="U69" s="403" t="s">
        <v>1007</v>
      </c>
      <c r="V69" s="403">
        <v>3.227841129E9</v>
      </c>
      <c r="W69" s="404" t="s">
        <v>525</v>
      </c>
      <c r="X69" s="404" t="s">
        <v>526</v>
      </c>
      <c r="Y69" s="404" t="s">
        <v>527</v>
      </c>
      <c r="Z69" s="404" t="s">
        <v>603</v>
      </c>
      <c r="AA69" s="403" t="s">
        <v>1008</v>
      </c>
      <c r="AB69" s="413">
        <v>45664.0</v>
      </c>
      <c r="AC69" s="419"/>
      <c r="AD69" s="404" t="s">
        <v>529</v>
      </c>
      <c r="AE69" s="404" t="s">
        <v>530</v>
      </c>
      <c r="AF69" s="418" t="s">
        <v>531</v>
      </c>
      <c r="AG69" s="403" t="s">
        <v>532</v>
      </c>
      <c r="AH69" s="408" t="s">
        <v>1009</v>
      </c>
      <c r="AI69" s="409"/>
      <c r="AJ69" s="410" t="s">
        <v>534</v>
      </c>
    </row>
    <row r="70">
      <c r="A70" s="402">
        <v>2025.0</v>
      </c>
      <c r="B70" s="402">
        <v>1.0</v>
      </c>
      <c r="C70" s="403" t="s">
        <v>155</v>
      </c>
      <c r="D70" s="403">
        <v>2.02500015E8</v>
      </c>
      <c r="E70" s="404" t="s">
        <v>512</v>
      </c>
      <c r="F70" s="403" t="s">
        <v>856</v>
      </c>
      <c r="G70" s="411"/>
      <c r="H70" s="405" t="s">
        <v>1010</v>
      </c>
      <c r="I70" s="403" t="s">
        <v>881</v>
      </c>
      <c r="J70" s="403" t="s">
        <v>668</v>
      </c>
      <c r="K70" s="403" t="s">
        <v>517</v>
      </c>
      <c r="L70" s="403" t="s">
        <v>518</v>
      </c>
      <c r="M70" s="403" t="s">
        <v>548</v>
      </c>
      <c r="N70" s="403" t="str">
        <f>BUSCARX(R[0]C[-1],CONVENCIONES!R12C1:R42C1,CONVENCIONES!R12C2:R42C2)</f>
        <v>#ERROR!</v>
      </c>
      <c r="O70" s="403" t="s">
        <v>1003</v>
      </c>
      <c r="P70" s="403" t="s">
        <v>1011</v>
      </c>
      <c r="Q70" s="403" t="s">
        <v>540</v>
      </c>
      <c r="R70" s="403">
        <v>1.007107298E9</v>
      </c>
      <c r="S70" s="403" t="s">
        <v>1012</v>
      </c>
      <c r="T70" s="403" t="s">
        <v>1013</v>
      </c>
      <c r="U70" s="403" t="s">
        <v>1014</v>
      </c>
      <c r="V70" s="403">
        <v>3.222126835E9</v>
      </c>
      <c r="W70" s="404" t="s">
        <v>525</v>
      </c>
      <c r="X70" s="404" t="s">
        <v>526</v>
      </c>
      <c r="Y70" s="404" t="s">
        <v>527</v>
      </c>
      <c r="Z70" s="404" t="s">
        <v>528</v>
      </c>
      <c r="AA70" s="392"/>
      <c r="AB70" s="413">
        <v>45645.0</v>
      </c>
      <c r="AC70" s="413">
        <v>45670.0</v>
      </c>
      <c r="AD70" s="404" t="s">
        <v>529</v>
      </c>
      <c r="AE70" s="404" t="s">
        <v>530</v>
      </c>
      <c r="AF70" s="418" t="s">
        <v>531</v>
      </c>
      <c r="AG70" s="403" t="s">
        <v>532</v>
      </c>
      <c r="AH70" s="408" t="s">
        <v>1015</v>
      </c>
      <c r="AI70" s="409"/>
      <c r="AJ70" s="410" t="s">
        <v>534</v>
      </c>
    </row>
    <row r="71">
      <c r="A71" s="402">
        <v>2025.0</v>
      </c>
      <c r="B71" s="402">
        <v>1.0</v>
      </c>
      <c r="C71" s="403" t="s">
        <v>155</v>
      </c>
      <c r="D71" s="403">
        <v>2.02500072E8</v>
      </c>
      <c r="E71" s="404" t="s">
        <v>512</v>
      </c>
      <c r="F71" s="403" t="s">
        <v>535</v>
      </c>
      <c r="G71" s="405" t="s">
        <v>1016</v>
      </c>
      <c r="H71" s="405" t="s">
        <v>1017</v>
      </c>
      <c r="I71" s="403" t="s">
        <v>537</v>
      </c>
      <c r="J71" s="403" t="s">
        <v>1018</v>
      </c>
      <c r="K71" s="403" t="s">
        <v>517</v>
      </c>
      <c r="L71" s="403" t="s">
        <v>518</v>
      </c>
      <c r="M71" s="403" t="s">
        <v>557</v>
      </c>
      <c r="N71" s="403" t="str">
        <f>BUSCARX(R[0]C[-1],CONVENCIONES!R12C1:R42C1,CONVENCIONES!R12C2:R42C2)</f>
        <v>#ERROR!</v>
      </c>
      <c r="O71" s="403" t="s">
        <v>1003</v>
      </c>
      <c r="P71" s="403" t="s">
        <v>1019</v>
      </c>
      <c r="Q71" s="403" t="s">
        <v>540</v>
      </c>
      <c r="R71" s="403">
        <v>2.9507889E7</v>
      </c>
      <c r="S71" s="403" t="s">
        <v>1020</v>
      </c>
      <c r="T71" s="403" t="s">
        <v>1021</v>
      </c>
      <c r="U71" s="403" t="s">
        <v>1022</v>
      </c>
      <c r="V71" s="403">
        <v>3.14796221E9</v>
      </c>
      <c r="W71" s="404" t="s">
        <v>525</v>
      </c>
      <c r="X71" s="404" t="s">
        <v>526</v>
      </c>
      <c r="Y71" s="404" t="s">
        <v>702</v>
      </c>
      <c r="Z71" s="404" t="s">
        <v>603</v>
      </c>
      <c r="AA71" s="392"/>
      <c r="AB71" s="413">
        <v>45686.0</v>
      </c>
      <c r="AC71" s="419"/>
      <c r="AD71" s="404" t="s">
        <v>529</v>
      </c>
      <c r="AE71" s="404" t="s">
        <v>530</v>
      </c>
      <c r="AF71" s="403" t="s">
        <v>531</v>
      </c>
      <c r="AG71" s="403" t="s">
        <v>532</v>
      </c>
      <c r="AH71" s="408" t="s">
        <v>1023</v>
      </c>
      <c r="AI71" s="409"/>
      <c r="AJ71" s="410" t="s">
        <v>534</v>
      </c>
    </row>
    <row r="72">
      <c r="A72" s="402">
        <v>2025.0</v>
      </c>
      <c r="B72" s="402">
        <v>2.0</v>
      </c>
      <c r="C72" s="403" t="s">
        <v>363</v>
      </c>
      <c r="D72" s="403">
        <v>2.02500101E8</v>
      </c>
      <c r="E72" s="404" t="s">
        <v>512</v>
      </c>
      <c r="F72" s="403" t="s">
        <v>535</v>
      </c>
      <c r="G72" s="405" t="s">
        <v>1016</v>
      </c>
      <c r="H72" s="405" t="s">
        <v>1024</v>
      </c>
      <c r="I72" s="403" t="s">
        <v>537</v>
      </c>
      <c r="J72" s="403" t="s">
        <v>29</v>
      </c>
      <c r="K72" s="403" t="s">
        <v>517</v>
      </c>
      <c r="L72" s="403" t="s">
        <v>518</v>
      </c>
      <c r="M72" s="403" t="s">
        <v>565</v>
      </c>
      <c r="N72" s="403" t="str">
        <f>BUSCARX(R[0]C[-1],CONVENCIONES!R12C1:R42C1,CONVENCIONES!R12C2:R42C2)</f>
        <v>#ERROR!</v>
      </c>
      <c r="O72" s="403" t="s">
        <v>1003</v>
      </c>
      <c r="P72" s="403" t="s">
        <v>1025</v>
      </c>
      <c r="Q72" s="403" t="s">
        <v>540</v>
      </c>
      <c r="R72" s="403">
        <v>1.000227362E9</v>
      </c>
      <c r="S72" s="403" t="s">
        <v>1026</v>
      </c>
      <c r="T72" s="403" t="s">
        <v>1027</v>
      </c>
      <c r="U72" s="403" t="s">
        <v>1028</v>
      </c>
      <c r="V72" s="403">
        <v>3.244812819E9</v>
      </c>
      <c r="W72" s="404" t="s">
        <v>525</v>
      </c>
      <c r="X72" s="404" t="s">
        <v>544</v>
      </c>
      <c r="Y72" s="404" t="s">
        <v>527</v>
      </c>
      <c r="Z72" s="404" t="s">
        <v>568</v>
      </c>
      <c r="AA72" s="392"/>
      <c r="AB72" s="413">
        <v>45693.0</v>
      </c>
      <c r="AC72" s="419"/>
      <c r="AD72" s="404" t="s">
        <v>529</v>
      </c>
      <c r="AE72" s="404" t="s">
        <v>570</v>
      </c>
      <c r="AF72" s="418" t="s">
        <v>531</v>
      </c>
      <c r="AG72" s="403" t="s">
        <v>532</v>
      </c>
      <c r="AH72" s="414" t="s">
        <v>621</v>
      </c>
      <c r="AI72" s="409"/>
      <c r="AJ72" s="410" t="s">
        <v>534</v>
      </c>
    </row>
    <row r="73">
      <c r="A73" s="402">
        <v>2025.0</v>
      </c>
      <c r="B73" s="402">
        <v>2.0</v>
      </c>
      <c r="C73" s="403" t="s">
        <v>363</v>
      </c>
      <c r="D73" s="403">
        <v>2.02500162E8</v>
      </c>
      <c r="E73" s="404" t="s">
        <v>512</v>
      </c>
      <c r="F73" s="403" t="s">
        <v>513</v>
      </c>
      <c r="G73" s="405" t="s">
        <v>554</v>
      </c>
      <c r="H73" s="405" t="s">
        <v>1029</v>
      </c>
      <c r="I73" s="403" t="s">
        <v>516</v>
      </c>
      <c r="J73" s="403" t="s">
        <v>1030</v>
      </c>
      <c r="K73" s="403" t="s">
        <v>517</v>
      </c>
      <c r="L73" s="403" t="s">
        <v>518</v>
      </c>
      <c r="M73" s="403" t="s">
        <v>704</v>
      </c>
      <c r="N73" s="403" t="str">
        <f>BUSCARX(R[0]C[-1],CONVENCIONES!R12C1:R42C1,CONVENCIONES!R12C2:R42C2)</f>
        <v>#ERROR!</v>
      </c>
      <c r="O73" s="403" t="s">
        <v>1003</v>
      </c>
      <c r="P73" s="403" t="s">
        <v>1031</v>
      </c>
      <c r="Q73" s="403" t="s">
        <v>521</v>
      </c>
      <c r="R73" s="403">
        <v>7.3090457E7</v>
      </c>
      <c r="S73" s="403" t="s">
        <v>1032</v>
      </c>
      <c r="T73" s="403" t="s">
        <v>1033</v>
      </c>
      <c r="U73" s="403" t="s">
        <v>1034</v>
      </c>
      <c r="V73" s="403" t="s">
        <v>1035</v>
      </c>
      <c r="W73" s="404" t="s">
        <v>525</v>
      </c>
      <c r="X73" s="404" t="s">
        <v>526</v>
      </c>
      <c r="Y73" s="404" t="s">
        <v>702</v>
      </c>
      <c r="Z73" s="404" t="s">
        <v>603</v>
      </c>
      <c r="AA73" s="392"/>
      <c r="AB73" s="413">
        <v>45701.0</v>
      </c>
      <c r="AC73" s="419"/>
      <c r="AD73" s="404" t="s">
        <v>529</v>
      </c>
      <c r="AE73" s="404" t="s">
        <v>530</v>
      </c>
      <c r="AF73" s="418" t="s">
        <v>531</v>
      </c>
      <c r="AG73" s="403" t="s">
        <v>532</v>
      </c>
      <c r="AH73" s="408" t="s">
        <v>1036</v>
      </c>
      <c r="AI73" s="409"/>
      <c r="AJ73" s="410" t="s">
        <v>534</v>
      </c>
    </row>
    <row r="74">
      <c r="A74" s="402">
        <v>2025.0</v>
      </c>
      <c r="B74" s="402">
        <v>2.0</v>
      </c>
      <c r="C74" s="403" t="s">
        <v>363</v>
      </c>
      <c r="D74" s="403">
        <v>2.02500207E8</v>
      </c>
      <c r="E74" s="404" t="s">
        <v>512</v>
      </c>
      <c r="F74" s="403" t="s">
        <v>535</v>
      </c>
      <c r="G74" s="405" t="s">
        <v>1037</v>
      </c>
      <c r="H74" s="405" t="s">
        <v>1038</v>
      </c>
      <c r="I74" s="403" t="s">
        <v>537</v>
      </c>
      <c r="J74" s="403" t="s">
        <v>1039</v>
      </c>
      <c r="K74" s="403" t="s">
        <v>517</v>
      </c>
      <c r="L74" s="403" t="s">
        <v>518</v>
      </c>
      <c r="M74" s="403" t="s">
        <v>548</v>
      </c>
      <c r="N74" s="403" t="str">
        <f>BUSCARX(R[0]C[-1],CONVENCIONES!R12C1:R42C1,CONVENCIONES!R12C2:R42C2)</f>
        <v>#ERROR!</v>
      </c>
      <c r="O74" s="403" t="s">
        <v>1003</v>
      </c>
      <c r="P74" s="403" t="s">
        <v>1040</v>
      </c>
      <c r="Q74" s="403" t="s">
        <v>540</v>
      </c>
      <c r="R74" s="403">
        <v>5.2526336E7</v>
      </c>
      <c r="S74" s="403" t="s">
        <v>1041</v>
      </c>
      <c r="T74" s="392"/>
      <c r="U74" s="403" t="s">
        <v>1042</v>
      </c>
      <c r="V74" s="403">
        <v>3.02752089E9</v>
      </c>
      <c r="W74" s="404" t="s">
        <v>525</v>
      </c>
      <c r="X74" s="404" t="s">
        <v>526</v>
      </c>
      <c r="Y74" s="404" t="s">
        <v>702</v>
      </c>
      <c r="Z74" s="404" t="s">
        <v>603</v>
      </c>
      <c r="AA74" s="392"/>
      <c r="AB74" s="413">
        <v>45713.0</v>
      </c>
      <c r="AC74" s="419"/>
      <c r="AD74" s="392"/>
      <c r="AE74" s="392"/>
      <c r="AF74" s="418" t="s">
        <v>531</v>
      </c>
      <c r="AG74" s="403" t="s">
        <v>532</v>
      </c>
      <c r="AH74" s="414" t="s">
        <v>621</v>
      </c>
      <c r="AI74" s="409"/>
      <c r="AJ74" s="410" t="s">
        <v>534</v>
      </c>
    </row>
    <row r="75">
      <c r="A75" s="402">
        <v>2025.0</v>
      </c>
      <c r="B75" s="402">
        <v>2.0</v>
      </c>
      <c r="C75" s="403" t="s">
        <v>363</v>
      </c>
      <c r="D75" s="403">
        <v>2.02500221E8</v>
      </c>
      <c r="E75" s="404" t="s">
        <v>512</v>
      </c>
      <c r="F75" s="403" t="s">
        <v>513</v>
      </c>
      <c r="G75" s="405" t="s">
        <v>514</v>
      </c>
      <c r="H75" s="405" t="s">
        <v>1043</v>
      </c>
      <c r="I75" s="403" t="s">
        <v>516</v>
      </c>
      <c r="J75" s="403" t="s">
        <v>1044</v>
      </c>
      <c r="K75" s="403" t="s">
        <v>517</v>
      </c>
      <c r="L75" s="403" t="s">
        <v>518</v>
      </c>
      <c r="M75" s="403" t="s">
        <v>557</v>
      </c>
      <c r="N75" s="403" t="str">
        <f>BUSCARX(R[0]C[-1],CONVENCIONES!R12C1:R42C1,CONVENCIONES!R12C2:R42C2)</f>
        <v>#ERROR!</v>
      </c>
      <c r="O75" s="403" t="s">
        <v>1003</v>
      </c>
      <c r="P75" s="403" t="s">
        <v>1045</v>
      </c>
      <c r="Q75" s="403" t="s">
        <v>540</v>
      </c>
      <c r="R75" s="403">
        <v>3.3815877E7</v>
      </c>
      <c r="S75" s="403" t="s">
        <v>1046</v>
      </c>
      <c r="T75" s="403" t="s">
        <v>1047</v>
      </c>
      <c r="U75" s="403" t="s">
        <v>1048</v>
      </c>
      <c r="V75" s="403">
        <v>3.11251891E9</v>
      </c>
      <c r="W75" s="404" t="s">
        <v>525</v>
      </c>
      <c r="X75" s="404" t="s">
        <v>526</v>
      </c>
      <c r="Y75" s="404" t="s">
        <v>527</v>
      </c>
      <c r="Z75" s="404" t="s">
        <v>528</v>
      </c>
      <c r="AA75" s="392"/>
      <c r="AB75" s="413">
        <v>45716.0</v>
      </c>
      <c r="AC75" s="419"/>
      <c r="AD75" s="404" t="s">
        <v>529</v>
      </c>
      <c r="AE75" s="404" t="s">
        <v>552</v>
      </c>
      <c r="AF75" s="418" t="s">
        <v>531</v>
      </c>
      <c r="AG75" s="403" t="s">
        <v>532</v>
      </c>
      <c r="AH75" s="408" t="s">
        <v>1045</v>
      </c>
      <c r="AI75" s="409"/>
      <c r="AJ75" s="410" t="s">
        <v>534</v>
      </c>
    </row>
    <row r="76">
      <c r="A76" s="402">
        <v>2025.0</v>
      </c>
      <c r="B76" s="402">
        <v>3.0</v>
      </c>
      <c r="C76" s="403" t="s">
        <v>450</v>
      </c>
      <c r="D76" s="403">
        <v>2.02500285E8</v>
      </c>
      <c r="E76" s="404" t="s">
        <v>512</v>
      </c>
      <c r="F76" s="403" t="s">
        <v>513</v>
      </c>
      <c r="G76" s="405" t="s">
        <v>554</v>
      </c>
      <c r="H76" s="403" t="s">
        <v>1049</v>
      </c>
      <c r="I76" s="403" t="s">
        <v>516</v>
      </c>
      <c r="J76" s="403" t="s">
        <v>29</v>
      </c>
      <c r="K76" s="403" t="s">
        <v>517</v>
      </c>
      <c r="L76" s="403" t="s">
        <v>518</v>
      </c>
      <c r="M76" s="403" t="s">
        <v>565</v>
      </c>
      <c r="N76" s="403" t="str">
        <f>BUSCARX(R[0]C[-1],CONVENCIONES!R12C1:R42C1,CONVENCIONES!R12C2:R42C2)</f>
        <v>#ERROR!</v>
      </c>
      <c r="O76" s="403" t="s">
        <v>1003</v>
      </c>
      <c r="P76" s="421" t="s">
        <v>1050</v>
      </c>
      <c r="Q76" s="403" t="s">
        <v>521</v>
      </c>
      <c r="R76" s="403">
        <v>7.22129E7</v>
      </c>
      <c r="S76" s="403" t="s">
        <v>1051</v>
      </c>
      <c r="T76" s="403" t="s">
        <v>1052</v>
      </c>
      <c r="U76" s="417" t="s">
        <v>1053</v>
      </c>
      <c r="V76" s="421">
        <v>3.22384632E8</v>
      </c>
      <c r="W76" s="404" t="s">
        <v>525</v>
      </c>
      <c r="X76" s="404" t="s">
        <v>526</v>
      </c>
      <c r="Y76" s="404" t="s">
        <v>702</v>
      </c>
      <c r="Z76" s="404" t="s">
        <v>603</v>
      </c>
      <c r="AA76" s="392"/>
      <c r="AB76" s="413">
        <v>45726.0</v>
      </c>
      <c r="AC76" s="419"/>
      <c r="AD76" s="404" t="s">
        <v>529</v>
      </c>
      <c r="AE76" s="404" t="s">
        <v>552</v>
      </c>
      <c r="AF76" s="418" t="s">
        <v>531</v>
      </c>
      <c r="AG76" s="403" t="s">
        <v>532</v>
      </c>
      <c r="AH76" s="414" t="s">
        <v>621</v>
      </c>
      <c r="AI76" s="409"/>
      <c r="AJ76" s="410" t="s">
        <v>534</v>
      </c>
    </row>
    <row r="77">
      <c r="A77" s="402">
        <v>2025.0</v>
      </c>
      <c r="B77" s="402">
        <v>3.0</v>
      </c>
      <c r="C77" s="403" t="s">
        <v>450</v>
      </c>
      <c r="D77" s="403">
        <v>2.02500328E8</v>
      </c>
      <c r="E77" s="404" t="s">
        <v>512</v>
      </c>
      <c r="F77" s="403" t="s">
        <v>513</v>
      </c>
      <c r="G77" s="405" t="s">
        <v>606</v>
      </c>
      <c r="H77" s="405" t="s">
        <v>1054</v>
      </c>
      <c r="I77" s="403" t="s">
        <v>516</v>
      </c>
      <c r="J77" s="403" t="s">
        <v>1055</v>
      </c>
      <c r="K77" s="403" t="s">
        <v>517</v>
      </c>
      <c r="L77" s="403" t="s">
        <v>518</v>
      </c>
      <c r="M77" s="403" t="s">
        <v>557</v>
      </c>
      <c r="N77" s="403" t="str">
        <f>BUSCARX(R[0]C[-1],CONVENCIONES!R12C1:R42C1,CONVENCIONES!R12C2:R42C2)</f>
        <v>#ERROR!</v>
      </c>
      <c r="O77" s="403" t="s">
        <v>1003</v>
      </c>
      <c r="P77" s="403" t="s">
        <v>1056</v>
      </c>
      <c r="Q77" s="403" t="s">
        <v>540</v>
      </c>
      <c r="R77" s="403">
        <v>3.3815877E7</v>
      </c>
      <c r="S77" s="403" t="s">
        <v>1057</v>
      </c>
      <c r="T77" s="403" t="s">
        <v>1058</v>
      </c>
      <c r="U77" s="403" t="s">
        <v>1048</v>
      </c>
      <c r="V77" s="403">
        <v>3.11251891E9</v>
      </c>
      <c r="W77" s="404" t="s">
        <v>525</v>
      </c>
      <c r="X77" s="404" t="s">
        <v>526</v>
      </c>
      <c r="Y77" s="404" t="s">
        <v>527</v>
      </c>
      <c r="Z77" s="404" t="s">
        <v>528</v>
      </c>
      <c r="AA77" s="392"/>
      <c r="AB77" s="413">
        <v>45730.0</v>
      </c>
      <c r="AC77" s="419"/>
      <c r="AD77" s="404" t="s">
        <v>529</v>
      </c>
      <c r="AE77" s="404" t="s">
        <v>530</v>
      </c>
      <c r="AF77" s="418" t="s">
        <v>531</v>
      </c>
      <c r="AG77" s="403" t="s">
        <v>532</v>
      </c>
      <c r="AH77" s="408" t="s">
        <v>1059</v>
      </c>
      <c r="AI77" s="409"/>
      <c r="AJ77" s="410" t="s">
        <v>534</v>
      </c>
    </row>
    <row r="78">
      <c r="A78" s="402">
        <v>2025.0</v>
      </c>
      <c r="B78" s="402">
        <v>3.0</v>
      </c>
      <c r="C78" s="403" t="s">
        <v>450</v>
      </c>
      <c r="D78" s="403">
        <v>2.02500334E8</v>
      </c>
      <c r="E78" s="404" t="s">
        <v>512</v>
      </c>
      <c r="F78" s="403" t="s">
        <v>792</v>
      </c>
      <c r="G78" s="405" t="s">
        <v>1060</v>
      </c>
      <c r="H78" s="405" t="s">
        <v>1061</v>
      </c>
      <c r="I78" s="403" t="s">
        <v>1062</v>
      </c>
      <c r="J78" s="403" t="s">
        <v>650</v>
      </c>
      <c r="K78" s="403" t="s">
        <v>517</v>
      </c>
      <c r="L78" s="403" t="s">
        <v>518</v>
      </c>
      <c r="M78" s="403" t="s">
        <v>53</v>
      </c>
      <c r="N78" s="403" t="str">
        <f>BUSCARX(R[0]C[-1],CONVENCIONES!R12C1:R42C1,CONVENCIONES!R12C2:R42C2)</f>
        <v>#ERROR!</v>
      </c>
      <c r="O78" s="403" t="s">
        <v>1003</v>
      </c>
      <c r="P78" s="403" t="s">
        <v>1063</v>
      </c>
      <c r="Q78" s="403" t="s">
        <v>521</v>
      </c>
      <c r="R78" s="403">
        <v>1.000724429E9</v>
      </c>
      <c r="S78" s="403" t="s">
        <v>1064</v>
      </c>
      <c r="T78" s="403" t="s">
        <v>1065</v>
      </c>
      <c r="U78" s="403" t="s">
        <v>53</v>
      </c>
      <c r="V78" s="403">
        <v>3.202190545E9</v>
      </c>
      <c r="W78" s="404" t="s">
        <v>792</v>
      </c>
      <c r="X78" s="404" t="s">
        <v>544</v>
      </c>
      <c r="Y78" s="404" t="s">
        <v>702</v>
      </c>
      <c r="Z78" s="404" t="s">
        <v>603</v>
      </c>
      <c r="AA78" s="392"/>
      <c r="AB78" s="413">
        <v>45733.0</v>
      </c>
      <c r="AC78" s="419"/>
      <c r="AD78" s="404" t="s">
        <v>529</v>
      </c>
      <c r="AE78" s="404" t="s">
        <v>552</v>
      </c>
      <c r="AF78" s="418" t="s">
        <v>531</v>
      </c>
      <c r="AG78" s="403" t="s">
        <v>532</v>
      </c>
      <c r="AH78" s="414" t="s">
        <v>621</v>
      </c>
      <c r="AI78" s="409"/>
      <c r="AJ78" s="410" t="s">
        <v>534</v>
      </c>
    </row>
    <row r="79">
      <c r="A79" s="422">
        <v>2025.0</v>
      </c>
      <c r="B79" s="402">
        <v>3.0</v>
      </c>
      <c r="C79" s="405" t="s">
        <v>450</v>
      </c>
      <c r="D79" s="405">
        <v>2.02500398E8</v>
      </c>
      <c r="E79" s="415" t="s">
        <v>512</v>
      </c>
      <c r="F79" s="405" t="s">
        <v>513</v>
      </c>
      <c r="G79" s="405" t="s">
        <v>554</v>
      </c>
      <c r="H79" s="405" t="s">
        <v>1066</v>
      </c>
      <c r="I79" s="405" t="s">
        <v>516</v>
      </c>
      <c r="J79" s="405" t="s">
        <v>1067</v>
      </c>
      <c r="K79" s="405" t="s">
        <v>517</v>
      </c>
      <c r="L79" s="405" t="s">
        <v>518</v>
      </c>
      <c r="M79" s="405" t="s">
        <v>548</v>
      </c>
      <c r="N79" s="403" t="str">
        <f>BUSCARX(R[0]C[-1],CONVENCIONES!R12C1:R42C1,CONVENCIONES!R12C2:R42C2)</f>
        <v>#ERROR!</v>
      </c>
      <c r="O79" s="405" t="s">
        <v>1003</v>
      </c>
      <c r="P79" s="405" t="s">
        <v>1068</v>
      </c>
      <c r="Q79" s="405" t="s">
        <v>521</v>
      </c>
      <c r="R79" s="405">
        <v>1.014181526E9</v>
      </c>
      <c r="S79" s="405" t="s">
        <v>1069</v>
      </c>
      <c r="T79" s="405" t="s">
        <v>1070</v>
      </c>
      <c r="U79" s="405" t="s">
        <v>1071</v>
      </c>
      <c r="V79" s="405">
        <v>3.173123134E9</v>
      </c>
      <c r="W79" s="415" t="s">
        <v>525</v>
      </c>
      <c r="X79" s="415" t="s">
        <v>526</v>
      </c>
      <c r="Y79" s="415" t="s">
        <v>702</v>
      </c>
      <c r="Z79" s="415" t="s">
        <v>603</v>
      </c>
      <c r="AA79" s="411"/>
      <c r="AB79" s="423">
        <v>45744.0</v>
      </c>
      <c r="AC79" s="424"/>
      <c r="AD79" s="415" t="s">
        <v>529</v>
      </c>
      <c r="AE79" s="415" t="s">
        <v>530</v>
      </c>
      <c r="AF79" s="407" t="s">
        <v>531</v>
      </c>
      <c r="AG79" s="405" t="s">
        <v>532</v>
      </c>
      <c r="AH79" s="425" t="s">
        <v>1072</v>
      </c>
      <c r="AI79" s="426"/>
      <c r="AJ79" s="410" t="s">
        <v>534</v>
      </c>
    </row>
    <row r="80">
      <c r="A80" s="402">
        <v>2025.0</v>
      </c>
      <c r="B80" s="402">
        <v>4.0</v>
      </c>
      <c r="C80" s="403" t="s">
        <v>614</v>
      </c>
      <c r="D80" s="405">
        <v>2.02500436E8</v>
      </c>
      <c r="E80" s="404" t="s">
        <v>512</v>
      </c>
      <c r="F80" s="403" t="s">
        <v>513</v>
      </c>
      <c r="G80" s="405" t="s">
        <v>514</v>
      </c>
      <c r="H80" s="403" t="s">
        <v>1073</v>
      </c>
      <c r="I80" s="403" t="s">
        <v>516</v>
      </c>
      <c r="J80" s="403" t="s">
        <v>1074</v>
      </c>
      <c r="K80" s="403" t="s">
        <v>517</v>
      </c>
      <c r="L80" s="403" t="s">
        <v>518</v>
      </c>
      <c r="M80" s="403" t="s">
        <v>565</v>
      </c>
      <c r="N80" s="403" t="str">
        <f>BUSCARX(R[0]C[-1],CONVENCIONES!R12C1:R42C1,CONVENCIONES!R12C2:R42C2)</f>
        <v>#ERROR!</v>
      </c>
      <c r="O80" s="403" t="s">
        <v>1003</v>
      </c>
      <c r="P80" s="403" t="s">
        <v>1075</v>
      </c>
      <c r="Q80" s="403" t="s">
        <v>540</v>
      </c>
      <c r="R80" s="403">
        <v>2.3443078E7</v>
      </c>
      <c r="S80" s="403" t="s">
        <v>1076</v>
      </c>
      <c r="T80" s="403" t="s">
        <v>1077</v>
      </c>
      <c r="U80" s="403" t="s">
        <v>1078</v>
      </c>
      <c r="V80" s="403">
        <v>3.208285574E9</v>
      </c>
      <c r="W80" s="404" t="s">
        <v>525</v>
      </c>
      <c r="X80" s="404" t="s">
        <v>526</v>
      </c>
      <c r="Y80" s="404" t="s">
        <v>702</v>
      </c>
      <c r="Z80" s="404" t="s">
        <v>603</v>
      </c>
      <c r="AA80" s="392"/>
      <c r="AB80" s="413">
        <v>45751.0</v>
      </c>
      <c r="AC80" s="419"/>
      <c r="AD80" s="404" t="s">
        <v>529</v>
      </c>
      <c r="AE80" s="404" t="s">
        <v>570</v>
      </c>
      <c r="AF80" s="418" t="s">
        <v>531</v>
      </c>
      <c r="AG80" s="403" t="s">
        <v>532</v>
      </c>
      <c r="AH80" s="414" t="s">
        <v>621</v>
      </c>
      <c r="AI80" s="426"/>
      <c r="AJ80" s="410" t="s">
        <v>534</v>
      </c>
    </row>
    <row r="81">
      <c r="A81" s="402">
        <v>2025.0</v>
      </c>
      <c r="B81" s="402">
        <v>4.0</v>
      </c>
      <c r="C81" s="403" t="s">
        <v>614</v>
      </c>
      <c r="D81" s="405">
        <v>2.02500582E8</v>
      </c>
      <c r="E81" s="404" t="s">
        <v>512</v>
      </c>
      <c r="F81" s="403" t="s">
        <v>535</v>
      </c>
      <c r="G81" s="403" t="s">
        <v>1079</v>
      </c>
      <c r="H81" s="403" t="s">
        <v>1080</v>
      </c>
      <c r="I81" s="403" t="s">
        <v>537</v>
      </c>
      <c r="J81" s="403" t="s">
        <v>85</v>
      </c>
      <c r="K81" s="403" t="s">
        <v>517</v>
      </c>
      <c r="L81" s="403" t="s">
        <v>518</v>
      </c>
      <c r="M81" s="403" t="s">
        <v>1081</v>
      </c>
      <c r="N81" s="403" t="s">
        <v>1082</v>
      </c>
      <c r="O81" s="403" t="s">
        <v>1003</v>
      </c>
      <c r="P81" s="403" t="s">
        <v>1083</v>
      </c>
      <c r="Q81" s="403" t="s">
        <v>540</v>
      </c>
      <c r="R81" s="403">
        <v>1.000134899E9</v>
      </c>
      <c r="S81" s="403" t="s">
        <v>1084</v>
      </c>
      <c r="T81" s="403" t="s">
        <v>1085</v>
      </c>
      <c r="U81" s="392"/>
      <c r="V81" s="403">
        <v>3.009878225E9</v>
      </c>
      <c r="W81" s="404" t="s">
        <v>525</v>
      </c>
      <c r="X81" s="404" t="s">
        <v>544</v>
      </c>
      <c r="Y81" s="404" t="s">
        <v>702</v>
      </c>
      <c r="Z81" s="404" t="s">
        <v>603</v>
      </c>
      <c r="AA81" s="392"/>
      <c r="AB81" s="413">
        <v>45752.0</v>
      </c>
      <c r="AC81" s="419"/>
      <c r="AD81" s="404" t="s">
        <v>529</v>
      </c>
      <c r="AE81" s="404" t="s">
        <v>1086</v>
      </c>
      <c r="AF81" s="418" t="s">
        <v>531</v>
      </c>
      <c r="AG81" s="403" t="s">
        <v>532</v>
      </c>
      <c r="AH81" s="425" t="s">
        <v>1087</v>
      </c>
      <c r="AI81" s="426"/>
      <c r="AJ81" s="410" t="s">
        <v>534</v>
      </c>
    </row>
    <row r="82">
      <c r="A82" s="402">
        <v>2025.0</v>
      </c>
      <c r="B82" s="402">
        <v>4.0</v>
      </c>
      <c r="C82" s="403" t="s">
        <v>614</v>
      </c>
      <c r="D82" s="405">
        <v>2.02500583E8</v>
      </c>
      <c r="E82" s="404" t="s">
        <v>512</v>
      </c>
      <c r="F82" s="392"/>
      <c r="G82" s="405" t="s">
        <v>673</v>
      </c>
      <c r="H82" s="403" t="s">
        <v>1088</v>
      </c>
      <c r="I82" s="403" t="s">
        <v>516</v>
      </c>
      <c r="J82" s="403" t="s">
        <v>1089</v>
      </c>
      <c r="K82" s="403" t="s">
        <v>517</v>
      </c>
      <c r="L82" s="403" t="s">
        <v>518</v>
      </c>
      <c r="M82" s="403" t="s">
        <v>548</v>
      </c>
      <c r="N82" s="403" t="s">
        <v>1082</v>
      </c>
      <c r="O82" s="403" t="s">
        <v>1003</v>
      </c>
      <c r="P82" s="403" t="s">
        <v>1090</v>
      </c>
      <c r="Q82" s="403" t="s">
        <v>540</v>
      </c>
      <c r="R82" s="403">
        <v>3.9666543E7</v>
      </c>
      <c r="S82" s="403" t="s">
        <v>1091</v>
      </c>
      <c r="T82" s="403" t="s">
        <v>1092</v>
      </c>
      <c r="U82" s="403" t="s">
        <v>1093</v>
      </c>
      <c r="V82" s="403">
        <v>3.053918898E9</v>
      </c>
      <c r="W82" s="404" t="s">
        <v>525</v>
      </c>
      <c r="X82" s="404" t="s">
        <v>526</v>
      </c>
      <c r="Y82" s="404" t="s">
        <v>527</v>
      </c>
      <c r="Z82" s="404" t="s">
        <v>603</v>
      </c>
      <c r="AA82" s="392"/>
      <c r="AB82" s="413">
        <v>45755.0</v>
      </c>
      <c r="AC82" s="419"/>
      <c r="AD82" s="404" t="s">
        <v>529</v>
      </c>
      <c r="AE82" s="404" t="s">
        <v>530</v>
      </c>
      <c r="AF82" s="418" t="s">
        <v>531</v>
      </c>
      <c r="AG82" s="403" t="s">
        <v>532</v>
      </c>
      <c r="AH82" s="425" t="s">
        <v>1094</v>
      </c>
      <c r="AI82" s="426"/>
      <c r="AJ82" s="410" t="s">
        <v>534</v>
      </c>
    </row>
    <row r="83">
      <c r="A83" s="402">
        <v>2025.0</v>
      </c>
      <c r="B83" s="402">
        <v>4.0</v>
      </c>
      <c r="C83" s="403" t="s">
        <v>614</v>
      </c>
      <c r="D83" s="405">
        <v>2.02500592E8</v>
      </c>
      <c r="E83" s="404" t="s">
        <v>512</v>
      </c>
      <c r="F83" s="403" t="s">
        <v>1095</v>
      </c>
      <c r="G83" s="403" t="s">
        <v>1096</v>
      </c>
      <c r="H83" s="403" t="s">
        <v>1097</v>
      </c>
      <c r="I83" s="403" t="s">
        <v>1098</v>
      </c>
      <c r="J83" s="403" t="s">
        <v>1099</v>
      </c>
      <c r="K83" s="403" t="s">
        <v>517</v>
      </c>
      <c r="L83" s="403" t="s">
        <v>518</v>
      </c>
      <c r="M83" s="403" t="s">
        <v>53</v>
      </c>
      <c r="N83" s="403" t="s">
        <v>53</v>
      </c>
      <c r="O83" s="403" t="s">
        <v>1003</v>
      </c>
      <c r="P83" s="403" t="s">
        <v>1100</v>
      </c>
      <c r="Q83" s="403" t="s">
        <v>540</v>
      </c>
      <c r="R83" s="403">
        <v>2.8308532E7</v>
      </c>
      <c r="S83" s="403" t="s">
        <v>1101</v>
      </c>
      <c r="T83" s="403" t="s">
        <v>1102</v>
      </c>
      <c r="U83" s="403" t="s">
        <v>1103</v>
      </c>
      <c r="V83" s="403">
        <v>3.222286998E9</v>
      </c>
      <c r="W83" s="404" t="s">
        <v>525</v>
      </c>
      <c r="X83" s="404" t="s">
        <v>544</v>
      </c>
      <c r="Y83" s="404" t="s">
        <v>702</v>
      </c>
      <c r="Z83" s="404" t="s">
        <v>603</v>
      </c>
      <c r="AA83" s="392"/>
      <c r="AB83" s="413">
        <v>45756.0</v>
      </c>
      <c r="AC83" s="419"/>
      <c r="AD83" s="404" t="s">
        <v>529</v>
      </c>
      <c r="AE83" s="404" t="s">
        <v>530</v>
      </c>
      <c r="AF83" s="418" t="s">
        <v>531</v>
      </c>
      <c r="AG83" s="403" t="s">
        <v>532</v>
      </c>
      <c r="AH83" s="425" t="s">
        <v>1104</v>
      </c>
      <c r="AI83" s="426"/>
      <c r="AJ83" s="410" t="s">
        <v>534</v>
      </c>
    </row>
    <row r="84">
      <c r="A84" s="403">
        <v>2025.0</v>
      </c>
      <c r="B84" s="403">
        <v>5.0</v>
      </c>
      <c r="C84" s="403" t="s">
        <v>689</v>
      </c>
      <c r="D84" s="405">
        <v>2.02500734E8</v>
      </c>
      <c r="E84" s="403" t="s">
        <v>512</v>
      </c>
      <c r="F84" s="403" t="s">
        <v>513</v>
      </c>
      <c r="G84" s="403" t="s">
        <v>514</v>
      </c>
      <c r="H84" s="403" t="s">
        <v>1105</v>
      </c>
      <c r="I84" s="403" t="s">
        <v>516</v>
      </c>
      <c r="J84" s="403" t="s">
        <v>344</v>
      </c>
      <c r="K84" s="403" t="s">
        <v>517</v>
      </c>
      <c r="L84" s="403" t="s">
        <v>518</v>
      </c>
      <c r="M84" s="403" t="s">
        <v>548</v>
      </c>
      <c r="N84" s="403" t="str">
        <f>BUSCARX(R[0]C[-1],CONVENCIONES!R12C1:R42C1,CONVENCIONES!R12C2:R42C2)</f>
        <v>#ERROR!</v>
      </c>
      <c r="O84" s="403" t="s">
        <v>1003</v>
      </c>
      <c r="P84" s="403" t="s">
        <v>1106</v>
      </c>
      <c r="Q84" s="403" t="s">
        <v>521</v>
      </c>
      <c r="R84" s="403">
        <v>1.9451254E7</v>
      </c>
      <c r="S84" s="403" t="s">
        <v>1107</v>
      </c>
      <c r="T84" s="403" t="s">
        <v>1108</v>
      </c>
      <c r="U84" s="403" t="s">
        <v>1109</v>
      </c>
      <c r="V84" s="403" t="s">
        <v>1110</v>
      </c>
      <c r="W84" s="404" t="s">
        <v>525</v>
      </c>
      <c r="X84" s="404" t="s">
        <v>526</v>
      </c>
      <c r="Y84" s="404" t="s">
        <v>527</v>
      </c>
      <c r="Z84" s="404" t="s">
        <v>528</v>
      </c>
      <c r="AA84" s="392"/>
      <c r="AB84" s="413">
        <v>45779.0</v>
      </c>
      <c r="AC84" s="413">
        <v>45787.0</v>
      </c>
      <c r="AD84" s="404" t="s">
        <v>529</v>
      </c>
      <c r="AE84" s="404" t="s">
        <v>570</v>
      </c>
      <c r="AF84" s="403" t="s">
        <v>531</v>
      </c>
      <c r="AG84" s="403" t="s">
        <v>532</v>
      </c>
      <c r="AH84" s="414" t="s">
        <v>621</v>
      </c>
      <c r="AI84" s="426"/>
      <c r="AJ84" s="410" t="s">
        <v>534</v>
      </c>
    </row>
    <row r="85">
      <c r="A85" s="403">
        <v>2025.0</v>
      </c>
      <c r="B85" s="403">
        <v>5.0</v>
      </c>
      <c r="C85" s="403" t="s">
        <v>689</v>
      </c>
      <c r="D85" s="405">
        <v>2.02500794E8</v>
      </c>
      <c r="E85" s="403" t="s">
        <v>512</v>
      </c>
      <c r="F85" s="403" t="s">
        <v>513</v>
      </c>
      <c r="G85" s="403" t="s">
        <v>554</v>
      </c>
      <c r="H85" s="427" t="s">
        <v>1111</v>
      </c>
      <c r="I85" s="403" t="s">
        <v>516</v>
      </c>
      <c r="J85" s="403" t="s">
        <v>1112</v>
      </c>
      <c r="K85" s="403" t="s">
        <v>517</v>
      </c>
      <c r="L85" s="403" t="s">
        <v>518</v>
      </c>
      <c r="M85" s="403" t="s">
        <v>557</v>
      </c>
      <c r="N85" s="403" t="str">
        <f>BUSCARX(R[0]C[-1],CONVENCIONES!R12C1:R42C1,CONVENCIONES!R12C2:R42C2)</f>
        <v>#ERROR!</v>
      </c>
      <c r="O85" s="403" t="s">
        <v>1003</v>
      </c>
      <c r="P85" s="403" t="s">
        <v>1113</v>
      </c>
      <c r="Q85" s="403" t="s">
        <v>521</v>
      </c>
      <c r="R85" s="403">
        <v>5650739.0</v>
      </c>
      <c r="S85" s="403" t="s">
        <v>1114</v>
      </c>
      <c r="T85" s="403" t="s">
        <v>1115</v>
      </c>
      <c r="U85" s="403" t="s">
        <v>1116</v>
      </c>
      <c r="V85" s="392"/>
      <c r="W85" s="404" t="s">
        <v>525</v>
      </c>
      <c r="X85" s="404" t="s">
        <v>544</v>
      </c>
      <c r="Y85" s="404" t="s">
        <v>702</v>
      </c>
      <c r="Z85" s="404" t="s">
        <v>603</v>
      </c>
      <c r="AA85" s="392"/>
      <c r="AB85" s="413">
        <v>45784.0</v>
      </c>
      <c r="AC85" s="419"/>
      <c r="AD85" s="404" t="s">
        <v>529</v>
      </c>
      <c r="AE85" s="404" t="s">
        <v>570</v>
      </c>
      <c r="AF85" s="403" t="s">
        <v>531</v>
      </c>
      <c r="AG85" s="403" t="s">
        <v>532</v>
      </c>
      <c r="AH85" s="414" t="s">
        <v>621</v>
      </c>
      <c r="AI85" s="426"/>
      <c r="AJ85" s="410" t="s">
        <v>534</v>
      </c>
    </row>
    <row r="86">
      <c r="A86" s="403">
        <v>2025.0</v>
      </c>
      <c r="B86" s="403">
        <v>5.0</v>
      </c>
      <c r="C86" s="403" t="s">
        <v>689</v>
      </c>
      <c r="D86" s="405">
        <v>2.02500814E8</v>
      </c>
      <c r="E86" s="403" t="s">
        <v>512</v>
      </c>
      <c r="F86" s="403" t="s">
        <v>513</v>
      </c>
      <c r="G86" s="403" t="s">
        <v>514</v>
      </c>
      <c r="H86" s="403" t="s">
        <v>1117</v>
      </c>
      <c r="I86" s="403" t="s">
        <v>516</v>
      </c>
      <c r="J86" s="403" t="s">
        <v>344</v>
      </c>
      <c r="K86" s="403" t="s">
        <v>517</v>
      </c>
      <c r="L86" s="403" t="s">
        <v>518</v>
      </c>
      <c r="M86" s="403" t="s">
        <v>548</v>
      </c>
      <c r="N86" s="403" t="str">
        <f>BUSCARX(R[0]C[-1],CONVENCIONES!R12C1:R42C1,CONVENCIONES!R12C2:R42C2)</f>
        <v>#ERROR!</v>
      </c>
      <c r="O86" s="403" t="s">
        <v>1003</v>
      </c>
      <c r="P86" s="403" t="s">
        <v>1106</v>
      </c>
      <c r="Q86" s="403" t="s">
        <v>521</v>
      </c>
      <c r="R86" s="403">
        <v>1.9451254E7</v>
      </c>
      <c r="S86" s="403" t="s">
        <v>1107</v>
      </c>
      <c r="T86" s="403" t="s">
        <v>1108</v>
      </c>
      <c r="U86" s="403" t="s">
        <v>1109</v>
      </c>
      <c r="V86" s="403" t="s">
        <v>1110</v>
      </c>
      <c r="W86" s="404" t="s">
        <v>525</v>
      </c>
      <c r="X86" s="404" t="s">
        <v>526</v>
      </c>
      <c r="Y86" s="404" t="s">
        <v>527</v>
      </c>
      <c r="Z86" s="404" t="s">
        <v>528</v>
      </c>
      <c r="AA86" s="392"/>
      <c r="AB86" s="413">
        <v>45786.0</v>
      </c>
      <c r="AC86" s="428">
        <v>45787.0</v>
      </c>
      <c r="AD86" s="404" t="s">
        <v>529</v>
      </c>
      <c r="AE86" s="404" t="s">
        <v>570</v>
      </c>
      <c r="AF86" s="403" t="s">
        <v>531</v>
      </c>
      <c r="AG86" s="403" t="s">
        <v>532</v>
      </c>
      <c r="AH86" s="414" t="s">
        <v>621</v>
      </c>
      <c r="AI86" s="426"/>
      <c r="AJ86" s="410" t="s">
        <v>534</v>
      </c>
    </row>
    <row r="87">
      <c r="A87" s="403">
        <v>2025.0</v>
      </c>
      <c r="B87" s="403">
        <v>5.0</v>
      </c>
      <c r="C87" s="403" t="s">
        <v>689</v>
      </c>
      <c r="D87" s="405">
        <v>2.02500867E8</v>
      </c>
      <c r="E87" s="403" t="s">
        <v>512</v>
      </c>
      <c r="F87" s="403" t="s">
        <v>513</v>
      </c>
      <c r="G87" s="405" t="s">
        <v>673</v>
      </c>
      <c r="H87" s="403" t="s">
        <v>1118</v>
      </c>
      <c r="I87" s="403" t="s">
        <v>516</v>
      </c>
      <c r="J87" s="403" t="s">
        <v>1119</v>
      </c>
      <c r="K87" s="403" t="s">
        <v>517</v>
      </c>
      <c r="L87" s="403" t="s">
        <v>518</v>
      </c>
      <c r="M87" s="403" t="s">
        <v>548</v>
      </c>
      <c r="N87" s="403" t="str">
        <f>BUSCARX(R[0]C[-1],CONVENCIONES!R12C1:R42C1,CONVENCIONES!R12C2:R42C2)</f>
        <v>#ERROR!</v>
      </c>
      <c r="O87" s="403" t="s">
        <v>1003</v>
      </c>
      <c r="P87" s="403" t="s">
        <v>1120</v>
      </c>
      <c r="Q87" s="403" t="s">
        <v>521</v>
      </c>
      <c r="R87" s="403">
        <v>7.9496374E7</v>
      </c>
      <c r="S87" s="403" t="s">
        <v>1121</v>
      </c>
      <c r="T87" s="403" t="s">
        <v>1122</v>
      </c>
      <c r="U87" s="403" t="s">
        <v>1123</v>
      </c>
      <c r="V87" s="392"/>
      <c r="W87" s="404" t="s">
        <v>525</v>
      </c>
      <c r="X87" s="404" t="s">
        <v>526</v>
      </c>
      <c r="Y87" s="404" t="s">
        <v>702</v>
      </c>
      <c r="Z87" s="404" t="s">
        <v>603</v>
      </c>
      <c r="AA87" s="392"/>
      <c r="AB87" s="413">
        <v>45793.0</v>
      </c>
      <c r="AC87" s="419"/>
      <c r="AD87" s="404" t="s">
        <v>529</v>
      </c>
      <c r="AE87" s="404" t="s">
        <v>570</v>
      </c>
      <c r="AF87" s="418" t="s">
        <v>531</v>
      </c>
      <c r="AG87" s="403" t="s">
        <v>532</v>
      </c>
      <c r="AH87" s="414" t="s">
        <v>621</v>
      </c>
      <c r="AI87" s="426"/>
      <c r="AJ87" s="410" t="s">
        <v>534</v>
      </c>
    </row>
    <row r="88">
      <c r="A88" s="403">
        <v>2025.0</v>
      </c>
      <c r="B88" s="403">
        <v>5.0</v>
      </c>
      <c r="C88" s="403" t="s">
        <v>689</v>
      </c>
      <c r="D88" s="405">
        <v>2.02500903E8</v>
      </c>
      <c r="E88" s="403" t="s">
        <v>512</v>
      </c>
      <c r="F88" s="403" t="s">
        <v>1124</v>
      </c>
      <c r="G88" s="403" t="s">
        <v>1125</v>
      </c>
      <c r="H88" s="403" t="s">
        <v>1126</v>
      </c>
      <c r="I88" s="403" t="s">
        <v>1127</v>
      </c>
      <c r="J88" s="403" t="s">
        <v>29</v>
      </c>
      <c r="K88" s="403" t="s">
        <v>517</v>
      </c>
      <c r="L88" s="403" t="s">
        <v>518</v>
      </c>
      <c r="M88" s="403" t="s">
        <v>53</v>
      </c>
      <c r="N88" s="403" t="str">
        <f>BUSCARX(R[0]C[-1],CONVENCIONES!R12C1:R42C1,CONVENCIONES!R12C2:R42C2)</f>
        <v>#ERROR!</v>
      </c>
      <c r="O88" s="403" t="s">
        <v>1003</v>
      </c>
      <c r="P88" s="403" t="s">
        <v>1128</v>
      </c>
      <c r="Q88" s="403" t="s">
        <v>53</v>
      </c>
      <c r="R88" s="403" t="s">
        <v>1129</v>
      </c>
      <c r="S88" s="403" t="s">
        <v>1130</v>
      </c>
      <c r="T88" s="403" t="s">
        <v>1131</v>
      </c>
      <c r="U88" s="403" t="s">
        <v>53</v>
      </c>
      <c r="V88" s="403" t="s">
        <v>1132</v>
      </c>
      <c r="W88" s="404" t="s">
        <v>525</v>
      </c>
      <c r="X88" s="404" t="s">
        <v>544</v>
      </c>
      <c r="Y88" s="404" t="s">
        <v>527</v>
      </c>
      <c r="Z88" s="404" t="s">
        <v>528</v>
      </c>
      <c r="AA88" s="403" t="s">
        <v>1133</v>
      </c>
      <c r="AB88" s="413">
        <v>45796.0</v>
      </c>
      <c r="AC88" s="413">
        <v>45805.0</v>
      </c>
      <c r="AD88" s="404" t="s">
        <v>529</v>
      </c>
      <c r="AE88" s="404" t="s">
        <v>744</v>
      </c>
      <c r="AF88" s="418" t="s">
        <v>531</v>
      </c>
      <c r="AG88" s="403" t="s">
        <v>532</v>
      </c>
      <c r="AH88" s="425" t="s">
        <v>1134</v>
      </c>
      <c r="AI88" s="426"/>
      <c r="AJ88" s="410" t="s">
        <v>534</v>
      </c>
    </row>
    <row r="89">
      <c r="A89" s="403">
        <v>2025.0</v>
      </c>
      <c r="B89" s="403">
        <v>5.0</v>
      </c>
      <c r="C89" s="403" t="s">
        <v>689</v>
      </c>
      <c r="D89" s="405">
        <v>2.0250094E8</v>
      </c>
      <c r="E89" s="403" t="s">
        <v>512</v>
      </c>
      <c r="F89" s="403" t="s">
        <v>513</v>
      </c>
      <c r="G89" s="403" t="s">
        <v>1135</v>
      </c>
      <c r="H89" s="403" t="s">
        <v>1136</v>
      </c>
      <c r="I89" s="403" t="s">
        <v>516</v>
      </c>
      <c r="J89" s="403" t="s">
        <v>428</v>
      </c>
      <c r="K89" s="403" t="s">
        <v>517</v>
      </c>
      <c r="L89" s="403" t="s">
        <v>518</v>
      </c>
      <c r="M89" s="403" t="s">
        <v>548</v>
      </c>
      <c r="N89" s="403" t="str">
        <f>BUSCARX(R[0]C[-1],CONVENCIONES!R12C1:R42C1,CONVENCIONES!R12C2:R42C2)</f>
        <v>#ERROR!</v>
      </c>
      <c r="O89" s="403" t="s">
        <v>1003</v>
      </c>
      <c r="P89" s="403" t="s">
        <v>1137</v>
      </c>
      <c r="Q89" s="403" t="s">
        <v>521</v>
      </c>
      <c r="R89" s="403">
        <v>1.4960538E7</v>
      </c>
      <c r="S89" s="403" t="s">
        <v>1138</v>
      </c>
      <c r="T89" s="403" t="s">
        <v>1139</v>
      </c>
      <c r="U89" s="403" t="s">
        <v>1140</v>
      </c>
      <c r="V89" s="403">
        <v>3.17055706E9</v>
      </c>
      <c r="W89" s="404" t="s">
        <v>525</v>
      </c>
      <c r="X89" s="404" t="s">
        <v>526</v>
      </c>
      <c r="Y89" s="404" t="s">
        <v>702</v>
      </c>
      <c r="Z89" s="404" t="s">
        <v>603</v>
      </c>
      <c r="AA89" s="392"/>
      <c r="AB89" s="413">
        <v>45799.0</v>
      </c>
      <c r="AC89" s="419"/>
      <c r="AD89" s="404" t="s">
        <v>529</v>
      </c>
      <c r="AE89" s="404" t="s">
        <v>570</v>
      </c>
      <c r="AF89" s="418" t="s">
        <v>531</v>
      </c>
      <c r="AG89" s="403" t="s">
        <v>532</v>
      </c>
      <c r="AH89" s="414" t="s">
        <v>621</v>
      </c>
      <c r="AI89" s="426"/>
      <c r="AJ89" s="410" t="s">
        <v>534</v>
      </c>
    </row>
    <row r="90">
      <c r="A90" s="403">
        <v>2025.0</v>
      </c>
      <c r="B90" s="403">
        <v>5.0</v>
      </c>
      <c r="C90" s="403" t="s">
        <v>689</v>
      </c>
      <c r="D90" s="405">
        <v>2.02500943E8</v>
      </c>
      <c r="E90" s="403" t="s">
        <v>512</v>
      </c>
      <c r="F90" s="403" t="s">
        <v>513</v>
      </c>
      <c r="G90" s="403" t="s">
        <v>1141</v>
      </c>
      <c r="H90" s="403" t="s">
        <v>1142</v>
      </c>
      <c r="I90" s="403" t="s">
        <v>516</v>
      </c>
      <c r="J90" s="403" t="s">
        <v>1143</v>
      </c>
      <c r="K90" s="403" t="s">
        <v>517</v>
      </c>
      <c r="L90" s="403" t="s">
        <v>518</v>
      </c>
      <c r="M90" s="403" t="s">
        <v>548</v>
      </c>
      <c r="N90" s="403" t="str">
        <f>BUSCARX(R[0]C[-1],CONVENCIONES!R12C1:R42C1,CONVENCIONES!R12C2:R42C2)</f>
        <v>#ERROR!</v>
      </c>
      <c r="O90" s="403" t="s">
        <v>1003</v>
      </c>
      <c r="P90" s="403" t="s">
        <v>1144</v>
      </c>
      <c r="Q90" s="403" t="s">
        <v>540</v>
      </c>
      <c r="R90" s="403">
        <v>2.5079451E7</v>
      </c>
      <c r="S90" s="403" t="s">
        <v>1145</v>
      </c>
      <c r="T90" s="403" t="s">
        <v>1146</v>
      </c>
      <c r="U90" s="403" t="s">
        <v>1147</v>
      </c>
      <c r="V90" s="403">
        <v>3.157155888E9</v>
      </c>
      <c r="W90" s="404" t="s">
        <v>525</v>
      </c>
      <c r="X90" s="404" t="s">
        <v>526</v>
      </c>
      <c r="Y90" s="404" t="s">
        <v>702</v>
      </c>
      <c r="Z90" s="404" t="s">
        <v>603</v>
      </c>
      <c r="AA90" s="392"/>
      <c r="AB90" s="413">
        <v>45800.0</v>
      </c>
      <c r="AC90" s="419"/>
      <c r="AD90" s="404" t="s">
        <v>529</v>
      </c>
      <c r="AE90" s="404" t="s">
        <v>570</v>
      </c>
      <c r="AF90" s="418" t="s">
        <v>531</v>
      </c>
      <c r="AG90" s="403" t="s">
        <v>532</v>
      </c>
      <c r="AH90" s="414" t="s">
        <v>621</v>
      </c>
      <c r="AI90" s="426"/>
      <c r="AJ90" s="410" t="s">
        <v>534</v>
      </c>
    </row>
    <row r="91">
      <c r="A91" s="403">
        <v>2025.0</v>
      </c>
      <c r="B91" s="403">
        <v>5.0</v>
      </c>
      <c r="C91" s="403" t="s">
        <v>689</v>
      </c>
      <c r="D91" s="405">
        <v>2.02500944E8</v>
      </c>
      <c r="E91" s="403" t="s">
        <v>512</v>
      </c>
      <c r="F91" s="403" t="s">
        <v>513</v>
      </c>
      <c r="G91" s="403" t="s">
        <v>1141</v>
      </c>
      <c r="H91" s="403" t="s">
        <v>1148</v>
      </c>
      <c r="I91" s="403" t="s">
        <v>516</v>
      </c>
      <c r="J91" s="403" t="s">
        <v>1143</v>
      </c>
      <c r="K91" s="403" t="s">
        <v>517</v>
      </c>
      <c r="L91" s="403" t="s">
        <v>518</v>
      </c>
      <c r="M91" s="403" t="s">
        <v>548</v>
      </c>
      <c r="N91" s="403" t="str">
        <f>BUSCARX(R[0]C[-1],CONVENCIONES!R12C1:R42C1,CONVENCIONES!R12C2:R42C2)</f>
        <v>#ERROR!</v>
      </c>
      <c r="O91" s="403" t="s">
        <v>1003</v>
      </c>
      <c r="P91" s="403" t="s">
        <v>1149</v>
      </c>
      <c r="Q91" s="403" t="s">
        <v>521</v>
      </c>
      <c r="R91" s="403">
        <v>1.592758E7</v>
      </c>
      <c r="S91" s="403" t="s">
        <v>1145</v>
      </c>
      <c r="T91" s="403" t="s">
        <v>1146</v>
      </c>
      <c r="U91" s="403" t="s">
        <v>1147</v>
      </c>
      <c r="V91" s="403">
        <v>3.152878746E9</v>
      </c>
      <c r="W91" s="404" t="s">
        <v>525</v>
      </c>
      <c r="X91" s="404" t="s">
        <v>526</v>
      </c>
      <c r="Y91" s="404" t="s">
        <v>702</v>
      </c>
      <c r="Z91" s="404" t="s">
        <v>603</v>
      </c>
      <c r="AA91" s="392"/>
      <c r="AB91" s="413">
        <v>45800.0</v>
      </c>
      <c r="AC91" s="419"/>
      <c r="AD91" s="404" t="s">
        <v>529</v>
      </c>
      <c r="AE91" s="404" t="s">
        <v>570</v>
      </c>
      <c r="AF91" s="418" t="s">
        <v>531</v>
      </c>
      <c r="AG91" s="403" t="s">
        <v>532</v>
      </c>
      <c r="AH91" s="414" t="s">
        <v>621</v>
      </c>
      <c r="AI91" s="426"/>
      <c r="AJ91" s="410" t="s">
        <v>534</v>
      </c>
    </row>
    <row r="92">
      <c r="A92" s="403">
        <v>2025.0</v>
      </c>
      <c r="B92" s="403">
        <v>5.0</v>
      </c>
      <c r="C92" s="403" t="s">
        <v>689</v>
      </c>
      <c r="D92" s="405">
        <v>2.02500952E8</v>
      </c>
      <c r="E92" s="403" t="s">
        <v>512</v>
      </c>
      <c r="F92" s="403" t="s">
        <v>513</v>
      </c>
      <c r="G92" s="403" t="s">
        <v>1150</v>
      </c>
      <c r="H92" s="403" t="s">
        <v>1151</v>
      </c>
      <c r="I92" s="403" t="s">
        <v>516</v>
      </c>
      <c r="J92" s="403" t="s">
        <v>1152</v>
      </c>
      <c r="K92" s="403" t="s">
        <v>517</v>
      </c>
      <c r="L92" s="403" t="s">
        <v>518</v>
      </c>
      <c r="M92" s="403" t="s">
        <v>548</v>
      </c>
      <c r="N92" s="403" t="str">
        <f>BUSCARX(R[0]C[-1],CONVENCIONES!R12C1:R42C1,CONVENCIONES!R12C2:R42C2)</f>
        <v>#ERROR!</v>
      </c>
      <c r="O92" s="403" t="s">
        <v>1003</v>
      </c>
      <c r="P92" s="403" t="s">
        <v>1153</v>
      </c>
      <c r="Q92" s="403" t="s">
        <v>521</v>
      </c>
      <c r="R92" s="403">
        <v>1.117485698E9</v>
      </c>
      <c r="S92" s="403" t="s">
        <v>1154</v>
      </c>
      <c r="T92" s="403" t="s">
        <v>1155</v>
      </c>
      <c r="U92" s="403" t="s">
        <v>1156</v>
      </c>
      <c r="V92" s="403" t="s">
        <v>1157</v>
      </c>
      <c r="W92" s="404" t="s">
        <v>525</v>
      </c>
      <c r="X92" s="404" t="s">
        <v>526</v>
      </c>
      <c r="Y92" s="404" t="s">
        <v>527</v>
      </c>
      <c r="Z92" s="404" t="s">
        <v>528</v>
      </c>
      <c r="AA92" s="392"/>
      <c r="AB92" s="413">
        <v>45833.0</v>
      </c>
      <c r="AC92" s="413">
        <v>45833.0</v>
      </c>
      <c r="AD92" s="404" t="s">
        <v>529</v>
      </c>
      <c r="AE92" s="404" t="s">
        <v>570</v>
      </c>
      <c r="AF92" s="418" t="s">
        <v>531</v>
      </c>
      <c r="AG92" s="403" t="s">
        <v>532</v>
      </c>
      <c r="AH92" s="414" t="s">
        <v>621</v>
      </c>
      <c r="AI92" s="426"/>
      <c r="AJ92" s="410" t="s">
        <v>534</v>
      </c>
    </row>
    <row r="93">
      <c r="A93" s="403">
        <v>2025.0</v>
      </c>
      <c r="B93" s="403">
        <v>6.0</v>
      </c>
      <c r="C93" s="403" t="s">
        <v>728</v>
      </c>
      <c r="D93" s="405">
        <v>2.02501068E8</v>
      </c>
      <c r="E93" s="403" t="s">
        <v>512</v>
      </c>
      <c r="F93" s="403" t="s">
        <v>513</v>
      </c>
      <c r="G93" s="403" t="s">
        <v>673</v>
      </c>
      <c r="H93" s="403" t="s">
        <v>1158</v>
      </c>
      <c r="I93" s="403" t="s">
        <v>516</v>
      </c>
      <c r="J93" s="403" t="s">
        <v>85</v>
      </c>
      <c r="K93" s="403" t="s">
        <v>517</v>
      </c>
      <c r="L93" s="403" t="s">
        <v>518</v>
      </c>
      <c r="M93" s="403" t="s">
        <v>557</v>
      </c>
      <c r="N93" s="403" t="str">
        <f>BUSCARX(R[0]C[-1],CONVENCIONES!R12C1:R42C1,CONVENCIONES!R12C2:R42C2)</f>
        <v>#ERROR!</v>
      </c>
      <c r="O93" s="403" t="s">
        <v>1003</v>
      </c>
      <c r="P93" s="403" t="s">
        <v>1159</v>
      </c>
      <c r="Q93" s="403" t="s">
        <v>540</v>
      </c>
      <c r="R93" s="403">
        <v>3.9711238E7</v>
      </c>
      <c r="S93" s="403" t="s">
        <v>1160</v>
      </c>
      <c r="T93" s="403" t="s">
        <v>1161</v>
      </c>
      <c r="U93" s="403" t="s">
        <v>1162</v>
      </c>
      <c r="V93" s="403">
        <v>3.112972548E9</v>
      </c>
      <c r="W93" s="404" t="s">
        <v>525</v>
      </c>
      <c r="X93" s="404" t="s">
        <v>526</v>
      </c>
      <c r="Y93" s="404" t="s">
        <v>702</v>
      </c>
      <c r="Z93" s="404" t="s">
        <v>603</v>
      </c>
      <c r="AA93" s="392"/>
      <c r="AB93" s="413">
        <v>45817.0</v>
      </c>
      <c r="AC93" s="419"/>
      <c r="AD93" s="404" t="s">
        <v>529</v>
      </c>
      <c r="AE93" s="404" t="s">
        <v>1163</v>
      </c>
      <c r="AF93" s="418" t="s">
        <v>531</v>
      </c>
      <c r="AG93" s="403" t="s">
        <v>532</v>
      </c>
      <c r="AH93" s="414" t="s">
        <v>621</v>
      </c>
      <c r="AI93" s="426"/>
      <c r="AJ93" s="410" t="s">
        <v>534</v>
      </c>
    </row>
    <row r="94">
      <c r="A94" s="403">
        <v>2025.0</v>
      </c>
      <c r="B94" s="403">
        <v>6.0</v>
      </c>
      <c r="C94" s="403" t="s">
        <v>728</v>
      </c>
      <c r="D94" s="405">
        <v>2.0250107E8</v>
      </c>
      <c r="E94" s="403" t="s">
        <v>512</v>
      </c>
      <c r="F94" s="403" t="s">
        <v>513</v>
      </c>
      <c r="G94" s="403" t="s">
        <v>514</v>
      </c>
      <c r="H94" s="403" t="s">
        <v>1164</v>
      </c>
      <c r="I94" s="403" t="s">
        <v>516</v>
      </c>
      <c r="J94" s="403" t="s">
        <v>100</v>
      </c>
      <c r="K94" s="403" t="s">
        <v>517</v>
      </c>
      <c r="L94" s="403" t="s">
        <v>518</v>
      </c>
      <c r="M94" s="403" t="s">
        <v>565</v>
      </c>
      <c r="N94" s="403" t="str">
        <f>BUSCARX(R[0]C[-1],CONVENCIONES!R12C1:R42C1,CONVENCIONES!R12C2:R42C2)</f>
        <v>#ERROR!</v>
      </c>
      <c r="O94" s="403" t="s">
        <v>1003</v>
      </c>
      <c r="P94" s="403" t="s">
        <v>1153</v>
      </c>
      <c r="Q94" s="403" t="s">
        <v>1165</v>
      </c>
      <c r="R94" s="403">
        <v>1.117485698E9</v>
      </c>
      <c r="S94" s="403" t="s">
        <v>1166</v>
      </c>
      <c r="T94" s="403" t="s">
        <v>1167</v>
      </c>
      <c r="U94" s="403" t="s">
        <v>1156</v>
      </c>
      <c r="V94" s="403">
        <v>3.016288659E9</v>
      </c>
      <c r="W94" s="404" t="s">
        <v>525</v>
      </c>
      <c r="X94" s="404" t="s">
        <v>526</v>
      </c>
      <c r="Y94" s="404" t="s">
        <v>527</v>
      </c>
      <c r="Z94" s="404" t="s">
        <v>528</v>
      </c>
      <c r="AA94" s="392"/>
      <c r="AB94" s="413">
        <v>45811.0</v>
      </c>
      <c r="AC94" s="413">
        <v>45833.0</v>
      </c>
      <c r="AD94" s="404" t="s">
        <v>529</v>
      </c>
      <c r="AE94" s="404" t="s">
        <v>1163</v>
      </c>
      <c r="AF94" s="418" t="s">
        <v>531</v>
      </c>
      <c r="AG94" s="403" t="s">
        <v>532</v>
      </c>
      <c r="AH94" s="414" t="s">
        <v>621</v>
      </c>
      <c r="AI94" s="426"/>
      <c r="AJ94" s="410" t="s">
        <v>534</v>
      </c>
    </row>
    <row r="95">
      <c r="A95" s="403">
        <v>2025.0</v>
      </c>
      <c r="B95" s="403">
        <v>2.0</v>
      </c>
      <c r="C95" s="403" t="s">
        <v>363</v>
      </c>
      <c r="D95" s="405">
        <v>2.02501073E8</v>
      </c>
      <c r="E95" s="403" t="s">
        <v>512</v>
      </c>
      <c r="F95" s="403" t="s">
        <v>513</v>
      </c>
      <c r="G95" s="403" t="s">
        <v>673</v>
      </c>
      <c r="H95" s="403" t="s">
        <v>1168</v>
      </c>
      <c r="I95" s="403" t="s">
        <v>516</v>
      </c>
      <c r="J95" s="403" t="s">
        <v>1169</v>
      </c>
      <c r="K95" s="403" t="s">
        <v>517</v>
      </c>
      <c r="L95" s="403" t="s">
        <v>518</v>
      </c>
      <c r="M95" s="403" t="s">
        <v>565</v>
      </c>
      <c r="N95" s="403" t="s">
        <v>1170</v>
      </c>
      <c r="O95" s="403" t="s">
        <v>1003</v>
      </c>
      <c r="P95" s="403" t="s">
        <v>1171</v>
      </c>
      <c r="Q95" s="403" t="s">
        <v>521</v>
      </c>
      <c r="R95" s="403">
        <v>1.9223377E7</v>
      </c>
      <c r="S95" s="403" t="s">
        <v>1172</v>
      </c>
      <c r="T95" s="403" t="s">
        <v>1173</v>
      </c>
      <c r="U95" s="403" t="s">
        <v>1174</v>
      </c>
      <c r="V95" s="403">
        <v>3.138053703E9</v>
      </c>
      <c r="W95" s="404" t="s">
        <v>525</v>
      </c>
      <c r="X95" s="404" t="s">
        <v>544</v>
      </c>
      <c r="Y95" s="404" t="s">
        <v>527</v>
      </c>
      <c r="Z95" s="404" t="s">
        <v>528</v>
      </c>
      <c r="AA95" s="403" t="s">
        <v>1175</v>
      </c>
      <c r="AB95" s="413">
        <v>45817.0</v>
      </c>
      <c r="AC95" s="419"/>
      <c r="AD95" s="404" t="s">
        <v>529</v>
      </c>
      <c r="AE95" s="404" t="s">
        <v>1163</v>
      </c>
      <c r="AF95" s="418" t="s">
        <v>531</v>
      </c>
      <c r="AG95" s="403" t="s">
        <v>532</v>
      </c>
      <c r="AH95" s="414" t="s">
        <v>621</v>
      </c>
      <c r="AI95" s="426"/>
      <c r="AJ95" s="410" t="s">
        <v>534</v>
      </c>
    </row>
    <row r="96">
      <c r="A96" s="403">
        <v>2025.0</v>
      </c>
      <c r="B96" s="403">
        <v>6.0</v>
      </c>
      <c r="C96" s="403" t="s">
        <v>728</v>
      </c>
      <c r="D96" s="405">
        <v>2.02501075E8</v>
      </c>
      <c r="E96" s="403" t="s">
        <v>512</v>
      </c>
      <c r="F96" s="403" t="s">
        <v>513</v>
      </c>
      <c r="G96" s="403" t="s">
        <v>1176</v>
      </c>
      <c r="H96" s="403" t="s">
        <v>1177</v>
      </c>
      <c r="I96" s="403" t="s">
        <v>516</v>
      </c>
      <c r="J96" s="403" t="s">
        <v>100</v>
      </c>
      <c r="K96" s="403" t="s">
        <v>517</v>
      </c>
      <c r="L96" s="403" t="s">
        <v>518</v>
      </c>
      <c r="M96" s="403" t="s">
        <v>565</v>
      </c>
      <c r="N96" s="403" t="str">
        <f>BUSCARX(R[0]C[-1],CONVENCIONES!R12C1:R42C1,CONVENCIONES!R12C2:R42C2)</f>
        <v>#ERROR!</v>
      </c>
      <c r="O96" s="403" t="s">
        <v>1003</v>
      </c>
      <c r="P96" s="403" t="s">
        <v>1153</v>
      </c>
      <c r="Q96" s="403" t="s">
        <v>521</v>
      </c>
      <c r="R96" s="403">
        <v>1.117485698E9</v>
      </c>
      <c r="S96" s="403" t="s">
        <v>1166</v>
      </c>
      <c r="T96" s="403" t="s">
        <v>1178</v>
      </c>
      <c r="U96" s="403" t="s">
        <v>1156</v>
      </c>
      <c r="V96" s="403">
        <v>3.016288659E9</v>
      </c>
      <c r="W96" s="404" t="s">
        <v>525</v>
      </c>
      <c r="X96" s="404" t="s">
        <v>526</v>
      </c>
      <c r="Y96" s="404" t="s">
        <v>527</v>
      </c>
      <c r="Z96" s="404" t="s">
        <v>528</v>
      </c>
      <c r="AA96" s="392"/>
      <c r="AB96" s="413">
        <v>45817.0</v>
      </c>
      <c r="AC96" s="413">
        <v>45833.0</v>
      </c>
      <c r="AD96" s="404" t="s">
        <v>529</v>
      </c>
      <c r="AE96" s="404" t="s">
        <v>1163</v>
      </c>
      <c r="AF96" s="418" t="s">
        <v>531</v>
      </c>
      <c r="AG96" s="403" t="s">
        <v>532</v>
      </c>
      <c r="AH96" s="414" t="s">
        <v>621</v>
      </c>
      <c r="AI96" s="426"/>
      <c r="AJ96" s="410" t="s">
        <v>534</v>
      </c>
    </row>
    <row r="97">
      <c r="A97" s="403">
        <v>2025.0</v>
      </c>
      <c r="B97" s="403">
        <v>6.0</v>
      </c>
      <c r="C97" s="403" t="s">
        <v>728</v>
      </c>
      <c r="D97" s="405">
        <v>2.02501076E8</v>
      </c>
      <c r="E97" s="403" t="s">
        <v>512</v>
      </c>
      <c r="F97" s="403" t="s">
        <v>513</v>
      </c>
      <c r="G97" s="403" t="s">
        <v>673</v>
      </c>
      <c r="H97" s="403" t="s">
        <v>1179</v>
      </c>
      <c r="I97" s="403" t="s">
        <v>516</v>
      </c>
      <c r="J97" s="403" t="s">
        <v>1180</v>
      </c>
      <c r="K97" s="403" t="s">
        <v>517</v>
      </c>
      <c r="L97" s="403" t="s">
        <v>518</v>
      </c>
      <c r="M97" s="403" t="s">
        <v>565</v>
      </c>
      <c r="N97" s="403" t="str">
        <f>BUSCARX(R[0]C[-1],CONVENCIONES!R12C1:R42C1,CONVENCIONES!R12C2:R42C2)</f>
        <v>#ERROR!</v>
      </c>
      <c r="O97" s="403" t="s">
        <v>1003</v>
      </c>
      <c r="P97" s="403" t="s">
        <v>1181</v>
      </c>
      <c r="Q97" s="403" t="s">
        <v>1182</v>
      </c>
      <c r="R97" s="403">
        <v>2.0489048E7</v>
      </c>
      <c r="S97" s="403" t="s">
        <v>1183</v>
      </c>
      <c r="T97" s="403" t="s">
        <v>1184</v>
      </c>
      <c r="U97" s="403" t="s">
        <v>1185</v>
      </c>
      <c r="V97" s="403" t="s">
        <v>1186</v>
      </c>
      <c r="W97" s="404" t="s">
        <v>525</v>
      </c>
      <c r="X97" s="404" t="s">
        <v>526</v>
      </c>
      <c r="Y97" s="404" t="s">
        <v>702</v>
      </c>
      <c r="Z97" s="404" t="s">
        <v>603</v>
      </c>
      <c r="AA97" s="392"/>
      <c r="AB97" s="413">
        <v>45817.0</v>
      </c>
      <c r="AC97" s="419"/>
      <c r="AD97" s="404" t="s">
        <v>529</v>
      </c>
      <c r="AE97" s="404" t="s">
        <v>1163</v>
      </c>
      <c r="AF97" s="418" t="s">
        <v>531</v>
      </c>
      <c r="AG97" s="403" t="s">
        <v>532</v>
      </c>
      <c r="AH97" s="414" t="s">
        <v>621</v>
      </c>
      <c r="AI97" s="426"/>
      <c r="AJ97" s="410" t="s">
        <v>534</v>
      </c>
    </row>
    <row r="98">
      <c r="A98" s="403">
        <v>2025.0</v>
      </c>
      <c r="B98" s="403">
        <v>6.0</v>
      </c>
      <c r="C98" s="403" t="s">
        <v>728</v>
      </c>
      <c r="D98" s="405">
        <v>2.02501094E8</v>
      </c>
      <c r="E98" s="403" t="s">
        <v>512</v>
      </c>
      <c r="F98" s="403" t="s">
        <v>513</v>
      </c>
      <c r="G98" s="403" t="s">
        <v>673</v>
      </c>
      <c r="H98" s="403" t="s">
        <v>1187</v>
      </c>
      <c r="I98" s="403" t="s">
        <v>516</v>
      </c>
      <c r="J98" s="403" t="s">
        <v>1188</v>
      </c>
      <c r="K98" s="403" t="s">
        <v>517</v>
      </c>
      <c r="L98" s="403" t="s">
        <v>518</v>
      </c>
      <c r="M98" s="403" t="s">
        <v>548</v>
      </c>
      <c r="N98" s="403" t="str">
        <f>BUSCARX(R[0]C[-1],CONVENCIONES!R12C1:R42C1,CONVENCIONES!R12C2:R42C2)</f>
        <v>#ERROR!</v>
      </c>
      <c r="O98" s="403" t="s">
        <v>1003</v>
      </c>
      <c r="P98" s="403" t="s">
        <v>1189</v>
      </c>
      <c r="Q98" s="403" t="s">
        <v>1165</v>
      </c>
      <c r="R98" s="403">
        <v>449659.0</v>
      </c>
      <c r="S98" s="403" t="s">
        <v>1190</v>
      </c>
      <c r="T98" s="403" t="s">
        <v>1191</v>
      </c>
      <c r="U98" s="403" t="s">
        <v>1185</v>
      </c>
      <c r="V98" s="403" t="s">
        <v>1186</v>
      </c>
      <c r="W98" s="404" t="s">
        <v>1192</v>
      </c>
      <c r="X98" s="404" t="s">
        <v>1193</v>
      </c>
      <c r="Y98" s="404" t="s">
        <v>1194</v>
      </c>
      <c r="Z98" s="404" t="s">
        <v>1195</v>
      </c>
      <c r="AA98" s="392"/>
      <c r="AB98" s="413">
        <v>45820.0</v>
      </c>
      <c r="AC98" s="419"/>
      <c r="AD98" s="392"/>
      <c r="AE98" s="392"/>
      <c r="AF98" s="429"/>
      <c r="AG98" s="392"/>
      <c r="AH98" s="414" t="s">
        <v>621</v>
      </c>
      <c r="AI98" s="426"/>
      <c r="AJ98" s="410" t="s">
        <v>534</v>
      </c>
    </row>
    <row r="99">
      <c r="A99" s="403">
        <v>2025.0</v>
      </c>
      <c r="B99" s="403">
        <v>6.0</v>
      </c>
      <c r="C99" s="403" t="s">
        <v>728</v>
      </c>
      <c r="D99" s="405">
        <v>2.02501097E8</v>
      </c>
      <c r="E99" s="403" t="s">
        <v>512</v>
      </c>
      <c r="F99" s="403" t="s">
        <v>513</v>
      </c>
      <c r="G99" s="403" t="s">
        <v>1196</v>
      </c>
      <c r="H99" s="403" t="s">
        <v>1197</v>
      </c>
      <c r="I99" s="403" t="s">
        <v>516</v>
      </c>
      <c r="J99" s="403" t="s">
        <v>1198</v>
      </c>
      <c r="K99" s="403" t="s">
        <v>517</v>
      </c>
      <c r="L99" s="403" t="s">
        <v>518</v>
      </c>
      <c r="M99" s="403" t="s">
        <v>565</v>
      </c>
      <c r="N99" s="403" t="str">
        <f>BUSCARX(R[0]C[-1],CONVENCIONES!R12C1:R42C1,CONVENCIONES!R12C2:R42C2)</f>
        <v>#ERROR!</v>
      </c>
      <c r="O99" s="403" t="s">
        <v>1003</v>
      </c>
      <c r="P99" s="403" t="s">
        <v>1199</v>
      </c>
      <c r="Q99" s="403" t="s">
        <v>1182</v>
      </c>
      <c r="R99" s="403">
        <v>4.1634958E7</v>
      </c>
      <c r="S99" s="403" t="s">
        <v>1200</v>
      </c>
      <c r="T99" s="403" t="s">
        <v>1201</v>
      </c>
      <c r="U99" s="403" t="s">
        <v>53</v>
      </c>
      <c r="V99" s="403">
        <v>3.125073505E9</v>
      </c>
      <c r="W99" s="404" t="s">
        <v>1192</v>
      </c>
      <c r="X99" s="404" t="s">
        <v>1193</v>
      </c>
      <c r="Y99" s="404" t="s">
        <v>1194</v>
      </c>
      <c r="Z99" s="404" t="s">
        <v>1195</v>
      </c>
      <c r="AA99" s="392"/>
      <c r="AB99" s="413">
        <v>45820.0</v>
      </c>
      <c r="AC99" s="419"/>
      <c r="AD99" s="392"/>
      <c r="AE99" s="392"/>
      <c r="AF99" s="429"/>
      <c r="AG99" s="392"/>
      <c r="AH99" s="414" t="s">
        <v>621</v>
      </c>
      <c r="AI99" s="426"/>
      <c r="AJ99" s="410" t="s">
        <v>534</v>
      </c>
    </row>
    <row r="100">
      <c r="A100" s="403">
        <v>2025.0</v>
      </c>
      <c r="B100" s="403">
        <v>6.0</v>
      </c>
      <c r="C100" s="403" t="s">
        <v>728</v>
      </c>
      <c r="D100" s="405">
        <v>2.02501185E8</v>
      </c>
      <c r="E100" s="403" t="s">
        <v>512</v>
      </c>
      <c r="F100" s="403" t="s">
        <v>513</v>
      </c>
      <c r="G100" s="403" t="s">
        <v>1202</v>
      </c>
      <c r="H100" s="403" t="s">
        <v>1203</v>
      </c>
      <c r="I100" s="403" t="s">
        <v>516</v>
      </c>
      <c r="J100" s="403" t="s">
        <v>1204</v>
      </c>
      <c r="K100" s="403" t="s">
        <v>517</v>
      </c>
      <c r="L100" s="403" t="s">
        <v>518</v>
      </c>
      <c r="M100" s="403" t="s">
        <v>557</v>
      </c>
      <c r="N100" s="403" t="str">
        <f>BUSCARX(R[0]C[-1],CONVENCIONES!R12C1:R42C1,CONVENCIONES!R12C2:R42C2)</f>
        <v>#ERROR!</v>
      </c>
      <c r="O100" s="403" t="s">
        <v>519</v>
      </c>
      <c r="P100" s="403" t="s">
        <v>1205</v>
      </c>
      <c r="Q100" s="403" t="s">
        <v>540</v>
      </c>
      <c r="R100" s="403">
        <v>1.02715385E9</v>
      </c>
      <c r="S100" s="403" t="s">
        <v>1206</v>
      </c>
      <c r="T100" s="403" t="s">
        <v>1207</v>
      </c>
      <c r="U100" s="403" t="s">
        <v>1208</v>
      </c>
      <c r="V100" s="403">
        <v>3.003062824E9</v>
      </c>
      <c r="W100" s="404" t="s">
        <v>525</v>
      </c>
      <c r="X100" s="404" t="s">
        <v>526</v>
      </c>
      <c r="Y100" s="404" t="s">
        <v>702</v>
      </c>
      <c r="Z100" s="404" t="s">
        <v>603</v>
      </c>
      <c r="AA100" s="392"/>
      <c r="AB100" s="413">
        <v>45833.0</v>
      </c>
      <c r="AC100" s="419"/>
      <c r="AD100" s="404" t="s">
        <v>529</v>
      </c>
      <c r="AE100" s="404" t="s">
        <v>570</v>
      </c>
      <c r="AF100" s="403" t="s">
        <v>531</v>
      </c>
      <c r="AG100" s="403" t="s">
        <v>532</v>
      </c>
      <c r="AH100" s="414" t="s">
        <v>621</v>
      </c>
      <c r="AI100" s="426"/>
      <c r="AJ100" s="410" t="s">
        <v>534</v>
      </c>
    </row>
    <row r="101">
      <c r="A101" s="403">
        <v>2025.0</v>
      </c>
      <c r="B101" s="403">
        <v>6.0</v>
      </c>
      <c r="C101" s="403" t="s">
        <v>728</v>
      </c>
      <c r="D101" s="405">
        <v>2.02501186E8</v>
      </c>
      <c r="E101" s="403" t="s">
        <v>512</v>
      </c>
      <c r="F101" s="403" t="s">
        <v>513</v>
      </c>
      <c r="G101" s="403" t="s">
        <v>673</v>
      </c>
      <c r="H101" s="403" t="s">
        <v>1209</v>
      </c>
      <c r="I101" s="403" t="s">
        <v>516</v>
      </c>
      <c r="J101" s="403" t="s">
        <v>229</v>
      </c>
      <c r="K101" s="403" t="s">
        <v>517</v>
      </c>
      <c r="L101" s="403" t="s">
        <v>518</v>
      </c>
      <c r="M101" s="403" t="s">
        <v>557</v>
      </c>
      <c r="N101" s="403" t="str">
        <f>BUSCARX(R[0]C[-1],CONVENCIONES!R12C1:R42C1,CONVENCIONES!R12C2:R42C2)</f>
        <v>#ERROR!</v>
      </c>
      <c r="O101" s="403" t="s">
        <v>519</v>
      </c>
      <c r="P101" s="403" t="s">
        <v>1210</v>
      </c>
      <c r="Q101" s="403" t="s">
        <v>540</v>
      </c>
      <c r="R101" s="403">
        <v>2.5125929E7</v>
      </c>
      <c r="S101" s="403" t="s">
        <v>1211</v>
      </c>
      <c r="T101" s="403" t="s">
        <v>1212</v>
      </c>
      <c r="U101" s="403" t="s">
        <v>53</v>
      </c>
      <c r="V101" s="403">
        <v>3.00991479E9</v>
      </c>
      <c r="W101" s="404" t="s">
        <v>525</v>
      </c>
      <c r="X101" s="404" t="s">
        <v>526</v>
      </c>
      <c r="Y101" s="404" t="s">
        <v>702</v>
      </c>
      <c r="Z101" s="404" t="s">
        <v>603</v>
      </c>
      <c r="AA101" s="392"/>
      <c r="AB101" s="413">
        <v>45833.0</v>
      </c>
      <c r="AC101" s="419"/>
      <c r="AD101" s="404" t="s">
        <v>529</v>
      </c>
      <c r="AE101" s="404" t="s">
        <v>570</v>
      </c>
      <c r="AF101" s="403" t="s">
        <v>531</v>
      </c>
      <c r="AG101" s="403" t="s">
        <v>532</v>
      </c>
      <c r="AH101" s="414" t="s">
        <v>621</v>
      </c>
      <c r="AI101" s="426"/>
      <c r="AJ101" s="410" t="s">
        <v>534</v>
      </c>
    </row>
    <row r="102">
      <c r="A102" s="403">
        <v>2025.0</v>
      </c>
      <c r="B102" s="403">
        <v>7.0</v>
      </c>
      <c r="C102" s="403" t="s">
        <v>736</v>
      </c>
      <c r="D102" s="403">
        <v>2.02501309E8</v>
      </c>
      <c r="E102" s="403" t="s">
        <v>512</v>
      </c>
      <c r="F102" s="403" t="s">
        <v>912</v>
      </c>
      <c r="G102" s="403" t="s">
        <v>1213</v>
      </c>
      <c r="H102" s="403" t="s">
        <v>1214</v>
      </c>
      <c r="I102" s="403" t="s">
        <v>914</v>
      </c>
      <c r="J102" s="403" t="s">
        <v>29</v>
      </c>
      <c r="K102" s="403" t="s">
        <v>517</v>
      </c>
      <c r="L102" s="403" t="s">
        <v>518</v>
      </c>
      <c r="M102" s="403" t="s">
        <v>565</v>
      </c>
      <c r="N102" s="403" t="str">
        <f>BUSCARX(R[0]C[-1],CONVENCIONES!R12C1:R42C1,CONVENCIONES!R12C2:R42C2)</f>
        <v>#ERROR!</v>
      </c>
      <c r="O102" s="403" t="s">
        <v>1003</v>
      </c>
      <c r="P102" s="403" t="s">
        <v>1215</v>
      </c>
      <c r="Q102" s="403" t="s">
        <v>540</v>
      </c>
      <c r="R102" s="403">
        <v>1.060988624E9</v>
      </c>
      <c r="S102" s="403" t="s">
        <v>1216</v>
      </c>
      <c r="T102" s="403" t="s">
        <v>1217</v>
      </c>
      <c r="U102" s="403" t="s">
        <v>1218</v>
      </c>
      <c r="V102" s="403">
        <v>3.006337629E9</v>
      </c>
      <c r="W102" s="404" t="s">
        <v>525</v>
      </c>
      <c r="X102" s="404" t="s">
        <v>544</v>
      </c>
      <c r="Y102" s="404" t="s">
        <v>702</v>
      </c>
      <c r="Z102" s="404" t="s">
        <v>603</v>
      </c>
      <c r="AA102" s="392"/>
      <c r="AB102" s="413">
        <v>45846.0</v>
      </c>
      <c r="AC102" s="419"/>
      <c r="AD102" s="404" t="s">
        <v>529</v>
      </c>
      <c r="AE102" s="404" t="s">
        <v>570</v>
      </c>
      <c r="AF102" s="418" t="s">
        <v>531</v>
      </c>
      <c r="AG102" s="403" t="s">
        <v>532</v>
      </c>
      <c r="AH102" s="414" t="s">
        <v>621</v>
      </c>
      <c r="AI102" s="410">
        <v>2.0</v>
      </c>
      <c r="AJ102" s="410" t="s">
        <v>534</v>
      </c>
    </row>
    <row r="103">
      <c r="A103" s="403">
        <v>2025.0</v>
      </c>
      <c r="B103" s="403">
        <v>7.0</v>
      </c>
      <c r="C103" s="403" t="s">
        <v>736</v>
      </c>
      <c r="D103" s="405">
        <v>2.02501325E8</v>
      </c>
      <c r="E103" s="403" t="s">
        <v>512</v>
      </c>
      <c r="F103" s="403" t="s">
        <v>856</v>
      </c>
      <c r="G103" s="403" t="s">
        <v>1219</v>
      </c>
      <c r="H103" s="403" t="s">
        <v>1220</v>
      </c>
      <c r="I103" s="403" t="s">
        <v>564</v>
      </c>
      <c r="J103" s="403" t="s">
        <v>1221</v>
      </c>
      <c r="K103" s="403" t="s">
        <v>517</v>
      </c>
      <c r="L103" s="403" t="s">
        <v>518</v>
      </c>
      <c r="M103" s="403" t="s">
        <v>704</v>
      </c>
      <c r="N103" s="403" t="str">
        <f>BUSCARX(R[0]C[-1],CONVENCIONES!R12C1:R42C1,CONVENCIONES!R12C2:R42C2)</f>
        <v>#ERROR!</v>
      </c>
      <c r="O103" s="392"/>
      <c r="P103" s="403" t="s">
        <v>1222</v>
      </c>
      <c r="Q103" s="403" t="s">
        <v>521</v>
      </c>
      <c r="R103" s="403">
        <v>2970720.0</v>
      </c>
      <c r="S103" s="403" t="s">
        <v>53</v>
      </c>
      <c r="T103" s="403" t="s">
        <v>53</v>
      </c>
      <c r="U103" s="389" t="s">
        <v>1223</v>
      </c>
      <c r="V103" s="380">
        <v>3.10521907E9</v>
      </c>
      <c r="W103" s="404" t="s">
        <v>525</v>
      </c>
      <c r="X103" s="404" t="s">
        <v>526</v>
      </c>
      <c r="Y103" s="404" t="s">
        <v>527</v>
      </c>
      <c r="Z103" s="404" t="s">
        <v>528</v>
      </c>
      <c r="AA103" s="392"/>
      <c r="AB103" s="413">
        <v>45848.0</v>
      </c>
      <c r="AC103" s="413">
        <v>45873.0</v>
      </c>
      <c r="AD103" s="404" t="s">
        <v>529</v>
      </c>
      <c r="AE103" s="404" t="s">
        <v>570</v>
      </c>
      <c r="AF103" s="418" t="s">
        <v>531</v>
      </c>
      <c r="AG103" s="403" t="s">
        <v>532</v>
      </c>
      <c r="AH103" s="414" t="s">
        <v>621</v>
      </c>
      <c r="AI103" s="410">
        <v>2.0</v>
      </c>
      <c r="AJ103" s="410" t="s">
        <v>534</v>
      </c>
    </row>
    <row r="104">
      <c r="A104" s="403">
        <v>2025.0</v>
      </c>
      <c r="B104" s="403">
        <v>7.0</v>
      </c>
      <c r="C104" s="403" t="s">
        <v>736</v>
      </c>
      <c r="D104" s="405">
        <v>2.02501343E8</v>
      </c>
      <c r="E104" s="403" t="s">
        <v>512</v>
      </c>
      <c r="F104" s="403" t="s">
        <v>513</v>
      </c>
      <c r="G104" s="403" t="s">
        <v>673</v>
      </c>
      <c r="H104" s="403" t="s">
        <v>1224</v>
      </c>
      <c r="I104" s="403" t="s">
        <v>516</v>
      </c>
      <c r="J104" s="403" t="s">
        <v>1225</v>
      </c>
      <c r="K104" s="403" t="s">
        <v>517</v>
      </c>
      <c r="L104" s="403" t="s">
        <v>518</v>
      </c>
      <c r="M104" s="403" t="s">
        <v>704</v>
      </c>
      <c r="N104" s="403" t="str">
        <f>BUSCARX(R[0]C[-1],CONVENCIONES!R12C1:R42C1,CONVENCIONES!R12C2:R42C2)</f>
        <v>#ERROR!</v>
      </c>
      <c r="O104" s="403" t="s">
        <v>1003</v>
      </c>
      <c r="P104" s="403" t="s">
        <v>1226</v>
      </c>
      <c r="Q104" s="403" t="s">
        <v>521</v>
      </c>
      <c r="R104" s="403">
        <v>1.7085245E7</v>
      </c>
      <c r="S104" s="403" t="s">
        <v>1227</v>
      </c>
      <c r="T104" s="403" t="s">
        <v>1228</v>
      </c>
      <c r="U104" s="403" t="s">
        <v>1229</v>
      </c>
      <c r="V104" s="403">
        <v>3.134086903E9</v>
      </c>
      <c r="W104" s="404" t="s">
        <v>525</v>
      </c>
      <c r="X104" s="404" t="s">
        <v>544</v>
      </c>
      <c r="Y104" s="404" t="s">
        <v>702</v>
      </c>
      <c r="Z104" s="404" t="s">
        <v>603</v>
      </c>
      <c r="AA104" s="392"/>
      <c r="AB104" s="413">
        <v>45852.0</v>
      </c>
      <c r="AC104" s="419"/>
      <c r="AD104" s="404" t="s">
        <v>529</v>
      </c>
      <c r="AE104" s="404" t="s">
        <v>570</v>
      </c>
      <c r="AF104" s="418" t="s">
        <v>531</v>
      </c>
      <c r="AG104" s="403" t="s">
        <v>532</v>
      </c>
      <c r="AH104" s="414" t="s">
        <v>621</v>
      </c>
      <c r="AI104" s="410">
        <v>3.0</v>
      </c>
      <c r="AJ104" s="410" t="s">
        <v>534</v>
      </c>
    </row>
    <row r="105">
      <c r="A105" s="403">
        <v>2025.0</v>
      </c>
      <c r="B105" s="403">
        <v>7.0</v>
      </c>
      <c r="C105" s="403" t="s">
        <v>736</v>
      </c>
      <c r="D105" s="405">
        <v>2.02501355E8</v>
      </c>
      <c r="E105" s="403" t="s">
        <v>512</v>
      </c>
      <c r="F105" s="403" t="s">
        <v>513</v>
      </c>
      <c r="G105" s="403" t="s">
        <v>1230</v>
      </c>
      <c r="H105" s="403" t="s">
        <v>1231</v>
      </c>
      <c r="I105" s="403" t="s">
        <v>516</v>
      </c>
      <c r="J105" s="403" t="s">
        <v>39</v>
      </c>
      <c r="K105" s="403" t="s">
        <v>517</v>
      </c>
      <c r="L105" s="403" t="s">
        <v>518</v>
      </c>
      <c r="M105" s="403" t="s">
        <v>704</v>
      </c>
      <c r="N105" s="403" t="str">
        <f>BUSCARX(R[0]C[-1],CONVENCIONES!R12C1:R42C1,CONVENCIONES!R12C2:R42C2)</f>
        <v>#ERROR!</v>
      </c>
      <c r="O105" s="403" t="s">
        <v>1003</v>
      </c>
      <c r="P105" s="403" t="s">
        <v>1232</v>
      </c>
      <c r="Q105" s="403" t="s">
        <v>540</v>
      </c>
      <c r="R105" s="403">
        <v>1.022423232E9</v>
      </c>
      <c r="S105" s="403" t="s">
        <v>1233</v>
      </c>
      <c r="T105" s="403" t="s">
        <v>1234</v>
      </c>
      <c r="U105" s="403" t="s">
        <v>1235</v>
      </c>
      <c r="V105" s="403" t="s">
        <v>1236</v>
      </c>
      <c r="W105" s="404" t="s">
        <v>525</v>
      </c>
      <c r="X105" s="404" t="s">
        <v>526</v>
      </c>
      <c r="Y105" s="404" t="s">
        <v>702</v>
      </c>
      <c r="Z105" s="404" t="s">
        <v>603</v>
      </c>
      <c r="AA105" s="392"/>
      <c r="AB105" s="413">
        <v>45854.0</v>
      </c>
      <c r="AC105" s="419"/>
      <c r="AD105" s="404" t="s">
        <v>529</v>
      </c>
      <c r="AE105" s="404" t="s">
        <v>570</v>
      </c>
      <c r="AF105" s="418" t="s">
        <v>531</v>
      </c>
      <c r="AG105" s="403" t="s">
        <v>532</v>
      </c>
      <c r="AH105" s="414" t="s">
        <v>621</v>
      </c>
      <c r="AI105" s="410">
        <v>3.0</v>
      </c>
      <c r="AJ105" s="410" t="s">
        <v>534</v>
      </c>
    </row>
    <row r="106">
      <c r="A106" s="403">
        <v>2025.0</v>
      </c>
      <c r="B106" s="403">
        <v>7.0</v>
      </c>
      <c r="C106" s="403" t="s">
        <v>736</v>
      </c>
      <c r="D106" s="405">
        <v>2.0250136E8</v>
      </c>
      <c r="E106" s="403" t="s">
        <v>512</v>
      </c>
      <c r="F106" s="403" t="s">
        <v>513</v>
      </c>
      <c r="G106" s="403" t="s">
        <v>1237</v>
      </c>
      <c r="H106" s="403" t="s">
        <v>1238</v>
      </c>
      <c r="I106" s="403" t="s">
        <v>516</v>
      </c>
      <c r="J106" s="403" t="s">
        <v>1221</v>
      </c>
      <c r="K106" s="403" t="s">
        <v>517</v>
      </c>
      <c r="L106" s="403" t="s">
        <v>518</v>
      </c>
      <c r="M106" s="403" t="s">
        <v>704</v>
      </c>
      <c r="N106" s="403" t="str">
        <f>BUSCARX(R[0]C[-1],CONVENCIONES!R12C1:R42C1,CONVENCIONES!R12C2:R42C2)</f>
        <v>#ERROR!</v>
      </c>
      <c r="O106" s="403" t="s">
        <v>1003</v>
      </c>
      <c r="P106" s="403" t="s">
        <v>1239</v>
      </c>
      <c r="Q106" s="403" t="s">
        <v>540</v>
      </c>
      <c r="R106" s="403">
        <v>2.0410541E7</v>
      </c>
      <c r="S106" s="403" t="s">
        <v>1240</v>
      </c>
      <c r="T106" s="403" t="s">
        <v>1241</v>
      </c>
      <c r="U106" s="403" t="s">
        <v>1242</v>
      </c>
      <c r="V106" s="392"/>
      <c r="W106" s="404" t="s">
        <v>525</v>
      </c>
      <c r="X106" s="404" t="s">
        <v>526</v>
      </c>
      <c r="Y106" s="404" t="s">
        <v>702</v>
      </c>
      <c r="Z106" s="404" t="s">
        <v>603</v>
      </c>
      <c r="AA106" s="392"/>
      <c r="AB106" s="413">
        <v>45854.0</v>
      </c>
      <c r="AC106" s="419"/>
      <c r="AD106" s="404" t="s">
        <v>529</v>
      </c>
      <c r="AE106" s="404" t="s">
        <v>570</v>
      </c>
      <c r="AF106" s="418" t="s">
        <v>531</v>
      </c>
      <c r="AG106" s="403" t="s">
        <v>532</v>
      </c>
      <c r="AH106" s="414" t="s">
        <v>621</v>
      </c>
      <c r="AI106" s="410">
        <v>3.0</v>
      </c>
      <c r="AJ106" s="410" t="s">
        <v>534</v>
      </c>
    </row>
    <row r="107">
      <c r="A107" s="403">
        <v>2025.0</v>
      </c>
      <c r="B107" s="403">
        <v>7.0</v>
      </c>
      <c r="C107" s="403" t="s">
        <v>736</v>
      </c>
      <c r="D107" s="405">
        <v>2.02501381E8</v>
      </c>
      <c r="E107" s="403" t="s">
        <v>512</v>
      </c>
      <c r="F107" s="403" t="s">
        <v>513</v>
      </c>
      <c r="G107" s="403" t="s">
        <v>554</v>
      </c>
      <c r="H107" s="403" t="s">
        <v>1243</v>
      </c>
      <c r="I107" s="403" t="s">
        <v>516</v>
      </c>
      <c r="J107" s="403" t="s">
        <v>1244</v>
      </c>
      <c r="K107" s="403" t="s">
        <v>517</v>
      </c>
      <c r="L107" s="403" t="s">
        <v>518</v>
      </c>
      <c r="M107" s="403" t="s">
        <v>548</v>
      </c>
      <c r="N107" s="403" t="str">
        <f>BUSCARX(R[0]C[-1],CONVENCIONES!R12C1:R42C1,CONVENCIONES!R12C2:R42C2)</f>
        <v>#ERROR!</v>
      </c>
      <c r="O107" s="403" t="s">
        <v>1003</v>
      </c>
      <c r="P107" s="403" t="s">
        <v>1245</v>
      </c>
      <c r="Q107" s="403" t="s">
        <v>1246</v>
      </c>
      <c r="R107" s="403">
        <v>1.000836663E9</v>
      </c>
      <c r="S107" s="403" t="s">
        <v>1247</v>
      </c>
      <c r="T107" s="403" t="s">
        <v>1248</v>
      </c>
      <c r="U107" s="403" t="s">
        <v>1249</v>
      </c>
      <c r="V107" s="403">
        <v>3.195280507E9</v>
      </c>
      <c r="W107" s="404" t="s">
        <v>525</v>
      </c>
      <c r="X107" s="404" t="s">
        <v>526</v>
      </c>
      <c r="Y107" s="404" t="s">
        <v>527</v>
      </c>
      <c r="Z107" s="404" t="s">
        <v>528</v>
      </c>
      <c r="AA107" s="404" t="s">
        <v>1250</v>
      </c>
      <c r="AB107" s="413">
        <v>45860.0</v>
      </c>
      <c r="AC107" s="413">
        <v>45877.0</v>
      </c>
      <c r="AD107" s="404" t="s">
        <v>529</v>
      </c>
      <c r="AE107" s="404" t="s">
        <v>744</v>
      </c>
      <c r="AF107" s="418" t="s">
        <v>531</v>
      </c>
      <c r="AG107" s="403" t="s">
        <v>532</v>
      </c>
      <c r="AH107" s="425" t="s">
        <v>1251</v>
      </c>
      <c r="AI107" s="410">
        <v>3.0</v>
      </c>
      <c r="AJ107" s="410" t="s">
        <v>534</v>
      </c>
    </row>
    <row r="108">
      <c r="A108" s="403">
        <v>2025.0</v>
      </c>
      <c r="B108" s="403">
        <v>7.0</v>
      </c>
      <c r="C108" s="403" t="s">
        <v>736</v>
      </c>
      <c r="D108" s="405">
        <v>2.02501397E8</v>
      </c>
      <c r="E108" s="403" t="s">
        <v>512</v>
      </c>
      <c r="F108" s="403" t="s">
        <v>513</v>
      </c>
      <c r="G108" s="403" t="s">
        <v>606</v>
      </c>
      <c r="H108" s="403" t="s">
        <v>1252</v>
      </c>
      <c r="I108" s="403" t="s">
        <v>516</v>
      </c>
      <c r="J108" s="403" t="s">
        <v>668</v>
      </c>
      <c r="K108" s="403" t="s">
        <v>517</v>
      </c>
      <c r="L108" s="403" t="s">
        <v>518</v>
      </c>
      <c r="M108" s="403" t="s">
        <v>548</v>
      </c>
      <c r="N108" s="403" t="str">
        <f>BUSCARX(R[0]C[-1],CONVENCIONES!R12C1:R42C1,CONVENCIONES!R12C2:R42C2)</f>
        <v>#ERROR!</v>
      </c>
      <c r="O108" s="403" t="s">
        <v>1003</v>
      </c>
      <c r="P108" s="403" t="s">
        <v>1253</v>
      </c>
      <c r="Q108" s="403" t="s">
        <v>521</v>
      </c>
      <c r="R108" s="430">
        <v>1.9194396E7</v>
      </c>
      <c r="S108" s="403" t="s">
        <v>1254</v>
      </c>
      <c r="T108" s="403" t="s">
        <v>1255</v>
      </c>
      <c r="U108" s="403" t="s">
        <v>1256</v>
      </c>
      <c r="V108" s="403" t="s">
        <v>1257</v>
      </c>
      <c r="W108" s="404" t="s">
        <v>525</v>
      </c>
      <c r="X108" s="404" t="s">
        <v>544</v>
      </c>
      <c r="Y108" s="404" t="s">
        <v>702</v>
      </c>
      <c r="Z108" s="404" t="s">
        <v>603</v>
      </c>
      <c r="AA108" s="392"/>
      <c r="AB108" s="413">
        <v>45860.0</v>
      </c>
      <c r="AC108" s="419"/>
      <c r="AD108" s="404" t="s">
        <v>529</v>
      </c>
      <c r="AE108" s="404" t="s">
        <v>570</v>
      </c>
      <c r="AF108" s="418" t="s">
        <v>531</v>
      </c>
      <c r="AG108" s="403" t="s">
        <v>532</v>
      </c>
      <c r="AH108" s="414" t="s">
        <v>621</v>
      </c>
      <c r="AI108" s="410">
        <v>4.0</v>
      </c>
      <c r="AJ108" s="410" t="s">
        <v>534</v>
      </c>
    </row>
    <row r="109">
      <c r="A109" s="403">
        <v>2025.0</v>
      </c>
      <c r="B109" s="403">
        <v>7.0</v>
      </c>
      <c r="C109" s="403" t="s">
        <v>736</v>
      </c>
      <c r="D109" s="405">
        <v>2.02501398E8</v>
      </c>
      <c r="E109" s="403" t="s">
        <v>512</v>
      </c>
      <c r="F109" s="403" t="s">
        <v>513</v>
      </c>
      <c r="G109" s="403" t="s">
        <v>606</v>
      </c>
      <c r="H109" s="403" t="s">
        <v>1258</v>
      </c>
      <c r="I109" s="403" t="s">
        <v>516</v>
      </c>
      <c r="J109" s="403" t="s">
        <v>1259</v>
      </c>
      <c r="K109" s="403" t="s">
        <v>517</v>
      </c>
      <c r="L109" s="403" t="s">
        <v>518</v>
      </c>
      <c r="M109" s="403" t="s">
        <v>557</v>
      </c>
      <c r="N109" s="403" t="str">
        <f>BUSCARX(R[0]C[-1],CONVENCIONES!R12C1:R42C1,CONVENCIONES!R12C2:R42C2)</f>
        <v>#ERROR!</v>
      </c>
      <c r="O109" s="403" t="s">
        <v>1003</v>
      </c>
      <c r="P109" s="403" t="s">
        <v>1260</v>
      </c>
      <c r="Q109" s="403" t="s">
        <v>521</v>
      </c>
      <c r="R109" s="403">
        <v>1.026295741E9</v>
      </c>
      <c r="S109" s="403" t="s">
        <v>1261</v>
      </c>
      <c r="T109" s="403" t="s">
        <v>1262</v>
      </c>
      <c r="U109" s="403" t="s">
        <v>1263</v>
      </c>
      <c r="V109" s="403">
        <v>3.21373795E9</v>
      </c>
      <c r="W109" s="404" t="s">
        <v>525</v>
      </c>
      <c r="X109" s="404" t="s">
        <v>526</v>
      </c>
      <c r="Y109" s="404" t="s">
        <v>702</v>
      </c>
      <c r="Z109" s="404" t="s">
        <v>603</v>
      </c>
      <c r="AA109" s="392"/>
      <c r="AB109" s="413">
        <v>45860.0</v>
      </c>
      <c r="AC109" s="419"/>
      <c r="AD109" s="404" t="s">
        <v>529</v>
      </c>
      <c r="AE109" s="404" t="s">
        <v>570</v>
      </c>
      <c r="AF109" s="418" t="s">
        <v>531</v>
      </c>
      <c r="AG109" s="403" t="s">
        <v>532</v>
      </c>
      <c r="AH109" s="414" t="s">
        <v>621</v>
      </c>
      <c r="AI109" s="410">
        <v>4.0</v>
      </c>
      <c r="AJ109" s="410" t="s">
        <v>534</v>
      </c>
    </row>
    <row r="110">
      <c r="A110" s="403">
        <v>2025.0</v>
      </c>
      <c r="B110" s="403">
        <v>7.0</v>
      </c>
      <c r="C110" s="403" t="s">
        <v>736</v>
      </c>
      <c r="D110" s="405">
        <v>2.0250141E8</v>
      </c>
      <c r="E110" s="403" t="s">
        <v>512</v>
      </c>
      <c r="F110" s="403" t="s">
        <v>1264</v>
      </c>
      <c r="G110" s="392"/>
      <c r="H110" s="403" t="s">
        <v>1265</v>
      </c>
      <c r="I110" s="403" t="s">
        <v>516</v>
      </c>
      <c r="J110" s="403" t="s">
        <v>1266</v>
      </c>
      <c r="K110" s="403" t="s">
        <v>517</v>
      </c>
      <c r="L110" s="403" t="s">
        <v>518</v>
      </c>
      <c r="M110" s="403" t="s">
        <v>548</v>
      </c>
      <c r="N110" s="403" t="str">
        <f>BUSCARX(R[0]C[-1],CONVENCIONES!R12C1:R42C1,CONVENCIONES!R12C2:R42C2)</f>
        <v>#ERROR!</v>
      </c>
      <c r="O110" s="403" t="s">
        <v>1003</v>
      </c>
      <c r="P110" s="403" t="s">
        <v>1267</v>
      </c>
      <c r="Q110" s="403" t="s">
        <v>521</v>
      </c>
      <c r="R110" s="403">
        <v>1.02234105E9</v>
      </c>
      <c r="S110" s="403" t="s">
        <v>1268</v>
      </c>
      <c r="T110" s="403" t="s">
        <v>1269</v>
      </c>
      <c r="U110" s="403" t="s">
        <v>53</v>
      </c>
      <c r="V110" s="403">
        <v>3.202930363E9</v>
      </c>
      <c r="W110" s="404" t="s">
        <v>525</v>
      </c>
      <c r="X110" s="404" t="s">
        <v>526</v>
      </c>
      <c r="Y110" s="404" t="s">
        <v>702</v>
      </c>
      <c r="Z110" s="404" t="s">
        <v>603</v>
      </c>
      <c r="AA110" s="392"/>
      <c r="AB110" s="413">
        <v>45861.0</v>
      </c>
      <c r="AC110" s="419"/>
      <c r="AD110" s="404" t="s">
        <v>529</v>
      </c>
      <c r="AE110" s="404" t="s">
        <v>570</v>
      </c>
      <c r="AF110" s="418" t="s">
        <v>531</v>
      </c>
      <c r="AG110" s="403" t="s">
        <v>532</v>
      </c>
      <c r="AH110" s="414" t="s">
        <v>621</v>
      </c>
      <c r="AI110" s="410">
        <v>4.0</v>
      </c>
      <c r="AJ110" s="410" t="s">
        <v>534</v>
      </c>
    </row>
    <row r="111">
      <c r="A111" s="403">
        <v>2025.0</v>
      </c>
      <c r="B111" s="403">
        <v>7.0</v>
      </c>
      <c r="C111" s="403" t="s">
        <v>736</v>
      </c>
      <c r="D111" s="405">
        <v>2.02501429E8</v>
      </c>
      <c r="E111" s="403" t="s">
        <v>512</v>
      </c>
      <c r="F111" s="403" t="s">
        <v>1270</v>
      </c>
      <c r="G111" s="403" t="s">
        <v>1271</v>
      </c>
      <c r="H111" s="403" t="s">
        <v>1272</v>
      </c>
      <c r="I111" s="403" t="s">
        <v>1273</v>
      </c>
      <c r="J111" s="403" t="s">
        <v>1274</v>
      </c>
      <c r="K111" s="403" t="s">
        <v>517</v>
      </c>
      <c r="L111" s="403" t="s">
        <v>518</v>
      </c>
      <c r="M111" s="403" t="s">
        <v>704</v>
      </c>
      <c r="N111" s="403" t="str">
        <f>BUSCARX(R[0]C[-1],CONVENCIONES!R12C1:R42C1,CONVENCIONES!R12C2:R42C2)</f>
        <v>#ERROR!</v>
      </c>
      <c r="O111" s="403" t="s">
        <v>1003</v>
      </c>
      <c r="P111" s="403" t="s">
        <v>53</v>
      </c>
      <c r="Q111" s="392"/>
      <c r="R111" s="403" t="s">
        <v>53</v>
      </c>
      <c r="S111" s="403" t="s">
        <v>1275</v>
      </c>
      <c r="T111" s="403" t="s">
        <v>1276</v>
      </c>
      <c r="U111" s="403" t="s">
        <v>53</v>
      </c>
      <c r="V111" s="403" t="s">
        <v>53</v>
      </c>
      <c r="W111" s="404" t="s">
        <v>525</v>
      </c>
      <c r="X111" s="404" t="s">
        <v>544</v>
      </c>
      <c r="Y111" s="404" t="s">
        <v>702</v>
      </c>
      <c r="Z111" s="404" t="s">
        <v>603</v>
      </c>
      <c r="AA111" s="392"/>
      <c r="AB111" s="413">
        <v>45866.0</v>
      </c>
      <c r="AC111" s="419"/>
      <c r="AD111" s="404" t="s">
        <v>529</v>
      </c>
      <c r="AE111" s="404" t="s">
        <v>570</v>
      </c>
      <c r="AF111" s="418" t="s">
        <v>531</v>
      </c>
      <c r="AG111" s="403" t="s">
        <v>532</v>
      </c>
      <c r="AH111" s="414" t="s">
        <v>621</v>
      </c>
      <c r="AI111" s="410">
        <v>5.0</v>
      </c>
      <c r="AJ111" s="410" t="s">
        <v>534</v>
      </c>
    </row>
    <row r="112">
      <c r="A112" s="403">
        <v>2025.0</v>
      </c>
      <c r="B112" s="403">
        <v>7.0</v>
      </c>
      <c r="C112" s="403" t="s">
        <v>736</v>
      </c>
      <c r="D112" s="405">
        <v>2.02501436E8</v>
      </c>
      <c r="E112" s="403" t="s">
        <v>512</v>
      </c>
      <c r="F112" s="403" t="s">
        <v>1277</v>
      </c>
      <c r="G112" s="403" t="s">
        <v>1277</v>
      </c>
      <c r="H112" s="403" t="s">
        <v>1278</v>
      </c>
      <c r="I112" s="403" t="s">
        <v>1279</v>
      </c>
      <c r="J112" s="403" t="s">
        <v>1280</v>
      </c>
      <c r="K112" s="403" t="s">
        <v>517</v>
      </c>
      <c r="L112" s="403" t="s">
        <v>518</v>
      </c>
      <c r="M112" s="403" t="s">
        <v>704</v>
      </c>
      <c r="N112" s="392"/>
      <c r="O112" s="403" t="s">
        <v>1003</v>
      </c>
      <c r="P112" s="403" t="s">
        <v>1281</v>
      </c>
      <c r="Q112" s="403" t="s">
        <v>540</v>
      </c>
      <c r="R112" s="403">
        <v>5.2428311E7</v>
      </c>
      <c r="S112" s="403" t="s">
        <v>1282</v>
      </c>
      <c r="T112" s="403" t="s">
        <v>1283</v>
      </c>
      <c r="U112" s="403" t="s">
        <v>1284</v>
      </c>
      <c r="V112" s="403">
        <v>3.159145309E9</v>
      </c>
      <c r="W112" s="404" t="s">
        <v>525</v>
      </c>
      <c r="X112" s="404" t="s">
        <v>544</v>
      </c>
      <c r="Y112" s="404" t="s">
        <v>702</v>
      </c>
      <c r="Z112" s="404" t="s">
        <v>603</v>
      </c>
      <c r="AA112" s="392"/>
      <c r="AB112" s="406">
        <v>45866.0</v>
      </c>
      <c r="AC112" s="419"/>
      <c r="AD112" s="404" t="s">
        <v>529</v>
      </c>
      <c r="AE112" s="404" t="s">
        <v>570</v>
      </c>
      <c r="AF112" s="418" t="s">
        <v>531</v>
      </c>
      <c r="AG112" s="403" t="s">
        <v>532</v>
      </c>
      <c r="AH112" s="414" t="s">
        <v>621</v>
      </c>
      <c r="AI112" s="410">
        <v>5.0</v>
      </c>
      <c r="AJ112" s="410" t="s">
        <v>534</v>
      </c>
    </row>
    <row r="113">
      <c r="A113" s="403">
        <v>2025.0</v>
      </c>
      <c r="B113" s="403">
        <v>7.0</v>
      </c>
      <c r="C113" s="403" t="s">
        <v>736</v>
      </c>
      <c r="D113" s="405">
        <v>2.02501459E8</v>
      </c>
      <c r="E113" s="403" t="s">
        <v>512</v>
      </c>
      <c r="F113" s="403" t="s">
        <v>513</v>
      </c>
      <c r="G113" s="403" t="s">
        <v>673</v>
      </c>
      <c r="H113" s="403" t="s">
        <v>1285</v>
      </c>
      <c r="I113" s="403" t="s">
        <v>516</v>
      </c>
      <c r="J113" s="403" t="s">
        <v>1286</v>
      </c>
      <c r="K113" s="403" t="s">
        <v>517</v>
      </c>
      <c r="L113" s="403" t="s">
        <v>518</v>
      </c>
      <c r="M113" s="403" t="s">
        <v>548</v>
      </c>
      <c r="N113" s="403" t="str">
        <f>BUSCARX(R[0]C[-1],CONVENCIONES!R12C1:R42C1,CONVENCIONES!R12C2:R42C2)</f>
        <v>#ERROR!</v>
      </c>
      <c r="O113" s="403" t="s">
        <v>1003</v>
      </c>
      <c r="P113" s="403" t="s">
        <v>1287</v>
      </c>
      <c r="Q113" s="403" t="s">
        <v>521</v>
      </c>
      <c r="R113" s="403">
        <v>1.422879E7</v>
      </c>
      <c r="S113" s="403" t="s">
        <v>1288</v>
      </c>
      <c r="T113" s="403" t="s">
        <v>1289</v>
      </c>
      <c r="U113" s="403" t="s">
        <v>1290</v>
      </c>
      <c r="V113" s="403">
        <v>3.054830466E9</v>
      </c>
      <c r="W113" s="404" t="s">
        <v>525</v>
      </c>
      <c r="X113" s="404" t="s">
        <v>526</v>
      </c>
      <c r="Y113" s="404" t="s">
        <v>702</v>
      </c>
      <c r="Z113" s="404" t="s">
        <v>603</v>
      </c>
      <c r="AA113" s="392"/>
      <c r="AB113" s="413">
        <v>45869.0</v>
      </c>
      <c r="AC113" s="419"/>
      <c r="AD113" s="404" t="s">
        <v>529</v>
      </c>
      <c r="AE113" s="404" t="s">
        <v>570</v>
      </c>
      <c r="AF113" s="418" t="s">
        <v>531</v>
      </c>
      <c r="AG113" s="403" t="s">
        <v>532</v>
      </c>
      <c r="AH113" s="414" t="s">
        <v>621</v>
      </c>
      <c r="AI113" s="410">
        <v>5.0</v>
      </c>
      <c r="AJ113" s="410" t="s">
        <v>534</v>
      </c>
    </row>
    <row r="114">
      <c r="A114" s="403">
        <v>2025.0</v>
      </c>
      <c r="B114" s="403">
        <v>8.0</v>
      </c>
      <c r="C114" s="403" t="s">
        <v>809</v>
      </c>
      <c r="D114" s="405">
        <v>2.02501475E8</v>
      </c>
      <c r="E114" s="403" t="s">
        <v>512</v>
      </c>
      <c r="F114" s="403" t="s">
        <v>513</v>
      </c>
      <c r="G114" s="403" t="s">
        <v>1291</v>
      </c>
      <c r="H114" s="403" t="s">
        <v>1292</v>
      </c>
      <c r="I114" s="403" t="s">
        <v>516</v>
      </c>
      <c r="J114" s="403" t="s">
        <v>249</v>
      </c>
      <c r="K114" s="403" t="s">
        <v>517</v>
      </c>
      <c r="L114" s="403" t="s">
        <v>518</v>
      </c>
      <c r="M114" s="403" t="s">
        <v>704</v>
      </c>
      <c r="N114" s="403" t="str">
        <f>BUSCARX(R[0]C[-1],CONVENCIONES!R12C1:R42C1,CONVENCIONES!R12C2:R42C2)</f>
        <v>#ERROR!</v>
      </c>
      <c r="O114" s="403" t="s">
        <v>1003</v>
      </c>
      <c r="P114" s="403" t="s">
        <v>1293</v>
      </c>
      <c r="Q114" s="403" t="s">
        <v>521</v>
      </c>
      <c r="R114" s="403">
        <v>1.095818413E9</v>
      </c>
      <c r="S114" s="403" t="s">
        <v>1294</v>
      </c>
      <c r="T114" s="403" t="s">
        <v>1295</v>
      </c>
      <c r="U114" s="403" t="s">
        <v>1296</v>
      </c>
      <c r="V114" s="403">
        <v>3.505621182E9</v>
      </c>
      <c r="W114" s="404" t="s">
        <v>525</v>
      </c>
      <c r="X114" s="404" t="s">
        <v>526</v>
      </c>
      <c r="Y114" s="404" t="s">
        <v>702</v>
      </c>
      <c r="Z114" s="404" t="s">
        <v>603</v>
      </c>
      <c r="AA114" s="392"/>
      <c r="AB114" s="413">
        <v>45873.0</v>
      </c>
      <c r="AC114" s="419"/>
      <c r="AD114" s="404" t="s">
        <v>529</v>
      </c>
      <c r="AE114" s="404" t="s">
        <v>570</v>
      </c>
      <c r="AF114" s="418" t="s">
        <v>531</v>
      </c>
      <c r="AG114" s="403" t="s">
        <v>532</v>
      </c>
      <c r="AH114" s="414" t="s">
        <v>621</v>
      </c>
      <c r="AI114" s="421">
        <v>6.0</v>
      </c>
      <c r="AJ114" s="410" t="s">
        <v>534</v>
      </c>
    </row>
    <row r="115">
      <c r="A115" s="403">
        <v>2025.0</v>
      </c>
      <c r="B115" s="403">
        <v>8.0</v>
      </c>
      <c r="C115" s="403" t="s">
        <v>809</v>
      </c>
      <c r="D115" s="405">
        <v>2.02501478E8</v>
      </c>
      <c r="E115" s="403" t="s">
        <v>512</v>
      </c>
      <c r="F115" s="403" t="s">
        <v>513</v>
      </c>
      <c r="G115" s="403" t="s">
        <v>720</v>
      </c>
      <c r="H115" s="403" t="s">
        <v>1297</v>
      </c>
      <c r="I115" s="403" t="s">
        <v>516</v>
      </c>
      <c r="J115" s="403" t="s">
        <v>1298</v>
      </c>
      <c r="K115" s="403" t="s">
        <v>517</v>
      </c>
      <c r="L115" s="403" t="s">
        <v>518</v>
      </c>
      <c r="M115" s="403" t="s">
        <v>1299</v>
      </c>
      <c r="N115" s="403" t="str">
        <f>BUSCARX(R[0]C[-1],CONVENCIONES!R12C1:R42C1,CONVENCIONES!R12C2:R42C2)</f>
        <v>#ERROR!</v>
      </c>
      <c r="O115" s="403" t="s">
        <v>1003</v>
      </c>
      <c r="P115" s="403" t="s">
        <v>1300</v>
      </c>
      <c r="Q115" s="403" t="s">
        <v>1246</v>
      </c>
      <c r="R115" s="403">
        <v>1.1331113E7</v>
      </c>
      <c r="S115" s="403" t="s">
        <v>1301</v>
      </c>
      <c r="T115" s="403" t="s">
        <v>1302</v>
      </c>
      <c r="U115" s="403" t="s">
        <v>1303</v>
      </c>
      <c r="V115" s="403" t="s">
        <v>1304</v>
      </c>
      <c r="W115" s="404" t="s">
        <v>525</v>
      </c>
      <c r="X115" s="404" t="s">
        <v>526</v>
      </c>
      <c r="Y115" s="404" t="s">
        <v>527</v>
      </c>
      <c r="Z115" s="404" t="s">
        <v>568</v>
      </c>
      <c r="AA115" s="392"/>
      <c r="AB115" s="413">
        <v>45874.0</v>
      </c>
      <c r="AC115" s="419"/>
      <c r="AD115" s="404" t="s">
        <v>529</v>
      </c>
      <c r="AE115" s="404" t="s">
        <v>744</v>
      </c>
      <c r="AF115" s="418" t="s">
        <v>531</v>
      </c>
      <c r="AG115" s="403" t="s">
        <v>532</v>
      </c>
      <c r="AH115" s="425" t="s">
        <v>1300</v>
      </c>
      <c r="AI115" s="421">
        <v>6.0</v>
      </c>
      <c r="AJ115" s="410" t="s">
        <v>534</v>
      </c>
    </row>
    <row r="116">
      <c r="A116" s="403">
        <v>2025.0</v>
      </c>
      <c r="B116" s="403">
        <v>8.0</v>
      </c>
      <c r="C116" s="403" t="s">
        <v>809</v>
      </c>
      <c r="D116" s="405">
        <v>2.02501483E8</v>
      </c>
      <c r="E116" s="403" t="s">
        <v>512</v>
      </c>
      <c r="F116" s="403" t="s">
        <v>513</v>
      </c>
      <c r="G116" s="403" t="s">
        <v>514</v>
      </c>
      <c r="H116" s="403" t="s">
        <v>1305</v>
      </c>
      <c r="I116" s="403" t="s">
        <v>516</v>
      </c>
      <c r="J116" s="403" t="s">
        <v>1306</v>
      </c>
      <c r="K116" s="403" t="s">
        <v>517</v>
      </c>
      <c r="L116" s="403" t="s">
        <v>518</v>
      </c>
      <c r="M116" s="403" t="s">
        <v>1299</v>
      </c>
      <c r="N116" s="403" t="str">
        <f>BUSCARX(R[0]C[-1],CONVENCIONES!R12C1:R42C1,CONVENCIONES!R12C2:R42C2)</f>
        <v>#ERROR!</v>
      </c>
      <c r="O116" s="403" t="s">
        <v>1003</v>
      </c>
      <c r="P116" s="403" t="s">
        <v>1307</v>
      </c>
      <c r="Q116" s="403" t="s">
        <v>1246</v>
      </c>
      <c r="R116" s="403">
        <v>1.1253846E7</v>
      </c>
      <c r="S116" s="403" t="s">
        <v>1308</v>
      </c>
      <c r="T116" s="403" t="s">
        <v>1309</v>
      </c>
      <c r="U116" s="403" t="s">
        <v>1310</v>
      </c>
      <c r="V116" s="403">
        <v>3.114443586E9</v>
      </c>
      <c r="W116" s="404" t="s">
        <v>525</v>
      </c>
      <c r="X116" s="404" t="s">
        <v>526</v>
      </c>
      <c r="Y116" s="404" t="s">
        <v>527</v>
      </c>
      <c r="Z116" s="404" t="s">
        <v>568</v>
      </c>
      <c r="AA116" s="392"/>
      <c r="AB116" s="413">
        <v>45874.0</v>
      </c>
      <c r="AC116" s="419"/>
      <c r="AD116" s="404" t="s">
        <v>529</v>
      </c>
      <c r="AE116" s="404" t="s">
        <v>744</v>
      </c>
      <c r="AF116" s="418" t="s">
        <v>531</v>
      </c>
      <c r="AG116" s="403" t="s">
        <v>532</v>
      </c>
      <c r="AH116" s="425" t="s">
        <v>1307</v>
      </c>
      <c r="AI116" s="421">
        <v>6.0</v>
      </c>
      <c r="AJ116" s="410" t="s">
        <v>534</v>
      </c>
    </row>
    <row r="117">
      <c r="A117" s="403">
        <v>2025.0</v>
      </c>
      <c r="B117" s="403">
        <v>8.0</v>
      </c>
      <c r="C117" s="403" t="s">
        <v>809</v>
      </c>
      <c r="D117" s="405">
        <v>2.02501543E8</v>
      </c>
      <c r="E117" s="403" t="s">
        <v>512</v>
      </c>
      <c r="F117" s="403" t="s">
        <v>963</v>
      </c>
      <c r="G117" s="403" t="s">
        <v>1311</v>
      </c>
      <c r="H117" s="403" t="s">
        <v>1312</v>
      </c>
      <c r="I117" s="403" t="s">
        <v>1311</v>
      </c>
      <c r="J117" s="403" t="s">
        <v>1313</v>
      </c>
      <c r="K117" s="403" t="s">
        <v>517</v>
      </c>
      <c r="L117" s="403" t="s">
        <v>518</v>
      </c>
      <c r="M117" s="403" t="s">
        <v>704</v>
      </c>
      <c r="N117" s="403" t="str">
        <f>BUSCARX(R[0]C[-1],CONVENCIONES!R12C1:R42C1,CONVENCIONES!R12C2:R42C2)</f>
        <v>#ERROR!</v>
      </c>
      <c r="O117" s="403" t="s">
        <v>1003</v>
      </c>
      <c r="P117" s="403" t="s">
        <v>1314</v>
      </c>
      <c r="Q117" s="403" t="s">
        <v>540</v>
      </c>
      <c r="R117" s="403">
        <v>4.1793736E7</v>
      </c>
      <c r="S117" s="403" t="s">
        <v>1315</v>
      </c>
      <c r="T117" s="403" t="s">
        <v>1316</v>
      </c>
      <c r="U117" s="392"/>
      <c r="V117" s="392"/>
      <c r="W117" s="404" t="s">
        <v>525</v>
      </c>
      <c r="X117" s="404" t="s">
        <v>544</v>
      </c>
      <c r="Y117" s="404" t="s">
        <v>702</v>
      </c>
      <c r="Z117" s="404" t="s">
        <v>603</v>
      </c>
      <c r="AA117" s="392"/>
      <c r="AB117" s="413">
        <v>45881.0</v>
      </c>
      <c r="AC117" s="419"/>
      <c r="AD117" s="404" t="s">
        <v>529</v>
      </c>
      <c r="AE117" s="404" t="s">
        <v>570</v>
      </c>
      <c r="AF117" s="418" t="s">
        <v>531</v>
      </c>
      <c r="AG117" s="403" t="s">
        <v>532</v>
      </c>
      <c r="AH117" s="414" t="s">
        <v>621</v>
      </c>
      <c r="AI117" s="410">
        <v>7.0</v>
      </c>
      <c r="AJ117" s="410" t="s">
        <v>534</v>
      </c>
    </row>
    <row r="118">
      <c r="A118" s="403">
        <v>2025.0</v>
      </c>
      <c r="B118" s="403">
        <v>8.0</v>
      </c>
      <c r="C118" s="403" t="s">
        <v>809</v>
      </c>
      <c r="D118" s="405">
        <v>2.02501551E8</v>
      </c>
      <c r="E118" s="403" t="s">
        <v>512</v>
      </c>
      <c r="F118" s="403" t="s">
        <v>1095</v>
      </c>
      <c r="G118" s="403" t="s">
        <v>1317</v>
      </c>
      <c r="H118" s="403" t="s">
        <v>1318</v>
      </c>
      <c r="I118" s="403" t="s">
        <v>1098</v>
      </c>
      <c r="J118" s="403" t="s">
        <v>63</v>
      </c>
      <c r="K118" s="403" t="s">
        <v>517</v>
      </c>
      <c r="L118" s="403" t="s">
        <v>518</v>
      </c>
      <c r="M118" s="403" t="s">
        <v>565</v>
      </c>
      <c r="N118" s="403" t="str">
        <f>BUSCARX(R[0]C[-1],CONVENCIONES!R12C1:R42C1,CONVENCIONES!R12C2:R42C2)</f>
        <v>#ERROR!</v>
      </c>
      <c r="O118" s="403" t="s">
        <v>1003</v>
      </c>
      <c r="P118" s="403" t="s">
        <v>1319</v>
      </c>
      <c r="Q118" s="403" t="s">
        <v>540</v>
      </c>
      <c r="R118" s="403">
        <v>1.022347515E9</v>
      </c>
      <c r="S118" s="403" t="s">
        <v>1320</v>
      </c>
      <c r="T118" s="403" t="s">
        <v>1321</v>
      </c>
      <c r="U118" s="403" t="s">
        <v>1322</v>
      </c>
      <c r="V118" s="392"/>
      <c r="W118" s="404" t="s">
        <v>525</v>
      </c>
      <c r="X118" s="404" t="s">
        <v>526</v>
      </c>
      <c r="Y118" s="404" t="s">
        <v>702</v>
      </c>
      <c r="Z118" s="404" t="s">
        <v>603</v>
      </c>
      <c r="AA118" s="392"/>
      <c r="AB118" s="413">
        <v>45881.0</v>
      </c>
      <c r="AC118" s="419"/>
      <c r="AD118" s="404" t="s">
        <v>529</v>
      </c>
      <c r="AE118" s="404" t="s">
        <v>570</v>
      </c>
      <c r="AF118" s="418" t="s">
        <v>531</v>
      </c>
      <c r="AG118" s="403" t="s">
        <v>532</v>
      </c>
      <c r="AH118" s="414" t="s">
        <v>621</v>
      </c>
      <c r="AI118" s="410">
        <v>7.0</v>
      </c>
      <c r="AJ118" s="410" t="s">
        <v>534</v>
      </c>
    </row>
    <row r="119">
      <c r="A119" s="403">
        <v>2025.0</v>
      </c>
      <c r="B119" s="403">
        <v>8.0</v>
      </c>
      <c r="C119" s="403" t="s">
        <v>809</v>
      </c>
      <c r="D119" s="405">
        <v>2.02501562E8</v>
      </c>
      <c r="E119" s="403" t="s">
        <v>512</v>
      </c>
      <c r="F119" s="403" t="s">
        <v>513</v>
      </c>
      <c r="G119" s="403" t="s">
        <v>1323</v>
      </c>
      <c r="H119" s="403" t="s">
        <v>1324</v>
      </c>
      <c r="I119" s="403" t="s">
        <v>516</v>
      </c>
      <c r="J119" s="403" t="s">
        <v>400</v>
      </c>
      <c r="K119" s="403" t="s">
        <v>517</v>
      </c>
      <c r="L119" s="403" t="s">
        <v>518</v>
      </c>
      <c r="M119" s="403" t="s">
        <v>565</v>
      </c>
      <c r="N119" s="392"/>
      <c r="O119" s="403" t="s">
        <v>1003</v>
      </c>
      <c r="P119" s="403" t="s">
        <v>1325</v>
      </c>
      <c r="Q119" s="403" t="s">
        <v>521</v>
      </c>
      <c r="R119" s="403">
        <v>1.032367555E9</v>
      </c>
      <c r="S119" s="403" t="s">
        <v>1326</v>
      </c>
      <c r="T119" s="403" t="s">
        <v>1327</v>
      </c>
      <c r="U119" s="403" t="s">
        <v>1328</v>
      </c>
      <c r="V119" s="403">
        <v>3.147000967E9</v>
      </c>
      <c r="W119" s="404" t="s">
        <v>525</v>
      </c>
      <c r="X119" s="404" t="s">
        <v>544</v>
      </c>
      <c r="Y119" s="404" t="s">
        <v>702</v>
      </c>
      <c r="Z119" s="404" t="s">
        <v>603</v>
      </c>
      <c r="AA119" s="392"/>
      <c r="AB119" s="413">
        <v>45883.0</v>
      </c>
      <c r="AC119" s="419"/>
      <c r="AD119" s="404" t="s">
        <v>529</v>
      </c>
      <c r="AE119" s="404" t="s">
        <v>570</v>
      </c>
      <c r="AF119" s="418" t="s">
        <v>531</v>
      </c>
      <c r="AG119" s="403" t="s">
        <v>532</v>
      </c>
      <c r="AH119" s="414" t="s">
        <v>621</v>
      </c>
      <c r="AI119" s="410">
        <v>7.0</v>
      </c>
      <c r="AJ119" s="410" t="s">
        <v>534</v>
      </c>
    </row>
    <row r="120">
      <c r="A120" s="403">
        <v>2025.0</v>
      </c>
      <c r="B120" s="403">
        <v>8.0</v>
      </c>
      <c r="C120" s="403" t="s">
        <v>809</v>
      </c>
      <c r="D120" s="405">
        <v>2.02501563E8</v>
      </c>
      <c r="E120" s="403" t="s">
        <v>512</v>
      </c>
      <c r="F120" s="403" t="s">
        <v>513</v>
      </c>
      <c r="G120" s="403" t="s">
        <v>673</v>
      </c>
      <c r="H120" s="403" t="s">
        <v>1329</v>
      </c>
      <c r="I120" s="403" t="s">
        <v>516</v>
      </c>
      <c r="J120" s="403" t="s">
        <v>1330</v>
      </c>
      <c r="K120" s="403" t="s">
        <v>517</v>
      </c>
      <c r="L120" s="403" t="s">
        <v>518</v>
      </c>
      <c r="M120" s="403" t="s">
        <v>548</v>
      </c>
      <c r="N120" s="392"/>
      <c r="O120" s="403" t="s">
        <v>1003</v>
      </c>
      <c r="P120" s="403" t="s">
        <v>1331</v>
      </c>
      <c r="Q120" s="403" t="s">
        <v>540</v>
      </c>
      <c r="R120" s="403">
        <v>1.013594332E9</v>
      </c>
      <c r="S120" s="403" t="s">
        <v>1332</v>
      </c>
      <c r="T120" s="403" t="s">
        <v>1333</v>
      </c>
      <c r="U120" s="403" t="s">
        <v>1334</v>
      </c>
      <c r="V120" s="403">
        <v>3.102695533E9</v>
      </c>
      <c r="W120" s="404" t="s">
        <v>525</v>
      </c>
      <c r="X120" s="404" t="s">
        <v>526</v>
      </c>
      <c r="Y120" s="404" t="s">
        <v>702</v>
      </c>
      <c r="Z120" s="404" t="s">
        <v>603</v>
      </c>
      <c r="AA120" s="392"/>
      <c r="AB120" s="413">
        <v>45883.0</v>
      </c>
      <c r="AC120" s="419"/>
      <c r="AD120" s="404" t="s">
        <v>529</v>
      </c>
      <c r="AE120" s="404" t="s">
        <v>570</v>
      </c>
      <c r="AF120" s="418" t="s">
        <v>531</v>
      </c>
      <c r="AG120" s="403" t="s">
        <v>532</v>
      </c>
      <c r="AH120" s="414" t="s">
        <v>621</v>
      </c>
      <c r="AI120" s="410">
        <v>7.0</v>
      </c>
      <c r="AJ120" s="410" t="s">
        <v>534</v>
      </c>
    </row>
    <row r="121">
      <c r="A121" s="403">
        <v>2025.0</v>
      </c>
      <c r="B121" s="403">
        <v>8.0</v>
      </c>
      <c r="C121" s="403" t="s">
        <v>809</v>
      </c>
      <c r="D121" s="405">
        <v>2.025016E8</v>
      </c>
      <c r="E121" s="403" t="s">
        <v>512</v>
      </c>
      <c r="F121" s="403" t="s">
        <v>912</v>
      </c>
      <c r="G121" s="403" t="s">
        <v>525</v>
      </c>
      <c r="H121" s="403" t="s">
        <v>1335</v>
      </c>
      <c r="I121" s="403" t="s">
        <v>516</v>
      </c>
      <c r="J121" s="403" t="s">
        <v>20</v>
      </c>
      <c r="K121" s="403" t="s">
        <v>517</v>
      </c>
      <c r="L121" s="403" t="s">
        <v>518</v>
      </c>
      <c r="M121" s="403" t="s">
        <v>548</v>
      </c>
      <c r="N121" s="403" t="str">
        <f>BUSCARX(R[0]C[-1],CONVENCIONES!R12C1:R42C1,CONVENCIONES!R12C2:R42C2)</f>
        <v>#ERROR!</v>
      </c>
      <c r="O121" s="403" t="s">
        <v>1003</v>
      </c>
      <c r="P121" s="403" t="s">
        <v>1336</v>
      </c>
      <c r="Q121" s="403" t="s">
        <v>540</v>
      </c>
      <c r="R121" s="403">
        <v>2.0410551E7</v>
      </c>
      <c r="S121" s="403" t="s">
        <v>1337</v>
      </c>
      <c r="T121" s="403" t="s">
        <v>1338</v>
      </c>
      <c r="U121" s="403" t="s">
        <v>53</v>
      </c>
      <c r="V121" s="403">
        <v>3.204401612E9</v>
      </c>
      <c r="W121" s="404" t="s">
        <v>525</v>
      </c>
      <c r="X121" s="404" t="s">
        <v>544</v>
      </c>
      <c r="Y121" s="404" t="s">
        <v>702</v>
      </c>
      <c r="Z121" s="404" t="s">
        <v>603</v>
      </c>
      <c r="AA121" s="392"/>
      <c r="AB121" s="413">
        <v>45889.0</v>
      </c>
      <c r="AC121" s="419"/>
      <c r="AD121" s="404" t="s">
        <v>529</v>
      </c>
      <c r="AE121" s="404" t="s">
        <v>570</v>
      </c>
      <c r="AF121" s="418" t="s">
        <v>531</v>
      </c>
      <c r="AG121" s="403" t="s">
        <v>532</v>
      </c>
      <c r="AH121" s="414" t="s">
        <v>621</v>
      </c>
      <c r="AI121" s="410">
        <v>8.0</v>
      </c>
      <c r="AJ121" s="410" t="s">
        <v>534</v>
      </c>
    </row>
    <row r="122">
      <c r="A122" s="403">
        <v>2025.0</v>
      </c>
      <c r="B122" s="403">
        <v>8.0</v>
      </c>
      <c r="C122" s="403" t="s">
        <v>809</v>
      </c>
      <c r="D122" s="405">
        <v>2.02501647E8</v>
      </c>
      <c r="E122" s="403" t="s">
        <v>512</v>
      </c>
      <c r="F122" s="403" t="s">
        <v>1339</v>
      </c>
      <c r="G122" s="403" t="s">
        <v>1340</v>
      </c>
      <c r="H122" s="403" t="s">
        <v>1341</v>
      </c>
      <c r="I122" s="403" t="s">
        <v>1342</v>
      </c>
      <c r="J122" s="403" t="s">
        <v>1274</v>
      </c>
      <c r="K122" s="403" t="s">
        <v>517</v>
      </c>
      <c r="L122" s="403" t="s">
        <v>518</v>
      </c>
      <c r="M122" s="403" t="s">
        <v>548</v>
      </c>
      <c r="N122" s="403" t="str">
        <f>BUSCARX(R[0]C[-1],CONVENCIONES!R12C1:R42C1,CONVENCIONES!R12C2:R42C2)</f>
        <v>#ERROR!</v>
      </c>
      <c r="O122" s="403" t="s">
        <v>1003</v>
      </c>
      <c r="P122" s="403" t="s">
        <v>1343</v>
      </c>
      <c r="Q122" s="403" t="s">
        <v>540</v>
      </c>
      <c r="R122" s="403">
        <v>5.2275192E7</v>
      </c>
      <c r="S122" s="403" t="s">
        <v>1344</v>
      </c>
      <c r="T122" s="403" t="s">
        <v>1345</v>
      </c>
      <c r="U122" s="403" t="s">
        <v>1346</v>
      </c>
      <c r="V122" s="403">
        <v>3.203247327E9</v>
      </c>
      <c r="W122" s="404" t="s">
        <v>525</v>
      </c>
      <c r="X122" s="404" t="s">
        <v>544</v>
      </c>
      <c r="Y122" s="404" t="s">
        <v>702</v>
      </c>
      <c r="Z122" s="404" t="s">
        <v>603</v>
      </c>
      <c r="AA122" s="392"/>
      <c r="AB122" s="413">
        <v>45896.0</v>
      </c>
      <c r="AC122" s="419"/>
      <c r="AD122" s="404" t="s">
        <v>529</v>
      </c>
      <c r="AE122" s="404" t="s">
        <v>570</v>
      </c>
      <c r="AF122" s="418" t="s">
        <v>531</v>
      </c>
      <c r="AG122" s="403" t="s">
        <v>532</v>
      </c>
      <c r="AH122" s="414" t="s">
        <v>621</v>
      </c>
      <c r="AI122" s="410">
        <v>9.0</v>
      </c>
      <c r="AJ122" s="410" t="s">
        <v>534</v>
      </c>
    </row>
    <row r="123">
      <c r="A123" s="403">
        <v>2025.0</v>
      </c>
      <c r="B123" s="403">
        <v>9.0</v>
      </c>
      <c r="C123" s="403" t="s">
        <v>862</v>
      </c>
      <c r="D123" s="405">
        <v>2.02501671E8</v>
      </c>
      <c r="E123" s="403" t="s">
        <v>512</v>
      </c>
      <c r="F123" s="403" t="s">
        <v>513</v>
      </c>
      <c r="G123" s="403" t="s">
        <v>1347</v>
      </c>
      <c r="H123" s="403" t="s">
        <v>1348</v>
      </c>
      <c r="I123" s="403" t="s">
        <v>516</v>
      </c>
      <c r="J123" s="403" t="s">
        <v>71</v>
      </c>
      <c r="K123" s="403" t="s">
        <v>517</v>
      </c>
      <c r="L123" s="403" t="s">
        <v>518</v>
      </c>
      <c r="M123" s="403" t="s">
        <v>565</v>
      </c>
      <c r="N123" s="403" t="str">
        <f>BUSCARX(R[0]C[-1],CONVENCIONES!R12C1:R42C1,CONVENCIONES!R12C2:R42C2)</f>
        <v>#ERROR!</v>
      </c>
      <c r="O123" s="403" t="s">
        <v>1003</v>
      </c>
      <c r="P123" s="403" t="s">
        <v>1349</v>
      </c>
      <c r="Q123" s="403" t="s">
        <v>540</v>
      </c>
      <c r="R123" s="403">
        <v>5.1728426E7</v>
      </c>
      <c r="S123" s="403" t="s">
        <v>1350</v>
      </c>
      <c r="T123" s="403" t="s">
        <v>1351</v>
      </c>
      <c r="U123" s="403" t="s">
        <v>1352</v>
      </c>
      <c r="V123" s="403">
        <v>3.115987179E9</v>
      </c>
      <c r="W123" s="404" t="s">
        <v>525</v>
      </c>
      <c r="X123" s="404" t="s">
        <v>526</v>
      </c>
      <c r="Y123" s="404" t="s">
        <v>702</v>
      </c>
      <c r="Z123" s="404" t="s">
        <v>603</v>
      </c>
      <c r="AA123" s="392"/>
      <c r="AB123" s="413">
        <v>45901.0</v>
      </c>
      <c r="AC123" s="419"/>
      <c r="AD123" s="404" t="s">
        <v>529</v>
      </c>
      <c r="AE123" s="404" t="s">
        <v>570</v>
      </c>
      <c r="AF123" s="418" t="s">
        <v>531</v>
      </c>
      <c r="AG123" s="403" t="s">
        <v>532</v>
      </c>
      <c r="AH123" s="414" t="s">
        <v>621</v>
      </c>
      <c r="AI123" s="410">
        <v>10.0</v>
      </c>
      <c r="AJ123" s="410" t="s">
        <v>534</v>
      </c>
    </row>
    <row r="124">
      <c r="A124" s="403">
        <v>2025.0</v>
      </c>
      <c r="B124" s="403">
        <v>9.0</v>
      </c>
      <c r="C124" s="403" t="s">
        <v>862</v>
      </c>
      <c r="D124" s="405">
        <v>2.02501687E8</v>
      </c>
      <c r="E124" s="403" t="s">
        <v>512</v>
      </c>
      <c r="F124" s="403" t="s">
        <v>513</v>
      </c>
      <c r="G124" s="403" t="s">
        <v>673</v>
      </c>
      <c r="H124" s="403" t="s">
        <v>1353</v>
      </c>
      <c r="I124" s="403" t="s">
        <v>516</v>
      </c>
      <c r="J124" s="403" t="s">
        <v>845</v>
      </c>
      <c r="K124" s="403" t="s">
        <v>517</v>
      </c>
      <c r="L124" s="403" t="s">
        <v>518</v>
      </c>
      <c r="M124" s="403" t="s">
        <v>548</v>
      </c>
      <c r="N124" s="403" t="str">
        <f>BUSCARX(R[0]C[-1],CONVENCIONES!R12C1:R42C1,CONVENCIONES!R12C2:R42C2)</f>
        <v>#ERROR!</v>
      </c>
      <c r="O124" s="403" t="s">
        <v>1003</v>
      </c>
      <c r="P124" s="403" t="s">
        <v>1354</v>
      </c>
      <c r="Q124" s="403" t="s">
        <v>540</v>
      </c>
      <c r="R124" s="403">
        <v>1.030605863E9</v>
      </c>
      <c r="S124" s="403" t="s">
        <v>1355</v>
      </c>
      <c r="T124" s="403" t="s">
        <v>1356</v>
      </c>
      <c r="U124" s="403" t="s">
        <v>1357</v>
      </c>
      <c r="V124" s="403">
        <v>3.112895379E9</v>
      </c>
      <c r="W124" s="404" t="s">
        <v>525</v>
      </c>
      <c r="X124" s="404" t="s">
        <v>526</v>
      </c>
      <c r="Y124" s="404" t="s">
        <v>702</v>
      </c>
      <c r="Z124" s="404" t="s">
        <v>603</v>
      </c>
      <c r="AA124" s="392"/>
      <c r="AB124" s="413">
        <v>45902.0</v>
      </c>
      <c r="AC124" s="419"/>
      <c r="AD124" s="404" t="s">
        <v>529</v>
      </c>
      <c r="AE124" s="404" t="s">
        <v>570</v>
      </c>
      <c r="AF124" s="418" t="s">
        <v>531</v>
      </c>
      <c r="AG124" s="403" t="s">
        <v>532</v>
      </c>
      <c r="AH124" s="414" t="s">
        <v>621</v>
      </c>
      <c r="AI124" s="410">
        <v>10.0</v>
      </c>
      <c r="AJ124" s="410" t="s">
        <v>534</v>
      </c>
    </row>
    <row r="125">
      <c r="A125" s="403">
        <v>2025.0</v>
      </c>
      <c r="B125" s="403">
        <v>9.0</v>
      </c>
      <c r="C125" s="403" t="s">
        <v>862</v>
      </c>
      <c r="D125" s="405">
        <v>2.02501704E8</v>
      </c>
      <c r="E125" s="403" t="s">
        <v>512</v>
      </c>
      <c r="F125" s="403" t="s">
        <v>856</v>
      </c>
      <c r="G125" s="403" t="s">
        <v>856</v>
      </c>
      <c r="H125" s="403" t="s">
        <v>1358</v>
      </c>
      <c r="I125" s="403" t="s">
        <v>564</v>
      </c>
      <c r="J125" s="403" t="s">
        <v>573</v>
      </c>
      <c r="K125" s="403" t="s">
        <v>517</v>
      </c>
      <c r="L125" s="403" t="s">
        <v>518</v>
      </c>
      <c r="M125" s="403" t="s">
        <v>565</v>
      </c>
      <c r="N125" s="403" t="str">
        <f>BUSCARX(R[0]C[-1],CONVENCIONES!R12C1:R42C1,CONVENCIONES!R12C2:R42C2)</f>
        <v>#ERROR!</v>
      </c>
      <c r="O125" s="403" t="s">
        <v>1003</v>
      </c>
      <c r="P125" s="403" t="s">
        <v>1359</v>
      </c>
      <c r="Q125" s="403" t="s">
        <v>521</v>
      </c>
      <c r="R125" s="403">
        <v>5378179.0</v>
      </c>
      <c r="S125" s="403" t="s">
        <v>1360</v>
      </c>
      <c r="T125" s="403" t="s">
        <v>1361</v>
      </c>
      <c r="U125" s="403" t="s">
        <v>1362</v>
      </c>
      <c r="V125" s="403">
        <v>3.14226777E9</v>
      </c>
      <c r="W125" s="404" t="s">
        <v>525</v>
      </c>
      <c r="X125" s="404" t="s">
        <v>526</v>
      </c>
      <c r="Y125" s="404" t="s">
        <v>603</v>
      </c>
      <c r="Z125" s="404" t="s">
        <v>603</v>
      </c>
      <c r="AA125" s="392"/>
      <c r="AB125" s="413">
        <v>45903.0</v>
      </c>
      <c r="AC125" s="419"/>
      <c r="AD125" s="404" t="s">
        <v>529</v>
      </c>
      <c r="AE125" s="404" t="s">
        <v>570</v>
      </c>
      <c r="AF125" s="418" t="s">
        <v>531</v>
      </c>
      <c r="AG125" s="403" t="s">
        <v>532</v>
      </c>
      <c r="AH125" s="414" t="s">
        <v>621</v>
      </c>
      <c r="AI125" s="410">
        <v>10.0</v>
      </c>
      <c r="AJ125" s="410" t="s">
        <v>534</v>
      </c>
    </row>
    <row r="126">
      <c r="A126" s="403">
        <v>2025.0</v>
      </c>
      <c r="B126" s="403">
        <v>9.0</v>
      </c>
      <c r="C126" s="403" t="s">
        <v>862</v>
      </c>
      <c r="D126" s="405">
        <v>2.02501722E8</v>
      </c>
      <c r="E126" s="403" t="s">
        <v>512</v>
      </c>
      <c r="F126" s="403" t="s">
        <v>513</v>
      </c>
      <c r="G126" s="403" t="s">
        <v>1363</v>
      </c>
      <c r="H126" s="403" t="s">
        <v>1364</v>
      </c>
      <c r="I126" s="403" t="s">
        <v>516</v>
      </c>
      <c r="J126" s="403" t="s">
        <v>1365</v>
      </c>
      <c r="K126" s="403" t="s">
        <v>517</v>
      </c>
      <c r="L126" s="403" t="s">
        <v>518</v>
      </c>
      <c r="M126" s="403" t="s">
        <v>565</v>
      </c>
      <c r="N126" s="392"/>
      <c r="O126" s="403" t="s">
        <v>1003</v>
      </c>
      <c r="P126" s="403" t="s">
        <v>1366</v>
      </c>
      <c r="Q126" s="403" t="s">
        <v>540</v>
      </c>
      <c r="R126" s="403">
        <v>4.9686093E7</v>
      </c>
      <c r="S126" s="403" t="s">
        <v>1367</v>
      </c>
      <c r="T126" s="403" t="s">
        <v>1368</v>
      </c>
      <c r="U126" s="403" t="s">
        <v>1369</v>
      </c>
      <c r="V126" s="403">
        <v>3.13687999E9</v>
      </c>
      <c r="W126" s="404" t="s">
        <v>525</v>
      </c>
      <c r="X126" s="404" t="s">
        <v>526</v>
      </c>
      <c r="Y126" s="404" t="s">
        <v>702</v>
      </c>
      <c r="Z126" s="404" t="s">
        <v>603</v>
      </c>
      <c r="AA126" s="392"/>
      <c r="AB126" s="413">
        <v>45905.0</v>
      </c>
      <c r="AC126" s="419"/>
      <c r="AD126" s="404" t="s">
        <v>529</v>
      </c>
      <c r="AE126" s="404" t="s">
        <v>570</v>
      </c>
      <c r="AF126" s="418" t="s">
        <v>531</v>
      </c>
      <c r="AG126" s="403" t="s">
        <v>532</v>
      </c>
      <c r="AH126" s="414" t="s">
        <v>621</v>
      </c>
      <c r="AI126" s="410">
        <v>10.0</v>
      </c>
      <c r="AJ126" s="410" t="s">
        <v>534</v>
      </c>
    </row>
    <row r="127">
      <c r="A127" s="403">
        <v>2025.0</v>
      </c>
      <c r="B127" s="403">
        <v>9.0</v>
      </c>
      <c r="C127" s="403" t="s">
        <v>862</v>
      </c>
      <c r="D127" s="405">
        <v>2.02501725E8</v>
      </c>
      <c r="E127" s="403" t="s">
        <v>512</v>
      </c>
      <c r="F127" s="403" t="s">
        <v>963</v>
      </c>
      <c r="G127" s="403" t="s">
        <v>1370</v>
      </c>
      <c r="H127" s="403" t="s">
        <v>1371</v>
      </c>
      <c r="I127" s="403" t="s">
        <v>1311</v>
      </c>
      <c r="J127" s="403" t="s">
        <v>1372</v>
      </c>
      <c r="K127" s="403" t="s">
        <v>517</v>
      </c>
      <c r="L127" s="403" t="s">
        <v>518</v>
      </c>
      <c r="M127" s="403" t="s">
        <v>565</v>
      </c>
      <c r="N127" s="392"/>
      <c r="O127" s="403" t="s">
        <v>1003</v>
      </c>
      <c r="P127" s="403" t="s">
        <v>1319</v>
      </c>
      <c r="Q127" s="403" t="s">
        <v>540</v>
      </c>
      <c r="R127" s="403">
        <v>1.022347515E9</v>
      </c>
      <c r="S127" s="403" t="s">
        <v>1320</v>
      </c>
      <c r="T127" s="403" t="s">
        <v>1321</v>
      </c>
      <c r="U127" s="403" t="s">
        <v>1322</v>
      </c>
      <c r="V127" s="392"/>
      <c r="W127" s="404" t="s">
        <v>525</v>
      </c>
      <c r="X127" s="404" t="s">
        <v>526</v>
      </c>
      <c r="Y127" s="404" t="s">
        <v>702</v>
      </c>
      <c r="Z127" s="404" t="s">
        <v>603</v>
      </c>
      <c r="AA127" s="392"/>
      <c r="AB127" s="413">
        <v>45905.0</v>
      </c>
      <c r="AC127" s="419"/>
      <c r="AD127" s="404" t="s">
        <v>529</v>
      </c>
      <c r="AE127" s="404" t="s">
        <v>570</v>
      </c>
      <c r="AF127" s="418" t="s">
        <v>531</v>
      </c>
      <c r="AG127" s="403" t="s">
        <v>532</v>
      </c>
      <c r="AH127" s="414" t="s">
        <v>621</v>
      </c>
      <c r="AI127" s="410">
        <v>10.0</v>
      </c>
      <c r="AJ127" s="410" t="s">
        <v>534</v>
      </c>
    </row>
    <row r="128">
      <c r="A128" s="403">
        <v>2025.0</v>
      </c>
      <c r="B128" s="403">
        <v>9.0</v>
      </c>
      <c r="C128" s="403" t="s">
        <v>862</v>
      </c>
      <c r="D128" s="405">
        <v>2.02501726E8</v>
      </c>
      <c r="E128" s="403" t="s">
        <v>512</v>
      </c>
      <c r="F128" s="403" t="s">
        <v>856</v>
      </c>
      <c r="G128" s="403" t="s">
        <v>1373</v>
      </c>
      <c r="H128" s="403" t="s">
        <v>1374</v>
      </c>
      <c r="I128" s="403" t="s">
        <v>564</v>
      </c>
      <c r="J128" s="403" t="s">
        <v>428</v>
      </c>
      <c r="K128" s="403" t="s">
        <v>517</v>
      </c>
      <c r="L128" s="403" t="s">
        <v>518</v>
      </c>
      <c r="M128" s="403" t="s">
        <v>548</v>
      </c>
      <c r="N128" s="392"/>
      <c r="O128" s="403" t="s">
        <v>1003</v>
      </c>
      <c r="P128" s="403" t="s">
        <v>1375</v>
      </c>
      <c r="Q128" s="403" t="s">
        <v>521</v>
      </c>
      <c r="R128" s="403">
        <v>976009.0</v>
      </c>
      <c r="S128" s="403" t="s">
        <v>1376</v>
      </c>
      <c r="T128" s="403" t="s">
        <v>1377</v>
      </c>
      <c r="U128" s="403" t="s">
        <v>53</v>
      </c>
      <c r="V128" s="403">
        <v>3.238032228E9</v>
      </c>
      <c r="W128" s="404" t="s">
        <v>525</v>
      </c>
      <c r="X128" s="404" t="s">
        <v>526</v>
      </c>
      <c r="Y128" s="404" t="s">
        <v>702</v>
      </c>
      <c r="Z128" s="404" t="s">
        <v>603</v>
      </c>
      <c r="AA128" s="392"/>
      <c r="AB128" s="413">
        <v>45905.0</v>
      </c>
      <c r="AC128" s="419"/>
      <c r="AD128" s="404" t="s">
        <v>529</v>
      </c>
      <c r="AE128" s="404" t="s">
        <v>570</v>
      </c>
      <c r="AF128" s="418" t="s">
        <v>531</v>
      </c>
      <c r="AG128" s="403" t="s">
        <v>532</v>
      </c>
      <c r="AH128" s="414" t="s">
        <v>621</v>
      </c>
      <c r="AI128" s="410">
        <v>10.0</v>
      </c>
      <c r="AJ128" s="410" t="s">
        <v>534</v>
      </c>
    </row>
    <row r="129">
      <c r="A129" s="403">
        <v>2025.0</v>
      </c>
      <c r="B129" s="403">
        <v>9.0</v>
      </c>
      <c r="C129" s="403" t="s">
        <v>862</v>
      </c>
      <c r="D129" s="405">
        <v>2.02501727E8</v>
      </c>
      <c r="E129" s="403" t="s">
        <v>512</v>
      </c>
      <c r="F129" s="403" t="s">
        <v>513</v>
      </c>
      <c r="G129" s="403" t="s">
        <v>673</v>
      </c>
      <c r="H129" s="403" t="s">
        <v>1353</v>
      </c>
      <c r="I129" s="403" t="s">
        <v>516</v>
      </c>
      <c r="J129" s="403" t="s">
        <v>845</v>
      </c>
      <c r="K129" s="403" t="s">
        <v>517</v>
      </c>
      <c r="L129" s="403" t="s">
        <v>518</v>
      </c>
      <c r="M129" s="403" t="s">
        <v>548</v>
      </c>
      <c r="N129" s="392"/>
      <c r="O129" s="403" t="s">
        <v>1003</v>
      </c>
      <c r="P129" s="403" t="s">
        <v>1378</v>
      </c>
      <c r="Q129" s="403" t="s">
        <v>540</v>
      </c>
      <c r="R129" s="403">
        <v>1.030605863E9</v>
      </c>
      <c r="S129" s="403" t="s">
        <v>1379</v>
      </c>
      <c r="T129" s="403" t="s">
        <v>1380</v>
      </c>
      <c r="U129" s="403" t="s">
        <v>1357</v>
      </c>
      <c r="V129" s="403">
        <v>3.112895379E9</v>
      </c>
      <c r="W129" s="404" t="s">
        <v>525</v>
      </c>
      <c r="X129" s="404" t="s">
        <v>526</v>
      </c>
      <c r="Y129" s="404" t="s">
        <v>702</v>
      </c>
      <c r="Z129" s="404" t="s">
        <v>603</v>
      </c>
      <c r="AA129" s="392"/>
      <c r="AB129" s="413">
        <v>45905.0</v>
      </c>
      <c r="AC129" s="419"/>
      <c r="AD129" s="404" t="s">
        <v>529</v>
      </c>
      <c r="AE129" s="404" t="s">
        <v>570</v>
      </c>
      <c r="AF129" s="418" t="s">
        <v>531</v>
      </c>
      <c r="AG129" s="403" t="s">
        <v>532</v>
      </c>
      <c r="AH129" s="414" t="s">
        <v>621</v>
      </c>
      <c r="AI129" s="410">
        <v>10.0</v>
      </c>
      <c r="AJ129" s="410" t="s">
        <v>534</v>
      </c>
    </row>
    <row r="130">
      <c r="A130" s="403">
        <v>2025.0</v>
      </c>
      <c r="B130" s="403">
        <v>9.0</v>
      </c>
      <c r="C130" s="403" t="s">
        <v>862</v>
      </c>
      <c r="D130" s="405">
        <v>2.02501738E8</v>
      </c>
      <c r="E130" s="403" t="s">
        <v>512</v>
      </c>
      <c r="F130" s="403" t="s">
        <v>535</v>
      </c>
      <c r="G130" s="403" t="s">
        <v>1381</v>
      </c>
      <c r="H130" s="403" t="s">
        <v>1382</v>
      </c>
      <c r="I130" s="403" t="s">
        <v>537</v>
      </c>
      <c r="J130" s="403" t="s">
        <v>1383</v>
      </c>
      <c r="K130" s="403" t="s">
        <v>517</v>
      </c>
      <c r="L130" s="403" t="s">
        <v>518</v>
      </c>
      <c r="M130" s="403" t="s">
        <v>557</v>
      </c>
      <c r="N130" s="403" t="str">
        <f>BUSCARX(R[0]C[-1],CONVENCIONES!R12C1:R42C1,CONVENCIONES!R12C2:R42C2)</f>
        <v>#ERROR!</v>
      </c>
      <c r="O130" s="403" t="s">
        <v>1003</v>
      </c>
      <c r="P130" s="403" t="s">
        <v>1384</v>
      </c>
      <c r="Q130" s="403" t="s">
        <v>540</v>
      </c>
      <c r="R130" s="403">
        <v>4.0422469E7</v>
      </c>
      <c r="S130" s="403" t="s">
        <v>1385</v>
      </c>
      <c r="T130" s="403" t="s">
        <v>1386</v>
      </c>
      <c r="U130" s="403" t="s">
        <v>1387</v>
      </c>
      <c r="V130" s="403">
        <v>3.008577673E9</v>
      </c>
      <c r="W130" s="404" t="s">
        <v>525</v>
      </c>
      <c r="X130" s="404" t="s">
        <v>544</v>
      </c>
      <c r="Y130" s="404" t="s">
        <v>702</v>
      </c>
      <c r="Z130" s="404" t="s">
        <v>603</v>
      </c>
      <c r="AA130" s="392"/>
      <c r="AB130" s="413">
        <v>45908.0</v>
      </c>
      <c r="AC130" s="419"/>
      <c r="AD130" s="404" t="s">
        <v>529</v>
      </c>
      <c r="AE130" s="404" t="s">
        <v>570</v>
      </c>
      <c r="AF130" s="418" t="s">
        <v>531</v>
      </c>
      <c r="AG130" s="403" t="s">
        <v>532</v>
      </c>
      <c r="AH130" s="414" t="s">
        <v>621</v>
      </c>
      <c r="AI130" s="410">
        <v>11.0</v>
      </c>
      <c r="AJ130" s="410" t="s">
        <v>534</v>
      </c>
    </row>
    <row r="131">
      <c r="A131" s="403">
        <v>2025.0</v>
      </c>
      <c r="B131" s="403">
        <v>9.0</v>
      </c>
      <c r="C131" s="403" t="s">
        <v>862</v>
      </c>
      <c r="D131" s="405">
        <v>2.02501739E8</v>
      </c>
      <c r="E131" s="403" t="s">
        <v>512</v>
      </c>
      <c r="F131" s="403" t="s">
        <v>535</v>
      </c>
      <c r="G131" s="403" t="s">
        <v>1381</v>
      </c>
      <c r="H131" s="403" t="s">
        <v>1388</v>
      </c>
      <c r="I131" s="403" t="s">
        <v>537</v>
      </c>
      <c r="J131" s="403" t="s">
        <v>1018</v>
      </c>
      <c r="K131" s="403" t="s">
        <v>517</v>
      </c>
      <c r="L131" s="403" t="s">
        <v>518</v>
      </c>
      <c r="M131" s="403" t="s">
        <v>557</v>
      </c>
      <c r="N131" s="403" t="str">
        <f>BUSCARX(R[0]C[-1],CONVENCIONES!R12C1:R42C1,CONVENCIONES!R12C2:R42C2)</f>
        <v>#ERROR!</v>
      </c>
      <c r="O131" s="403" t="s">
        <v>1003</v>
      </c>
      <c r="P131" s="403" t="s">
        <v>1389</v>
      </c>
      <c r="Q131" s="403" t="s">
        <v>540</v>
      </c>
      <c r="R131" s="403">
        <v>1.030677352E9</v>
      </c>
      <c r="S131" s="403" t="s">
        <v>1390</v>
      </c>
      <c r="T131" s="403" t="s">
        <v>1391</v>
      </c>
      <c r="U131" s="403" t="s">
        <v>687</v>
      </c>
      <c r="V131" s="403">
        <v>3.14796221E9</v>
      </c>
      <c r="W131" s="404" t="s">
        <v>525</v>
      </c>
      <c r="X131" s="404" t="s">
        <v>526</v>
      </c>
      <c r="Y131" s="404" t="s">
        <v>702</v>
      </c>
      <c r="Z131" s="404" t="s">
        <v>603</v>
      </c>
      <c r="AA131" s="392"/>
      <c r="AB131" s="413">
        <v>45908.0</v>
      </c>
      <c r="AC131" s="419"/>
      <c r="AD131" s="404" t="s">
        <v>529</v>
      </c>
      <c r="AE131" s="404" t="s">
        <v>570</v>
      </c>
      <c r="AF131" s="418" t="s">
        <v>531</v>
      </c>
      <c r="AG131" s="403" t="s">
        <v>532</v>
      </c>
      <c r="AH131" s="414" t="s">
        <v>621</v>
      </c>
      <c r="AI131" s="410">
        <v>11.0</v>
      </c>
      <c r="AJ131" s="410" t="s">
        <v>534</v>
      </c>
    </row>
    <row r="132">
      <c r="A132" s="403">
        <v>2025.0</v>
      </c>
      <c r="B132" s="403">
        <v>9.0</v>
      </c>
      <c r="C132" s="403" t="s">
        <v>862</v>
      </c>
      <c r="D132" s="405">
        <v>2.0250174E8</v>
      </c>
      <c r="E132" s="403" t="s">
        <v>512</v>
      </c>
      <c r="F132" s="403" t="s">
        <v>535</v>
      </c>
      <c r="G132" s="403" t="s">
        <v>1381</v>
      </c>
      <c r="H132" s="403" t="s">
        <v>1392</v>
      </c>
      <c r="I132" s="403" t="s">
        <v>537</v>
      </c>
      <c r="J132" s="403" t="s">
        <v>1393</v>
      </c>
      <c r="K132" s="403" t="s">
        <v>517</v>
      </c>
      <c r="L132" s="403" t="s">
        <v>518</v>
      </c>
      <c r="M132" s="403" t="s">
        <v>557</v>
      </c>
      <c r="N132" s="403" t="str">
        <f>BUSCARX(R[0]C[-1],CONVENCIONES!R12C1:R42C1,CONVENCIONES!R12C2:R42C2)</f>
        <v>#ERROR!</v>
      </c>
      <c r="O132" s="403" t="s">
        <v>1003</v>
      </c>
      <c r="P132" s="403" t="s">
        <v>1394</v>
      </c>
      <c r="Q132" s="403" t="s">
        <v>540</v>
      </c>
      <c r="R132" s="403">
        <v>1.003863761E9</v>
      </c>
      <c r="S132" s="403" t="s">
        <v>1385</v>
      </c>
      <c r="T132" s="403" t="s">
        <v>1386</v>
      </c>
      <c r="U132" s="403" t="s">
        <v>687</v>
      </c>
      <c r="V132" s="403">
        <v>3.14796221E9</v>
      </c>
      <c r="W132" s="404" t="s">
        <v>525</v>
      </c>
      <c r="X132" s="404" t="s">
        <v>526</v>
      </c>
      <c r="Y132" s="404" t="s">
        <v>702</v>
      </c>
      <c r="Z132" s="404" t="s">
        <v>603</v>
      </c>
      <c r="AA132" s="392"/>
      <c r="AB132" s="413">
        <v>45908.0</v>
      </c>
      <c r="AC132" s="419"/>
      <c r="AD132" s="404" t="s">
        <v>529</v>
      </c>
      <c r="AE132" s="404" t="s">
        <v>570</v>
      </c>
      <c r="AF132" s="418" t="s">
        <v>531</v>
      </c>
      <c r="AG132" s="403" t="s">
        <v>532</v>
      </c>
      <c r="AH132" s="414" t="s">
        <v>621</v>
      </c>
      <c r="AI132" s="410">
        <v>11.0</v>
      </c>
      <c r="AJ132" s="410" t="s">
        <v>534</v>
      </c>
    </row>
    <row r="133">
      <c r="A133" s="403">
        <v>2025.0</v>
      </c>
      <c r="B133" s="403">
        <v>9.0</v>
      </c>
      <c r="C133" s="403" t="s">
        <v>862</v>
      </c>
      <c r="D133" s="405">
        <v>2.02501767E8</v>
      </c>
      <c r="E133" s="403" t="s">
        <v>512</v>
      </c>
      <c r="F133" s="403" t="s">
        <v>513</v>
      </c>
      <c r="G133" s="403" t="s">
        <v>1395</v>
      </c>
      <c r="H133" s="403" t="s">
        <v>1396</v>
      </c>
      <c r="I133" s="403" t="s">
        <v>516</v>
      </c>
      <c r="J133" s="403" t="s">
        <v>845</v>
      </c>
      <c r="K133" s="403" t="s">
        <v>517</v>
      </c>
      <c r="L133" s="403" t="s">
        <v>518</v>
      </c>
      <c r="M133" s="403" t="s">
        <v>548</v>
      </c>
      <c r="N133" s="403" t="str">
        <f>BUSCARX(R[0]C[-1],CONVENCIONES!R12C1:R42C1,CONVENCIONES!R12C2:R42C2)</f>
        <v>#ERROR!</v>
      </c>
      <c r="O133" s="403" t="s">
        <v>1003</v>
      </c>
      <c r="P133" s="403" t="s">
        <v>1397</v>
      </c>
      <c r="Q133" s="403" t="s">
        <v>540</v>
      </c>
      <c r="R133" s="403" t="s">
        <v>1398</v>
      </c>
      <c r="S133" s="403" t="s">
        <v>1399</v>
      </c>
      <c r="T133" s="403" t="s">
        <v>1400</v>
      </c>
      <c r="U133" s="403" t="s">
        <v>1093</v>
      </c>
      <c r="V133" s="403">
        <v>3.053918898E9</v>
      </c>
      <c r="W133" s="404" t="s">
        <v>525</v>
      </c>
      <c r="X133" s="404" t="s">
        <v>526</v>
      </c>
      <c r="Y133" s="404" t="s">
        <v>702</v>
      </c>
      <c r="Z133" s="404" t="s">
        <v>603</v>
      </c>
      <c r="AA133" s="392"/>
      <c r="AB133" s="413">
        <v>45910.0</v>
      </c>
      <c r="AC133" s="419"/>
      <c r="AD133" s="404" t="s">
        <v>529</v>
      </c>
      <c r="AE133" s="404" t="s">
        <v>570</v>
      </c>
      <c r="AF133" s="418" t="s">
        <v>531</v>
      </c>
      <c r="AG133" s="403" t="s">
        <v>532</v>
      </c>
      <c r="AH133" s="414" t="s">
        <v>621</v>
      </c>
      <c r="AI133" s="410">
        <v>11.0</v>
      </c>
      <c r="AJ133" s="410" t="s">
        <v>534</v>
      </c>
    </row>
    <row r="134">
      <c r="A134" s="403">
        <v>2025.0</v>
      </c>
      <c r="B134" s="403">
        <v>9.0</v>
      </c>
      <c r="C134" s="403" t="s">
        <v>862</v>
      </c>
      <c r="D134" s="405">
        <v>2.02501784E8</v>
      </c>
      <c r="E134" s="404" t="s">
        <v>512</v>
      </c>
      <c r="F134" s="403" t="s">
        <v>513</v>
      </c>
      <c r="G134" s="403" t="s">
        <v>1401</v>
      </c>
      <c r="H134" s="403" t="s">
        <v>1402</v>
      </c>
      <c r="I134" s="403" t="s">
        <v>516</v>
      </c>
      <c r="J134" s="403" t="s">
        <v>845</v>
      </c>
      <c r="K134" s="403" t="s">
        <v>517</v>
      </c>
      <c r="L134" s="403" t="s">
        <v>518</v>
      </c>
      <c r="M134" s="403" t="s">
        <v>548</v>
      </c>
      <c r="N134" s="403" t="str">
        <f>BUSCARX(R[0]C[-1],CONVENCIONES!R12C1:R42C1,CONVENCIONES!R12C2:R42C2)</f>
        <v>#ERROR!</v>
      </c>
      <c r="O134" s="403" t="s">
        <v>1003</v>
      </c>
      <c r="P134" s="403" t="s">
        <v>1403</v>
      </c>
      <c r="Q134" s="403" t="s">
        <v>540</v>
      </c>
      <c r="R134" s="403">
        <v>5.2973112E7</v>
      </c>
      <c r="S134" s="403" t="s">
        <v>1404</v>
      </c>
      <c r="T134" s="403" t="s">
        <v>1405</v>
      </c>
      <c r="U134" s="403" t="s">
        <v>1406</v>
      </c>
      <c r="V134" s="403">
        <v>3.203903292E9</v>
      </c>
      <c r="W134" s="404" t="s">
        <v>525</v>
      </c>
      <c r="X134" s="404" t="s">
        <v>526</v>
      </c>
      <c r="Y134" s="404" t="s">
        <v>702</v>
      </c>
      <c r="Z134" s="404" t="s">
        <v>603</v>
      </c>
      <c r="AA134" s="392"/>
      <c r="AB134" s="413">
        <v>45920.0</v>
      </c>
      <c r="AC134" s="419"/>
      <c r="AD134" s="404" t="s">
        <v>529</v>
      </c>
      <c r="AE134" s="404" t="s">
        <v>570</v>
      </c>
      <c r="AF134" s="418" t="s">
        <v>531</v>
      </c>
      <c r="AG134" s="403" t="s">
        <v>532</v>
      </c>
      <c r="AH134" s="414" t="s">
        <v>621</v>
      </c>
      <c r="AI134" s="410">
        <v>12.0</v>
      </c>
      <c r="AJ134" s="410" t="s">
        <v>534</v>
      </c>
    </row>
    <row r="135">
      <c r="A135" s="403">
        <v>2025.0</v>
      </c>
      <c r="B135" s="403">
        <v>9.0</v>
      </c>
      <c r="C135" s="403" t="s">
        <v>862</v>
      </c>
      <c r="D135" s="405">
        <v>2.02501856E8</v>
      </c>
      <c r="E135" s="403" t="s">
        <v>512</v>
      </c>
      <c r="F135" s="403" t="s">
        <v>513</v>
      </c>
      <c r="G135" s="403" t="s">
        <v>1407</v>
      </c>
      <c r="H135" s="431" t="s">
        <v>1408</v>
      </c>
      <c r="I135" s="403" t="s">
        <v>516</v>
      </c>
      <c r="J135" s="403" t="s">
        <v>1409</v>
      </c>
      <c r="K135" s="403" t="s">
        <v>517</v>
      </c>
      <c r="L135" s="403" t="s">
        <v>518</v>
      </c>
      <c r="M135" s="403" t="s">
        <v>548</v>
      </c>
      <c r="N135" s="392"/>
      <c r="O135" s="403" t="s">
        <v>1003</v>
      </c>
      <c r="P135" s="403" t="s">
        <v>1410</v>
      </c>
      <c r="Q135" s="403" t="s">
        <v>540</v>
      </c>
      <c r="R135" s="403">
        <v>5.2177426E7</v>
      </c>
      <c r="S135" s="403" t="s">
        <v>1411</v>
      </c>
      <c r="T135" s="403" t="s">
        <v>1412</v>
      </c>
      <c r="U135" s="403" t="s">
        <v>53</v>
      </c>
      <c r="V135" s="403">
        <v>3.138506396E9</v>
      </c>
      <c r="W135" s="404" t="s">
        <v>525</v>
      </c>
      <c r="X135" s="404" t="s">
        <v>526</v>
      </c>
      <c r="Y135" s="404" t="s">
        <v>702</v>
      </c>
      <c r="Z135" s="404" t="s">
        <v>603</v>
      </c>
      <c r="AA135" s="392"/>
      <c r="AB135" s="413">
        <v>45924.0</v>
      </c>
      <c r="AC135" s="419"/>
      <c r="AD135" s="404" t="s">
        <v>529</v>
      </c>
      <c r="AE135" s="404" t="s">
        <v>570</v>
      </c>
      <c r="AF135" s="407" t="s">
        <v>531</v>
      </c>
      <c r="AG135" s="403" t="s">
        <v>532</v>
      </c>
      <c r="AH135" s="414" t="s">
        <v>621</v>
      </c>
      <c r="AI135" s="410">
        <v>13.0</v>
      </c>
      <c r="AJ135" s="410" t="s">
        <v>534</v>
      </c>
    </row>
    <row r="136">
      <c r="A136" s="403">
        <v>2025.0</v>
      </c>
      <c r="B136" s="403">
        <v>9.0</v>
      </c>
      <c r="C136" s="403" t="s">
        <v>862</v>
      </c>
      <c r="D136" s="405">
        <v>2.02501857E8</v>
      </c>
      <c r="E136" s="403" t="s">
        <v>512</v>
      </c>
      <c r="F136" s="403" t="s">
        <v>513</v>
      </c>
      <c r="G136" s="403" t="s">
        <v>1407</v>
      </c>
      <c r="H136" s="403" t="s">
        <v>1413</v>
      </c>
      <c r="I136" s="403" t="s">
        <v>516</v>
      </c>
      <c r="J136" s="403" t="s">
        <v>1414</v>
      </c>
      <c r="K136" s="403" t="s">
        <v>517</v>
      </c>
      <c r="L136" s="403" t="s">
        <v>518</v>
      </c>
      <c r="M136" s="403" t="s">
        <v>548</v>
      </c>
      <c r="N136" s="392"/>
      <c r="O136" s="403" t="s">
        <v>1003</v>
      </c>
      <c r="P136" s="403" t="s">
        <v>1415</v>
      </c>
      <c r="Q136" s="403" t="s">
        <v>540</v>
      </c>
      <c r="R136" s="403">
        <v>3.5497022E7</v>
      </c>
      <c r="S136" s="403" t="s">
        <v>1416</v>
      </c>
      <c r="T136" s="403" t="s">
        <v>1417</v>
      </c>
      <c r="U136" s="403" t="s">
        <v>1418</v>
      </c>
      <c r="V136" s="403">
        <v>3.112127177E9</v>
      </c>
      <c r="W136" s="404" t="s">
        <v>525</v>
      </c>
      <c r="X136" s="404" t="s">
        <v>526</v>
      </c>
      <c r="Y136" s="404" t="s">
        <v>702</v>
      </c>
      <c r="Z136" s="404" t="s">
        <v>603</v>
      </c>
      <c r="AA136" s="392"/>
      <c r="AB136" s="413">
        <v>45924.0</v>
      </c>
      <c r="AC136" s="419"/>
      <c r="AD136" s="404" t="s">
        <v>529</v>
      </c>
      <c r="AE136" s="404" t="s">
        <v>570</v>
      </c>
      <c r="AF136" s="407" t="s">
        <v>531</v>
      </c>
      <c r="AG136" s="403" t="s">
        <v>532</v>
      </c>
      <c r="AH136" s="414" t="s">
        <v>621</v>
      </c>
      <c r="AI136" s="410">
        <v>13.0</v>
      </c>
      <c r="AJ136" s="410" t="s">
        <v>534</v>
      </c>
    </row>
    <row r="137">
      <c r="A137" s="403">
        <v>2025.0</v>
      </c>
      <c r="B137" s="403">
        <v>10.0</v>
      </c>
      <c r="C137" s="403" t="s">
        <v>895</v>
      </c>
      <c r="D137" s="405">
        <v>2.02501959E8</v>
      </c>
      <c r="E137" s="403" t="s">
        <v>512</v>
      </c>
      <c r="F137" s="403" t="s">
        <v>535</v>
      </c>
      <c r="G137" s="403" t="s">
        <v>1419</v>
      </c>
      <c r="H137" s="403" t="s">
        <v>1420</v>
      </c>
      <c r="I137" s="403" t="s">
        <v>537</v>
      </c>
      <c r="J137" s="403" t="s">
        <v>133</v>
      </c>
      <c r="K137" s="403" t="s">
        <v>517</v>
      </c>
      <c r="L137" s="403" t="s">
        <v>518</v>
      </c>
      <c r="M137" s="403" t="s">
        <v>704</v>
      </c>
      <c r="N137" s="392"/>
      <c r="O137" s="403" t="s">
        <v>1003</v>
      </c>
      <c r="P137" s="403" t="s">
        <v>1421</v>
      </c>
      <c r="Q137" s="403" t="s">
        <v>540</v>
      </c>
      <c r="R137" s="403">
        <v>1.030692308E9</v>
      </c>
      <c r="S137" s="403" t="s">
        <v>1422</v>
      </c>
      <c r="T137" s="403" t="s">
        <v>1423</v>
      </c>
      <c r="U137" s="403" t="s">
        <v>1424</v>
      </c>
      <c r="V137" s="403">
        <v>3.057209825E9</v>
      </c>
      <c r="W137" s="404" t="s">
        <v>525</v>
      </c>
      <c r="X137" s="404" t="s">
        <v>526</v>
      </c>
      <c r="Y137" s="404" t="s">
        <v>702</v>
      </c>
      <c r="Z137" s="404" t="s">
        <v>603</v>
      </c>
      <c r="AA137" s="392"/>
      <c r="AB137" s="413">
        <v>45937.0</v>
      </c>
      <c r="AC137" s="419"/>
      <c r="AD137" s="404" t="s">
        <v>529</v>
      </c>
      <c r="AE137" s="404" t="s">
        <v>570</v>
      </c>
      <c r="AF137" s="418" t="s">
        <v>531</v>
      </c>
      <c r="AG137" s="403" t="s">
        <v>532</v>
      </c>
      <c r="AH137" s="432" t="s">
        <v>1425</v>
      </c>
      <c r="AI137" s="410">
        <v>14.0</v>
      </c>
      <c r="AJ137" s="410" t="s">
        <v>534</v>
      </c>
    </row>
    <row r="138">
      <c r="A138" s="403">
        <v>2025.0</v>
      </c>
      <c r="B138" s="403">
        <v>10.0</v>
      </c>
      <c r="C138" s="403" t="s">
        <v>895</v>
      </c>
      <c r="D138" s="405">
        <v>2.0250196E8</v>
      </c>
      <c r="E138" s="403" t="s">
        <v>512</v>
      </c>
      <c r="F138" s="403" t="s">
        <v>535</v>
      </c>
      <c r="G138" s="403" t="s">
        <v>1419</v>
      </c>
      <c r="H138" s="403" t="s">
        <v>1420</v>
      </c>
      <c r="I138" s="403" t="s">
        <v>537</v>
      </c>
      <c r="J138" s="403" t="s">
        <v>1426</v>
      </c>
      <c r="K138" s="403" t="s">
        <v>517</v>
      </c>
      <c r="L138" s="403" t="s">
        <v>518</v>
      </c>
      <c r="M138" s="403" t="s">
        <v>565</v>
      </c>
      <c r="N138" s="392"/>
      <c r="O138" s="403" t="s">
        <v>1003</v>
      </c>
      <c r="P138" s="403" t="s">
        <v>1427</v>
      </c>
      <c r="Q138" s="403" t="s">
        <v>540</v>
      </c>
      <c r="R138" s="403">
        <v>1.018456791E9</v>
      </c>
      <c r="S138" s="403" t="s">
        <v>1041</v>
      </c>
      <c r="T138" s="403" t="s">
        <v>1428</v>
      </c>
      <c r="U138" s="403" t="s">
        <v>1429</v>
      </c>
      <c r="V138" s="403">
        <v>3.236775165E9</v>
      </c>
      <c r="W138" s="404" t="s">
        <v>525</v>
      </c>
      <c r="X138" s="404" t="s">
        <v>526</v>
      </c>
      <c r="Y138" s="404" t="s">
        <v>702</v>
      </c>
      <c r="Z138" s="404" t="s">
        <v>603</v>
      </c>
      <c r="AA138" s="392"/>
      <c r="AB138" s="413">
        <v>45937.0</v>
      </c>
      <c r="AC138" s="419"/>
      <c r="AD138" s="404" t="s">
        <v>529</v>
      </c>
      <c r="AE138" s="404" t="s">
        <v>570</v>
      </c>
      <c r="AF138" s="418" t="s">
        <v>531</v>
      </c>
      <c r="AG138" s="403" t="s">
        <v>532</v>
      </c>
      <c r="AH138" s="432" t="s">
        <v>1430</v>
      </c>
      <c r="AI138" s="410">
        <v>14.0</v>
      </c>
      <c r="AJ138" s="410" t="s">
        <v>534</v>
      </c>
    </row>
    <row r="139">
      <c r="A139" s="403">
        <v>2025.0</v>
      </c>
      <c r="B139" s="403">
        <v>10.0</v>
      </c>
      <c r="C139" s="403" t="s">
        <v>895</v>
      </c>
      <c r="D139" s="405">
        <v>2.02501961E8</v>
      </c>
      <c r="E139" s="403" t="s">
        <v>512</v>
      </c>
      <c r="F139" s="403" t="s">
        <v>856</v>
      </c>
      <c r="G139" s="403" t="s">
        <v>1431</v>
      </c>
      <c r="H139" s="403" t="s">
        <v>1432</v>
      </c>
      <c r="I139" s="403" t="s">
        <v>564</v>
      </c>
      <c r="J139" s="403" t="s">
        <v>428</v>
      </c>
      <c r="K139" s="403" t="s">
        <v>517</v>
      </c>
      <c r="L139" s="403" t="s">
        <v>518</v>
      </c>
      <c r="M139" s="403" t="s">
        <v>557</v>
      </c>
      <c r="N139" s="392"/>
      <c r="O139" s="403" t="s">
        <v>1003</v>
      </c>
      <c r="P139" s="403" t="s">
        <v>1433</v>
      </c>
      <c r="Q139" s="403" t="s">
        <v>521</v>
      </c>
      <c r="R139" s="403">
        <v>7215786.0</v>
      </c>
      <c r="S139" s="403" t="s">
        <v>1434</v>
      </c>
      <c r="T139" s="403" t="s">
        <v>1435</v>
      </c>
      <c r="U139" s="403" t="s">
        <v>1436</v>
      </c>
      <c r="V139" s="403">
        <v>3.138301787E9</v>
      </c>
      <c r="W139" s="404" t="s">
        <v>525</v>
      </c>
      <c r="X139" s="404" t="s">
        <v>526</v>
      </c>
      <c r="Y139" s="404" t="s">
        <v>702</v>
      </c>
      <c r="Z139" s="404" t="s">
        <v>603</v>
      </c>
      <c r="AA139" s="392"/>
      <c r="AB139" s="413">
        <v>45937.0</v>
      </c>
      <c r="AC139" s="409"/>
      <c r="AD139" s="404" t="s">
        <v>529</v>
      </c>
      <c r="AE139" s="404" t="s">
        <v>570</v>
      </c>
      <c r="AF139" s="418" t="s">
        <v>531</v>
      </c>
      <c r="AG139" s="403" t="s">
        <v>532</v>
      </c>
      <c r="AH139" s="432" t="s">
        <v>1437</v>
      </c>
      <c r="AI139" s="410">
        <v>14.0</v>
      </c>
      <c r="AJ139" s="410" t="s">
        <v>534</v>
      </c>
    </row>
    <row r="140">
      <c r="A140" s="403">
        <v>2025.0</v>
      </c>
      <c r="B140" s="403">
        <v>10.0</v>
      </c>
      <c r="C140" s="403" t="s">
        <v>895</v>
      </c>
      <c r="D140" s="405">
        <v>2.02501968E8</v>
      </c>
      <c r="E140" s="403" t="s">
        <v>512</v>
      </c>
      <c r="F140" s="403" t="s">
        <v>1438</v>
      </c>
      <c r="G140" s="403" t="s">
        <v>1439</v>
      </c>
      <c r="H140" s="403" t="s">
        <v>1439</v>
      </c>
      <c r="I140" s="403" t="s">
        <v>564</v>
      </c>
      <c r="J140" s="403" t="s">
        <v>1440</v>
      </c>
      <c r="K140" s="403" t="s">
        <v>517</v>
      </c>
      <c r="L140" s="403" t="s">
        <v>518</v>
      </c>
      <c r="M140" s="403" t="s">
        <v>1441</v>
      </c>
      <c r="N140" s="403" t="str">
        <f>BUSCARX(R[0]C[-1],CONVENCIONES!R12C1:R42C1,CONVENCIONES!R12C2:R42C2)</f>
        <v>#ERROR!</v>
      </c>
      <c r="O140" s="403" t="s">
        <v>1003</v>
      </c>
      <c r="P140" s="403" t="s">
        <v>1442</v>
      </c>
      <c r="Q140" s="403" t="s">
        <v>521</v>
      </c>
      <c r="R140" s="403">
        <v>7.9427906E7</v>
      </c>
      <c r="S140" s="403" t="s">
        <v>1443</v>
      </c>
      <c r="T140" s="403" t="s">
        <v>1444</v>
      </c>
      <c r="U140" s="403" t="s">
        <v>1445</v>
      </c>
      <c r="V140" s="403">
        <v>3.209821893E9</v>
      </c>
      <c r="W140" s="404" t="s">
        <v>525</v>
      </c>
      <c r="X140" s="404" t="s">
        <v>526</v>
      </c>
      <c r="Y140" s="404" t="s">
        <v>702</v>
      </c>
      <c r="Z140" s="404" t="s">
        <v>603</v>
      </c>
      <c r="AA140" s="392"/>
      <c r="AB140" s="413">
        <v>45938.0</v>
      </c>
      <c r="AC140" s="419"/>
      <c r="AD140" s="404" t="s">
        <v>529</v>
      </c>
      <c r="AE140" s="404" t="s">
        <v>1446</v>
      </c>
      <c r="AF140" s="418" t="s">
        <v>531</v>
      </c>
      <c r="AG140" s="403" t="s">
        <v>532</v>
      </c>
      <c r="AH140" s="425" t="s">
        <v>1447</v>
      </c>
      <c r="AI140" s="410">
        <v>14.0</v>
      </c>
      <c r="AJ140" s="410" t="s">
        <v>534</v>
      </c>
    </row>
    <row r="141">
      <c r="A141" s="403">
        <v>2025.0</v>
      </c>
      <c r="B141" s="403">
        <v>10.0</v>
      </c>
      <c r="C141" s="403" t="s">
        <v>895</v>
      </c>
      <c r="D141" s="405">
        <v>2.02502042E8</v>
      </c>
      <c r="E141" s="403" t="s">
        <v>512</v>
      </c>
      <c r="F141" s="403" t="s">
        <v>856</v>
      </c>
      <c r="G141" s="403" t="s">
        <v>856</v>
      </c>
      <c r="H141" s="403" t="s">
        <v>1448</v>
      </c>
      <c r="I141" s="403" t="s">
        <v>564</v>
      </c>
      <c r="J141" s="403" t="s">
        <v>1449</v>
      </c>
      <c r="K141" s="403" t="s">
        <v>517</v>
      </c>
      <c r="L141" s="403" t="s">
        <v>518</v>
      </c>
      <c r="M141" s="403" t="s">
        <v>548</v>
      </c>
      <c r="N141" s="403" t="str">
        <f>BUSCARX(R[0]C[-1],CONVENCIONES!R12C1:R42C1,CONVENCIONES!R12C2:R42C2)</f>
        <v>#ERROR!</v>
      </c>
      <c r="O141" s="403" t="s">
        <v>1003</v>
      </c>
      <c r="P141" s="403" t="s">
        <v>1450</v>
      </c>
      <c r="Q141" s="403" t="s">
        <v>540</v>
      </c>
      <c r="R141" s="403">
        <v>3.7695582E7</v>
      </c>
      <c r="S141" s="403" t="s">
        <v>1451</v>
      </c>
      <c r="T141" s="403" t="s">
        <v>1452</v>
      </c>
      <c r="U141" s="403" t="s">
        <v>1453</v>
      </c>
      <c r="V141" s="403">
        <v>3.011577191E9</v>
      </c>
      <c r="W141" s="404" t="s">
        <v>525</v>
      </c>
      <c r="X141" s="404" t="s">
        <v>526</v>
      </c>
      <c r="Y141" s="404" t="s">
        <v>702</v>
      </c>
      <c r="Z141" s="404" t="s">
        <v>603</v>
      </c>
      <c r="AA141" s="392"/>
      <c r="AB141" s="413">
        <v>45944.0</v>
      </c>
      <c r="AC141" s="419"/>
      <c r="AD141" s="404" t="s">
        <v>529</v>
      </c>
      <c r="AE141" s="404" t="s">
        <v>570</v>
      </c>
      <c r="AF141" s="418" t="s">
        <v>531</v>
      </c>
      <c r="AG141" s="403" t="s">
        <v>532</v>
      </c>
      <c r="AH141" s="433" t="s">
        <v>1454</v>
      </c>
      <c r="AI141" s="410">
        <v>15.0</v>
      </c>
      <c r="AJ141" s="410" t="s">
        <v>534</v>
      </c>
    </row>
    <row r="142">
      <c r="A142" s="403">
        <v>2025.0</v>
      </c>
      <c r="B142" s="403">
        <v>10.0</v>
      </c>
      <c r="C142" s="403" t="s">
        <v>895</v>
      </c>
      <c r="D142" s="405">
        <v>2.02502049E8</v>
      </c>
      <c r="E142" s="403" t="s">
        <v>512</v>
      </c>
      <c r="F142" s="403" t="s">
        <v>513</v>
      </c>
      <c r="G142" s="403" t="s">
        <v>1135</v>
      </c>
      <c r="H142" s="403" t="s">
        <v>1455</v>
      </c>
      <c r="I142" s="403" t="s">
        <v>516</v>
      </c>
      <c r="J142" s="403" t="s">
        <v>442</v>
      </c>
      <c r="K142" s="403" t="s">
        <v>517</v>
      </c>
      <c r="L142" s="403" t="s">
        <v>518</v>
      </c>
      <c r="M142" s="403" t="s">
        <v>548</v>
      </c>
      <c r="N142" s="403" t="str">
        <f>BUSCARX(R[0]C[-1],CONVENCIONES!R12C1:R42C1,CONVENCIONES!R12C2:R42C2)</f>
        <v>#ERROR!</v>
      </c>
      <c r="O142" s="403" t="s">
        <v>1003</v>
      </c>
      <c r="P142" s="403" t="s">
        <v>1456</v>
      </c>
      <c r="Q142" s="403" t="s">
        <v>521</v>
      </c>
      <c r="R142" s="403">
        <v>7.6231536E7</v>
      </c>
      <c r="S142" s="403" t="s">
        <v>1457</v>
      </c>
      <c r="T142" s="403" t="s">
        <v>1458</v>
      </c>
      <c r="U142" s="403" t="s">
        <v>1459</v>
      </c>
      <c r="V142" s="403">
        <v>3.115010594E9</v>
      </c>
      <c r="W142" s="404" t="s">
        <v>525</v>
      </c>
      <c r="X142" s="404" t="s">
        <v>526</v>
      </c>
      <c r="Y142" s="404" t="s">
        <v>702</v>
      </c>
      <c r="Z142" s="404" t="s">
        <v>603</v>
      </c>
      <c r="AA142" s="392"/>
      <c r="AB142" s="413">
        <v>45946.0</v>
      </c>
      <c r="AC142" s="419"/>
      <c r="AD142" s="404" t="s">
        <v>529</v>
      </c>
      <c r="AE142" s="404" t="s">
        <v>570</v>
      </c>
      <c r="AF142" s="418" t="s">
        <v>531</v>
      </c>
      <c r="AG142" s="403" t="s">
        <v>532</v>
      </c>
      <c r="AH142" s="432" t="s">
        <v>1460</v>
      </c>
      <c r="AI142" s="410">
        <v>15.0</v>
      </c>
      <c r="AJ142" s="410" t="s">
        <v>534</v>
      </c>
    </row>
    <row r="143">
      <c r="A143" s="403">
        <v>2025.0</v>
      </c>
      <c r="B143" s="403">
        <v>10.0</v>
      </c>
      <c r="C143" s="403" t="s">
        <v>895</v>
      </c>
      <c r="D143" s="405">
        <v>2.02502072E8</v>
      </c>
      <c r="E143" s="403" t="s">
        <v>512</v>
      </c>
      <c r="F143" s="403" t="s">
        <v>513</v>
      </c>
      <c r="G143" s="403" t="s">
        <v>1461</v>
      </c>
      <c r="H143" s="403" t="s">
        <v>1462</v>
      </c>
      <c r="I143" s="403" t="s">
        <v>516</v>
      </c>
      <c r="J143" s="403" t="s">
        <v>428</v>
      </c>
      <c r="K143" s="403" t="s">
        <v>517</v>
      </c>
      <c r="L143" s="403" t="s">
        <v>518</v>
      </c>
      <c r="M143" s="403" t="s">
        <v>548</v>
      </c>
      <c r="N143" s="392"/>
      <c r="O143" s="403" t="s">
        <v>1003</v>
      </c>
      <c r="P143" s="403" t="s">
        <v>1463</v>
      </c>
      <c r="Q143" s="403" t="s">
        <v>540</v>
      </c>
      <c r="R143" s="403">
        <v>4.0761547E7</v>
      </c>
      <c r="S143" s="403" t="s">
        <v>1464</v>
      </c>
      <c r="T143" s="403" t="s">
        <v>1465</v>
      </c>
      <c r="U143" s="403" t="s">
        <v>1466</v>
      </c>
      <c r="V143" s="403">
        <v>3.125247796E9</v>
      </c>
      <c r="W143" s="404" t="s">
        <v>525</v>
      </c>
      <c r="X143" s="404" t="s">
        <v>526</v>
      </c>
      <c r="Y143" s="404" t="s">
        <v>702</v>
      </c>
      <c r="Z143" s="404" t="s">
        <v>603</v>
      </c>
      <c r="AA143" s="392"/>
      <c r="AB143" s="413">
        <v>45951.0</v>
      </c>
      <c r="AC143" s="419"/>
      <c r="AD143" s="404" t="s">
        <v>529</v>
      </c>
      <c r="AE143" s="404" t="s">
        <v>570</v>
      </c>
      <c r="AF143" s="418" t="s">
        <v>531</v>
      </c>
      <c r="AG143" s="403" t="s">
        <v>532</v>
      </c>
      <c r="AH143" s="433" t="s">
        <v>1467</v>
      </c>
      <c r="AI143" s="410">
        <v>15.0</v>
      </c>
      <c r="AJ143" s="410" t="s">
        <v>534</v>
      </c>
    </row>
    <row r="144">
      <c r="A144" s="403">
        <v>2025.0</v>
      </c>
      <c r="B144" s="403">
        <v>10.0</v>
      </c>
      <c r="C144" s="403" t="s">
        <v>895</v>
      </c>
      <c r="D144" s="405">
        <v>2.02502079E8</v>
      </c>
      <c r="E144" s="403" t="s">
        <v>512</v>
      </c>
      <c r="F144" s="403" t="s">
        <v>513</v>
      </c>
      <c r="G144" s="403" t="s">
        <v>1468</v>
      </c>
      <c r="H144" s="403" t="s">
        <v>1469</v>
      </c>
      <c r="I144" s="403" t="s">
        <v>516</v>
      </c>
      <c r="J144" s="403" t="s">
        <v>428</v>
      </c>
      <c r="K144" s="403" t="s">
        <v>517</v>
      </c>
      <c r="L144" s="403" t="s">
        <v>518</v>
      </c>
      <c r="M144" s="403" t="s">
        <v>548</v>
      </c>
      <c r="N144" s="392"/>
      <c r="O144" s="403" t="s">
        <v>1003</v>
      </c>
      <c r="P144" s="403" t="s">
        <v>1470</v>
      </c>
      <c r="Q144" s="403" t="s">
        <v>521</v>
      </c>
      <c r="R144" s="403">
        <v>1.9389158E7</v>
      </c>
      <c r="S144" s="403" t="s">
        <v>1471</v>
      </c>
      <c r="T144" s="403" t="s">
        <v>1472</v>
      </c>
      <c r="U144" s="403" t="s">
        <v>1473</v>
      </c>
      <c r="V144" s="403">
        <v>3.134496835E9</v>
      </c>
      <c r="W144" s="404" t="s">
        <v>525</v>
      </c>
      <c r="X144" s="404" t="s">
        <v>526</v>
      </c>
      <c r="Y144" s="404" t="s">
        <v>702</v>
      </c>
      <c r="Z144" s="404" t="s">
        <v>603</v>
      </c>
      <c r="AA144" s="392"/>
      <c r="AB144" s="413">
        <v>45951.0</v>
      </c>
      <c r="AC144" s="419"/>
      <c r="AD144" s="404" t="s">
        <v>529</v>
      </c>
      <c r="AE144" s="404" t="s">
        <v>570</v>
      </c>
      <c r="AF144" s="418" t="s">
        <v>531</v>
      </c>
      <c r="AG144" s="403" t="s">
        <v>532</v>
      </c>
      <c r="AH144" s="433" t="s">
        <v>1474</v>
      </c>
      <c r="AI144" s="410">
        <v>15.0</v>
      </c>
      <c r="AJ144" s="410" t="s">
        <v>534</v>
      </c>
    </row>
    <row r="145">
      <c r="A145" s="403">
        <v>2025.0</v>
      </c>
      <c r="B145" s="403">
        <v>10.0</v>
      </c>
      <c r="C145" s="403" t="s">
        <v>895</v>
      </c>
      <c r="D145" s="405">
        <v>2.02502125E8</v>
      </c>
      <c r="E145" s="403" t="s">
        <v>512</v>
      </c>
      <c r="F145" s="403" t="s">
        <v>513</v>
      </c>
      <c r="G145" s="403" t="s">
        <v>1475</v>
      </c>
      <c r="H145" s="434" t="s">
        <v>1476</v>
      </c>
      <c r="I145" s="403" t="s">
        <v>516</v>
      </c>
      <c r="J145" s="435" t="s">
        <v>1477</v>
      </c>
      <c r="K145" s="403" t="s">
        <v>517</v>
      </c>
      <c r="L145" s="403" t="s">
        <v>518</v>
      </c>
      <c r="M145" s="403" t="s">
        <v>548</v>
      </c>
      <c r="N145" s="403" t="str">
        <f>BUSCARX(R[0]C[-1],CONVENCIONES!R12C1:R42C1,CONVENCIONES!R12C2:R42C2)</f>
        <v>#ERROR!</v>
      </c>
      <c r="O145" s="392"/>
      <c r="P145" s="404"/>
      <c r="Q145" s="392"/>
      <c r="R145" s="392"/>
      <c r="S145" s="392"/>
      <c r="T145" s="392"/>
      <c r="U145" s="392"/>
      <c r="V145" s="392"/>
      <c r="W145" s="404" t="s">
        <v>525</v>
      </c>
      <c r="X145" s="404" t="s">
        <v>526</v>
      </c>
      <c r="Y145" s="404" t="s">
        <v>527</v>
      </c>
      <c r="Z145" s="404" t="s">
        <v>528</v>
      </c>
      <c r="AA145" s="404" t="s">
        <v>1478</v>
      </c>
      <c r="AB145" s="413">
        <v>45959.0</v>
      </c>
      <c r="AC145" s="413">
        <v>45959.0</v>
      </c>
      <c r="AD145" s="404" t="s">
        <v>529</v>
      </c>
      <c r="AE145" s="404" t="s">
        <v>570</v>
      </c>
      <c r="AF145" s="418" t="s">
        <v>531</v>
      </c>
      <c r="AG145" s="403" t="s">
        <v>532</v>
      </c>
      <c r="AH145" s="414" t="s">
        <v>621</v>
      </c>
      <c r="AI145" s="410">
        <v>15.0</v>
      </c>
      <c r="AJ145" s="410" t="s">
        <v>534</v>
      </c>
    </row>
    <row r="146">
      <c r="A146" s="403">
        <v>2025.0</v>
      </c>
      <c r="B146" s="403">
        <v>11.0</v>
      </c>
      <c r="C146" s="403" t="s">
        <v>920</v>
      </c>
      <c r="D146" s="405">
        <v>2.02502186E8</v>
      </c>
      <c r="E146" s="404" t="s">
        <v>512</v>
      </c>
      <c r="F146" s="403" t="s">
        <v>513</v>
      </c>
      <c r="G146" s="405" t="s">
        <v>554</v>
      </c>
      <c r="H146" s="405" t="s">
        <v>1479</v>
      </c>
      <c r="I146" s="403" t="s">
        <v>516</v>
      </c>
      <c r="J146" s="403" t="s">
        <v>623</v>
      </c>
      <c r="K146" s="403" t="s">
        <v>517</v>
      </c>
      <c r="L146" s="403" t="s">
        <v>518</v>
      </c>
      <c r="M146" s="403" t="s">
        <v>548</v>
      </c>
      <c r="N146" s="403" t="str">
        <f>BUSCARX(R[0]C[-1],CONVENCIONES!R12C1:R42C1,CONVENCIONES!R12C2:R42C2)</f>
        <v>#ERROR!</v>
      </c>
      <c r="O146" s="403" t="s">
        <v>519</v>
      </c>
      <c r="P146" s="403" t="s">
        <v>624</v>
      </c>
      <c r="Q146" s="403" t="s">
        <v>53</v>
      </c>
      <c r="R146" s="403">
        <v>7.6231536E7</v>
      </c>
      <c r="S146" s="405" t="s">
        <v>625</v>
      </c>
      <c r="T146" s="405" t="s">
        <v>626</v>
      </c>
      <c r="U146" s="403" t="s">
        <v>627</v>
      </c>
      <c r="V146" s="403" t="s">
        <v>628</v>
      </c>
      <c r="W146" s="404" t="s">
        <v>525</v>
      </c>
      <c r="X146" s="404" t="s">
        <v>526</v>
      </c>
      <c r="Y146" s="404" t="s">
        <v>527</v>
      </c>
      <c r="Z146" s="404" t="s">
        <v>528</v>
      </c>
      <c r="AA146" s="403" t="s">
        <v>53</v>
      </c>
      <c r="AB146" s="406">
        <v>45967.0</v>
      </c>
      <c r="AC146" s="436"/>
      <c r="AD146" s="404" t="s">
        <v>529</v>
      </c>
      <c r="AE146" s="404" t="s">
        <v>570</v>
      </c>
      <c r="AF146" s="407" t="s">
        <v>531</v>
      </c>
      <c r="AG146" s="405" t="s">
        <v>532</v>
      </c>
      <c r="AH146" s="414" t="s">
        <v>621</v>
      </c>
      <c r="AI146" s="410">
        <v>16.0</v>
      </c>
      <c r="AJ146" s="410" t="s">
        <v>534</v>
      </c>
    </row>
    <row r="147">
      <c r="A147" s="403">
        <v>2025.0</v>
      </c>
      <c r="B147" s="403">
        <v>12.0</v>
      </c>
      <c r="C147" s="403" t="s">
        <v>24</v>
      </c>
      <c r="D147" s="405">
        <v>2.02502386E8</v>
      </c>
      <c r="E147" s="403" t="s">
        <v>512</v>
      </c>
      <c r="F147" s="403" t="s">
        <v>513</v>
      </c>
      <c r="G147" s="403" t="s">
        <v>1480</v>
      </c>
      <c r="H147" s="403" t="s">
        <v>1481</v>
      </c>
      <c r="I147" s="403" t="s">
        <v>516</v>
      </c>
      <c r="J147" s="403" t="s">
        <v>1482</v>
      </c>
      <c r="K147" s="403" t="s">
        <v>517</v>
      </c>
      <c r="L147" s="403" t="s">
        <v>518</v>
      </c>
      <c r="M147" s="403" t="s">
        <v>704</v>
      </c>
      <c r="N147" s="403" t="s">
        <v>1483</v>
      </c>
      <c r="O147" s="403" t="s">
        <v>1003</v>
      </c>
      <c r="P147" s="403" t="s">
        <v>1484</v>
      </c>
      <c r="Q147" s="403" t="s">
        <v>521</v>
      </c>
      <c r="R147" s="403">
        <v>1.062754243E9</v>
      </c>
      <c r="S147" s="403" t="s">
        <v>1485</v>
      </c>
      <c r="T147" s="403" t="s">
        <v>1486</v>
      </c>
      <c r="U147" s="403" t="s">
        <v>1487</v>
      </c>
      <c r="V147" s="403">
        <v>3.213069993E9</v>
      </c>
      <c r="W147" s="404" t="s">
        <v>525</v>
      </c>
      <c r="X147" s="404" t="s">
        <v>526</v>
      </c>
      <c r="Y147" s="404" t="s">
        <v>702</v>
      </c>
      <c r="Z147" s="404" t="s">
        <v>603</v>
      </c>
      <c r="AA147" s="437" t="s">
        <v>1488</v>
      </c>
      <c r="AB147" s="413">
        <v>46003.0</v>
      </c>
      <c r="AC147" s="419"/>
      <c r="AD147" s="404" t="s">
        <v>529</v>
      </c>
      <c r="AE147" s="404" t="s">
        <v>570</v>
      </c>
      <c r="AF147" s="418" t="s">
        <v>531</v>
      </c>
      <c r="AG147" s="403" t="s">
        <v>532</v>
      </c>
      <c r="AH147" s="411"/>
      <c r="AI147" s="426"/>
      <c r="AJ147" s="410" t="s">
        <v>534</v>
      </c>
    </row>
    <row r="148">
      <c r="A148" s="403">
        <v>2025.0</v>
      </c>
      <c r="B148" s="403">
        <v>12.0</v>
      </c>
      <c r="C148" s="403" t="s">
        <v>24</v>
      </c>
      <c r="D148" s="405">
        <v>2.02502407E8</v>
      </c>
      <c r="E148" s="403" t="s">
        <v>512</v>
      </c>
      <c r="F148" s="403" t="s">
        <v>513</v>
      </c>
      <c r="G148" s="403" t="s">
        <v>1489</v>
      </c>
      <c r="H148" s="403" t="s">
        <v>1490</v>
      </c>
      <c r="I148" s="403" t="s">
        <v>516</v>
      </c>
      <c r="J148" s="403" t="s">
        <v>1491</v>
      </c>
      <c r="K148" s="403" t="s">
        <v>517</v>
      </c>
      <c r="L148" s="403" t="s">
        <v>518</v>
      </c>
      <c r="M148" s="403" t="s">
        <v>548</v>
      </c>
      <c r="N148" s="403" t="s">
        <v>1492</v>
      </c>
      <c r="O148" s="403" t="s">
        <v>1003</v>
      </c>
      <c r="P148" s="403" t="s">
        <v>1493</v>
      </c>
      <c r="Q148" s="403" t="s">
        <v>540</v>
      </c>
      <c r="R148" s="403">
        <v>1.001345589E9</v>
      </c>
      <c r="S148" s="403" t="s">
        <v>1494</v>
      </c>
      <c r="T148" s="403" t="s">
        <v>1495</v>
      </c>
      <c r="U148" s="403" t="s">
        <v>1496</v>
      </c>
      <c r="V148" s="403">
        <v>3.028182103E9</v>
      </c>
      <c r="W148" s="404" t="s">
        <v>792</v>
      </c>
      <c r="X148" s="404" t="s">
        <v>526</v>
      </c>
      <c r="Y148" s="404" t="s">
        <v>702</v>
      </c>
      <c r="Z148" s="404" t="s">
        <v>603</v>
      </c>
      <c r="AA148" s="404" t="s">
        <v>1497</v>
      </c>
      <c r="AB148" s="413">
        <v>46005.0</v>
      </c>
      <c r="AC148" s="419"/>
      <c r="AD148" s="404" t="s">
        <v>529</v>
      </c>
      <c r="AE148" s="404" t="s">
        <v>570</v>
      </c>
      <c r="AF148" s="418" t="s">
        <v>531</v>
      </c>
      <c r="AG148" s="403" t="s">
        <v>532</v>
      </c>
      <c r="AH148" s="438" t="s">
        <v>1498</v>
      </c>
      <c r="AI148" s="426"/>
      <c r="AJ148" s="410" t="s">
        <v>534</v>
      </c>
    </row>
    <row r="149">
      <c r="A149" s="403">
        <v>2025.0</v>
      </c>
      <c r="B149" s="403">
        <v>12.0</v>
      </c>
      <c r="C149" s="403" t="s">
        <v>24</v>
      </c>
      <c r="D149" s="405">
        <v>2.02502469E8</v>
      </c>
      <c r="E149" s="403" t="s">
        <v>512</v>
      </c>
      <c r="F149" s="403" t="s">
        <v>856</v>
      </c>
      <c r="G149" s="403" t="s">
        <v>1401</v>
      </c>
      <c r="H149" s="403" t="s">
        <v>1499</v>
      </c>
      <c r="I149" s="403" t="s">
        <v>564</v>
      </c>
      <c r="J149" s="403" t="s">
        <v>20</v>
      </c>
      <c r="K149" s="403" t="s">
        <v>517</v>
      </c>
      <c r="L149" s="403" t="s">
        <v>518</v>
      </c>
      <c r="M149" s="403" t="s">
        <v>548</v>
      </c>
      <c r="N149" s="403" t="str">
        <f>BUSCARX(R[0]C[-1],CONVENCIONES!R12C1:R42C1,CONVENCIONES!R12C2:R42C2)</f>
        <v>#ERROR!</v>
      </c>
      <c r="O149" s="403" t="s">
        <v>1003</v>
      </c>
      <c r="P149" s="403" t="s">
        <v>1500</v>
      </c>
      <c r="Q149" s="403" t="s">
        <v>540</v>
      </c>
      <c r="R149" s="403">
        <v>2.0579329E7</v>
      </c>
      <c r="S149" s="403" t="s">
        <v>1501</v>
      </c>
      <c r="T149" s="403" t="s">
        <v>1502</v>
      </c>
      <c r="U149" s="403" t="s">
        <v>1503</v>
      </c>
      <c r="V149" s="403">
        <v>3.246869932E9</v>
      </c>
      <c r="W149" s="404" t="s">
        <v>525</v>
      </c>
      <c r="X149" s="404" t="s">
        <v>526</v>
      </c>
      <c r="Y149" s="404" t="s">
        <v>702</v>
      </c>
      <c r="Z149" s="404" t="s">
        <v>603</v>
      </c>
      <c r="AA149" s="404" t="s">
        <v>1504</v>
      </c>
      <c r="AB149" s="413">
        <v>46021.0</v>
      </c>
      <c r="AC149" s="419"/>
      <c r="AD149" s="404" t="s">
        <v>529</v>
      </c>
      <c r="AE149" s="404" t="s">
        <v>1505</v>
      </c>
      <c r="AF149" s="418" t="s">
        <v>531</v>
      </c>
      <c r="AG149" s="403" t="s">
        <v>532</v>
      </c>
      <c r="AH149" s="433" t="s">
        <v>1506</v>
      </c>
      <c r="AI149" s="426"/>
      <c r="AJ149" s="410" t="s">
        <v>534</v>
      </c>
    </row>
    <row r="150">
      <c r="A150" s="403">
        <v>2025.0</v>
      </c>
      <c r="B150" s="403">
        <v>12.0</v>
      </c>
      <c r="C150" s="403" t="s">
        <v>24</v>
      </c>
      <c r="D150" s="405">
        <v>2.0250247E8</v>
      </c>
      <c r="E150" s="403" t="s">
        <v>512</v>
      </c>
      <c r="F150" s="403" t="s">
        <v>513</v>
      </c>
      <c r="G150" s="403" t="s">
        <v>554</v>
      </c>
      <c r="H150" s="403" t="s">
        <v>1507</v>
      </c>
      <c r="I150" s="403" t="s">
        <v>516</v>
      </c>
      <c r="J150" s="403" t="s">
        <v>1508</v>
      </c>
      <c r="K150" s="403" t="s">
        <v>517</v>
      </c>
      <c r="L150" s="403" t="s">
        <v>518</v>
      </c>
      <c r="M150" s="403" t="s">
        <v>548</v>
      </c>
      <c r="N150" s="403" t="str">
        <f>BUSCARX(R[0]C[-1],CONVENCIONES!R12C1:R42C1,CONVENCIONES!R12C2:R42C2)</f>
        <v>#ERROR!</v>
      </c>
      <c r="O150" s="403" t="s">
        <v>1003</v>
      </c>
      <c r="P150" s="403" t="s">
        <v>1509</v>
      </c>
      <c r="Q150" s="403" t="s">
        <v>540</v>
      </c>
      <c r="R150" s="403">
        <v>4.1305015E7</v>
      </c>
      <c r="S150" s="403" t="s">
        <v>1510</v>
      </c>
      <c r="T150" s="403" t="s">
        <v>1511</v>
      </c>
      <c r="U150" s="403" t="s">
        <v>1512</v>
      </c>
      <c r="V150" s="403">
        <v>3.186335939E9</v>
      </c>
      <c r="W150" s="404" t="s">
        <v>525</v>
      </c>
      <c r="X150" s="404" t="s">
        <v>526</v>
      </c>
      <c r="Y150" s="404" t="s">
        <v>702</v>
      </c>
      <c r="Z150" s="404" t="s">
        <v>603</v>
      </c>
      <c r="AA150" s="392"/>
      <c r="AB150" s="413">
        <v>46021.0</v>
      </c>
      <c r="AC150" s="419"/>
      <c r="AD150" s="404" t="s">
        <v>529</v>
      </c>
      <c r="AE150" s="404" t="s">
        <v>1505</v>
      </c>
      <c r="AF150" s="418" t="s">
        <v>531</v>
      </c>
      <c r="AG150" s="403" t="s">
        <v>532</v>
      </c>
      <c r="AH150" s="433" t="s">
        <v>1513</v>
      </c>
      <c r="AI150" s="426"/>
      <c r="AJ150" s="410" t="s">
        <v>534</v>
      </c>
    </row>
    <row r="151">
      <c r="A151" s="403">
        <v>2025.0</v>
      </c>
      <c r="B151" s="403">
        <v>12.0</v>
      </c>
      <c r="C151" s="403" t="s">
        <v>24</v>
      </c>
      <c r="D151" s="405">
        <v>2.02502472E8</v>
      </c>
      <c r="E151" s="403" t="s">
        <v>512</v>
      </c>
      <c r="F151" s="403" t="s">
        <v>535</v>
      </c>
      <c r="G151" s="403" t="s">
        <v>1401</v>
      </c>
      <c r="H151" s="403" t="s">
        <v>1514</v>
      </c>
      <c r="I151" s="403" t="s">
        <v>537</v>
      </c>
      <c r="J151" s="403" t="s">
        <v>1515</v>
      </c>
      <c r="K151" s="403" t="s">
        <v>517</v>
      </c>
      <c r="L151" s="403" t="s">
        <v>518</v>
      </c>
      <c r="M151" s="403" t="s">
        <v>548</v>
      </c>
      <c r="N151" s="403" t="str">
        <f>BUSCARX(R[0]C[-1],CONVENCIONES!R12C1:R42C1,CONVENCIONES!R12C2:R42C2)</f>
        <v>#ERROR!</v>
      </c>
      <c r="O151" s="403" t="s">
        <v>1003</v>
      </c>
      <c r="P151" s="403" t="s">
        <v>1516</v>
      </c>
      <c r="Q151" s="403" t="s">
        <v>53</v>
      </c>
      <c r="R151" s="403" t="s">
        <v>1517</v>
      </c>
      <c r="S151" s="403" t="s">
        <v>1518</v>
      </c>
      <c r="T151" s="403" t="s">
        <v>1519</v>
      </c>
      <c r="U151" s="403" t="s">
        <v>1520</v>
      </c>
      <c r="V151" s="403" t="s">
        <v>53</v>
      </c>
      <c r="W151" s="404" t="s">
        <v>525</v>
      </c>
      <c r="X151" s="404" t="s">
        <v>526</v>
      </c>
      <c r="Y151" s="404" t="s">
        <v>702</v>
      </c>
      <c r="Z151" s="404" t="s">
        <v>603</v>
      </c>
      <c r="AA151" s="404" t="s">
        <v>1521</v>
      </c>
      <c r="AB151" s="413">
        <v>46022.0</v>
      </c>
      <c r="AC151" s="419"/>
      <c r="AD151" s="404" t="s">
        <v>529</v>
      </c>
      <c r="AE151" s="404" t="s">
        <v>1505</v>
      </c>
      <c r="AF151" s="418" t="s">
        <v>531</v>
      </c>
      <c r="AG151" s="403" t="s">
        <v>532</v>
      </c>
      <c r="AH151" s="439" t="s">
        <v>1522</v>
      </c>
      <c r="AI151" s="426"/>
      <c r="AJ151" s="410" t="s">
        <v>534</v>
      </c>
    </row>
    <row r="152">
      <c r="A152" s="403">
        <v>2026.0</v>
      </c>
      <c r="B152" s="403">
        <v>1.0</v>
      </c>
      <c r="C152" s="403" t="s">
        <v>155</v>
      </c>
      <c r="D152" s="405">
        <v>2.02600013E8</v>
      </c>
      <c r="E152" s="403" t="s">
        <v>512</v>
      </c>
      <c r="F152" s="403" t="s">
        <v>1523</v>
      </c>
      <c r="G152" s="403" t="s">
        <v>1401</v>
      </c>
      <c r="H152" s="403" t="s">
        <v>1524</v>
      </c>
      <c r="I152" s="403" t="s">
        <v>1525</v>
      </c>
      <c r="J152" s="403" t="s">
        <v>442</v>
      </c>
      <c r="K152" s="403" t="s">
        <v>517</v>
      </c>
      <c r="L152" s="403" t="s">
        <v>518</v>
      </c>
      <c r="M152" s="403" t="s">
        <v>548</v>
      </c>
      <c r="N152" s="403" t="str">
        <f>BUSCARX(R[0]C[-1],CONVENCIONES!R12C1:R42C1,CONVENCIONES!R12C2:R42C2)</f>
        <v>#ERROR!</v>
      </c>
      <c r="O152" s="403" t="s">
        <v>1526</v>
      </c>
      <c r="P152" s="403" t="s">
        <v>1527</v>
      </c>
      <c r="Q152" s="403" t="s">
        <v>1246</v>
      </c>
      <c r="R152" s="403" t="s">
        <v>53</v>
      </c>
      <c r="S152" s="403" t="s">
        <v>1528</v>
      </c>
      <c r="T152" s="403" t="s">
        <v>1529</v>
      </c>
      <c r="U152" s="403" t="s">
        <v>1530</v>
      </c>
      <c r="V152" s="403">
        <v>3.004038336E9</v>
      </c>
      <c r="W152" s="404" t="s">
        <v>525</v>
      </c>
      <c r="X152" s="404" t="s">
        <v>526</v>
      </c>
      <c r="Y152" s="404" t="s">
        <v>702</v>
      </c>
      <c r="Z152" s="404" t="s">
        <v>603</v>
      </c>
      <c r="AA152" s="392"/>
      <c r="AB152" s="413">
        <v>46026.0</v>
      </c>
      <c r="AC152" s="419"/>
      <c r="AD152" s="404" t="s">
        <v>529</v>
      </c>
      <c r="AE152" s="404" t="s">
        <v>1505</v>
      </c>
      <c r="AF152" s="418" t="s">
        <v>531</v>
      </c>
      <c r="AG152" s="403" t="s">
        <v>532</v>
      </c>
      <c r="AH152" s="440" t="s">
        <v>1531</v>
      </c>
      <c r="AI152" s="426"/>
      <c r="AJ152" s="410" t="s">
        <v>534</v>
      </c>
    </row>
    <row r="153">
      <c r="A153" s="403">
        <v>2026.0</v>
      </c>
      <c r="B153" s="403">
        <v>1.0</v>
      </c>
      <c r="C153" s="403" t="s">
        <v>155</v>
      </c>
      <c r="D153" s="405">
        <v>2.02600014E8</v>
      </c>
      <c r="E153" s="403" t="s">
        <v>512</v>
      </c>
      <c r="F153" s="403" t="s">
        <v>513</v>
      </c>
      <c r="G153" s="403" t="s">
        <v>606</v>
      </c>
      <c r="H153" s="403" t="s">
        <v>1532</v>
      </c>
      <c r="I153" s="403" t="s">
        <v>516</v>
      </c>
      <c r="J153" s="403" t="s">
        <v>1533</v>
      </c>
      <c r="K153" s="403" t="s">
        <v>517</v>
      </c>
      <c r="L153" s="403" t="s">
        <v>518</v>
      </c>
      <c r="M153" s="403" t="s">
        <v>548</v>
      </c>
      <c r="N153" s="403" t="str">
        <f>BUSCARX(R[0]C[-1],CONVENCIONES!R12C1:R42C1,CONVENCIONES!R12C2:R42C2)</f>
        <v>#ERROR!</v>
      </c>
      <c r="O153" s="403" t="s">
        <v>1526</v>
      </c>
      <c r="P153" s="403" t="s">
        <v>1534</v>
      </c>
      <c r="Q153" s="403" t="s">
        <v>1246</v>
      </c>
      <c r="R153" s="403">
        <v>1.592758E7</v>
      </c>
      <c r="S153" s="403" t="s">
        <v>1535</v>
      </c>
      <c r="T153" s="403" t="s">
        <v>1536</v>
      </c>
      <c r="U153" s="403" t="s">
        <v>1537</v>
      </c>
      <c r="V153" s="403">
        <v>3.152878746E9</v>
      </c>
      <c r="W153" s="404" t="s">
        <v>525</v>
      </c>
      <c r="X153" s="404" t="s">
        <v>526</v>
      </c>
      <c r="Y153" s="404" t="s">
        <v>702</v>
      </c>
      <c r="Z153" s="404" t="s">
        <v>603</v>
      </c>
      <c r="AA153" s="392"/>
      <c r="AB153" s="413">
        <v>46027.0</v>
      </c>
      <c r="AC153" s="419"/>
      <c r="AD153" s="404" t="s">
        <v>529</v>
      </c>
      <c r="AE153" s="404" t="s">
        <v>1505</v>
      </c>
      <c r="AF153" s="418" t="s">
        <v>531</v>
      </c>
      <c r="AG153" s="403" t="s">
        <v>532</v>
      </c>
      <c r="AH153" s="440" t="s">
        <v>1538</v>
      </c>
      <c r="AI153" s="426"/>
      <c r="AJ153" s="410" t="s">
        <v>534</v>
      </c>
    </row>
    <row r="154">
      <c r="A154" s="403">
        <v>2026.0</v>
      </c>
      <c r="B154" s="403">
        <v>1.0</v>
      </c>
      <c r="C154" s="403" t="s">
        <v>155</v>
      </c>
      <c r="D154" s="405">
        <v>2.0260002E8</v>
      </c>
      <c r="E154" s="403" t="s">
        <v>512</v>
      </c>
      <c r="F154" s="403" t="s">
        <v>513</v>
      </c>
      <c r="G154" s="403" t="s">
        <v>514</v>
      </c>
      <c r="H154" s="403" t="s">
        <v>1539</v>
      </c>
      <c r="I154" s="403" t="s">
        <v>516</v>
      </c>
      <c r="J154" s="403" t="s">
        <v>845</v>
      </c>
      <c r="K154" s="403" t="s">
        <v>517</v>
      </c>
      <c r="L154" s="403" t="s">
        <v>518</v>
      </c>
      <c r="M154" s="403" t="s">
        <v>548</v>
      </c>
      <c r="N154" s="403" t="str">
        <f>BUSCARX(R[0]C[-1],CONVENCIONES!R12C1:R42C1,CONVENCIONES!R12C2:R42C2)</f>
        <v>#ERROR!</v>
      </c>
      <c r="O154" s="403" t="s">
        <v>1526</v>
      </c>
      <c r="P154" s="403" t="s">
        <v>1403</v>
      </c>
      <c r="Q154" s="403" t="s">
        <v>540</v>
      </c>
      <c r="R154" s="403">
        <v>5.2973112E7</v>
      </c>
      <c r="S154" s="403" t="s">
        <v>1540</v>
      </c>
      <c r="T154" s="403" t="s">
        <v>53</v>
      </c>
      <c r="U154" s="403" t="s">
        <v>1406</v>
      </c>
      <c r="V154" s="403">
        <v>3.203903292E9</v>
      </c>
      <c r="W154" s="404" t="s">
        <v>525</v>
      </c>
      <c r="X154" s="404" t="s">
        <v>526</v>
      </c>
      <c r="Y154" s="404" t="s">
        <v>702</v>
      </c>
      <c r="Z154" s="404" t="s">
        <v>603</v>
      </c>
      <c r="AA154" s="392"/>
      <c r="AB154" s="413">
        <v>46028.0</v>
      </c>
      <c r="AC154" s="419"/>
      <c r="AD154" s="404" t="s">
        <v>529</v>
      </c>
      <c r="AE154" s="404" t="s">
        <v>1505</v>
      </c>
      <c r="AF154" s="418" t="s">
        <v>531</v>
      </c>
      <c r="AG154" s="403" t="s">
        <v>532</v>
      </c>
      <c r="AH154" s="440" t="s">
        <v>1541</v>
      </c>
      <c r="AI154" s="426"/>
      <c r="AJ154" s="410" t="s">
        <v>534</v>
      </c>
    </row>
    <row r="155">
      <c r="A155" s="403">
        <v>2026.0</v>
      </c>
      <c r="B155" s="403">
        <v>1.0</v>
      </c>
      <c r="C155" s="403" t="s">
        <v>155</v>
      </c>
      <c r="D155" s="405">
        <v>2.0260003E8</v>
      </c>
      <c r="E155" s="403" t="s">
        <v>512</v>
      </c>
      <c r="F155" s="403" t="s">
        <v>513</v>
      </c>
      <c r="G155" s="403" t="s">
        <v>673</v>
      </c>
      <c r="H155" s="403" t="s">
        <v>1542</v>
      </c>
      <c r="I155" s="403" t="s">
        <v>516</v>
      </c>
      <c r="J155" s="403" t="s">
        <v>20</v>
      </c>
      <c r="K155" s="403" t="s">
        <v>517</v>
      </c>
      <c r="L155" s="403" t="s">
        <v>518</v>
      </c>
      <c r="M155" s="403" t="s">
        <v>704</v>
      </c>
      <c r="N155" s="403" t="str">
        <f>BUSCARX(R[0]C[-1],CONVENCIONES!R12C1:R42C1,CONVENCIONES!R12C2:R42C2)</f>
        <v>#ERROR!</v>
      </c>
      <c r="O155" s="403" t="s">
        <v>1526</v>
      </c>
      <c r="P155" s="403" t="s">
        <v>1543</v>
      </c>
      <c r="Q155" s="403" t="s">
        <v>1246</v>
      </c>
      <c r="R155" s="403">
        <v>1.016044249E9</v>
      </c>
      <c r="S155" s="403" t="s">
        <v>1544</v>
      </c>
      <c r="T155" s="403" t="s">
        <v>53</v>
      </c>
      <c r="U155" s="403" t="s">
        <v>1545</v>
      </c>
      <c r="V155" s="403">
        <v>3.114490324E9</v>
      </c>
      <c r="W155" s="404" t="s">
        <v>525</v>
      </c>
      <c r="X155" s="404" t="s">
        <v>526</v>
      </c>
      <c r="Y155" s="404" t="s">
        <v>702</v>
      </c>
      <c r="Z155" s="404" t="s">
        <v>603</v>
      </c>
      <c r="AA155" s="392"/>
      <c r="AB155" s="413">
        <v>46031.0</v>
      </c>
      <c r="AC155" s="419"/>
      <c r="AD155" s="404" t="s">
        <v>529</v>
      </c>
      <c r="AE155" s="404" t="s">
        <v>1505</v>
      </c>
      <c r="AF155" s="418" t="s">
        <v>531</v>
      </c>
      <c r="AG155" s="403" t="s">
        <v>532</v>
      </c>
      <c r="AH155" s="440" t="s">
        <v>1546</v>
      </c>
      <c r="AI155" s="426"/>
      <c r="AJ155" s="410" t="s">
        <v>534</v>
      </c>
    </row>
    <row r="156">
      <c r="A156" s="403">
        <v>2026.0</v>
      </c>
      <c r="B156" s="403">
        <v>1.0</v>
      </c>
      <c r="C156" s="403" t="s">
        <v>155</v>
      </c>
      <c r="D156" s="405">
        <v>2.02600032E8</v>
      </c>
      <c r="E156" s="403" t="s">
        <v>512</v>
      </c>
      <c r="F156" s="403" t="s">
        <v>513</v>
      </c>
      <c r="G156" s="403" t="s">
        <v>596</v>
      </c>
      <c r="H156" s="403" t="s">
        <v>1547</v>
      </c>
      <c r="I156" s="403" t="s">
        <v>516</v>
      </c>
      <c r="J156" s="403" t="s">
        <v>1548</v>
      </c>
      <c r="K156" s="403" t="s">
        <v>517</v>
      </c>
      <c r="L156" s="403" t="s">
        <v>518</v>
      </c>
      <c r="M156" s="403" t="s">
        <v>704</v>
      </c>
      <c r="N156" s="403" t="str">
        <f>BUSCARX(R[0]C[-1],CONVENCIONES!R12C1:R42C1,CONVENCIONES!R12C2:R42C2)</f>
        <v>#ERROR!</v>
      </c>
      <c r="O156" s="403" t="s">
        <v>1526</v>
      </c>
      <c r="P156" s="403" t="s">
        <v>1549</v>
      </c>
      <c r="Q156" s="403" t="s">
        <v>540</v>
      </c>
      <c r="R156" s="403">
        <v>2.5873194E7</v>
      </c>
      <c r="S156" s="403" t="s">
        <v>1550</v>
      </c>
      <c r="T156" s="403" t="s">
        <v>53</v>
      </c>
      <c r="U156" s="403" t="s">
        <v>1551</v>
      </c>
      <c r="V156" s="403">
        <v>3.138258061E9</v>
      </c>
      <c r="W156" s="404" t="s">
        <v>525</v>
      </c>
      <c r="X156" s="404" t="s">
        <v>526</v>
      </c>
      <c r="Y156" s="404" t="s">
        <v>702</v>
      </c>
      <c r="Z156" s="404" t="s">
        <v>603</v>
      </c>
      <c r="AA156" s="392"/>
      <c r="AB156" s="413">
        <v>46031.0</v>
      </c>
      <c r="AC156" s="419"/>
      <c r="AD156" s="404" t="s">
        <v>529</v>
      </c>
      <c r="AE156" s="404" t="s">
        <v>1505</v>
      </c>
      <c r="AF156" s="418" t="s">
        <v>531</v>
      </c>
      <c r="AG156" s="403" t="s">
        <v>532</v>
      </c>
      <c r="AH156" s="440" t="s">
        <v>1552</v>
      </c>
      <c r="AI156" s="426"/>
      <c r="AJ156" s="410" t="s">
        <v>534</v>
      </c>
    </row>
    <row r="157">
      <c r="A157" s="403">
        <v>2026.0</v>
      </c>
      <c r="B157" s="403">
        <v>1.0</v>
      </c>
      <c r="C157" s="403" t="s">
        <v>155</v>
      </c>
      <c r="D157" s="405">
        <v>2.02600049E8</v>
      </c>
      <c r="E157" s="403" t="s">
        <v>512</v>
      </c>
      <c r="F157" s="403" t="s">
        <v>513</v>
      </c>
      <c r="G157" s="403" t="s">
        <v>606</v>
      </c>
      <c r="H157" s="403" t="s">
        <v>1553</v>
      </c>
      <c r="I157" s="403" t="s">
        <v>516</v>
      </c>
      <c r="J157" s="403" t="s">
        <v>350</v>
      </c>
      <c r="K157" s="403" t="s">
        <v>517</v>
      </c>
      <c r="L157" s="403" t="s">
        <v>518</v>
      </c>
      <c r="M157" s="403" t="s">
        <v>548</v>
      </c>
      <c r="N157" s="403" t="str">
        <f>BUSCARX(R[0]C[-1],CONVENCIONES!R12C1:R42C1,CONVENCIONES!R12C2:R42C2)</f>
        <v>#ERROR!</v>
      </c>
      <c r="O157" s="403" t="s">
        <v>1526</v>
      </c>
      <c r="P157" s="403" t="s">
        <v>1554</v>
      </c>
      <c r="Q157" s="403" t="s">
        <v>540</v>
      </c>
      <c r="R157" s="403">
        <v>5.1964222E7</v>
      </c>
      <c r="S157" s="403" t="s">
        <v>1555</v>
      </c>
      <c r="T157" s="403" t="s">
        <v>53</v>
      </c>
      <c r="U157" s="403" t="s">
        <v>1556</v>
      </c>
      <c r="V157" s="403">
        <v>3.202915632E9</v>
      </c>
      <c r="W157" s="404" t="s">
        <v>525</v>
      </c>
      <c r="X157" s="404" t="s">
        <v>526</v>
      </c>
      <c r="Y157" s="404" t="s">
        <v>702</v>
      </c>
      <c r="Z157" s="404" t="s">
        <v>603</v>
      </c>
      <c r="AA157" s="392"/>
      <c r="AB157" s="413">
        <v>46036.0</v>
      </c>
      <c r="AC157" s="419"/>
      <c r="AD157" s="404" t="s">
        <v>529</v>
      </c>
      <c r="AE157" s="404" t="s">
        <v>1505</v>
      </c>
      <c r="AF157" s="418" t="s">
        <v>531</v>
      </c>
      <c r="AG157" s="403" t="s">
        <v>532</v>
      </c>
      <c r="AH157" s="440" t="s">
        <v>1557</v>
      </c>
      <c r="AI157" s="426"/>
      <c r="AJ157" s="410" t="s">
        <v>534</v>
      </c>
    </row>
    <row r="158">
      <c r="A158" s="403">
        <v>2026.0</v>
      </c>
      <c r="B158" s="403">
        <v>1.0</v>
      </c>
      <c r="C158" s="403" t="s">
        <v>155</v>
      </c>
      <c r="D158" s="405">
        <v>2.02600052E8</v>
      </c>
      <c r="E158" s="403" t="s">
        <v>512</v>
      </c>
      <c r="F158" s="403" t="s">
        <v>1438</v>
      </c>
      <c r="G158" s="403" t="s">
        <v>1401</v>
      </c>
      <c r="H158" s="403" t="s">
        <v>1558</v>
      </c>
      <c r="I158" s="403" t="s">
        <v>564</v>
      </c>
      <c r="J158" s="403" t="s">
        <v>1559</v>
      </c>
      <c r="K158" s="403" t="s">
        <v>517</v>
      </c>
      <c r="L158" s="403" t="s">
        <v>518</v>
      </c>
      <c r="M158" s="403" t="s">
        <v>548</v>
      </c>
      <c r="N158" s="403" t="str">
        <f>BUSCARX(R[0]C[-1],CONVENCIONES!R12C1:R42C1,CONVENCIONES!R12C2:R42C2)</f>
        <v>#ERROR!</v>
      </c>
      <c r="O158" s="403" t="s">
        <v>1526</v>
      </c>
      <c r="P158" s="403" t="s">
        <v>1560</v>
      </c>
      <c r="Q158" s="403" t="s">
        <v>540</v>
      </c>
      <c r="R158" s="403">
        <v>3.954273E7</v>
      </c>
      <c r="S158" s="403" t="s">
        <v>1561</v>
      </c>
      <c r="T158" s="403" t="s">
        <v>1562</v>
      </c>
      <c r="U158" s="403" t="s">
        <v>53</v>
      </c>
      <c r="V158" s="403">
        <v>3.222006675E9</v>
      </c>
      <c r="W158" s="404" t="s">
        <v>525</v>
      </c>
      <c r="X158" s="404" t="s">
        <v>526</v>
      </c>
      <c r="Y158" s="404" t="s">
        <v>702</v>
      </c>
      <c r="Z158" s="404" t="s">
        <v>603</v>
      </c>
      <c r="AA158" s="392"/>
      <c r="AB158" s="413">
        <v>46036.0</v>
      </c>
      <c r="AC158" s="419"/>
      <c r="AD158" s="404" t="s">
        <v>529</v>
      </c>
      <c r="AE158" s="404" t="s">
        <v>1505</v>
      </c>
      <c r="AF158" s="418" t="s">
        <v>531</v>
      </c>
      <c r="AG158" s="403" t="s">
        <v>532</v>
      </c>
      <c r="AH158" s="411"/>
      <c r="AI158" s="426"/>
      <c r="AJ158" s="410" t="s">
        <v>534</v>
      </c>
    </row>
    <row r="159">
      <c r="A159" s="403">
        <v>2026.0</v>
      </c>
      <c r="B159" s="403">
        <v>1.0</v>
      </c>
      <c r="C159" s="403" t="s">
        <v>155</v>
      </c>
      <c r="D159" s="405">
        <v>2.02600131E8</v>
      </c>
      <c r="E159" s="403" t="s">
        <v>512</v>
      </c>
      <c r="F159" s="403" t="s">
        <v>513</v>
      </c>
      <c r="G159" s="403" t="s">
        <v>606</v>
      </c>
      <c r="H159" s="403" t="s">
        <v>1563</v>
      </c>
      <c r="I159" s="403" t="s">
        <v>516</v>
      </c>
      <c r="J159" s="403" t="s">
        <v>1564</v>
      </c>
      <c r="K159" s="403" t="s">
        <v>517</v>
      </c>
      <c r="L159" s="403" t="s">
        <v>518</v>
      </c>
      <c r="M159" s="403" t="s">
        <v>548</v>
      </c>
      <c r="N159" s="403" t="str">
        <f>BUSCARX(R[0]C[-1],CONVENCIONES!R12C1:R42C1,CONVENCIONES!R12C2:R42C2)</f>
        <v>#ERROR!</v>
      </c>
      <c r="O159" s="403" t="s">
        <v>1526</v>
      </c>
      <c r="P159" s="403" t="s">
        <v>1565</v>
      </c>
      <c r="Q159" s="403" t="s">
        <v>1246</v>
      </c>
      <c r="R159" s="403">
        <v>1.233523233E9</v>
      </c>
      <c r="S159" s="403" t="s">
        <v>1566</v>
      </c>
      <c r="T159" s="403" t="s">
        <v>53</v>
      </c>
      <c r="U159" s="403" t="s">
        <v>1567</v>
      </c>
      <c r="V159" s="403">
        <v>3.002794138E9</v>
      </c>
      <c r="W159" s="404" t="s">
        <v>525</v>
      </c>
      <c r="X159" s="404" t="s">
        <v>526</v>
      </c>
      <c r="Y159" s="404" t="s">
        <v>702</v>
      </c>
      <c r="Z159" s="404" t="s">
        <v>603</v>
      </c>
      <c r="AA159" s="392"/>
      <c r="AB159" s="413">
        <v>46045.0</v>
      </c>
      <c r="AC159" s="419"/>
      <c r="AD159" s="404" t="s">
        <v>529</v>
      </c>
      <c r="AE159" s="404" t="s">
        <v>1505</v>
      </c>
      <c r="AF159" s="418" t="s">
        <v>531</v>
      </c>
      <c r="AG159" s="403" t="s">
        <v>532</v>
      </c>
      <c r="AH159" s="440" t="s">
        <v>1568</v>
      </c>
      <c r="AI159" s="426"/>
      <c r="AJ159" s="410" t="s">
        <v>534</v>
      </c>
    </row>
    <row r="160">
      <c r="A160" s="403">
        <v>2026.0</v>
      </c>
      <c r="B160" s="403">
        <v>1.0</v>
      </c>
      <c r="C160" s="403" t="s">
        <v>155</v>
      </c>
      <c r="D160" s="405">
        <v>2.02600155E8</v>
      </c>
      <c r="E160" s="403" t="s">
        <v>512</v>
      </c>
      <c r="F160" s="403" t="s">
        <v>535</v>
      </c>
      <c r="G160" s="403" t="s">
        <v>1016</v>
      </c>
      <c r="H160" s="403" t="s">
        <v>1569</v>
      </c>
      <c r="I160" s="403" t="s">
        <v>537</v>
      </c>
      <c r="J160" s="403" t="s">
        <v>53</v>
      </c>
      <c r="K160" s="403" t="s">
        <v>517</v>
      </c>
      <c r="L160" s="403" t="s">
        <v>518</v>
      </c>
      <c r="M160" s="403" t="s">
        <v>548</v>
      </c>
      <c r="N160" s="403" t="str">
        <f>BUSCARX(R[0]C[-1],CONVENCIONES!R12C1:R42C1,CONVENCIONES!R12C2:R42C2)</f>
        <v>#ERROR!</v>
      </c>
      <c r="O160" s="403" t="s">
        <v>1526</v>
      </c>
      <c r="P160" s="403" t="s">
        <v>1570</v>
      </c>
      <c r="Q160" s="403" t="s">
        <v>1246</v>
      </c>
      <c r="R160" s="403" t="s">
        <v>53</v>
      </c>
      <c r="S160" s="403" t="s">
        <v>1571</v>
      </c>
      <c r="T160" s="403" t="s">
        <v>1572</v>
      </c>
      <c r="U160" s="403" t="s">
        <v>1573</v>
      </c>
      <c r="V160" s="403">
        <v>3.193814886E9</v>
      </c>
      <c r="W160" s="404" t="s">
        <v>525</v>
      </c>
      <c r="X160" s="404" t="s">
        <v>526</v>
      </c>
      <c r="Y160" s="404" t="s">
        <v>702</v>
      </c>
      <c r="Z160" s="404" t="s">
        <v>603</v>
      </c>
      <c r="AA160" s="392"/>
      <c r="AB160" s="413">
        <v>46049.0</v>
      </c>
      <c r="AC160" s="419"/>
      <c r="AD160" s="404" t="s">
        <v>529</v>
      </c>
      <c r="AE160" s="404" t="s">
        <v>1505</v>
      </c>
      <c r="AF160" s="418" t="s">
        <v>531</v>
      </c>
      <c r="AG160" s="403" t="s">
        <v>532</v>
      </c>
      <c r="AH160" s="439" t="s">
        <v>1574</v>
      </c>
      <c r="AI160" s="426"/>
      <c r="AJ160" s="410" t="s">
        <v>534</v>
      </c>
    </row>
    <row r="161">
      <c r="A161" s="403">
        <v>2026.0</v>
      </c>
      <c r="B161" s="403">
        <v>1.0</v>
      </c>
      <c r="C161" s="403" t="s">
        <v>155</v>
      </c>
      <c r="D161" s="405">
        <v>2.02600156E8</v>
      </c>
      <c r="E161" s="403" t="s">
        <v>512</v>
      </c>
      <c r="F161" s="403" t="s">
        <v>513</v>
      </c>
      <c r="G161" s="403" t="s">
        <v>606</v>
      </c>
      <c r="H161" s="403" t="s">
        <v>1575</v>
      </c>
      <c r="I161" s="403" t="s">
        <v>516</v>
      </c>
      <c r="J161" s="403" t="s">
        <v>1266</v>
      </c>
      <c r="K161" s="403" t="s">
        <v>517</v>
      </c>
      <c r="L161" s="403" t="s">
        <v>518</v>
      </c>
      <c r="M161" s="403" t="s">
        <v>548</v>
      </c>
      <c r="N161" s="403" t="str">
        <f>BUSCARX(R[0]C[-1],CONVENCIONES!R12C1:R42C1,CONVENCIONES!R12C2:R42C2)</f>
        <v>#ERROR!</v>
      </c>
      <c r="O161" s="403" t="s">
        <v>1526</v>
      </c>
      <c r="P161" s="403" t="s">
        <v>1576</v>
      </c>
      <c r="Q161" s="403" t="s">
        <v>1246</v>
      </c>
      <c r="R161" s="403" t="s">
        <v>53</v>
      </c>
      <c r="S161" s="403" t="s">
        <v>1577</v>
      </c>
      <c r="T161" s="403" t="s">
        <v>53</v>
      </c>
      <c r="U161" s="403" t="s">
        <v>1578</v>
      </c>
      <c r="V161" s="403">
        <v>3.223660236E9</v>
      </c>
      <c r="W161" s="404" t="s">
        <v>525</v>
      </c>
      <c r="X161" s="404" t="s">
        <v>526</v>
      </c>
      <c r="Y161" s="404" t="s">
        <v>702</v>
      </c>
      <c r="Z161" s="404" t="s">
        <v>603</v>
      </c>
      <c r="AA161" s="392"/>
      <c r="AB161" s="413">
        <v>46049.0</v>
      </c>
      <c r="AC161" s="419"/>
      <c r="AD161" s="404" t="s">
        <v>529</v>
      </c>
      <c r="AE161" s="404" t="s">
        <v>1505</v>
      </c>
      <c r="AF161" s="418" t="s">
        <v>531</v>
      </c>
      <c r="AG161" s="403" t="s">
        <v>532</v>
      </c>
      <c r="AH161" s="439" t="s">
        <v>1579</v>
      </c>
      <c r="AI161" s="426"/>
      <c r="AJ161" s="410" t="s">
        <v>534</v>
      </c>
    </row>
    <row r="162">
      <c r="A162" s="403">
        <v>2026.0</v>
      </c>
      <c r="B162" s="403">
        <v>1.0</v>
      </c>
      <c r="C162" s="403" t="s">
        <v>155</v>
      </c>
      <c r="D162" s="405">
        <v>2.02600158E8</v>
      </c>
      <c r="E162" s="403" t="s">
        <v>512</v>
      </c>
      <c r="F162" s="403" t="s">
        <v>513</v>
      </c>
      <c r="G162" s="403" t="s">
        <v>673</v>
      </c>
      <c r="H162" s="403" t="s">
        <v>1580</v>
      </c>
      <c r="I162" s="403" t="s">
        <v>516</v>
      </c>
      <c r="J162" s="403" t="s">
        <v>249</v>
      </c>
      <c r="K162" s="403" t="s">
        <v>517</v>
      </c>
      <c r="L162" s="403" t="s">
        <v>518</v>
      </c>
      <c r="M162" s="403" t="s">
        <v>548</v>
      </c>
      <c r="N162" s="403" t="str">
        <f>BUSCARX(R[0]C[-1],CONVENCIONES!R12C1:R42C1,CONVENCIONES!R12C2:R42C2)</f>
        <v>#ERROR!</v>
      </c>
      <c r="O162" s="403" t="s">
        <v>1526</v>
      </c>
      <c r="P162" s="403" t="s">
        <v>1581</v>
      </c>
      <c r="Q162" s="403" t="s">
        <v>1246</v>
      </c>
      <c r="R162" s="403">
        <v>1.022439924E9</v>
      </c>
      <c r="S162" s="403" t="s">
        <v>1582</v>
      </c>
      <c r="T162" s="403" t="s">
        <v>53</v>
      </c>
      <c r="U162" s="403" t="s">
        <v>806</v>
      </c>
      <c r="V162" s="403" t="s">
        <v>53</v>
      </c>
      <c r="W162" s="404" t="s">
        <v>525</v>
      </c>
      <c r="X162" s="404" t="s">
        <v>526</v>
      </c>
      <c r="Y162" s="404" t="s">
        <v>702</v>
      </c>
      <c r="Z162" s="404" t="s">
        <v>603</v>
      </c>
      <c r="AA162" s="392"/>
      <c r="AB162" s="413">
        <v>46052.0</v>
      </c>
      <c r="AC162" s="419"/>
      <c r="AD162" s="404" t="s">
        <v>529</v>
      </c>
      <c r="AE162" s="404" t="s">
        <v>1505</v>
      </c>
      <c r="AF162" s="418" t="s">
        <v>531</v>
      </c>
      <c r="AG162" s="403" t="s">
        <v>532</v>
      </c>
      <c r="AH162" s="439" t="s">
        <v>1583</v>
      </c>
      <c r="AI162" s="426"/>
      <c r="AJ162" s="410" t="s">
        <v>534</v>
      </c>
    </row>
    <row r="163">
      <c r="A163" s="403">
        <v>2026.0</v>
      </c>
      <c r="B163" s="403">
        <v>1.0</v>
      </c>
      <c r="C163" s="403" t="s">
        <v>155</v>
      </c>
      <c r="D163" s="405">
        <v>2.02600159E8</v>
      </c>
      <c r="E163" s="403" t="s">
        <v>512</v>
      </c>
      <c r="F163" s="403" t="s">
        <v>513</v>
      </c>
      <c r="G163" s="403" t="s">
        <v>673</v>
      </c>
      <c r="H163" s="403" t="s">
        <v>1584</v>
      </c>
      <c r="I163" s="403" t="s">
        <v>516</v>
      </c>
      <c r="J163" s="403" t="s">
        <v>1585</v>
      </c>
      <c r="K163" s="403" t="s">
        <v>517</v>
      </c>
      <c r="L163" s="403" t="s">
        <v>518</v>
      </c>
      <c r="M163" s="403" t="s">
        <v>557</v>
      </c>
      <c r="N163" s="403" t="str">
        <f>BUSCARX(R[0]C[-1],CONVENCIONES!R12C1:R42C1,CONVENCIONES!R12C2:R42C2)</f>
        <v>#ERROR!</v>
      </c>
      <c r="O163" s="403" t="s">
        <v>1526</v>
      </c>
      <c r="P163" s="403" t="s">
        <v>1586</v>
      </c>
      <c r="Q163" s="403" t="s">
        <v>1246</v>
      </c>
      <c r="R163" s="403">
        <v>1.9323606E7</v>
      </c>
      <c r="S163" s="403" t="s">
        <v>1587</v>
      </c>
      <c r="T163" s="403" t="s">
        <v>53</v>
      </c>
      <c r="U163" s="403" t="s">
        <v>53</v>
      </c>
      <c r="V163" s="403">
        <v>3.104666273E9</v>
      </c>
      <c r="W163" s="404" t="s">
        <v>525</v>
      </c>
      <c r="X163" s="404" t="s">
        <v>526</v>
      </c>
      <c r="Y163" s="404" t="s">
        <v>702</v>
      </c>
      <c r="Z163" s="404" t="s">
        <v>603</v>
      </c>
      <c r="AA163" s="392"/>
      <c r="AB163" s="413">
        <v>46052.0</v>
      </c>
      <c r="AC163" s="419"/>
      <c r="AD163" s="404" t="s">
        <v>529</v>
      </c>
      <c r="AE163" s="404" t="s">
        <v>1505</v>
      </c>
      <c r="AF163" s="418" t="s">
        <v>531</v>
      </c>
      <c r="AG163" s="403" t="s">
        <v>532</v>
      </c>
      <c r="AH163" s="439" t="s">
        <v>1588</v>
      </c>
      <c r="AI163" s="426"/>
      <c r="AJ163" s="410" t="s">
        <v>534</v>
      </c>
    </row>
    <row r="164">
      <c r="A164" s="403">
        <v>2026.0</v>
      </c>
      <c r="B164" s="403">
        <v>1.0</v>
      </c>
      <c r="C164" s="403" t="s">
        <v>155</v>
      </c>
      <c r="D164" s="405">
        <v>2.02600161E8</v>
      </c>
      <c r="E164" s="403" t="s">
        <v>512</v>
      </c>
      <c r="F164" s="403" t="s">
        <v>1438</v>
      </c>
      <c r="G164" s="403" t="s">
        <v>1589</v>
      </c>
      <c r="H164" s="403" t="s">
        <v>1590</v>
      </c>
      <c r="I164" s="403" t="s">
        <v>564</v>
      </c>
      <c r="J164" s="403" t="s">
        <v>1591</v>
      </c>
      <c r="K164" s="403" t="s">
        <v>517</v>
      </c>
      <c r="L164" s="403" t="s">
        <v>518</v>
      </c>
      <c r="M164" s="403" t="s">
        <v>565</v>
      </c>
      <c r="N164" s="403" t="str">
        <f>BUSCARX(R[0]C[-1],CONVENCIONES!R12C1:R42C1,CONVENCIONES!R12C2:R42C2)</f>
        <v>#ERROR!</v>
      </c>
      <c r="O164" s="403" t="s">
        <v>1526</v>
      </c>
      <c r="P164" s="403" t="s">
        <v>1592</v>
      </c>
      <c r="Q164" s="403" t="s">
        <v>540</v>
      </c>
      <c r="R164" s="403">
        <v>2.2532534E7</v>
      </c>
      <c r="S164" s="392"/>
      <c r="T164" s="392"/>
      <c r="U164" s="403" t="s">
        <v>1593</v>
      </c>
      <c r="V164" s="403">
        <v>3.148348074E9</v>
      </c>
      <c r="W164" s="404" t="s">
        <v>525</v>
      </c>
      <c r="X164" s="392"/>
      <c r="Y164" s="404" t="s">
        <v>702</v>
      </c>
      <c r="Z164" s="404" t="s">
        <v>603</v>
      </c>
      <c r="AA164" s="392"/>
      <c r="AB164" s="413">
        <v>46052.0</v>
      </c>
      <c r="AC164" s="419"/>
      <c r="AD164" s="404" t="s">
        <v>529</v>
      </c>
      <c r="AE164" s="404" t="s">
        <v>570</v>
      </c>
      <c r="AF164" s="418" t="s">
        <v>531</v>
      </c>
      <c r="AG164" s="403" t="s">
        <v>532</v>
      </c>
      <c r="AH164" s="411"/>
      <c r="AI164" s="426"/>
      <c r="AJ164" s="410" t="s">
        <v>534</v>
      </c>
    </row>
    <row r="165">
      <c r="A165" s="403">
        <v>2026.0</v>
      </c>
      <c r="B165" s="403">
        <v>1.0</v>
      </c>
      <c r="C165" s="403" t="s">
        <v>155</v>
      </c>
      <c r="D165" s="405">
        <v>2.02600165E8</v>
      </c>
      <c r="E165" s="403" t="s">
        <v>512</v>
      </c>
      <c r="F165" s="403" t="s">
        <v>513</v>
      </c>
      <c r="G165" s="403" t="s">
        <v>514</v>
      </c>
      <c r="H165" s="403" t="s">
        <v>1594</v>
      </c>
      <c r="I165" s="403" t="s">
        <v>516</v>
      </c>
      <c r="J165" s="403" t="s">
        <v>1595</v>
      </c>
      <c r="K165" s="403" t="s">
        <v>517</v>
      </c>
      <c r="L165" s="403" t="s">
        <v>518</v>
      </c>
      <c r="M165" s="403" t="s">
        <v>548</v>
      </c>
      <c r="N165" s="403" t="str">
        <f>BUSCARX(R[0]C[-1],CONVENCIONES!R12C1:R42C1,CONVENCIONES!R12C2:R42C2)</f>
        <v>#ERROR!</v>
      </c>
      <c r="O165" s="403" t="s">
        <v>1526</v>
      </c>
      <c r="P165" s="403" t="s">
        <v>1596</v>
      </c>
      <c r="Q165" s="403" t="s">
        <v>1246</v>
      </c>
      <c r="R165" s="403">
        <v>1.14138081E9</v>
      </c>
      <c r="S165" s="403" t="s">
        <v>1597</v>
      </c>
      <c r="T165" s="406" t="s">
        <v>53</v>
      </c>
      <c r="U165" s="403" t="s">
        <v>1598</v>
      </c>
      <c r="V165" s="403">
        <v>3.027134078E9</v>
      </c>
      <c r="W165" s="404" t="s">
        <v>525</v>
      </c>
      <c r="X165" s="404" t="s">
        <v>526</v>
      </c>
      <c r="Y165" s="404" t="s">
        <v>702</v>
      </c>
      <c r="Z165" s="404" t="s">
        <v>603</v>
      </c>
      <c r="AA165" s="392"/>
      <c r="AB165" s="413">
        <v>46052.0</v>
      </c>
      <c r="AC165" s="419"/>
      <c r="AD165" s="404" t="s">
        <v>529</v>
      </c>
      <c r="AE165" s="404" t="s">
        <v>1505</v>
      </c>
      <c r="AF165" s="418" t="s">
        <v>531</v>
      </c>
      <c r="AG165" s="403" t="s">
        <v>532</v>
      </c>
      <c r="AH165" s="439" t="s">
        <v>1599</v>
      </c>
      <c r="AI165" s="426"/>
      <c r="AJ165" s="410" t="s">
        <v>534</v>
      </c>
    </row>
    <row r="166">
      <c r="A166" s="403">
        <v>2026.0</v>
      </c>
      <c r="B166" s="403">
        <v>1.0</v>
      </c>
      <c r="C166" s="403" t="s">
        <v>155</v>
      </c>
      <c r="D166" s="405">
        <v>2.02600166E8</v>
      </c>
      <c r="E166" s="403" t="s">
        <v>512</v>
      </c>
      <c r="F166" s="403" t="s">
        <v>513</v>
      </c>
      <c r="G166" s="403" t="s">
        <v>673</v>
      </c>
      <c r="H166" s="403" t="s">
        <v>1600</v>
      </c>
      <c r="I166" s="403" t="s">
        <v>516</v>
      </c>
      <c r="J166" s="403" t="s">
        <v>1601</v>
      </c>
      <c r="K166" s="403" t="s">
        <v>517</v>
      </c>
      <c r="L166" s="403" t="s">
        <v>518</v>
      </c>
      <c r="M166" s="403" t="s">
        <v>548</v>
      </c>
      <c r="N166" s="403" t="str">
        <f>BUSCARX(R[0]C[-1],CONVENCIONES!R12C1:R42C1,CONVENCIONES!R12C2:R42C2)</f>
        <v>#ERROR!</v>
      </c>
      <c r="O166" s="403" t="s">
        <v>1526</v>
      </c>
      <c r="P166" s="403" t="s">
        <v>1602</v>
      </c>
      <c r="Q166" s="403" t="s">
        <v>540</v>
      </c>
      <c r="R166" s="403">
        <v>3.8235834E7</v>
      </c>
      <c r="S166" s="403" t="s">
        <v>1603</v>
      </c>
      <c r="T166" s="403" t="s">
        <v>53</v>
      </c>
      <c r="U166" s="403" t="s">
        <v>1604</v>
      </c>
      <c r="V166" s="403">
        <v>3.134295319E9</v>
      </c>
      <c r="W166" s="404" t="s">
        <v>525</v>
      </c>
      <c r="X166" s="404" t="s">
        <v>526</v>
      </c>
      <c r="Y166" s="404" t="s">
        <v>702</v>
      </c>
      <c r="Z166" s="404" t="s">
        <v>603</v>
      </c>
      <c r="AA166" s="392"/>
      <c r="AB166" s="413">
        <v>46052.0</v>
      </c>
      <c r="AC166" s="419"/>
      <c r="AD166" s="404" t="s">
        <v>529</v>
      </c>
      <c r="AE166" s="404" t="s">
        <v>1505</v>
      </c>
      <c r="AF166" s="418" t="s">
        <v>531</v>
      </c>
      <c r="AG166" s="403" t="s">
        <v>532</v>
      </c>
      <c r="AH166" s="439" t="s">
        <v>1605</v>
      </c>
      <c r="AI166" s="426"/>
      <c r="AJ166" s="410" t="s">
        <v>534</v>
      </c>
    </row>
    <row r="167">
      <c r="A167" s="403">
        <v>2026.0</v>
      </c>
      <c r="B167" s="403">
        <v>1.0</v>
      </c>
      <c r="C167" s="403" t="s">
        <v>155</v>
      </c>
      <c r="D167" s="405">
        <v>2.02600167E8</v>
      </c>
      <c r="E167" s="403" t="s">
        <v>512</v>
      </c>
      <c r="F167" s="403" t="s">
        <v>513</v>
      </c>
      <c r="G167" s="403" t="s">
        <v>514</v>
      </c>
      <c r="H167" s="403" t="s">
        <v>1606</v>
      </c>
      <c r="I167" s="403" t="s">
        <v>516</v>
      </c>
      <c r="J167" s="403" t="s">
        <v>1244</v>
      </c>
      <c r="K167" s="403" t="s">
        <v>517</v>
      </c>
      <c r="L167" s="403" t="s">
        <v>518</v>
      </c>
      <c r="M167" s="403" t="s">
        <v>548</v>
      </c>
      <c r="N167" s="403" t="str">
        <f>BUSCARX(R[0]C[-1],CONVENCIONES!R12C1:R42C1,CONVENCIONES!R12C2:R42C2)</f>
        <v>#ERROR!</v>
      </c>
      <c r="O167" s="403" t="s">
        <v>1526</v>
      </c>
      <c r="P167" s="403" t="s">
        <v>1607</v>
      </c>
      <c r="Q167" s="403" t="s">
        <v>540</v>
      </c>
      <c r="R167" s="403">
        <v>1.073247332E9</v>
      </c>
      <c r="S167" s="403" t="s">
        <v>1608</v>
      </c>
      <c r="T167" s="403" t="s">
        <v>53</v>
      </c>
      <c r="U167" s="403" t="s">
        <v>1609</v>
      </c>
      <c r="V167" s="403">
        <v>3.107331205E9</v>
      </c>
      <c r="W167" s="404" t="s">
        <v>525</v>
      </c>
      <c r="X167" s="404" t="s">
        <v>526</v>
      </c>
      <c r="Y167" s="404" t="s">
        <v>702</v>
      </c>
      <c r="Z167" s="404" t="s">
        <v>603</v>
      </c>
      <c r="AA167" s="392"/>
      <c r="AB167" s="413">
        <v>46052.0</v>
      </c>
      <c r="AC167" s="419"/>
      <c r="AD167" s="404" t="s">
        <v>529</v>
      </c>
      <c r="AE167" s="404" t="s">
        <v>1505</v>
      </c>
      <c r="AF167" s="418" t="s">
        <v>531</v>
      </c>
      <c r="AG167" s="403" t="s">
        <v>532</v>
      </c>
      <c r="AH167" s="439" t="s">
        <v>1610</v>
      </c>
      <c r="AI167" s="426"/>
      <c r="AJ167" s="410" t="s">
        <v>534</v>
      </c>
    </row>
    <row r="168">
      <c r="A168" s="403">
        <v>2026.0</v>
      </c>
      <c r="B168" s="403">
        <v>2.0</v>
      </c>
      <c r="C168" s="403" t="s">
        <v>363</v>
      </c>
      <c r="D168" s="405">
        <v>2.02600236E8</v>
      </c>
      <c r="E168" s="403" t="s">
        <v>512</v>
      </c>
      <c r="F168" s="403" t="s">
        <v>513</v>
      </c>
      <c r="G168" s="403" t="s">
        <v>514</v>
      </c>
      <c r="H168" s="403" t="s">
        <v>1611</v>
      </c>
      <c r="I168" s="403" t="s">
        <v>516</v>
      </c>
      <c r="J168" s="403" t="s">
        <v>1612</v>
      </c>
      <c r="K168" s="403" t="s">
        <v>517</v>
      </c>
      <c r="L168" s="403" t="s">
        <v>518</v>
      </c>
      <c r="M168" s="403" t="s">
        <v>1081</v>
      </c>
      <c r="N168" s="403" t="s">
        <v>53</v>
      </c>
      <c r="O168" s="403" t="s">
        <v>1003</v>
      </c>
      <c r="P168" s="403" t="s">
        <v>1613</v>
      </c>
      <c r="Q168" s="403" t="s">
        <v>1246</v>
      </c>
      <c r="R168" s="403">
        <v>7.9410388E7</v>
      </c>
      <c r="S168" s="403" t="s">
        <v>1614</v>
      </c>
      <c r="T168" s="403" t="s">
        <v>53</v>
      </c>
      <c r="U168" s="403" t="s">
        <v>1615</v>
      </c>
      <c r="V168" s="403">
        <v>3.185731664E9</v>
      </c>
      <c r="W168" s="404" t="s">
        <v>525</v>
      </c>
      <c r="X168" s="404" t="s">
        <v>526</v>
      </c>
      <c r="Y168" s="404" t="s">
        <v>702</v>
      </c>
      <c r="Z168" s="404" t="s">
        <v>603</v>
      </c>
      <c r="AA168" s="392"/>
      <c r="AB168" s="413">
        <v>46064.0</v>
      </c>
      <c r="AC168" s="419"/>
      <c r="AD168" s="404" t="s">
        <v>529</v>
      </c>
      <c r="AE168" s="404" t="s">
        <v>1505</v>
      </c>
      <c r="AF168" s="418" t="s">
        <v>531</v>
      </c>
      <c r="AG168" s="403" t="s">
        <v>532</v>
      </c>
      <c r="AH168" s="439" t="s">
        <v>1616</v>
      </c>
      <c r="AI168" s="426"/>
      <c r="AJ168" s="410" t="s">
        <v>534</v>
      </c>
    </row>
    <row r="169">
      <c r="A169" s="403">
        <v>2026.0</v>
      </c>
      <c r="B169" s="403">
        <v>2.0</v>
      </c>
      <c r="C169" s="403" t="s">
        <v>363</v>
      </c>
      <c r="D169" s="405">
        <v>2.0260024E8</v>
      </c>
      <c r="E169" s="403" t="s">
        <v>512</v>
      </c>
      <c r="F169" s="403" t="s">
        <v>513</v>
      </c>
      <c r="G169" s="403" t="s">
        <v>554</v>
      </c>
      <c r="H169" s="403" t="s">
        <v>1617</v>
      </c>
      <c r="I169" s="403" t="s">
        <v>516</v>
      </c>
      <c r="J169" s="403" t="s">
        <v>53</v>
      </c>
      <c r="K169" s="403" t="s">
        <v>517</v>
      </c>
      <c r="L169" s="403" t="s">
        <v>518</v>
      </c>
      <c r="M169" s="403" t="s">
        <v>1081</v>
      </c>
      <c r="N169" s="403" t="s">
        <v>53</v>
      </c>
      <c r="O169" s="403" t="s">
        <v>1003</v>
      </c>
      <c r="P169" s="403" t="s">
        <v>1618</v>
      </c>
      <c r="Q169" s="403" t="s">
        <v>540</v>
      </c>
      <c r="R169" s="403">
        <v>5.1829448E7</v>
      </c>
      <c r="S169" s="403" t="s">
        <v>1619</v>
      </c>
      <c r="T169" s="403" t="s">
        <v>53</v>
      </c>
      <c r="U169" s="403" t="s">
        <v>53</v>
      </c>
      <c r="V169" s="403">
        <v>3.188849139E9</v>
      </c>
      <c r="W169" s="404" t="s">
        <v>525</v>
      </c>
      <c r="X169" s="404" t="s">
        <v>526</v>
      </c>
      <c r="Y169" s="404" t="s">
        <v>702</v>
      </c>
      <c r="Z169" s="404" t="s">
        <v>603</v>
      </c>
      <c r="AA169" s="392"/>
      <c r="AB169" s="413">
        <v>46067.0</v>
      </c>
      <c r="AC169" s="419"/>
      <c r="AD169" s="404" t="s">
        <v>529</v>
      </c>
      <c r="AE169" s="404" t="s">
        <v>1505</v>
      </c>
      <c r="AF169" s="418" t="s">
        <v>531</v>
      </c>
      <c r="AG169" s="403" t="s">
        <v>532</v>
      </c>
      <c r="AH169" s="439" t="s">
        <v>1620</v>
      </c>
      <c r="AI169" s="426"/>
      <c r="AJ169" s="410" t="s">
        <v>534</v>
      </c>
    </row>
    <row r="170">
      <c r="A170" s="403">
        <v>2026.0</v>
      </c>
      <c r="B170" s="403">
        <v>2.0</v>
      </c>
      <c r="C170" s="403" t="s">
        <v>363</v>
      </c>
      <c r="D170" s="405">
        <v>2.02600241E8</v>
      </c>
      <c r="E170" s="403" t="s">
        <v>512</v>
      </c>
      <c r="F170" s="403" t="s">
        <v>513</v>
      </c>
      <c r="G170" s="403" t="s">
        <v>514</v>
      </c>
      <c r="H170" s="403" t="s">
        <v>1621</v>
      </c>
      <c r="I170" s="403" t="s">
        <v>516</v>
      </c>
      <c r="J170" s="403" t="s">
        <v>1622</v>
      </c>
      <c r="K170" s="403" t="s">
        <v>517</v>
      </c>
      <c r="L170" s="403" t="s">
        <v>518</v>
      </c>
      <c r="M170" s="403" t="s">
        <v>704</v>
      </c>
      <c r="N170" s="403" t="s">
        <v>53</v>
      </c>
      <c r="O170" s="403" t="s">
        <v>1003</v>
      </c>
      <c r="P170" s="403" t="s">
        <v>1623</v>
      </c>
      <c r="Q170" s="403" t="s">
        <v>540</v>
      </c>
      <c r="R170" s="403">
        <v>5282816.0</v>
      </c>
      <c r="S170" s="403" t="s">
        <v>1624</v>
      </c>
      <c r="T170" s="403" t="s">
        <v>53</v>
      </c>
      <c r="U170" s="403" t="s">
        <v>1625</v>
      </c>
      <c r="V170" s="403">
        <v>3.134569534E9</v>
      </c>
      <c r="W170" s="404" t="s">
        <v>525</v>
      </c>
      <c r="X170" s="404" t="s">
        <v>526</v>
      </c>
      <c r="Y170" s="404" t="s">
        <v>702</v>
      </c>
      <c r="Z170" s="404" t="s">
        <v>603</v>
      </c>
      <c r="AA170" s="392"/>
      <c r="AB170" s="413">
        <v>46067.0</v>
      </c>
      <c r="AC170" s="419"/>
      <c r="AD170" s="404" t="s">
        <v>529</v>
      </c>
      <c r="AE170" s="404" t="s">
        <v>1505</v>
      </c>
      <c r="AF170" s="418" t="s">
        <v>531</v>
      </c>
      <c r="AG170" s="403" t="s">
        <v>532</v>
      </c>
      <c r="AH170" s="439" t="s">
        <v>1626</v>
      </c>
      <c r="AI170" s="426"/>
      <c r="AJ170" s="410" t="s">
        <v>534</v>
      </c>
    </row>
    <row r="171">
      <c r="A171" s="403">
        <v>2026.0</v>
      </c>
      <c r="B171" s="403">
        <v>2.0</v>
      </c>
      <c r="C171" s="403" t="s">
        <v>363</v>
      </c>
      <c r="D171" s="405">
        <v>2.02600242E8</v>
      </c>
      <c r="E171" s="403" t="s">
        <v>512</v>
      </c>
      <c r="F171" s="403" t="s">
        <v>513</v>
      </c>
      <c r="G171" s="403" t="s">
        <v>673</v>
      </c>
      <c r="H171" s="403" t="s">
        <v>1627</v>
      </c>
      <c r="I171" s="403" t="s">
        <v>516</v>
      </c>
      <c r="J171" s="403" t="s">
        <v>573</v>
      </c>
      <c r="K171" s="403" t="s">
        <v>517</v>
      </c>
      <c r="L171" s="403" t="s">
        <v>518</v>
      </c>
      <c r="M171" s="403" t="s">
        <v>565</v>
      </c>
      <c r="N171" s="403" t="s">
        <v>53</v>
      </c>
      <c r="O171" s="403" t="s">
        <v>1003</v>
      </c>
      <c r="P171" s="403" t="s">
        <v>1628</v>
      </c>
      <c r="Q171" s="403" t="s">
        <v>540</v>
      </c>
      <c r="R171" s="403">
        <v>1.010244992E9</v>
      </c>
      <c r="S171" s="403" t="s">
        <v>1629</v>
      </c>
      <c r="T171" s="403" t="s">
        <v>1630</v>
      </c>
      <c r="U171" s="403" t="s">
        <v>1631</v>
      </c>
      <c r="V171" s="403">
        <v>3.138221726E9</v>
      </c>
      <c r="W171" s="404" t="s">
        <v>525</v>
      </c>
      <c r="X171" s="404" t="s">
        <v>526</v>
      </c>
      <c r="Y171" s="404" t="s">
        <v>702</v>
      </c>
      <c r="Z171" s="404" t="s">
        <v>603</v>
      </c>
      <c r="AA171" s="392"/>
      <c r="AB171" s="413">
        <v>46068.0</v>
      </c>
      <c r="AC171" s="419"/>
      <c r="AD171" s="404" t="s">
        <v>529</v>
      </c>
      <c r="AE171" s="404" t="s">
        <v>1505</v>
      </c>
      <c r="AF171" s="418" t="s">
        <v>531</v>
      </c>
      <c r="AG171" s="403" t="s">
        <v>532</v>
      </c>
      <c r="AH171" s="439" t="s">
        <v>1632</v>
      </c>
      <c r="AI171" s="426"/>
      <c r="AJ171" s="410" t="s">
        <v>534</v>
      </c>
    </row>
    <row r="172">
      <c r="A172" s="403">
        <v>2026.0</v>
      </c>
      <c r="B172" s="403">
        <v>2.0</v>
      </c>
      <c r="C172" s="403" t="s">
        <v>363</v>
      </c>
      <c r="D172" s="405">
        <v>2.02600243E8</v>
      </c>
      <c r="E172" s="403" t="s">
        <v>512</v>
      </c>
      <c r="F172" s="403" t="s">
        <v>513</v>
      </c>
      <c r="G172" s="403" t="s">
        <v>554</v>
      </c>
      <c r="H172" s="403" t="s">
        <v>1633</v>
      </c>
      <c r="I172" s="403" t="s">
        <v>516</v>
      </c>
      <c r="J172" s="403" t="s">
        <v>249</v>
      </c>
      <c r="K172" s="403" t="s">
        <v>517</v>
      </c>
      <c r="L172" s="403" t="s">
        <v>518</v>
      </c>
      <c r="M172" s="403" t="s">
        <v>548</v>
      </c>
      <c r="N172" s="403" t="s">
        <v>53</v>
      </c>
      <c r="O172" s="403" t="s">
        <v>1003</v>
      </c>
      <c r="P172" s="403" t="s">
        <v>1634</v>
      </c>
      <c r="Q172" s="403" t="s">
        <v>540</v>
      </c>
      <c r="R172" s="403">
        <v>5.1818974E7</v>
      </c>
      <c r="S172" s="403" t="s">
        <v>1635</v>
      </c>
      <c r="T172" s="403" t="s">
        <v>1636</v>
      </c>
      <c r="U172" s="403" t="s">
        <v>1637</v>
      </c>
      <c r="V172" s="403">
        <v>3.152154007E9</v>
      </c>
      <c r="W172" s="404" t="s">
        <v>525</v>
      </c>
      <c r="X172" s="404" t="s">
        <v>526</v>
      </c>
      <c r="Y172" s="404" t="s">
        <v>702</v>
      </c>
      <c r="Z172" s="404" t="s">
        <v>603</v>
      </c>
      <c r="AA172" s="392"/>
      <c r="AB172" s="413">
        <v>46069.0</v>
      </c>
      <c r="AC172" s="419"/>
      <c r="AD172" s="404" t="s">
        <v>529</v>
      </c>
      <c r="AE172" s="404" t="s">
        <v>1505</v>
      </c>
      <c r="AF172" s="418" t="s">
        <v>531</v>
      </c>
      <c r="AG172" s="403" t="s">
        <v>532</v>
      </c>
      <c r="AH172" s="439" t="s">
        <v>1638</v>
      </c>
      <c r="AI172" s="426"/>
      <c r="AJ172" s="410" t="s">
        <v>534</v>
      </c>
    </row>
    <row r="173">
      <c r="A173" s="403">
        <v>2026.0</v>
      </c>
      <c r="B173" s="403">
        <v>2.0</v>
      </c>
      <c r="C173" s="403" t="s">
        <v>363</v>
      </c>
      <c r="D173" s="405">
        <v>2.02600294E8</v>
      </c>
      <c r="E173" s="403" t="s">
        <v>512</v>
      </c>
      <c r="F173" s="403" t="s">
        <v>513</v>
      </c>
      <c r="G173" s="403" t="s">
        <v>1401</v>
      </c>
      <c r="H173" s="403" t="s">
        <v>1639</v>
      </c>
      <c r="I173" s="403" t="s">
        <v>516</v>
      </c>
      <c r="J173" s="403" t="s">
        <v>1640</v>
      </c>
      <c r="K173" s="403" t="s">
        <v>517</v>
      </c>
      <c r="L173" s="403" t="s">
        <v>518</v>
      </c>
      <c r="M173" s="403" t="s">
        <v>548</v>
      </c>
      <c r="N173" s="403" t="s">
        <v>53</v>
      </c>
      <c r="O173" s="403" t="s">
        <v>1003</v>
      </c>
      <c r="P173" s="403" t="s">
        <v>1641</v>
      </c>
      <c r="Q173" s="403" t="s">
        <v>540</v>
      </c>
      <c r="R173" s="403">
        <v>3.0728362E7</v>
      </c>
      <c r="S173" s="403" t="s">
        <v>1642</v>
      </c>
      <c r="T173" s="403" t="s">
        <v>1643</v>
      </c>
      <c r="U173" s="403" t="s">
        <v>53</v>
      </c>
      <c r="V173" s="403">
        <v>3.164422803E9</v>
      </c>
      <c r="W173" s="404" t="s">
        <v>525</v>
      </c>
      <c r="X173" s="404" t="s">
        <v>526</v>
      </c>
      <c r="Y173" s="404" t="s">
        <v>702</v>
      </c>
      <c r="Z173" s="404" t="s">
        <v>603</v>
      </c>
      <c r="AA173" s="392"/>
      <c r="AB173" s="413">
        <v>46076.0</v>
      </c>
      <c r="AC173" s="419"/>
      <c r="AD173" s="404" t="s">
        <v>529</v>
      </c>
      <c r="AE173" s="404" t="s">
        <v>1505</v>
      </c>
      <c r="AF173" s="418" t="s">
        <v>531</v>
      </c>
      <c r="AG173" s="403" t="s">
        <v>532</v>
      </c>
      <c r="AH173" s="440" t="s">
        <v>1644</v>
      </c>
      <c r="AI173" s="426"/>
      <c r="AJ173" s="410" t="s">
        <v>534</v>
      </c>
    </row>
    <row r="174">
      <c r="A174" s="403">
        <v>2026.0</v>
      </c>
      <c r="B174" s="403">
        <v>2.0</v>
      </c>
      <c r="C174" s="403" t="s">
        <v>363</v>
      </c>
      <c r="D174" s="405">
        <v>2.02600295E8</v>
      </c>
      <c r="E174" s="403" t="s">
        <v>512</v>
      </c>
      <c r="F174" s="403" t="s">
        <v>513</v>
      </c>
      <c r="G174" s="403" t="s">
        <v>673</v>
      </c>
      <c r="H174" s="403" t="s">
        <v>1645</v>
      </c>
      <c r="I174" s="403" t="s">
        <v>516</v>
      </c>
      <c r="J174" s="403" t="s">
        <v>1646</v>
      </c>
      <c r="K174" s="403" t="s">
        <v>517</v>
      </c>
      <c r="L174" s="403" t="s">
        <v>518</v>
      </c>
      <c r="M174" s="403" t="s">
        <v>548</v>
      </c>
      <c r="N174" s="403" t="s">
        <v>53</v>
      </c>
      <c r="O174" s="403" t="s">
        <v>1003</v>
      </c>
      <c r="P174" s="403" t="s">
        <v>1647</v>
      </c>
      <c r="Q174" s="403" t="s">
        <v>540</v>
      </c>
      <c r="R174" s="403">
        <v>4.1361969E7</v>
      </c>
      <c r="S174" s="403" t="s">
        <v>1648</v>
      </c>
      <c r="T174" s="403" t="s">
        <v>1649</v>
      </c>
      <c r="U174" s="403" t="s">
        <v>1650</v>
      </c>
      <c r="V174" s="403">
        <v>3.133283407E9</v>
      </c>
      <c r="W174" s="404" t="s">
        <v>525</v>
      </c>
      <c r="X174" s="404" t="s">
        <v>526</v>
      </c>
      <c r="Y174" s="404" t="s">
        <v>702</v>
      </c>
      <c r="Z174" s="404" t="s">
        <v>603</v>
      </c>
      <c r="AA174" s="392"/>
      <c r="AB174" s="413">
        <v>46077.0</v>
      </c>
      <c r="AC174" s="419"/>
      <c r="AD174" s="404" t="s">
        <v>529</v>
      </c>
      <c r="AE174" s="404" t="s">
        <v>1505</v>
      </c>
      <c r="AF174" s="418" t="s">
        <v>531</v>
      </c>
      <c r="AG174" s="403" t="s">
        <v>532</v>
      </c>
      <c r="AH174" s="440" t="s">
        <v>1651</v>
      </c>
      <c r="AI174" s="426"/>
      <c r="AJ174" s="410" t="s">
        <v>534</v>
      </c>
    </row>
    <row r="175">
      <c r="A175" s="402"/>
      <c r="B175" s="402"/>
      <c r="C175" s="403"/>
      <c r="D175" s="403"/>
      <c r="E175" s="404"/>
      <c r="F175" s="403"/>
      <c r="G175" s="411"/>
      <c r="H175" s="405"/>
      <c r="I175" s="403"/>
      <c r="J175" s="403"/>
      <c r="K175" s="403"/>
      <c r="L175" s="403"/>
      <c r="M175" s="403"/>
      <c r="N175" s="403"/>
      <c r="O175" s="403"/>
      <c r="P175" s="403"/>
      <c r="Q175" s="403"/>
      <c r="R175" s="403"/>
      <c r="S175" s="405"/>
      <c r="T175" s="405"/>
      <c r="U175" s="403"/>
      <c r="V175" s="403"/>
      <c r="W175" s="404"/>
      <c r="X175" s="404"/>
      <c r="Y175" s="404"/>
      <c r="Z175" s="404"/>
      <c r="AA175" s="403"/>
      <c r="AB175" s="413"/>
      <c r="AC175" s="419"/>
      <c r="AD175" s="404"/>
      <c r="AE175" s="404"/>
      <c r="AF175" s="418"/>
      <c r="AG175" s="403"/>
      <c r="AH175" s="403"/>
      <c r="AI175" s="409"/>
      <c r="AJ175" s="410"/>
    </row>
    <row r="176">
      <c r="A176" s="403"/>
      <c r="B176" s="403"/>
      <c r="C176" s="403"/>
      <c r="D176" s="405"/>
      <c r="E176" s="403"/>
      <c r="F176" s="403"/>
      <c r="G176" s="403"/>
      <c r="H176" s="403"/>
      <c r="I176" s="403"/>
      <c r="J176" s="403"/>
      <c r="K176" s="403"/>
      <c r="L176" s="403"/>
      <c r="M176" s="403"/>
      <c r="N176" s="392"/>
      <c r="O176" s="403"/>
      <c r="P176" s="403"/>
      <c r="Q176" s="403"/>
      <c r="R176" s="403"/>
      <c r="S176" s="403"/>
      <c r="T176" s="403"/>
      <c r="U176" s="403"/>
      <c r="V176" s="403"/>
      <c r="W176" s="404"/>
      <c r="X176" s="404"/>
      <c r="Y176" s="404"/>
      <c r="Z176" s="404"/>
      <c r="AA176" s="392"/>
      <c r="AB176" s="413"/>
      <c r="AC176" s="419"/>
      <c r="AD176" s="404"/>
      <c r="AE176" s="404"/>
      <c r="AF176" s="418"/>
      <c r="AG176" s="403"/>
      <c r="AH176" s="414"/>
      <c r="AI176" s="410"/>
      <c r="AJ176" s="410"/>
    </row>
    <row r="177">
      <c r="A177" s="402"/>
      <c r="B177" s="402"/>
      <c r="C177" s="403"/>
      <c r="D177" s="403"/>
      <c r="E177" s="404"/>
      <c r="F177" s="403"/>
      <c r="G177" s="411"/>
      <c r="H177" s="405"/>
      <c r="I177" s="403"/>
      <c r="J177" s="403"/>
      <c r="K177" s="403"/>
      <c r="L177" s="403"/>
      <c r="M177" s="403"/>
      <c r="N177" s="403"/>
      <c r="O177" s="403"/>
      <c r="P177" s="403"/>
      <c r="Q177" s="403"/>
      <c r="R177" s="403"/>
      <c r="S177" s="405"/>
      <c r="T177" s="405"/>
      <c r="U177" s="403"/>
      <c r="V177" s="403"/>
      <c r="W177" s="404"/>
      <c r="X177" s="404"/>
      <c r="Y177" s="404"/>
      <c r="Z177" s="404"/>
      <c r="AA177" s="392"/>
      <c r="AB177" s="413"/>
      <c r="AC177" s="413"/>
      <c r="AD177" s="404"/>
      <c r="AE177" s="404"/>
      <c r="AF177" s="418"/>
      <c r="AG177" s="403"/>
      <c r="AH177" s="403"/>
      <c r="AI177" s="409"/>
      <c r="AJ177" s="410"/>
    </row>
    <row r="178">
      <c r="A178" s="403"/>
      <c r="B178" s="403"/>
      <c r="C178" s="403"/>
      <c r="D178" s="403"/>
      <c r="E178" s="403"/>
      <c r="F178" s="403"/>
      <c r="G178" s="403"/>
      <c r="H178" s="403"/>
      <c r="I178" s="403"/>
      <c r="J178" s="403"/>
      <c r="K178" s="403"/>
      <c r="L178" s="403"/>
      <c r="M178" s="403"/>
      <c r="N178" s="403"/>
      <c r="O178" s="403"/>
      <c r="P178" s="403"/>
      <c r="Q178" s="403"/>
      <c r="R178" s="403"/>
      <c r="S178" s="403"/>
      <c r="T178" s="403"/>
      <c r="U178" s="403"/>
      <c r="V178" s="403"/>
      <c r="W178" s="404"/>
      <c r="X178" s="404"/>
      <c r="Y178" s="404"/>
      <c r="Z178" s="404"/>
      <c r="AA178" s="392"/>
      <c r="AB178" s="413"/>
      <c r="AC178" s="419"/>
      <c r="AD178" s="404"/>
      <c r="AE178" s="404"/>
      <c r="AF178" s="418"/>
      <c r="AG178" s="403"/>
      <c r="AH178" s="414"/>
      <c r="AI178" s="410"/>
      <c r="AJ178" s="410"/>
    </row>
    <row r="179">
      <c r="A179" s="403"/>
      <c r="B179" s="403"/>
      <c r="C179" s="403"/>
      <c r="D179" s="405"/>
      <c r="E179" s="403"/>
      <c r="F179" s="403"/>
      <c r="G179" s="403"/>
      <c r="H179" s="403"/>
      <c r="I179" s="403"/>
      <c r="J179" s="403"/>
      <c r="K179" s="403"/>
      <c r="L179" s="403"/>
      <c r="M179" s="403"/>
      <c r="N179" s="403"/>
      <c r="O179" s="403"/>
      <c r="P179" s="403"/>
      <c r="Q179" s="403"/>
      <c r="R179" s="403"/>
      <c r="S179" s="403"/>
      <c r="T179" s="403"/>
      <c r="U179" s="403"/>
      <c r="V179" s="403"/>
      <c r="W179" s="404"/>
      <c r="X179" s="404"/>
      <c r="Y179" s="404"/>
      <c r="Z179" s="404"/>
      <c r="AA179" s="404"/>
      <c r="AB179" s="413"/>
      <c r="AC179" s="419"/>
      <c r="AD179" s="404"/>
      <c r="AE179" s="404"/>
      <c r="AF179" s="418"/>
      <c r="AG179" s="403"/>
      <c r="AH179" s="411"/>
      <c r="AI179" s="426"/>
      <c r="AJ179" s="410"/>
    </row>
    <row r="180">
      <c r="A180" s="403"/>
      <c r="B180" s="403"/>
      <c r="C180" s="403"/>
      <c r="D180" s="405"/>
      <c r="E180" s="403"/>
      <c r="F180" s="403"/>
      <c r="G180" s="403"/>
      <c r="H180" s="403"/>
      <c r="I180" s="403"/>
      <c r="J180" s="403"/>
      <c r="K180" s="403"/>
      <c r="L180" s="403"/>
      <c r="M180" s="403"/>
      <c r="N180" s="403"/>
      <c r="O180" s="403"/>
      <c r="P180" s="403"/>
      <c r="Q180" s="403"/>
      <c r="R180" s="403"/>
      <c r="S180" s="403"/>
      <c r="T180" s="403"/>
      <c r="U180" s="403"/>
      <c r="V180" s="403"/>
      <c r="W180" s="404"/>
      <c r="X180" s="404"/>
      <c r="Y180" s="404"/>
      <c r="Z180" s="404"/>
      <c r="AA180" s="392"/>
      <c r="AB180" s="413"/>
      <c r="AC180" s="419"/>
      <c r="AD180" s="404"/>
      <c r="AE180" s="404"/>
      <c r="AF180" s="418"/>
      <c r="AG180" s="403"/>
      <c r="AH180" s="440"/>
      <c r="AI180" s="426"/>
      <c r="AJ180" s="410"/>
    </row>
    <row r="181">
      <c r="A181" s="403"/>
      <c r="B181" s="403"/>
      <c r="C181" s="403"/>
      <c r="D181" s="405"/>
      <c r="E181" s="403"/>
      <c r="F181" s="403"/>
      <c r="G181" s="403"/>
      <c r="H181" s="403"/>
      <c r="I181" s="403"/>
      <c r="J181" s="403"/>
      <c r="K181" s="403"/>
      <c r="L181" s="403"/>
      <c r="M181" s="403"/>
      <c r="N181" s="403"/>
      <c r="O181" s="403"/>
      <c r="P181" s="403"/>
      <c r="Q181" s="403"/>
      <c r="R181" s="403"/>
      <c r="S181" s="403"/>
      <c r="T181" s="403"/>
      <c r="U181" s="403"/>
      <c r="V181" s="403"/>
      <c r="W181" s="404"/>
      <c r="X181" s="404"/>
      <c r="Y181" s="404"/>
      <c r="Z181" s="404"/>
      <c r="AA181" s="392"/>
      <c r="AB181" s="413"/>
      <c r="AC181" s="419"/>
      <c r="AD181" s="404"/>
      <c r="AE181" s="404"/>
      <c r="AF181" s="418"/>
      <c r="AG181" s="403"/>
      <c r="AH181" s="414"/>
      <c r="AI181" s="421"/>
      <c r="AJ181" s="410"/>
    </row>
    <row r="182">
      <c r="A182" s="403"/>
      <c r="B182" s="403"/>
      <c r="C182" s="403"/>
      <c r="D182" s="405"/>
      <c r="E182" s="403"/>
      <c r="F182" s="403"/>
      <c r="G182" s="403"/>
      <c r="H182" s="403"/>
      <c r="I182" s="403"/>
      <c r="J182" s="403"/>
      <c r="K182" s="403"/>
      <c r="L182" s="403"/>
      <c r="M182" s="403"/>
      <c r="N182" s="403"/>
      <c r="O182" s="403"/>
      <c r="P182" s="403"/>
      <c r="Q182" s="403"/>
      <c r="R182" s="403"/>
      <c r="S182" s="403"/>
      <c r="T182" s="403"/>
      <c r="U182" s="403"/>
      <c r="V182" s="403"/>
      <c r="W182" s="404"/>
      <c r="X182" s="404"/>
      <c r="Y182" s="404"/>
      <c r="Z182" s="404"/>
      <c r="AA182" s="392"/>
      <c r="AB182" s="413"/>
      <c r="AC182" s="413"/>
      <c r="AD182" s="404"/>
      <c r="AE182" s="404"/>
      <c r="AF182" s="418"/>
      <c r="AG182" s="403"/>
      <c r="AH182" s="414"/>
      <c r="AI182" s="426"/>
      <c r="AJ182" s="410"/>
    </row>
    <row r="183">
      <c r="A183" s="403"/>
      <c r="B183" s="403"/>
      <c r="C183" s="403"/>
      <c r="D183" s="405"/>
      <c r="E183" s="403"/>
      <c r="F183" s="403"/>
      <c r="G183" s="403"/>
      <c r="H183" s="403"/>
      <c r="I183" s="403"/>
      <c r="J183" s="403"/>
      <c r="K183" s="403"/>
      <c r="L183" s="403"/>
      <c r="M183" s="403"/>
      <c r="N183" s="403"/>
      <c r="O183" s="403"/>
      <c r="P183" s="403"/>
      <c r="Q183" s="403"/>
      <c r="R183" s="403"/>
      <c r="S183" s="403"/>
      <c r="T183" s="403"/>
      <c r="U183" s="403"/>
      <c r="V183" s="403"/>
      <c r="W183" s="404"/>
      <c r="X183" s="404"/>
      <c r="Y183" s="404"/>
      <c r="Z183" s="404"/>
      <c r="AA183" s="392"/>
      <c r="AB183" s="413"/>
      <c r="AC183" s="413"/>
      <c r="AD183" s="404"/>
      <c r="AE183" s="404"/>
      <c r="AF183" s="418"/>
      <c r="AG183" s="403"/>
      <c r="AH183" s="414"/>
      <c r="AI183" s="426"/>
      <c r="AJ183" s="410"/>
    </row>
    <row r="184">
      <c r="A184" s="403"/>
      <c r="B184" s="403"/>
      <c r="C184" s="403"/>
      <c r="D184" s="405"/>
      <c r="E184" s="403"/>
      <c r="F184" s="403"/>
      <c r="G184" s="403"/>
      <c r="H184" s="403"/>
      <c r="I184" s="403"/>
      <c r="J184" s="403"/>
      <c r="K184" s="403"/>
      <c r="L184" s="403"/>
      <c r="M184" s="403"/>
      <c r="N184" s="403"/>
      <c r="O184" s="403"/>
      <c r="P184" s="403"/>
      <c r="Q184" s="403"/>
      <c r="R184" s="403"/>
      <c r="S184" s="403"/>
      <c r="T184" s="403"/>
      <c r="U184" s="403"/>
      <c r="V184" s="403"/>
      <c r="W184" s="404"/>
      <c r="X184" s="404"/>
      <c r="Y184" s="404"/>
      <c r="Z184" s="404"/>
      <c r="AA184" s="392"/>
      <c r="AB184" s="413"/>
      <c r="AC184" s="413"/>
      <c r="AD184" s="404"/>
      <c r="AE184" s="404"/>
      <c r="AF184" s="418"/>
      <c r="AG184" s="403"/>
      <c r="AH184" s="414"/>
      <c r="AI184" s="426"/>
      <c r="AJ184" s="410"/>
    </row>
    <row r="185">
      <c r="A185" s="402"/>
      <c r="B185" s="402"/>
      <c r="C185" s="403"/>
      <c r="D185" s="403"/>
      <c r="E185" s="404"/>
      <c r="F185" s="403"/>
      <c r="G185" s="411"/>
      <c r="H185" s="405"/>
      <c r="I185" s="403"/>
      <c r="J185" s="392"/>
      <c r="K185" s="403"/>
      <c r="L185" s="403"/>
      <c r="M185" s="403"/>
      <c r="N185" s="403"/>
      <c r="O185" s="403"/>
      <c r="P185" s="403"/>
      <c r="Q185" s="403"/>
      <c r="R185" s="403"/>
      <c r="S185" s="405"/>
      <c r="T185" s="411"/>
      <c r="U185" s="392"/>
      <c r="V185" s="403"/>
      <c r="W185" s="404"/>
      <c r="X185" s="404"/>
      <c r="Y185" s="404"/>
      <c r="Z185" s="404"/>
      <c r="AA185" s="403"/>
      <c r="AB185" s="413"/>
      <c r="AC185" s="419"/>
      <c r="AD185" s="404"/>
      <c r="AE185" s="404"/>
      <c r="AF185" s="418"/>
      <c r="AG185" s="403"/>
      <c r="AH185" s="403"/>
      <c r="AI185" s="409"/>
      <c r="AJ185" s="410"/>
    </row>
    <row r="186">
      <c r="A186" s="403"/>
      <c r="B186" s="403"/>
      <c r="C186" s="403"/>
      <c r="D186" s="405"/>
      <c r="E186" s="403"/>
      <c r="F186" s="403"/>
      <c r="G186" s="403"/>
      <c r="H186" s="403"/>
      <c r="I186" s="403"/>
      <c r="J186" s="403"/>
      <c r="K186" s="403"/>
      <c r="L186" s="403"/>
      <c r="M186" s="403"/>
      <c r="N186" s="403"/>
      <c r="O186" s="403"/>
      <c r="P186" s="403"/>
      <c r="Q186" s="403"/>
      <c r="R186" s="403"/>
      <c r="S186" s="403"/>
      <c r="T186" s="403"/>
      <c r="U186" s="403"/>
      <c r="V186" s="403"/>
      <c r="W186" s="404"/>
      <c r="X186" s="404"/>
      <c r="Y186" s="404"/>
      <c r="Z186" s="404"/>
      <c r="AA186" s="392"/>
      <c r="AB186" s="413"/>
      <c r="AC186" s="419"/>
      <c r="AD186" s="404"/>
      <c r="AE186" s="404"/>
      <c r="AF186" s="418"/>
      <c r="AG186" s="403"/>
      <c r="AH186" s="440"/>
      <c r="AI186" s="426"/>
      <c r="AJ186" s="410"/>
    </row>
    <row r="187">
      <c r="A187" s="402"/>
      <c r="B187" s="402"/>
      <c r="C187" s="403"/>
      <c r="D187" s="403"/>
      <c r="E187" s="404"/>
      <c r="F187" s="403"/>
      <c r="G187" s="405"/>
      <c r="H187" s="405"/>
      <c r="I187" s="403"/>
      <c r="J187" s="403"/>
      <c r="K187" s="403"/>
      <c r="L187" s="403"/>
      <c r="M187" s="403"/>
      <c r="N187" s="403"/>
      <c r="O187" s="403"/>
      <c r="P187" s="403"/>
      <c r="Q187" s="403"/>
      <c r="R187" s="403"/>
      <c r="S187" s="405"/>
      <c r="T187" s="403"/>
      <c r="U187" s="403"/>
      <c r="V187" s="403"/>
      <c r="W187" s="404"/>
      <c r="X187" s="404"/>
      <c r="Y187" s="404"/>
      <c r="Z187" s="404"/>
      <c r="AA187" s="403"/>
      <c r="AB187" s="406"/>
      <c r="AC187" s="406"/>
      <c r="AD187" s="404"/>
      <c r="AE187" s="404"/>
      <c r="AF187" s="407"/>
      <c r="AG187" s="405"/>
      <c r="AH187" s="403"/>
      <c r="AI187" s="409"/>
      <c r="AJ187" s="410"/>
    </row>
    <row r="188">
      <c r="A188" s="403"/>
      <c r="B188" s="403"/>
      <c r="C188" s="403"/>
      <c r="D188" s="405"/>
      <c r="E188" s="403"/>
      <c r="F188" s="403"/>
      <c r="G188" s="403"/>
      <c r="H188" s="403"/>
      <c r="I188" s="403"/>
      <c r="J188" s="403"/>
      <c r="K188" s="403"/>
      <c r="L188" s="403"/>
      <c r="M188" s="403"/>
      <c r="N188" s="403"/>
      <c r="O188" s="403"/>
      <c r="P188" s="403"/>
      <c r="Q188" s="403"/>
      <c r="R188" s="403"/>
      <c r="S188" s="403"/>
      <c r="T188" s="403"/>
      <c r="U188" s="403"/>
      <c r="V188" s="403"/>
      <c r="W188" s="404"/>
      <c r="X188" s="404"/>
      <c r="Y188" s="404"/>
      <c r="Z188" s="404"/>
      <c r="AA188" s="392"/>
      <c r="AB188" s="413"/>
      <c r="AC188" s="419"/>
      <c r="AD188" s="404"/>
      <c r="AE188" s="404"/>
      <c r="AF188" s="418"/>
      <c r="AG188" s="403"/>
      <c r="AH188" s="440"/>
      <c r="AI188" s="426"/>
      <c r="AJ188" s="410"/>
    </row>
    <row r="189">
      <c r="A189" s="402"/>
      <c r="B189" s="402"/>
      <c r="C189" s="403"/>
      <c r="D189" s="403"/>
      <c r="E189" s="404"/>
      <c r="F189" s="403"/>
      <c r="G189" s="405"/>
      <c r="H189" s="405"/>
      <c r="I189" s="403"/>
      <c r="J189" s="403"/>
      <c r="K189" s="403"/>
      <c r="L189" s="403"/>
      <c r="M189" s="403"/>
      <c r="N189" s="403"/>
      <c r="O189" s="403"/>
      <c r="P189" s="403"/>
      <c r="Q189" s="403"/>
      <c r="R189" s="403"/>
      <c r="S189" s="405"/>
      <c r="T189" s="405"/>
      <c r="U189" s="403"/>
      <c r="V189" s="403"/>
      <c r="W189" s="404"/>
      <c r="X189" s="392"/>
      <c r="Y189" s="404"/>
      <c r="Z189" s="404"/>
      <c r="AA189" s="403"/>
      <c r="AB189" s="406"/>
      <c r="AC189" s="406"/>
      <c r="AD189" s="404"/>
      <c r="AE189" s="404"/>
      <c r="AF189" s="407"/>
      <c r="AG189" s="405"/>
      <c r="AH189" s="414"/>
      <c r="AI189" s="409"/>
      <c r="AJ189" s="410"/>
    </row>
    <row r="190">
      <c r="A190" s="402"/>
      <c r="B190" s="402"/>
      <c r="C190" s="405"/>
      <c r="D190" s="403"/>
      <c r="E190" s="404"/>
      <c r="F190" s="403"/>
      <c r="G190" s="411"/>
      <c r="H190" s="405"/>
      <c r="I190" s="403"/>
      <c r="J190" s="403"/>
      <c r="K190" s="403"/>
      <c r="L190" s="403"/>
      <c r="M190" s="403"/>
      <c r="N190" s="403"/>
      <c r="O190" s="403"/>
      <c r="P190" s="403"/>
      <c r="Q190" s="403"/>
      <c r="R190" s="403"/>
      <c r="S190" s="405"/>
      <c r="T190" s="405"/>
      <c r="U190" s="403"/>
      <c r="V190" s="403"/>
      <c r="W190" s="404"/>
      <c r="X190" s="392"/>
      <c r="Y190" s="404"/>
      <c r="Z190" s="415"/>
      <c r="AA190" s="405"/>
      <c r="AB190" s="406"/>
      <c r="AC190" s="406"/>
      <c r="AD190" s="412"/>
      <c r="AE190" s="404"/>
      <c r="AF190" s="407"/>
      <c r="AG190" s="405"/>
      <c r="AH190" s="414"/>
      <c r="AI190" s="409"/>
      <c r="AJ190" s="410"/>
    </row>
    <row r="191">
      <c r="A191" s="402"/>
      <c r="B191" s="402"/>
      <c r="C191" s="403"/>
      <c r="D191" s="403"/>
      <c r="E191" s="404"/>
      <c r="F191" s="403"/>
      <c r="G191" s="405"/>
      <c r="H191" s="405"/>
      <c r="I191" s="403"/>
      <c r="J191" s="403"/>
      <c r="K191" s="403"/>
      <c r="L191" s="403"/>
      <c r="M191" s="403"/>
      <c r="N191" s="403"/>
      <c r="O191" s="403"/>
      <c r="P191" s="403"/>
      <c r="Q191" s="403"/>
      <c r="R191" s="403"/>
      <c r="S191" s="405"/>
      <c r="T191" s="405"/>
      <c r="U191" s="403"/>
      <c r="V191" s="403"/>
      <c r="W191" s="404"/>
      <c r="X191" s="404"/>
      <c r="Y191" s="404"/>
      <c r="Z191" s="404"/>
      <c r="AA191" s="403"/>
      <c r="AB191" s="413"/>
      <c r="AC191" s="413"/>
      <c r="AD191" s="404"/>
      <c r="AE191" s="404"/>
      <c r="AF191" s="418"/>
      <c r="AG191" s="403"/>
      <c r="AH191" s="403"/>
      <c r="AI191" s="409"/>
      <c r="AJ191" s="410"/>
    </row>
    <row r="192">
      <c r="A192" s="402"/>
      <c r="B192" s="402"/>
      <c r="C192" s="403"/>
      <c r="D192" s="403"/>
      <c r="E192" s="404"/>
      <c r="F192" s="403"/>
      <c r="G192" s="411"/>
      <c r="H192" s="405"/>
      <c r="I192" s="403"/>
      <c r="J192" s="403"/>
      <c r="K192" s="403"/>
      <c r="L192" s="403"/>
      <c r="M192" s="403"/>
      <c r="N192" s="403"/>
      <c r="O192" s="403"/>
      <c r="P192" s="403"/>
      <c r="Q192" s="403"/>
      <c r="R192" s="403"/>
      <c r="S192" s="405"/>
      <c r="T192" s="405"/>
      <c r="U192" s="403"/>
      <c r="V192" s="403"/>
      <c r="W192" s="404"/>
      <c r="X192" s="404"/>
      <c r="Y192" s="404"/>
      <c r="Z192" s="404"/>
      <c r="AA192" s="403"/>
      <c r="AB192" s="413"/>
      <c r="AC192" s="413"/>
      <c r="AD192" s="404"/>
      <c r="AE192" s="404"/>
      <c r="AF192" s="418"/>
      <c r="AG192" s="403"/>
      <c r="AH192" s="403"/>
      <c r="AI192" s="409"/>
      <c r="AJ192" s="410"/>
    </row>
    <row r="193">
      <c r="A193" s="402"/>
      <c r="B193" s="402"/>
      <c r="C193" s="403"/>
      <c r="D193" s="403"/>
      <c r="E193" s="404"/>
      <c r="F193" s="403"/>
      <c r="G193" s="405"/>
      <c r="H193" s="405"/>
      <c r="I193" s="403"/>
      <c r="J193" s="403"/>
      <c r="K193" s="403"/>
      <c r="L193" s="403"/>
      <c r="M193" s="403"/>
      <c r="N193" s="403"/>
      <c r="O193" s="403"/>
      <c r="P193" s="403"/>
      <c r="Q193" s="403"/>
      <c r="R193" s="403"/>
      <c r="S193" s="403"/>
      <c r="T193" s="403"/>
      <c r="U193" s="403"/>
      <c r="V193" s="403"/>
      <c r="W193" s="404"/>
      <c r="X193" s="404"/>
      <c r="Y193" s="404"/>
      <c r="Z193" s="404"/>
      <c r="AA193" s="403"/>
      <c r="AB193" s="413"/>
      <c r="AC193" s="419"/>
      <c r="AD193" s="404"/>
      <c r="AE193" s="404"/>
      <c r="AF193" s="418"/>
      <c r="AG193" s="403"/>
      <c r="AH193" s="403"/>
      <c r="AI193" s="409"/>
      <c r="AJ193" s="410"/>
    </row>
    <row r="194">
      <c r="A194" s="402"/>
      <c r="B194" s="402"/>
      <c r="C194" s="403"/>
      <c r="D194" s="403"/>
      <c r="E194" s="404"/>
      <c r="F194" s="403"/>
      <c r="G194" s="405"/>
      <c r="H194" s="405"/>
      <c r="I194" s="403"/>
      <c r="J194" s="403"/>
      <c r="K194" s="403"/>
      <c r="L194" s="403"/>
      <c r="M194" s="403"/>
      <c r="N194" s="403"/>
      <c r="O194" s="403"/>
      <c r="P194" s="403"/>
      <c r="Q194" s="403"/>
      <c r="R194" s="403"/>
      <c r="S194" s="405"/>
      <c r="T194" s="405"/>
      <c r="U194" s="403"/>
      <c r="V194" s="403"/>
      <c r="W194" s="404"/>
      <c r="X194" s="404"/>
      <c r="Y194" s="404"/>
      <c r="Z194" s="404"/>
      <c r="AA194" s="403"/>
      <c r="AB194" s="406"/>
      <c r="AC194" s="413"/>
      <c r="AD194" s="404"/>
      <c r="AE194" s="404"/>
      <c r="AF194" s="407"/>
      <c r="AG194" s="405"/>
      <c r="AH194" s="403"/>
      <c r="AI194" s="409"/>
      <c r="AJ194" s="410"/>
    </row>
    <row r="195">
      <c r="A195" s="403"/>
      <c r="B195" s="403"/>
      <c r="C195" s="403"/>
      <c r="D195" s="405"/>
      <c r="E195" s="403"/>
      <c r="F195" s="403"/>
      <c r="G195" s="403"/>
      <c r="H195" s="403"/>
      <c r="I195" s="403"/>
      <c r="J195" s="403"/>
      <c r="K195" s="403"/>
      <c r="L195" s="403"/>
      <c r="M195" s="403"/>
      <c r="N195" s="403"/>
      <c r="O195" s="403"/>
      <c r="P195" s="403"/>
      <c r="Q195" s="403"/>
      <c r="R195" s="403"/>
      <c r="S195" s="403"/>
      <c r="T195" s="403"/>
      <c r="U195" s="403"/>
      <c r="V195" s="403"/>
      <c r="W195" s="404"/>
      <c r="X195" s="404"/>
      <c r="Y195" s="404"/>
      <c r="Z195" s="404"/>
      <c r="AA195" s="403"/>
      <c r="AB195" s="413"/>
      <c r="AC195" s="413"/>
      <c r="AD195" s="404"/>
      <c r="AE195" s="404"/>
      <c r="AF195" s="418"/>
      <c r="AG195" s="403"/>
      <c r="AH195" s="405"/>
      <c r="AI195" s="426"/>
      <c r="AJ195" s="410"/>
    </row>
    <row r="196">
      <c r="A196" s="403"/>
      <c r="B196" s="403"/>
      <c r="C196" s="403"/>
      <c r="D196" s="405"/>
      <c r="E196" s="403"/>
      <c r="F196" s="403"/>
      <c r="G196" s="403"/>
      <c r="H196" s="403"/>
      <c r="I196" s="403"/>
      <c r="J196" s="403"/>
      <c r="K196" s="403"/>
      <c r="L196" s="403"/>
      <c r="M196" s="403"/>
      <c r="N196" s="403"/>
      <c r="O196" s="403"/>
      <c r="P196" s="403"/>
      <c r="Q196" s="403"/>
      <c r="R196" s="403"/>
      <c r="S196" s="403"/>
      <c r="T196" s="403"/>
      <c r="U196" s="403"/>
      <c r="V196" s="403"/>
      <c r="W196" s="404"/>
      <c r="X196" s="404"/>
      <c r="Y196" s="404"/>
      <c r="Z196" s="404"/>
      <c r="AA196" s="404"/>
      <c r="AB196" s="413"/>
      <c r="AC196" s="419"/>
      <c r="AD196" s="404"/>
      <c r="AE196" s="404"/>
      <c r="AF196" s="418"/>
      <c r="AG196" s="403"/>
      <c r="AH196" s="439"/>
      <c r="AI196" s="426"/>
      <c r="AJ196" s="410"/>
    </row>
    <row r="197">
      <c r="A197" s="402"/>
      <c r="B197" s="402"/>
      <c r="C197" s="403"/>
      <c r="D197" s="403"/>
      <c r="E197" s="404"/>
      <c r="F197" s="403"/>
      <c r="G197" s="405"/>
      <c r="H197" s="405"/>
      <c r="I197" s="403"/>
      <c r="J197" s="403"/>
      <c r="K197" s="403"/>
      <c r="L197" s="403"/>
      <c r="M197" s="403"/>
      <c r="N197" s="403"/>
      <c r="O197" s="403"/>
      <c r="P197" s="403"/>
      <c r="Q197" s="403"/>
      <c r="R197" s="403"/>
      <c r="S197" s="405"/>
      <c r="T197" s="405"/>
      <c r="U197" s="403"/>
      <c r="V197" s="403"/>
      <c r="W197" s="404"/>
      <c r="X197" s="404"/>
      <c r="Y197" s="404"/>
      <c r="Z197" s="404"/>
      <c r="AA197" s="403"/>
      <c r="AB197" s="406"/>
      <c r="AC197" s="406"/>
      <c r="AD197" s="404"/>
      <c r="AE197" s="404"/>
      <c r="AF197" s="407"/>
      <c r="AG197" s="405"/>
      <c r="AH197" s="403"/>
      <c r="AI197" s="409"/>
      <c r="AJ197" s="410"/>
    </row>
    <row r="198">
      <c r="A198" s="402"/>
      <c r="B198" s="402"/>
      <c r="C198" s="403"/>
      <c r="D198" s="403"/>
      <c r="E198" s="404"/>
      <c r="F198" s="403"/>
      <c r="G198" s="405"/>
      <c r="H198" s="405"/>
      <c r="I198" s="403"/>
      <c r="J198" s="403"/>
      <c r="K198" s="403"/>
      <c r="L198" s="403"/>
      <c r="M198" s="403"/>
      <c r="N198" s="403"/>
      <c r="O198" s="403"/>
      <c r="P198" s="403"/>
      <c r="Q198" s="403"/>
      <c r="R198" s="403"/>
      <c r="S198" s="403"/>
      <c r="T198" s="403"/>
      <c r="U198" s="403"/>
      <c r="V198" s="403"/>
      <c r="W198" s="404"/>
      <c r="X198" s="404"/>
      <c r="Y198" s="404"/>
      <c r="Z198" s="404"/>
      <c r="AA198" s="403"/>
      <c r="AB198" s="413"/>
      <c r="AC198" s="413"/>
      <c r="AD198" s="404"/>
      <c r="AE198" s="404"/>
      <c r="AF198" s="418"/>
      <c r="AG198" s="403"/>
      <c r="AH198" s="403"/>
      <c r="AI198" s="409"/>
      <c r="AJ198" s="410"/>
    </row>
    <row r="199">
      <c r="A199" s="402"/>
      <c r="B199" s="402"/>
      <c r="C199" s="403"/>
      <c r="D199" s="403"/>
      <c r="E199" s="404"/>
      <c r="F199" s="403"/>
      <c r="G199" s="411"/>
      <c r="H199" s="405"/>
      <c r="I199" s="403"/>
      <c r="J199" s="403"/>
      <c r="K199" s="403"/>
      <c r="L199" s="403"/>
      <c r="M199" s="403"/>
      <c r="N199" s="403"/>
      <c r="O199" s="403"/>
      <c r="P199" s="403"/>
      <c r="Q199" s="403"/>
      <c r="R199" s="403"/>
      <c r="S199" s="405"/>
      <c r="T199" s="405"/>
      <c r="U199" s="403"/>
      <c r="V199" s="403"/>
      <c r="W199" s="404"/>
      <c r="X199" s="404"/>
      <c r="Y199" s="404"/>
      <c r="Z199" s="404"/>
      <c r="AA199" s="403"/>
      <c r="AB199" s="406"/>
      <c r="AC199" s="406"/>
      <c r="AD199" s="404"/>
      <c r="AE199" s="404"/>
      <c r="AF199" s="407"/>
      <c r="AG199" s="405"/>
      <c r="AH199" s="414"/>
      <c r="AI199" s="409"/>
      <c r="AJ199" s="410"/>
    </row>
    <row r="200">
      <c r="A200" s="403"/>
      <c r="B200" s="403"/>
      <c r="C200" s="403"/>
      <c r="D200" s="405"/>
      <c r="E200" s="403"/>
      <c r="F200" s="403"/>
      <c r="G200" s="403"/>
      <c r="H200" s="403"/>
      <c r="I200" s="403"/>
      <c r="J200" s="403"/>
      <c r="K200" s="403"/>
      <c r="L200" s="403"/>
      <c r="M200" s="403"/>
      <c r="N200" s="403"/>
      <c r="O200" s="403"/>
      <c r="P200" s="403"/>
      <c r="Q200" s="403"/>
      <c r="R200" s="403"/>
      <c r="S200" s="403"/>
      <c r="T200" s="403"/>
      <c r="U200" s="403"/>
      <c r="V200" s="403"/>
      <c r="W200" s="404"/>
      <c r="X200" s="404"/>
      <c r="Y200" s="404"/>
      <c r="Z200" s="404"/>
      <c r="AA200" s="392"/>
      <c r="AB200" s="413"/>
      <c r="AC200" s="419"/>
      <c r="AD200" s="404"/>
      <c r="AE200" s="404"/>
      <c r="AF200" s="418"/>
      <c r="AG200" s="403"/>
      <c r="AH200" s="414"/>
      <c r="AI200" s="410"/>
      <c r="AJ200" s="410"/>
    </row>
    <row r="201">
      <c r="A201" s="403"/>
      <c r="B201" s="403"/>
      <c r="C201" s="403"/>
      <c r="D201" s="405"/>
      <c r="E201" s="403"/>
      <c r="F201" s="403"/>
      <c r="G201" s="403"/>
      <c r="H201" s="403"/>
      <c r="I201" s="403"/>
      <c r="J201" s="403"/>
      <c r="K201" s="403"/>
      <c r="L201" s="403"/>
      <c r="M201" s="403"/>
      <c r="N201" s="403"/>
      <c r="O201" s="403"/>
      <c r="P201" s="403"/>
      <c r="Q201" s="403"/>
      <c r="R201" s="403"/>
      <c r="S201" s="403"/>
      <c r="T201" s="403"/>
      <c r="U201" s="403"/>
      <c r="V201" s="403"/>
      <c r="W201" s="404"/>
      <c r="X201" s="404"/>
      <c r="Y201" s="404"/>
      <c r="Z201" s="404"/>
      <c r="AA201" s="392"/>
      <c r="AB201" s="413"/>
      <c r="AC201" s="419"/>
      <c r="AD201" s="404"/>
      <c r="AE201" s="404"/>
      <c r="AF201" s="418"/>
      <c r="AG201" s="403"/>
      <c r="AH201" s="440"/>
      <c r="AI201" s="426"/>
      <c r="AJ201" s="410"/>
    </row>
    <row r="202">
      <c r="A202" s="403"/>
      <c r="B202" s="403"/>
      <c r="C202" s="403"/>
      <c r="D202" s="405"/>
      <c r="E202" s="403"/>
      <c r="F202" s="403"/>
      <c r="G202" s="403"/>
      <c r="H202" s="403"/>
      <c r="I202" s="403"/>
      <c r="J202" s="403"/>
      <c r="K202" s="403"/>
      <c r="L202" s="403"/>
      <c r="M202" s="403"/>
      <c r="N202" s="403"/>
      <c r="O202" s="403"/>
      <c r="P202" s="403"/>
      <c r="Q202" s="403"/>
      <c r="R202" s="403"/>
      <c r="S202" s="403"/>
      <c r="T202" s="403"/>
      <c r="U202" s="403"/>
      <c r="V202" s="403"/>
      <c r="W202" s="404"/>
      <c r="X202" s="404"/>
      <c r="Y202" s="431"/>
      <c r="Z202" s="404"/>
      <c r="AA202" s="392"/>
      <c r="AB202" s="413"/>
      <c r="AC202" s="419"/>
      <c r="AD202" s="404"/>
      <c r="AE202" s="404"/>
      <c r="AF202" s="418"/>
      <c r="AG202" s="403"/>
      <c r="AH202" s="440"/>
      <c r="AI202" s="426"/>
      <c r="AJ202" s="410"/>
    </row>
    <row r="203">
      <c r="A203" s="403"/>
      <c r="B203" s="403"/>
      <c r="C203" s="403"/>
      <c r="D203" s="405"/>
      <c r="E203" s="403"/>
      <c r="F203" s="403"/>
      <c r="G203" s="403"/>
      <c r="H203" s="403"/>
      <c r="I203" s="403"/>
      <c r="J203" s="403"/>
      <c r="K203" s="403"/>
      <c r="L203" s="403"/>
      <c r="M203" s="403"/>
      <c r="N203" s="403"/>
      <c r="O203" s="403"/>
      <c r="P203" s="403"/>
      <c r="Q203" s="403"/>
      <c r="R203" s="403"/>
      <c r="S203" s="403"/>
      <c r="T203" s="403"/>
      <c r="U203" s="403"/>
      <c r="V203" s="403"/>
      <c r="W203" s="404"/>
      <c r="X203" s="404"/>
      <c r="Y203" s="404"/>
      <c r="Z203" s="404"/>
      <c r="AA203" s="392"/>
      <c r="AB203" s="413"/>
      <c r="AC203" s="419"/>
      <c r="AD203" s="404"/>
      <c r="AE203" s="404"/>
      <c r="AF203" s="418"/>
      <c r="AG203" s="403"/>
      <c r="AH203" s="440"/>
      <c r="AI203" s="426"/>
      <c r="AJ203" s="410"/>
    </row>
    <row r="204">
      <c r="A204" s="403"/>
      <c r="B204" s="403"/>
      <c r="C204" s="403"/>
      <c r="D204" s="405"/>
      <c r="E204" s="403"/>
      <c r="F204" s="403"/>
      <c r="G204" s="403"/>
      <c r="H204" s="403"/>
      <c r="I204" s="403"/>
      <c r="J204" s="403"/>
      <c r="K204" s="403"/>
      <c r="L204" s="403"/>
      <c r="M204" s="403"/>
      <c r="N204" s="403"/>
      <c r="O204" s="403"/>
      <c r="P204" s="403"/>
      <c r="Q204" s="392"/>
      <c r="R204" s="403"/>
      <c r="S204" s="403"/>
      <c r="T204" s="403"/>
      <c r="U204" s="403"/>
      <c r="V204" s="403"/>
      <c r="W204" s="404"/>
      <c r="X204" s="404"/>
      <c r="Y204" s="404"/>
      <c r="Z204" s="404"/>
      <c r="AA204" s="392"/>
      <c r="AB204" s="413"/>
      <c r="AC204" s="419"/>
      <c r="AD204" s="404"/>
      <c r="AE204" s="404"/>
      <c r="AF204" s="418"/>
      <c r="AG204" s="403"/>
      <c r="AH204" s="414"/>
      <c r="AI204" s="410"/>
      <c r="AJ204" s="410"/>
    </row>
    <row r="205">
      <c r="A205" s="402"/>
      <c r="B205" s="402"/>
      <c r="C205" s="403"/>
      <c r="D205" s="403"/>
      <c r="E205" s="404"/>
      <c r="F205" s="403"/>
      <c r="G205" s="411"/>
      <c r="H205" s="405"/>
      <c r="I205" s="403"/>
      <c r="J205" s="403"/>
      <c r="K205" s="403"/>
      <c r="L205" s="403"/>
      <c r="M205" s="403"/>
      <c r="N205" s="403"/>
      <c r="O205" s="403"/>
      <c r="P205" s="403"/>
      <c r="Q205" s="403"/>
      <c r="R205" s="403"/>
      <c r="S205" s="403"/>
      <c r="T205" s="403"/>
      <c r="U205" s="403"/>
      <c r="V205" s="403"/>
      <c r="W205" s="404"/>
      <c r="X205" s="404"/>
      <c r="Y205" s="404"/>
      <c r="Z205" s="404"/>
      <c r="AA205" s="392"/>
      <c r="AB205" s="413"/>
      <c r="AC205" s="413"/>
      <c r="AD205" s="404"/>
      <c r="AE205" s="404"/>
      <c r="AF205" s="418"/>
      <c r="AG205" s="403"/>
      <c r="AH205" s="403"/>
      <c r="AI205" s="409"/>
      <c r="AJ205" s="410"/>
    </row>
    <row r="206">
      <c r="A206" s="403"/>
      <c r="B206" s="403"/>
      <c r="C206" s="403"/>
      <c r="D206" s="405"/>
      <c r="E206" s="403"/>
      <c r="F206" s="403"/>
      <c r="G206" s="403"/>
      <c r="H206" s="434"/>
      <c r="I206" s="403"/>
      <c r="J206" s="435"/>
      <c r="K206" s="403"/>
      <c r="L206" s="403"/>
      <c r="M206" s="403"/>
      <c r="N206" s="403"/>
      <c r="O206" s="392"/>
      <c r="P206" s="404"/>
      <c r="Q206" s="392"/>
      <c r="R206" s="392"/>
      <c r="S206" s="392"/>
      <c r="T206" s="392"/>
      <c r="U206" s="392"/>
      <c r="V206" s="392"/>
      <c r="W206" s="404"/>
      <c r="X206" s="404"/>
      <c r="Y206" s="404"/>
      <c r="Z206" s="404"/>
      <c r="AA206" s="404"/>
      <c r="AB206" s="413"/>
      <c r="AC206" s="413"/>
      <c r="AD206" s="404"/>
      <c r="AE206" s="404"/>
      <c r="AF206" s="418"/>
      <c r="AG206" s="403"/>
      <c r="AH206" s="441"/>
      <c r="AI206" s="410"/>
      <c r="AJ206" s="410"/>
    </row>
    <row r="207">
      <c r="A207" s="403"/>
      <c r="B207" s="403"/>
      <c r="C207" s="403"/>
      <c r="D207" s="405"/>
      <c r="E207" s="403"/>
      <c r="F207" s="403"/>
      <c r="G207" s="392"/>
      <c r="H207" s="403"/>
      <c r="I207" s="392"/>
      <c r="J207" s="392"/>
      <c r="K207" s="392"/>
      <c r="L207" s="403"/>
      <c r="M207" s="403"/>
      <c r="N207" s="392"/>
      <c r="O207" s="392"/>
      <c r="P207" s="404"/>
      <c r="Q207" s="392"/>
      <c r="R207" s="392"/>
      <c r="S207" s="392"/>
      <c r="T207" s="392"/>
      <c r="U207" s="392"/>
      <c r="V207" s="392"/>
      <c r="W207" s="392"/>
      <c r="X207" s="392"/>
      <c r="Y207" s="392"/>
      <c r="Z207" s="392"/>
      <c r="AA207" s="392"/>
      <c r="AB207" s="419"/>
      <c r="AC207" s="419"/>
      <c r="AD207" s="404"/>
      <c r="AE207" s="404"/>
      <c r="AF207" s="429"/>
      <c r="AG207" s="392"/>
      <c r="AH207" s="414"/>
      <c r="AI207" s="410"/>
      <c r="AJ207" s="410"/>
    </row>
    <row r="208">
      <c r="A208" s="403"/>
      <c r="B208" s="403"/>
      <c r="C208" s="403"/>
      <c r="D208" s="405"/>
      <c r="E208" s="403"/>
      <c r="F208" s="403"/>
      <c r="G208" s="392"/>
      <c r="H208" s="403"/>
      <c r="I208" s="392"/>
      <c r="J208" s="392"/>
      <c r="K208" s="392"/>
      <c r="L208" s="403"/>
      <c r="M208" s="403"/>
      <c r="N208" s="392"/>
      <c r="O208" s="392"/>
      <c r="P208" s="404"/>
      <c r="Q208" s="392"/>
      <c r="R208" s="392"/>
      <c r="S208" s="392"/>
      <c r="T208" s="392"/>
      <c r="U208" s="392"/>
      <c r="V208" s="392"/>
      <c r="W208" s="392"/>
      <c r="X208" s="392"/>
      <c r="Y208" s="392"/>
      <c r="Z208" s="392"/>
      <c r="AA208" s="392"/>
      <c r="AB208" s="419"/>
      <c r="AC208" s="419"/>
      <c r="AD208" s="404"/>
      <c r="AE208" s="404"/>
      <c r="AF208" s="429"/>
      <c r="AG208" s="392"/>
      <c r="AH208" s="414"/>
      <c r="AI208" s="410"/>
      <c r="AJ208" s="410"/>
    </row>
    <row r="209">
      <c r="A209" s="403"/>
      <c r="B209" s="403"/>
      <c r="C209" s="403"/>
      <c r="D209" s="405"/>
      <c r="E209" s="403"/>
      <c r="F209" s="403"/>
      <c r="G209" s="392"/>
      <c r="H209" s="403"/>
      <c r="I209" s="392"/>
      <c r="J209" s="392"/>
      <c r="K209" s="392"/>
      <c r="L209" s="403"/>
      <c r="M209" s="403"/>
      <c r="N209" s="392"/>
      <c r="O209" s="392"/>
      <c r="P209" s="404"/>
      <c r="Q209" s="392"/>
      <c r="R209" s="392"/>
      <c r="S209" s="392"/>
      <c r="T209" s="392"/>
      <c r="U209" s="392"/>
      <c r="V209" s="392"/>
      <c r="W209" s="392"/>
      <c r="X209" s="392"/>
      <c r="Y209" s="392"/>
      <c r="Z209" s="392"/>
      <c r="AA209" s="392"/>
      <c r="AB209" s="419"/>
      <c r="AC209" s="419"/>
      <c r="AD209" s="404"/>
      <c r="AE209" s="404"/>
      <c r="AF209" s="429"/>
      <c r="AG209" s="392"/>
      <c r="AH209" s="414"/>
      <c r="AI209" s="410"/>
      <c r="AJ209" s="410"/>
    </row>
    <row r="210">
      <c r="A210" s="403"/>
      <c r="B210" s="403"/>
      <c r="C210" s="403"/>
      <c r="D210" s="403"/>
      <c r="E210" s="403"/>
      <c r="F210" s="403"/>
      <c r="G210" s="405"/>
      <c r="H210" s="403"/>
      <c r="I210" s="392"/>
      <c r="J210" s="392"/>
      <c r="K210" s="392"/>
      <c r="L210" s="403"/>
      <c r="M210" s="403"/>
      <c r="N210" s="392"/>
      <c r="O210" s="392"/>
      <c r="P210" s="404"/>
      <c r="Q210" s="392"/>
      <c r="R210" s="392"/>
      <c r="S210" s="392"/>
      <c r="T210" s="392"/>
      <c r="U210" s="392"/>
      <c r="V210" s="392"/>
      <c r="W210" s="392"/>
      <c r="X210" s="392"/>
      <c r="Y210" s="392"/>
      <c r="Z210" s="392"/>
      <c r="AA210" s="392"/>
      <c r="AB210" s="419"/>
      <c r="AC210" s="419"/>
      <c r="AD210" s="404"/>
      <c r="AE210" s="404"/>
      <c r="AF210" s="429"/>
      <c r="AG210" s="392"/>
      <c r="AH210" s="414"/>
      <c r="AI210" s="410"/>
      <c r="AJ210" s="410"/>
    </row>
    <row r="211">
      <c r="A211" s="403"/>
      <c r="B211" s="403"/>
      <c r="C211" s="403"/>
      <c r="D211" s="403"/>
      <c r="E211" s="403"/>
      <c r="F211" s="403"/>
      <c r="G211" s="405"/>
      <c r="H211" s="403"/>
      <c r="I211" s="392"/>
      <c r="J211" s="392"/>
      <c r="K211" s="392"/>
      <c r="L211" s="403"/>
      <c r="M211" s="403"/>
      <c r="N211" s="392"/>
      <c r="O211" s="392"/>
      <c r="P211" s="404"/>
      <c r="Q211" s="392"/>
      <c r="R211" s="392"/>
      <c r="S211" s="392"/>
      <c r="T211" s="392"/>
      <c r="U211" s="392"/>
      <c r="V211" s="392"/>
      <c r="W211" s="392"/>
      <c r="X211" s="392"/>
      <c r="Y211" s="392"/>
      <c r="Z211" s="392"/>
      <c r="AA211" s="392"/>
      <c r="AB211" s="419"/>
      <c r="AC211" s="419"/>
      <c r="AD211" s="404"/>
      <c r="AE211" s="404"/>
      <c r="AF211" s="429"/>
      <c r="AG211" s="392"/>
      <c r="AH211" s="414"/>
      <c r="AI211" s="410"/>
      <c r="AJ211" s="410"/>
    </row>
    <row r="212">
      <c r="A212" s="403"/>
      <c r="B212" s="403"/>
      <c r="C212" s="403"/>
      <c r="D212" s="403"/>
      <c r="E212" s="403"/>
      <c r="F212" s="403"/>
      <c r="G212" s="405"/>
      <c r="H212" s="403"/>
      <c r="I212" s="392"/>
      <c r="J212" s="392"/>
      <c r="K212" s="392"/>
      <c r="L212" s="403"/>
      <c r="M212" s="403"/>
      <c r="N212" s="392"/>
      <c r="O212" s="392"/>
      <c r="P212" s="404"/>
      <c r="Q212" s="392"/>
      <c r="R212" s="392"/>
      <c r="S212" s="392"/>
      <c r="T212" s="392"/>
      <c r="U212" s="392"/>
      <c r="V212" s="392"/>
      <c r="W212" s="392"/>
      <c r="X212" s="392"/>
      <c r="Y212" s="392"/>
      <c r="Z212" s="392"/>
      <c r="AA212" s="392"/>
      <c r="AB212" s="419"/>
      <c r="AC212" s="419"/>
      <c r="AD212" s="404"/>
      <c r="AE212" s="404"/>
      <c r="AF212" s="429"/>
      <c r="AG212" s="392"/>
      <c r="AH212" s="414"/>
      <c r="AI212" s="410"/>
      <c r="AJ212" s="410"/>
    </row>
    <row r="213">
      <c r="A213" s="403"/>
      <c r="B213" s="403"/>
      <c r="C213" s="403"/>
      <c r="D213" s="403"/>
      <c r="E213" s="403"/>
      <c r="F213" s="403"/>
      <c r="G213" s="405"/>
      <c r="H213" s="403"/>
      <c r="I213" s="392"/>
      <c r="J213" s="392"/>
      <c r="K213" s="392"/>
      <c r="L213" s="403"/>
      <c r="M213" s="403"/>
      <c r="N213" s="392"/>
      <c r="O213" s="392"/>
      <c r="P213" s="404"/>
      <c r="Q213" s="392"/>
      <c r="R213" s="392"/>
      <c r="S213" s="392"/>
      <c r="T213" s="392"/>
      <c r="U213" s="392"/>
      <c r="V213" s="392"/>
      <c r="W213" s="392"/>
      <c r="X213" s="392"/>
      <c r="Y213" s="392"/>
      <c r="Z213" s="392"/>
      <c r="AA213" s="392"/>
      <c r="AB213" s="419"/>
      <c r="AC213" s="419"/>
      <c r="AD213" s="404"/>
      <c r="AE213" s="404"/>
      <c r="AF213" s="429"/>
      <c r="AG213" s="392"/>
      <c r="AH213" s="414"/>
      <c r="AI213" s="410"/>
      <c r="AJ213" s="410"/>
    </row>
    <row r="214">
      <c r="A214" s="403"/>
      <c r="B214" s="403"/>
      <c r="C214" s="403"/>
      <c r="D214" s="403"/>
      <c r="E214" s="403"/>
      <c r="F214" s="403"/>
      <c r="G214" s="405"/>
      <c r="H214" s="403"/>
      <c r="I214" s="392"/>
      <c r="J214" s="392"/>
      <c r="K214" s="392"/>
      <c r="L214" s="403"/>
      <c r="M214" s="403"/>
      <c r="N214" s="392"/>
      <c r="O214" s="392"/>
      <c r="P214" s="404"/>
      <c r="Q214" s="392"/>
      <c r="R214" s="392"/>
      <c r="S214" s="392"/>
      <c r="T214" s="392"/>
      <c r="U214" s="392"/>
      <c r="V214" s="392"/>
      <c r="W214" s="392"/>
      <c r="X214" s="392"/>
      <c r="Y214" s="392"/>
      <c r="Z214" s="392"/>
      <c r="AA214" s="392"/>
      <c r="AB214" s="419"/>
      <c r="AC214" s="419"/>
      <c r="AD214" s="404"/>
      <c r="AE214" s="404"/>
      <c r="AF214" s="429"/>
      <c r="AG214" s="392"/>
      <c r="AH214" s="414"/>
      <c r="AI214" s="410"/>
      <c r="AJ214" s="410"/>
    </row>
    <row r="215">
      <c r="A215" s="403"/>
      <c r="B215" s="403"/>
      <c r="C215" s="403"/>
      <c r="D215" s="403"/>
      <c r="E215" s="403"/>
      <c r="F215" s="403"/>
      <c r="G215" s="405"/>
      <c r="H215" s="403"/>
      <c r="I215" s="392"/>
      <c r="J215" s="392"/>
      <c r="K215" s="392"/>
      <c r="L215" s="403"/>
      <c r="M215" s="403"/>
      <c r="N215" s="403"/>
      <c r="O215" s="392"/>
      <c r="P215" s="404"/>
      <c r="Q215" s="392"/>
      <c r="R215" s="392"/>
      <c r="S215" s="392"/>
      <c r="T215" s="392"/>
      <c r="U215" s="392"/>
      <c r="V215" s="392"/>
      <c r="W215" s="392"/>
      <c r="X215" s="392"/>
      <c r="Y215" s="392"/>
      <c r="Z215" s="392"/>
      <c r="AA215" s="392"/>
      <c r="AB215" s="419"/>
      <c r="AC215" s="419"/>
      <c r="AD215" s="404"/>
      <c r="AE215" s="404"/>
      <c r="AF215" s="418"/>
      <c r="AG215" s="403"/>
      <c r="AH215" s="441"/>
      <c r="AI215" s="410"/>
      <c r="AJ215" s="410"/>
    </row>
    <row r="216">
      <c r="A216" s="403"/>
      <c r="B216" s="403"/>
      <c r="C216" s="403"/>
      <c r="D216" s="403"/>
      <c r="E216" s="403"/>
      <c r="F216" s="403"/>
      <c r="G216" s="403"/>
      <c r="H216" s="403"/>
      <c r="I216" s="392"/>
      <c r="J216" s="392"/>
      <c r="K216" s="392"/>
      <c r="L216" s="403"/>
      <c r="M216" s="392"/>
      <c r="N216" s="392"/>
      <c r="O216" s="392"/>
      <c r="P216" s="404"/>
      <c r="Q216" s="392"/>
      <c r="R216" s="392"/>
      <c r="S216" s="392"/>
      <c r="T216" s="392"/>
      <c r="U216" s="392"/>
      <c r="V216" s="392"/>
      <c r="W216" s="392"/>
      <c r="X216" s="392"/>
      <c r="Y216" s="392"/>
      <c r="Z216" s="392"/>
      <c r="AA216" s="392"/>
      <c r="AB216" s="419"/>
      <c r="AC216" s="419"/>
      <c r="AD216" s="404"/>
      <c r="AE216" s="404"/>
      <c r="AF216" s="429"/>
      <c r="AG216" s="392"/>
      <c r="AH216" s="441"/>
      <c r="AI216" s="426"/>
      <c r="AJ216" s="410"/>
    </row>
    <row r="217">
      <c r="A217" s="403"/>
      <c r="B217" s="403"/>
      <c r="C217" s="403"/>
      <c r="D217" s="403"/>
      <c r="E217" s="403"/>
      <c r="F217" s="403"/>
      <c r="G217" s="392"/>
      <c r="H217" s="403"/>
      <c r="I217" s="392"/>
      <c r="J217" s="392"/>
      <c r="K217" s="392"/>
      <c r="L217" s="403"/>
      <c r="M217" s="392"/>
      <c r="N217" s="392"/>
      <c r="O217" s="392"/>
      <c r="P217" s="404"/>
      <c r="Q217" s="392"/>
      <c r="R217" s="392"/>
      <c r="S217" s="392"/>
      <c r="T217" s="392"/>
      <c r="U217" s="392"/>
      <c r="V217" s="392"/>
      <c r="W217" s="392"/>
      <c r="X217" s="392"/>
      <c r="Y217" s="392"/>
      <c r="Z217" s="392"/>
      <c r="AA217" s="392"/>
      <c r="AB217" s="419"/>
      <c r="AC217" s="419"/>
      <c r="AD217" s="404"/>
      <c r="AE217" s="404"/>
      <c r="AF217" s="429"/>
      <c r="AG217" s="392"/>
      <c r="AH217" s="441"/>
      <c r="AI217" s="426"/>
      <c r="AJ217" s="410"/>
    </row>
    <row r="218">
      <c r="A218" s="403"/>
      <c r="B218" s="403"/>
      <c r="C218" s="403"/>
      <c r="D218" s="403"/>
      <c r="E218" s="403"/>
      <c r="F218" s="403"/>
      <c r="G218" s="403"/>
      <c r="H218" s="403"/>
      <c r="I218" s="392"/>
      <c r="J218" s="392"/>
      <c r="K218" s="392"/>
      <c r="L218" s="403"/>
      <c r="M218" s="392"/>
      <c r="N218" s="392"/>
      <c r="O218" s="392"/>
      <c r="P218" s="404"/>
      <c r="Q218" s="392"/>
      <c r="R218" s="392"/>
      <c r="S218" s="392"/>
      <c r="T218" s="392"/>
      <c r="U218" s="392"/>
      <c r="V218" s="392"/>
      <c r="W218" s="392"/>
      <c r="X218" s="392"/>
      <c r="Y218" s="392"/>
      <c r="Z218" s="392"/>
      <c r="AA218" s="392"/>
      <c r="AB218" s="419"/>
      <c r="AC218" s="419"/>
      <c r="AD218" s="404"/>
      <c r="AE218" s="404"/>
      <c r="AF218" s="429"/>
      <c r="AG218" s="392"/>
      <c r="AH218" s="441"/>
      <c r="AI218" s="426"/>
      <c r="AJ218" s="410"/>
    </row>
    <row r="219">
      <c r="A219" s="403"/>
      <c r="B219" s="403"/>
      <c r="C219" s="403"/>
      <c r="D219" s="403"/>
      <c r="E219" s="403"/>
      <c r="F219" s="403"/>
      <c r="G219" s="392"/>
      <c r="H219" s="403"/>
      <c r="I219" s="392"/>
      <c r="J219" s="392"/>
      <c r="K219" s="392"/>
      <c r="L219" s="403"/>
      <c r="M219" s="392"/>
      <c r="N219" s="392"/>
      <c r="O219" s="392"/>
      <c r="P219" s="404"/>
      <c r="Q219" s="392"/>
      <c r="R219" s="392"/>
      <c r="S219" s="392"/>
      <c r="T219" s="392"/>
      <c r="U219" s="392"/>
      <c r="V219" s="392"/>
      <c r="W219" s="392"/>
      <c r="X219" s="392"/>
      <c r="Y219" s="392"/>
      <c r="Z219" s="392"/>
      <c r="AA219" s="392"/>
      <c r="AB219" s="419"/>
      <c r="AC219" s="419"/>
      <c r="AD219" s="404"/>
      <c r="AE219" s="404"/>
      <c r="AF219" s="429"/>
      <c r="AG219" s="392"/>
      <c r="AH219" s="414"/>
      <c r="AI219" s="426"/>
      <c r="AJ219" s="410"/>
    </row>
    <row r="220">
      <c r="A220" s="403"/>
      <c r="B220" s="403"/>
      <c r="C220" s="403"/>
      <c r="D220" s="403"/>
      <c r="E220" s="403"/>
      <c r="F220" s="403"/>
      <c r="G220" s="392"/>
      <c r="H220" s="403"/>
      <c r="I220" s="392"/>
      <c r="J220" s="392"/>
      <c r="K220" s="392"/>
      <c r="L220" s="403"/>
      <c r="M220" s="392"/>
      <c r="N220" s="392"/>
      <c r="O220" s="392"/>
      <c r="P220" s="404"/>
      <c r="Q220" s="392"/>
      <c r="R220" s="392"/>
      <c r="S220" s="392"/>
      <c r="T220" s="392"/>
      <c r="U220" s="392"/>
      <c r="V220" s="392"/>
      <c r="W220" s="392"/>
      <c r="X220" s="392"/>
      <c r="Y220" s="392"/>
      <c r="Z220" s="392"/>
      <c r="AA220" s="392"/>
      <c r="AB220" s="419"/>
      <c r="AC220" s="419"/>
      <c r="AD220" s="404"/>
      <c r="AE220" s="404"/>
      <c r="AF220" s="429"/>
      <c r="AG220" s="392"/>
      <c r="AH220" s="441"/>
      <c r="AI220" s="426"/>
      <c r="AJ220" s="410"/>
    </row>
    <row r="221">
      <c r="A221" s="403"/>
      <c r="B221" s="403"/>
      <c r="C221" s="403"/>
      <c r="D221" s="403"/>
      <c r="E221" s="403"/>
      <c r="F221" s="403"/>
      <c r="G221" s="392"/>
      <c r="H221" s="403"/>
      <c r="I221" s="392"/>
      <c r="J221" s="392"/>
      <c r="K221" s="392"/>
      <c r="L221" s="403"/>
      <c r="M221" s="392"/>
      <c r="N221" s="392"/>
      <c r="O221" s="392"/>
      <c r="P221" s="404"/>
      <c r="Q221" s="392"/>
      <c r="R221" s="392"/>
      <c r="S221" s="392"/>
      <c r="T221" s="392"/>
      <c r="U221" s="392"/>
      <c r="V221" s="392"/>
      <c r="W221" s="392"/>
      <c r="X221" s="392"/>
      <c r="Y221" s="392"/>
      <c r="Z221" s="392"/>
      <c r="AA221" s="392"/>
      <c r="AB221" s="419"/>
      <c r="AC221" s="419"/>
      <c r="AD221" s="404"/>
      <c r="AE221" s="404"/>
      <c r="AF221" s="429"/>
      <c r="AG221" s="392"/>
      <c r="AH221" s="441"/>
      <c r="AI221" s="426"/>
      <c r="AJ221" s="410"/>
    </row>
    <row r="222">
      <c r="A222" s="403"/>
      <c r="B222" s="403"/>
      <c r="C222" s="403"/>
      <c r="D222" s="403"/>
      <c r="E222" s="403"/>
      <c r="F222" s="403"/>
      <c r="G222" s="392"/>
      <c r="H222" s="403"/>
      <c r="I222" s="392"/>
      <c r="J222" s="392"/>
      <c r="K222" s="392"/>
      <c r="L222" s="403"/>
      <c r="M222" s="392"/>
      <c r="N222" s="392"/>
      <c r="O222" s="392"/>
      <c r="P222" s="404"/>
      <c r="Q222" s="392"/>
      <c r="R222" s="392"/>
      <c r="S222" s="392"/>
      <c r="T222" s="392"/>
      <c r="U222" s="392"/>
      <c r="V222" s="392"/>
      <c r="W222" s="392"/>
      <c r="X222" s="392"/>
      <c r="Y222" s="392"/>
      <c r="Z222" s="392"/>
      <c r="AA222" s="392"/>
      <c r="AB222" s="419"/>
      <c r="AC222" s="419"/>
      <c r="AD222" s="404"/>
      <c r="AE222" s="404"/>
      <c r="AF222" s="429"/>
      <c r="AG222" s="392"/>
      <c r="AH222" s="441"/>
      <c r="AI222" s="426"/>
      <c r="AJ222" s="410"/>
    </row>
    <row r="223">
      <c r="A223" s="402"/>
      <c r="B223" s="402"/>
      <c r="C223" s="403"/>
      <c r="D223" s="405"/>
      <c r="E223" s="403"/>
      <c r="F223" s="403"/>
      <c r="G223" s="392"/>
      <c r="H223" s="403"/>
      <c r="I223" s="392"/>
      <c r="J223" s="392"/>
      <c r="K223" s="392"/>
      <c r="L223" s="403"/>
      <c r="M223" s="392"/>
      <c r="N223" s="392"/>
      <c r="O223" s="392"/>
      <c r="P223" s="404"/>
      <c r="Q223" s="392"/>
      <c r="R223" s="392"/>
      <c r="S223" s="392"/>
      <c r="T223" s="392"/>
      <c r="U223" s="392"/>
      <c r="V223" s="392"/>
      <c r="W223" s="392"/>
      <c r="X223" s="392"/>
      <c r="Y223" s="392"/>
      <c r="Z223" s="392"/>
      <c r="AA223" s="392"/>
      <c r="AB223" s="419"/>
      <c r="AC223" s="419"/>
      <c r="AD223" s="404"/>
      <c r="AE223" s="404"/>
      <c r="AF223" s="429"/>
      <c r="AG223" s="392"/>
      <c r="AH223" s="411"/>
      <c r="AI223" s="426"/>
      <c r="AJ223" s="410"/>
    </row>
    <row r="224">
      <c r="A224" s="402"/>
      <c r="B224" s="402"/>
      <c r="C224" s="403"/>
      <c r="D224" s="405"/>
      <c r="E224" s="403"/>
      <c r="F224" s="403"/>
      <c r="G224" s="392"/>
      <c r="H224" s="403"/>
      <c r="I224" s="392"/>
      <c r="J224" s="392"/>
      <c r="K224" s="392"/>
      <c r="L224" s="403"/>
      <c r="M224" s="392"/>
      <c r="N224" s="392"/>
      <c r="O224" s="392"/>
      <c r="P224" s="404"/>
      <c r="Q224" s="392"/>
      <c r="R224" s="392"/>
      <c r="S224" s="392"/>
      <c r="T224" s="392"/>
      <c r="U224" s="392"/>
      <c r="V224" s="392"/>
      <c r="W224" s="392"/>
      <c r="X224" s="392"/>
      <c r="Y224" s="392"/>
      <c r="Z224" s="392"/>
      <c r="AA224" s="392"/>
      <c r="AB224" s="419"/>
      <c r="AC224" s="419"/>
      <c r="AD224" s="404"/>
      <c r="AE224" s="404"/>
      <c r="AF224" s="429"/>
      <c r="AG224" s="392"/>
      <c r="AH224" s="411"/>
      <c r="AI224" s="426"/>
      <c r="AJ224" s="410"/>
    </row>
    <row r="225">
      <c r="A225" s="402"/>
      <c r="B225" s="402"/>
      <c r="C225" s="403"/>
      <c r="D225" s="405"/>
      <c r="E225" s="403"/>
      <c r="F225" s="403"/>
      <c r="G225" s="392"/>
      <c r="H225" s="403"/>
      <c r="I225" s="392"/>
      <c r="J225" s="392"/>
      <c r="K225" s="392"/>
      <c r="L225" s="403"/>
      <c r="M225" s="392"/>
      <c r="N225" s="392"/>
      <c r="O225" s="392"/>
      <c r="P225" s="404"/>
      <c r="Q225" s="392"/>
      <c r="R225" s="392"/>
      <c r="S225" s="392"/>
      <c r="T225" s="392"/>
      <c r="U225" s="392"/>
      <c r="V225" s="392"/>
      <c r="W225" s="392"/>
      <c r="X225" s="392"/>
      <c r="Y225" s="392"/>
      <c r="Z225" s="392"/>
      <c r="AA225" s="392"/>
      <c r="AB225" s="419"/>
      <c r="AC225" s="419"/>
      <c r="AD225" s="404"/>
      <c r="AE225" s="404"/>
      <c r="AF225" s="429"/>
      <c r="AG225" s="392"/>
      <c r="AH225" s="411"/>
      <c r="AI225" s="426"/>
      <c r="AJ225" s="410"/>
    </row>
    <row r="226">
      <c r="A226" s="402"/>
      <c r="B226" s="402"/>
      <c r="C226" s="403"/>
      <c r="D226" s="405"/>
      <c r="E226" s="403"/>
      <c r="F226" s="403"/>
      <c r="G226" s="403"/>
      <c r="H226" s="403"/>
      <c r="I226" s="392"/>
      <c r="J226" s="392"/>
      <c r="K226" s="392"/>
      <c r="L226" s="403"/>
      <c r="M226" s="392"/>
      <c r="N226" s="392"/>
      <c r="O226" s="392"/>
      <c r="P226" s="404"/>
      <c r="Q226" s="392"/>
      <c r="R226" s="392"/>
      <c r="S226" s="392"/>
      <c r="T226" s="392"/>
      <c r="U226" s="392"/>
      <c r="V226" s="392"/>
      <c r="W226" s="392"/>
      <c r="X226" s="392"/>
      <c r="Y226" s="392"/>
      <c r="Z226" s="392"/>
      <c r="AA226" s="392"/>
      <c r="AB226" s="419"/>
      <c r="AC226" s="419"/>
      <c r="AD226" s="404"/>
      <c r="AE226" s="404"/>
      <c r="AF226" s="429"/>
      <c r="AG226" s="392"/>
      <c r="AH226" s="411"/>
      <c r="AI226" s="426"/>
      <c r="AJ226" s="410"/>
    </row>
    <row r="227">
      <c r="A227" s="402"/>
      <c r="B227" s="402"/>
      <c r="C227" s="403"/>
      <c r="D227" s="405"/>
      <c r="E227" s="403"/>
      <c r="F227" s="403"/>
      <c r="G227" s="403"/>
      <c r="H227" s="403"/>
      <c r="I227" s="392"/>
      <c r="J227" s="392"/>
      <c r="K227" s="392"/>
      <c r="L227" s="403"/>
      <c r="M227" s="392"/>
      <c r="N227" s="392"/>
      <c r="O227" s="392"/>
      <c r="P227" s="404"/>
      <c r="Q227" s="392"/>
      <c r="R227" s="392"/>
      <c r="S227" s="392"/>
      <c r="T227" s="392"/>
      <c r="U227" s="392"/>
      <c r="V227" s="392"/>
      <c r="W227" s="392"/>
      <c r="X227" s="392"/>
      <c r="Y227" s="392"/>
      <c r="Z227" s="392"/>
      <c r="AA227" s="392"/>
      <c r="AB227" s="419"/>
      <c r="AC227" s="419"/>
      <c r="AD227" s="404"/>
      <c r="AE227" s="404"/>
      <c r="AF227" s="429"/>
      <c r="AG227" s="392"/>
      <c r="AH227" s="411"/>
      <c r="AI227" s="426"/>
      <c r="AJ227" s="410"/>
    </row>
    <row r="228">
      <c r="A228" s="402"/>
      <c r="B228" s="402"/>
      <c r="C228" s="403"/>
      <c r="D228" s="405"/>
      <c r="E228" s="403"/>
      <c r="F228" s="403"/>
      <c r="G228" s="403"/>
      <c r="H228" s="403"/>
      <c r="I228" s="392"/>
      <c r="J228" s="392"/>
      <c r="K228" s="392"/>
      <c r="L228" s="403"/>
      <c r="M228" s="392"/>
      <c r="N228" s="392"/>
      <c r="O228" s="392"/>
      <c r="P228" s="404"/>
      <c r="Q228" s="392"/>
      <c r="R228" s="392"/>
      <c r="S228" s="392"/>
      <c r="T228" s="392"/>
      <c r="U228" s="392"/>
      <c r="V228" s="392"/>
      <c r="W228" s="392"/>
      <c r="X228" s="392"/>
      <c r="Y228" s="392"/>
      <c r="Z228" s="392"/>
      <c r="AA228" s="392"/>
      <c r="AB228" s="419"/>
      <c r="AC228" s="419"/>
      <c r="AD228" s="404"/>
      <c r="AE228" s="404"/>
      <c r="AF228" s="429"/>
      <c r="AG228" s="392"/>
      <c r="AH228" s="411"/>
      <c r="AI228" s="426"/>
      <c r="AJ228" s="410"/>
    </row>
    <row r="229">
      <c r="A229" s="402"/>
      <c r="B229" s="402"/>
      <c r="C229" s="403"/>
      <c r="D229" s="405"/>
      <c r="E229" s="403"/>
      <c r="F229" s="403"/>
      <c r="G229" s="403"/>
      <c r="H229" s="403"/>
      <c r="I229" s="392"/>
      <c r="J229" s="392"/>
      <c r="K229" s="392"/>
      <c r="L229" s="403"/>
      <c r="M229" s="392"/>
      <c r="N229" s="392"/>
      <c r="O229" s="392"/>
      <c r="P229" s="404"/>
      <c r="Q229" s="392"/>
      <c r="R229" s="392"/>
      <c r="S229" s="392"/>
      <c r="T229" s="392"/>
      <c r="U229" s="392"/>
      <c r="V229" s="392"/>
      <c r="W229" s="392"/>
      <c r="X229" s="392"/>
      <c r="Y229" s="392"/>
      <c r="Z229" s="392"/>
      <c r="AA229" s="392"/>
      <c r="AB229" s="419"/>
      <c r="AC229" s="419"/>
      <c r="AD229" s="404"/>
      <c r="AE229" s="404"/>
      <c r="AF229" s="429"/>
      <c r="AG229" s="392"/>
      <c r="AH229" s="411"/>
      <c r="AI229" s="426"/>
      <c r="AJ229" s="410"/>
    </row>
    <row r="230">
      <c r="A230" s="403"/>
      <c r="B230" s="403"/>
      <c r="C230" s="403"/>
      <c r="D230" s="405"/>
      <c r="E230" s="403"/>
      <c r="F230" s="403"/>
      <c r="G230" s="392"/>
      <c r="H230" s="403"/>
      <c r="I230" s="392"/>
      <c r="J230" s="392"/>
      <c r="K230" s="392"/>
      <c r="L230" s="403"/>
      <c r="M230" s="392"/>
      <c r="N230" s="392"/>
      <c r="O230" s="392"/>
      <c r="P230" s="404"/>
      <c r="Q230" s="392"/>
      <c r="R230" s="392"/>
      <c r="S230" s="392"/>
      <c r="T230" s="392"/>
      <c r="U230" s="392"/>
      <c r="V230" s="392"/>
      <c r="W230" s="392"/>
      <c r="X230" s="392"/>
      <c r="Y230" s="392"/>
      <c r="Z230" s="392"/>
      <c r="AA230" s="392"/>
      <c r="AB230" s="419"/>
      <c r="AC230" s="419"/>
      <c r="AD230" s="404"/>
      <c r="AE230" s="404"/>
      <c r="AF230" s="429"/>
      <c r="AG230" s="392"/>
      <c r="AH230" s="426"/>
      <c r="AI230" s="426"/>
      <c r="AJ230" s="410"/>
    </row>
    <row r="231">
      <c r="A231" s="403"/>
      <c r="B231" s="403"/>
      <c r="C231" s="403"/>
      <c r="D231" s="405"/>
      <c r="E231" s="403"/>
      <c r="F231" s="403"/>
      <c r="G231" s="392"/>
      <c r="H231" s="403"/>
      <c r="I231" s="392"/>
      <c r="J231" s="392"/>
      <c r="K231" s="392"/>
      <c r="L231" s="403"/>
      <c r="M231" s="392"/>
      <c r="N231" s="392"/>
      <c r="O231" s="392"/>
      <c r="P231" s="404"/>
      <c r="Q231" s="392"/>
      <c r="R231" s="392"/>
      <c r="S231" s="392"/>
      <c r="T231" s="392"/>
      <c r="U231" s="392"/>
      <c r="V231" s="392"/>
      <c r="W231" s="392"/>
      <c r="X231" s="392"/>
      <c r="Y231" s="392"/>
      <c r="Z231" s="392"/>
      <c r="AA231" s="392"/>
      <c r="AB231" s="419"/>
      <c r="AC231" s="419"/>
      <c r="AD231" s="404"/>
      <c r="AE231" s="404"/>
      <c r="AF231" s="429"/>
      <c r="AG231" s="392"/>
      <c r="AH231" s="426"/>
      <c r="AI231" s="426"/>
      <c r="AJ231" s="410"/>
    </row>
    <row r="232">
      <c r="A232" s="403"/>
      <c r="B232" s="403"/>
      <c r="C232" s="403"/>
      <c r="D232" s="405"/>
      <c r="E232" s="403"/>
      <c r="F232" s="403"/>
      <c r="G232" s="392"/>
      <c r="H232" s="403"/>
      <c r="I232" s="392"/>
      <c r="J232" s="392"/>
      <c r="K232" s="392"/>
      <c r="L232" s="403"/>
      <c r="M232" s="392"/>
      <c r="N232" s="392"/>
      <c r="O232" s="392"/>
      <c r="P232" s="404"/>
      <c r="Q232" s="392"/>
      <c r="R232" s="392"/>
      <c r="S232" s="392"/>
      <c r="T232" s="392"/>
      <c r="U232" s="392"/>
      <c r="V232" s="392"/>
      <c r="W232" s="392"/>
      <c r="X232" s="392"/>
      <c r="Y232" s="392"/>
      <c r="Z232" s="392"/>
      <c r="AA232" s="392"/>
      <c r="AB232" s="419"/>
      <c r="AC232" s="419"/>
      <c r="AD232" s="404"/>
      <c r="AE232" s="404"/>
      <c r="AF232" s="429"/>
      <c r="AG232" s="392"/>
      <c r="AH232" s="426"/>
      <c r="AI232" s="426"/>
      <c r="AJ232" s="410"/>
    </row>
    <row r="233">
      <c r="A233" s="403"/>
      <c r="B233" s="403"/>
      <c r="C233" s="403"/>
      <c r="D233" s="405"/>
      <c r="E233" s="403"/>
      <c r="F233" s="403"/>
      <c r="G233" s="392"/>
      <c r="H233" s="403"/>
      <c r="I233" s="392"/>
      <c r="J233" s="392"/>
      <c r="K233" s="392"/>
      <c r="L233" s="403"/>
      <c r="M233" s="392"/>
      <c r="N233" s="392"/>
      <c r="O233" s="392"/>
      <c r="P233" s="404"/>
      <c r="Q233" s="392"/>
      <c r="R233" s="392"/>
      <c r="S233" s="392"/>
      <c r="T233" s="392"/>
      <c r="U233" s="392"/>
      <c r="V233" s="392"/>
      <c r="W233" s="392"/>
      <c r="X233" s="392"/>
      <c r="Y233" s="392"/>
      <c r="Z233" s="392"/>
      <c r="AA233" s="392"/>
      <c r="AB233" s="419"/>
      <c r="AC233" s="419"/>
      <c r="AD233" s="404"/>
      <c r="AE233" s="404"/>
      <c r="AF233" s="429"/>
      <c r="AG233" s="392"/>
      <c r="AH233" s="426"/>
      <c r="AI233" s="426"/>
      <c r="AJ233" s="410"/>
    </row>
    <row r="234">
      <c r="A234" s="403"/>
      <c r="B234" s="403"/>
      <c r="C234" s="403"/>
      <c r="D234" s="405"/>
      <c r="E234" s="403"/>
      <c r="F234" s="403"/>
      <c r="G234" s="392"/>
      <c r="H234" s="403"/>
      <c r="I234" s="392"/>
      <c r="J234" s="392"/>
      <c r="K234" s="392"/>
      <c r="L234" s="403"/>
      <c r="M234" s="392"/>
      <c r="N234" s="392"/>
      <c r="O234" s="392"/>
      <c r="P234" s="404"/>
      <c r="Q234" s="392"/>
      <c r="R234" s="392"/>
      <c r="S234" s="392"/>
      <c r="T234" s="392"/>
      <c r="U234" s="392"/>
      <c r="V234" s="392"/>
      <c r="W234" s="392"/>
      <c r="X234" s="392"/>
      <c r="Y234" s="392"/>
      <c r="Z234" s="392"/>
      <c r="AA234" s="392"/>
      <c r="AB234" s="419"/>
      <c r="AC234" s="419"/>
      <c r="AD234" s="404"/>
      <c r="AE234" s="404"/>
      <c r="AF234" s="429"/>
      <c r="AG234" s="392"/>
      <c r="AH234" s="426"/>
      <c r="AI234" s="426"/>
      <c r="AJ234" s="410"/>
    </row>
    <row r="235">
      <c r="A235" s="403"/>
      <c r="B235" s="403"/>
      <c r="C235" s="403"/>
      <c r="D235" s="405"/>
      <c r="E235" s="403"/>
      <c r="F235" s="403"/>
      <c r="G235" s="392"/>
      <c r="H235" s="403"/>
      <c r="I235" s="392"/>
      <c r="J235" s="392"/>
      <c r="K235" s="392"/>
      <c r="L235" s="403"/>
      <c r="M235" s="392"/>
      <c r="N235" s="392"/>
      <c r="O235" s="392"/>
      <c r="P235" s="404"/>
      <c r="Q235" s="392"/>
      <c r="R235" s="392"/>
      <c r="S235" s="392"/>
      <c r="T235" s="392"/>
      <c r="U235" s="392"/>
      <c r="V235" s="392"/>
      <c r="W235" s="392"/>
      <c r="X235" s="392"/>
      <c r="Y235" s="392"/>
      <c r="Z235" s="392"/>
      <c r="AA235" s="392"/>
      <c r="AB235" s="419"/>
      <c r="AC235" s="419"/>
      <c r="AD235" s="404"/>
      <c r="AE235" s="404"/>
      <c r="AF235" s="429"/>
      <c r="AG235" s="392"/>
      <c r="AH235" s="411"/>
      <c r="AI235" s="426"/>
      <c r="AJ235" s="410"/>
    </row>
    <row r="236">
      <c r="A236" s="403"/>
      <c r="B236" s="403"/>
      <c r="C236" s="403"/>
      <c r="D236" s="405"/>
      <c r="E236" s="403"/>
      <c r="F236" s="403"/>
      <c r="G236" s="403"/>
      <c r="H236" s="403"/>
      <c r="I236" s="392"/>
      <c r="J236" s="392"/>
      <c r="K236" s="392"/>
      <c r="L236" s="403"/>
      <c r="M236" s="392"/>
      <c r="N236" s="392"/>
      <c r="O236" s="392"/>
      <c r="P236" s="404"/>
      <c r="Q236" s="392"/>
      <c r="R236" s="392"/>
      <c r="S236" s="392"/>
      <c r="T236" s="392"/>
      <c r="U236" s="392"/>
      <c r="V236" s="392"/>
      <c r="W236" s="392"/>
      <c r="X236" s="392"/>
      <c r="Y236" s="392"/>
      <c r="Z236" s="392"/>
      <c r="AA236" s="392"/>
      <c r="AB236" s="419"/>
      <c r="AC236" s="419"/>
      <c r="AD236" s="404"/>
      <c r="AE236" s="404"/>
      <c r="AF236" s="429"/>
      <c r="AG236" s="392"/>
      <c r="AH236" s="411"/>
      <c r="AI236" s="426"/>
      <c r="AJ236" s="410"/>
    </row>
    <row r="237">
      <c r="H237" s="442"/>
      <c r="P237" s="442"/>
    </row>
    <row r="238">
      <c r="H238" s="442"/>
      <c r="P238" s="442"/>
    </row>
    <row r="239">
      <c r="H239" s="442"/>
      <c r="P239" s="442"/>
    </row>
    <row r="240">
      <c r="H240" s="442"/>
      <c r="P240" s="442"/>
    </row>
    <row r="241">
      <c r="A241" s="398"/>
      <c r="B241" s="398"/>
      <c r="C241" s="398"/>
      <c r="D241" s="398"/>
      <c r="E241" s="398"/>
      <c r="F241" s="398"/>
      <c r="G241" s="398"/>
      <c r="H241" s="399"/>
      <c r="I241" s="398"/>
      <c r="J241" s="398"/>
      <c r="K241" s="398"/>
      <c r="L241" s="398"/>
      <c r="M241" s="398"/>
      <c r="N241" s="398"/>
      <c r="O241" s="398"/>
      <c r="P241" s="399"/>
      <c r="Q241" s="398"/>
      <c r="R241" s="398"/>
      <c r="S241" s="398"/>
      <c r="T241" s="398"/>
      <c r="U241" s="398"/>
      <c r="V241" s="398"/>
      <c r="W241" s="398"/>
      <c r="X241" s="398"/>
      <c r="Y241" s="400"/>
      <c r="Z241" s="400"/>
      <c r="AA241" s="401"/>
      <c r="AB241" s="398"/>
      <c r="AC241" s="398"/>
      <c r="AD241" s="398"/>
      <c r="AE241" s="398"/>
      <c r="AF241" s="398"/>
      <c r="AG241" s="398"/>
      <c r="AH241" s="398"/>
      <c r="AI241" s="398"/>
      <c r="AJ241" s="398"/>
    </row>
    <row r="242">
      <c r="A242" s="402"/>
      <c r="B242" s="402"/>
      <c r="C242" s="403"/>
      <c r="D242" s="403"/>
      <c r="E242" s="404"/>
      <c r="F242" s="403"/>
      <c r="G242" s="405"/>
      <c r="H242" s="405"/>
      <c r="I242" s="403"/>
      <c r="J242" s="403"/>
      <c r="K242" s="403"/>
      <c r="L242" s="403"/>
      <c r="M242" s="403"/>
      <c r="N242" s="403"/>
      <c r="O242" s="403"/>
      <c r="P242" s="403"/>
      <c r="Q242" s="403"/>
      <c r="R242" s="403"/>
      <c r="S242" s="405"/>
      <c r="T242" s="405"/>
      <c r="U242" s="403"/>
      <c r="V242" s="403"/>
      <c r="W242" s="404"/>
      <c r="X242" s="404"/>
      <c r="Y242" s="404"/>
      <c r="Z242" s="404"/>
      <c r="AA242" s="403"/>
      <c r="AB242" s="406"/>
      <c r="AC242" s="406"/>
      <c r="AD242" s="404"/>
      <c r="AE242" s="404"/>
      <c r="AF242" s="407"/>
      <c r="AG242" s="405"/>
      <c r="AH242" s="403"/>
      <c r="AI242" s="409"/>
      <c r="AJ242" s="410"/>
    </row>
    <row r="243">
      <c r="A243" s="402"/>
      <c r="B243" s="402"/>
      <c r="C243" s="403"/>
      <c r="D243" s="403"/>
      <c r="E243" s="404"/>
      <c r="F243" s="403"/>
      <c r="G243" s="405"/>
      <c r="H243" s="405"/>
      <c r="I243" s="403"/>
      <c r="J243" s="403"/>
      <c r="K243" s="403"/>
      <c r="L243" s="403"/>
      <c r="M243" s="403"/>
      <c r="N243" s="403"/>
      <c r="O243" s="403"/>
      <c r="P243" s="403"/>
      <c r="Q243" s="403"/>
      <c r="R243" s="403"/>
      <c r="S243" s="405"/>
      <c r="T243" s="403"/>
      <c r="U243" s="403"/>
      <c r="V243" s="403"/>
      <c r="W243" s="404"/>
      <c r="X243" s="404"/>
      <c r="Y243" s="404"/>
      <c r="Z243" s="404"/>
      <c r="AA243" s="403"/>
      <c r="AB243" s="406"/>
      <c r="AC243" s="406"/>
      <c r="AD243" s="404"/>
      <c r="AE243" s="404"/>
      <c r="AF243" s="407"/>
      <c r="AG243" s="405"/>
      <c r="AH243" s="403"/>
      <c r="AI243" s="409"/>
      <c r="AJ243" s="410"/>
    </row>
    <row r="244">
      <c r="A244" s="402"/>
      <c r="B244" s="402"/>
      <c r="C244" s="403"/>
      <c r="D244" s="403"/>
      <c r="E244" s="404"/>
      <c r="F244" s="403"/>
      <c r="G244" s="411"/>
      <c r="H244" s="405"/>
      <c r="I244" s="403"/>
      <c r="J244" s="403"/>
      <c r="K244" s="403"/>
      <c r="L244" s="403"/>
      <c r="M244" s="403"/>
      <c r="N244" s="403"/>
      <c r="O244" s="403"/>
      <c r="P244" s="403"/>
      <c r="Q244" s="403"/>
      <c r="R244" s="403"/>
      <c r="S244" s="405"/>
      <c r="T244" s="403"/>
      <c r="U244" s="403"/>
      <c r="V244" s="403"/>
      <c r="W244" s="404"/>
      <c r="X244" s="404"/>
      <c r="Y244" s="404"/>
      <c r="Z244" s="404"/>
      <c r="AA244" s="403"/>
      <c r="AB244" s="406"/>
      <c r="AC244" s="406"/>
      <c r="AD244" s="404"/>
      <c r="AE244" s="404"/>
      <c r="AF244" s="405"/>
      <c r="AG244" s="405"/>
      <c r="AH244" s="403"/>
      <c r="AI244" s="409"/>
      <c r="AJ244" s="410"/>
    </row>
    <row r="245">
      <c r="A245" s="402"/>
      <c r="B245" s="402"/>
      <c r="C245" s="405"/>
      <c r="D245" s="403"/>
      <c r="E245" s="404"/>
      <c r="F245" s="403"/>
      <c r="G245" s="405"/>
      <c r="H245" s="405"/>
      <c r="I245" s="403"/>
      <c r="J245" s="403"/>
      <c r="K245" s="403"/>
      <c r="L245" s="403"/>
      <c r="M245" s="403"/>
      <c r="N245" s="403"/>
      <c r="O245" s="403"/>
      <c r="P245" s="403"/>
      <c r="Q245" s="403"/>
      <c r="R245" s="403"/>
      <c r="S245" s="405"/>
      <c r="T245" s="406"/>
      <c r="U245" s="403"/>
      <c r="V245" s="403"/>
      <c r="W245" s="404"/>
      <c r="X245" s="404"/>
      <c r="Y245" s="404"/>
      <c r="Z245" s="404"/>
      <c r="AA245" s="405"/>
      <c r="AB245" s="406"/>
      <c r="AC245" s="406"/>
      <c r="AD245" s="412"/>
      <c r="AE245" s="404"/>
      <c r="AF245" s="407"/>
      <c r="AG245" s="405"/>
      <c r="AH245" s="403"/>
      <c r="AI245" s="409"/>
      <c r="AJ245" s="410"/>
    </row>
    <row r="246">
      <c r="A246" s="402"/>
      <c r="B246" s="402"/>
      <c r="C246" s="405"/>
      <c r="D246" s="403"/>
      <c r="E246" s="404"/>
      <c r="F246" s="403"/>
      <c r="G246" s="405"/>
      <c r="H246" s="405"/>
      <c r="I246" s="403"/>
      <c r="J246" s="403"/>
      <c r="K246" s="403"/>
      <c r="L246" s="403"/>
      <c r="M246" s="403"/>
      <c r="N246" s="403"/>
      <c r="O246" s="403"/>
      <c r="P246" s="403"/>
      <c r="Q246" s="403"/>
      <c r="R246" s="403"/>
      <c r="S246" s="405"/>
      <c r="T246" s="405"/>
      <c r="U246" s="403"/>
      <c r="V246" s="403"/>
      <c r="W246" s="404"/>
      <c r="X246" s="404"/>
      <c r="Y246" s="404"/>
      <c r="Z246" s="404"/>
      <c r="AA246" s="403"/>
      <c r="AB246" s="406"/>
      <c r="AC246" s="406"/>
      <c r="AD246" s="404"/>
      <c r="AE246" s="404"/>
      <c r="AF246" s="407"/>
      <c r="AG246" s="405"/>
      <c r="AH246" s="403"/>
      <c r="AI246" s="409"/>
      <c r="AJ246" s="410"/>
    </row>
    <row r="247">
      <c r="A247" s="402"/>
      <c r="B247" s="402"/>
      <c r="C247" s="403"/>
      <c r="D247" s="403"/>
      <c r="E247" s="404"/>
      <c r="F247" s="403"/>
      <c r="G247" s="411"/>
      <c r="H247" s="405"/>
      <c r="I247" s="403"/>
      <c r="J247" s="403"/>
      <c r="K247" s="403"/>
      <c r="L247" s="403"/>
      <c r="M247" s="403"/>
      <c r="N247" s="403"/>
      <c r="O247" s="403"/>
      <c r="P247" s="403"/>
      <c r="Q247" s="403"/>
      <c r="R247" s="403"/>
      <c r="S247" s="405"/>
      <c r="T247" s="403"/>
      <c r="U247" s="403"/>
      <c r="V247" s="403"/>
      <c r="W247" s="404"/>
      <c r="X247" s="404"/>
      <c r="Y247" s="404"/>
      <c r="Z247" s="404"/>
      <c r="AA247" s="403"/>
      <c r="AB247" s="406"/>
      <c r="AC247" s="406"/>
      <c r="AD247" s="404"/>
      <c r="AE247" s="404"/>
      <c r="AF247" s="407"/>
      <c r="AG247" s="405"/>
      <c r="AH247" s="403"/>
      <c r="AI247" s="409"/>
      <c r="AJ247" s="410"/>
    </row>
    <row r="248">
      <c r="A248" s="402"/>
      <c r="B248" s="402"/>
      <c r="C248" s="403"/>
      <c r="D248" s="403"/>
      <c r="E248" s="404"/>
      <c r="F248" s="403"/>
      <c r="G248" s="411"/>
      <c r="H248" s="405"/>
      <c r="I248" s="403"/>
      <c r="J248" s="403"/>
      <c r="K248" s="403"/>
      <c r="L248" s="403"/>
      <c r="M248" s="403"/>
      <c r="N248" s="403"/>
      <c r="O248" s="403"/>
      <c r="P248" s="403"/>
      <c r="Q248" s="403"/>
      <c r="R248" s="403"/>
      <c r="S248" s="405"/>
      <c r="T248" s="405"/>
      <c r="U248" s="403"/>
      <c r="V248" s="403"/>
      <c r="W248" s="404"/>
      <c r="X248" s="404"/>
      <c r="Y248" s="404"/>
      <c r="Z248" s="404"/>
      <c r="AA248" s="403"/>
      <c r="AB248" s="406"/>
      <c r="AC248" s="406"/>
      <c r="AD248" s="404"/>
      <c r="AE248" s="404"/>
      <c r="AF248" s="407"/>
      <c r="AG248" s="405"/>
      <c r="AH248" s="403"/>
      <c r="AI248" s="409"/>
      <c r="AJ248" s="410"/>
    </row>
    <row r="249">
      <c r="A249" s="402"/>
      <c r="B249" s="402"/>
      <c r="C249" s="403"/>
      <c r="D249" s="403"/>
      <c r="E249" s="404"/>
      <c r="F249" s="403"/>
      <c r="G249" s="405"/>
      <c r="H249" s="405"/>
      <c r="I249" s="403"/>
      <c r="J249" s="403"/>
      <c r="K249" s="403"/>
      <c r="L249" s="403"/>
      <c r="M249" s="403"/>
      <c r="N249" s="403"/>
      <c r="O249" s="403"/>
      <c r="P249" s="403"/>
      <c r="Q249" s="403"/>
      <c r="R249" s="403"/>
      <c r="S249" s="405"/>
      <c r="T249" s="405"/>
      <c r="U249" s="403"/>
      <c r="V249" s="403"/>
      <c r="W249" s="404"/>
      <c r="X249" s="404"/>
      <c r="Y249" s="404"/>
      <c r="Z249" s="404"/>
      <c r="AA249" s="403"/>
      <c r="AB249" s="406"/>
      <c r="AC249" s="413"/>
      <c r="AD249" s="404"/>
      <c r="AE249" s="404"/>
      <c r="AF249" s="407"/>
      <c r="AG249" s="405"/>
      <c r="AH249" s="403"/>
      <c r="AI249" s="409"/>
      <c r="AJ249" s="410"/>
    </row>
    <row r="250">
      <c r="A250" s="402"/>
      <c r="B250" s="402"/>
      <c r="C250" s="403"/>
      <c r="D250" s="403"/>
      <c r="E250" s="404"/>
      <c r="F250" s="403"/>
      <c r="G250" s="405"/>
      <c r="H250" s="405"/>
      <c r="I250" s="403"/>
      <c r="J250" s="403"/>
      <c r="K250" s="403"/>
      <c r="L250" s="403"/>
      <c r="M250" s="403"/>
      <c r="N250" s="403"/>
      <c r="O250" s="403"/>
      <c r="P250" s="403"/>
      <c r="Q250" s="403"/>
      <c r="R250" s="403"/>
      <c r="S250" s="405"/>
      <c r="T250" s="405"/>
      <c r="U250" s="403"/>
      <c r="V250" s="403"/>
      <c r="W250" s="404"/>
      <c r="X250" s="404"/>
      <c r="Y250" s="404"/>
      <c r="Z250" s="404"/>
      <c r="AA250" s="403"/>
      <c r="AB250" s="406"/>
      <c r="AC250" s="406"/>
      <c r="AD250" s="404"/>
      <c r="AE250" s="404"/>
      <c r="AF250" s="407"/>
      <c r="AG250" s="405"/>
      <c r="AH250" s="403"/>
      <c r="AI250" s="409"/>
      <c r="AJ250" s="410"/>
    </row>
    <row r="251">
      <c r="A251" s="402"/>
      <c r="B251" s="402"/>
      <c r="C251" s="403"/>
      <c r="D251" s="403"/>
      <c r="E251" s="404"/>
      <c r="F251" s="403"/>
      <c r="G251" s="405"/>
      <c r="H251" s="405"/>
      <c r="I251" s="403"/>
      <c r="J251" s="403"/>
      <c r="K251" s="403"/>
      <c r="L251" s="403"/>
      <c r="M251" s="403"/>
      <c r="N251" s="403"/>
      <c r="O251" s="403"/>
      <c r="P251" s="403"/>
      <c r="Q251" s="403"/>
      <c r="R251" s="403"/>
      <c r="S251" s="405"/>
      <c r="T251" s="405"/>
      <c r="U251" s="403"/>
      <c r="V251" s="403"/>
      <c r="W251" s="404"/>
      <c r="X251" s="404"/>
      <c r="Y251" s="404"/>
      <c r="Z251" s="404"/>
      <c r="AA251" s="403"/>
      <c r="AB251" s="406"/>
      <c r="AC251" s="406"/>
      <c r="AD251" s="404"/>
      <c r="AE251" s="404"/>
      <c r="AF251" s="407"/>
      <c r="AG251" s="405"/>
      <c r="AH251" s="403"/>
      <c r="AI251" s="409"/>
      <c r="AJ251" s="410"/>
    </row>
    <row r="252">
      <c r="A252" s="402"/>
      <c r="B252" s="402"/>
      <c r="C252" s="403"/>
      <c r="D252" s="403"/>
      <c r="E252" s="404"/>
      <c r="F252" s="403"/>
      <c r="G252" s="405"/>
      <c r="H252" s="405"/>
      <c r="I252" s="403"/>
      <c r="J252" s="403"/>
      <c r="K252" s="403"/>
      <c r="L252" s="403"/>
      <c r="M252" s="403"/>
      <c r="N252" s="403"/>
      <c r="O252" s="403"/>
      <c r="P252" s="403"/>
      <c r="Q252" s="403"/>
      <c r="R252" s="403"/>
      <c r="S252" s="405"/>
      <c r="T252" s="405"/>
      <c r="U252" s="403"/>
      <c r="V252" s="403"/>
      <c r="W252" s="404"/>
      <c r="X252" s="404"/>
      <c r="Y252" s="404"/>
      <c r="Z252" s="404"/>
      <c r="AA252" s="403"/>
      <c r="AB252" s="406"/>
      <c r="AC252" s="406"/>
      <c r="AD252" s="404"/>
      <c r="AE252" s="404"/>
      <c r="AF252" s="407"/>
      <c r="AG252" s="405"/>
      <c r="AH252" s="403"/>
      <c r="AI252" s="409"/>
      <c r="AJ252" s="410"/>
    </row>
    <row r="253">
      <c r="A253" s="402"/>
      <c r="B253" s="402"/>
      <c r="C253" s="403"/>
      <c r="D253" s="403"/>
      <c r="E253" s="404"/>
      <c r="F253" s="403"/>
      <c r="G253" s="405"/>
      <c r="H253" s="405"/>
      <c r="I253" s="403"/>
      <c r="J253" s="403"/>
      <c r="K253" s="403"/>
      <c r="L253" s="403"/>
      <c r="M253" s="403"/>
      <c r="N253" s="403"/>
      <c r="O253" s="403"/>
      <c r="P253" s="403"/>
      <c r="Q253" s="403"/>
      <c r="R253" s="403"/>
      <c r="S253" s="405"/>
      <c r="T253" s="405"/>
      <c r="U253" s="403"/>
      <c r="V253" s="403"/>
      <c r="W253" s="404"/>
      <c r="X253" s="404"/>
      <c r="Y253" s="404"/>
      <c r="Z253" s="404"/>
      <c r="AA253" s="403"/>
      <c r="AB253" s="406"/>
      <c r="AC253" s="406"/>
      <c r="AD253" s="404"/>
      <c r="AE253" s="404"/>
      <c r="AF253" s="407"/>
      <c r="AG253" s="405"/>
      <c r="AH253" s="403"/>
      <c r="AI253" s="409"/>
      <c r="AJ253" s="410"/>
    </row>
    <row r="254">
      <c r="A254" s="402"/>
      <c r="B254" s="402"/>
      <c r="C254" s="403"/>
      <c r="D254" s="403"/>
      <c r="E254" s="404"/>
      <c r="F254" s="403"/>
      <c r="G254" s="405"/>
      <c r="H254" s="405"/>
      <c r="I254" s="403"/>
      <c r="J254" s="403"/>
      <c r="K254" s="403"/>
      <c r="L254" s="403"/>
      <c r="M254" s="403"/>
      <c r="N254" s="403"/>
      <c r="O254" s="403"/>
      <c r="P254" s="403"/>
      <c r="Q254" s="403"/>
      <c r="R254" s="403"/>
      <c r="S254" s="405"/>
      <c r="T254" s="405"/>
      <c r="U254" s="403"/>
      <c r="V254" s="403"/>
      <c r="W254" s="404"/>
      <c r="X254" s="392"/>
      <c r="Y254" s="404"/>
      <c r="Z254" s="404"/>
      <c r="AA254" s="403"/>
      <c r="AB254" s="406"/>
      <c r="AC254" s="406"/>
      <c r="AD254" s="404"/>
      <c r="AE254" s="404"/>
      <c r="AF254" s="407"/>
      <c r="AG254" s="405"/>
      <c r="AH254" s="414"/>
      <c r="AI254" s="409"/>
      <c r="AJ254" s="410"/>
    </row>
    <row r="255">
      <c r="A255" s="402"/>
      <c r="B255" s="402"/>
      <c r="C255" s="403"/>
      <c r="D255" s="403"/>
      <c r="E255" s="404"/>
      <c r="F255" s="403"/>
      <c r="G255" s="411"/>
      <c r="H255" s="405"/>
      <c r="I255" s="403"/>
      <c r="J255" s="403"/>
      <c r="K255" s="403"/>
      <c r="L255" s="403"/>
      <c r="M255" s="403"/>
      <c r="N255" s="403"/>
      <c r="O255" s="403"/>
      <c r="P255" s="403"/>
      <c r="Q255" s="403"/>
      <c r="R255" s="403"/>
      <c r="S255" s="405"/>
      <c r="T255" s="405"/>
      <c r="U255" s="403"/>
      <c r="V255" s="403"/>
      <c r="W255" s="404"/>
      <c r="X255" s="404"/>
      <c r="Y255" s="404"/>
      <c r="Z255" s="404"/>
      <c r="AA255" s="403"/>
      <c r="AB255" s="406"/>
      <c r="AC255" s="406"/>
      <c r="AD255" s="404"/>
      <c r="AE255" s="404"/>
      <c r="AF255" s="407"/>
      <c r="AG255" s="405"/>
      <c r="AH255" s="403"/>
      <c r="AI255" s="409"/>
      <c r="AJ255" s="410"/>
    </row>
    <row r="256">
      <c r="A256" s="402"/>
      <c r="B256" s="402"/>
      <c r="C256" s="403"/>
      <c r="D256" s="403"/>
      <c r="E256" s="404"/>
      <c r="F256" s="403"/>
      <c r="G256" s="405"/>
      <c r="H256" s="405"/>
      <c r="I256" s="403"/>
      <c r="J256" s="403"/>
      <c r="K256" s="403"/>
      <c r="L256" s="403"/>
      <c r="M256" s="403"/>
      <c r="N256" s="403"/>
      <c r="O256" s="403"/>
      <c r="P256" s="403"/>
      <c r="Q256" s="403"/>
      <c r="R256" s="403"/>
      <c r="S256" s="405"/>
      <c r="T256" s="405"/>
      <c r="U256" s="403"/>
      <c r="V256" s="403"/>
      <c r="W256" s="404"/>
      <c r="X256" s="404"/>
      <c r="Y256" s="404"/>
      <c r="Z256" s="404"/>
      <c r="AA256" s="403"/>
      <c r="AB256" s="406"/>
      <c r="AC256" s="406"/>
      <c r="AD256" s="404"/>
      <c r="AE256" s="404"/>
      <c r="AF256" s="407"/>
      <c r="AG256" s="405"/>
      <c r="AH256" s="414"/>
      <c r="AI256" s="409"/>
      <c r="AJ256" s="410"/>
    </row>
    <row r="257">
      <c r="A257" s="402"/>
      <c r="B257" s="402"/>
      <c r="C257" s="403"/>
      <c r="D257" s="403"/>
      <c r="E257" s="404"/>
      <c r="F257" s="403"/>
      <c r="G257" s="405"/>
      <c r="H257" s="405"/>
      <c r="I257" s="403"/>
      <c r="J257" s="403"/>
      <c r="K257" s="403"/>
      <c r="L257" s="403"/>
      <c r="M257" s="403"/>
      <c r="N257" s="403"/>
      <c r="O257" s="403"/>
      <c r="P257" s="403"/>
      <c r="Q257" s="403"/>
      <c r="R257" s="403"/>
      <c r="S257" s="405"/>
      <c r="T257" s="405"/>
      <c r="U257" s="403"/>
      <c r="V257" s="403"/>
      <c r="W257" s="404"/>
      <c r="X257" s="392"/>
      <c r="Y257" s="404"/>
      <c r="Z257" s="404"/>
      <c r="AA257" s="403"/>
      <c r="AB257" s="406"/>
      <c r="AC257" s="406"/>
      <c r="AD257" s="404"/>
      <c r="AE257" s="404"/>
      <c r="AF257" s="407"/>
      <c r="AG257" s="405"/>
      <c r="AH257" s="414"/>
      <c r="AI257" s="409"/>
      <c r="AJ257" s="410"/>
    </row>
    <row r="258">
      <c r="A258" s="402"/>
      <c r="B258" s="402"/>
      <c r="C258" s="403"/>
      <c r="D258" s="403"/>
      <c r="E258" s="404"/>
      <c r="F258" s="403"/>
      <c r="G258" s="405"/>
      <c r="H258" s="405"/>
      <c r="I258" s="403"/>
      <c r="J258" s="403"/>
      <c r="K258" s="403"/>
      <c r="L258" s="403"/>
      <c r="M258" s="403"/>
      <c r="N258" s="403"/>
      <c r="O258" s="403"/>
      <c r="P258" s="403"/>
      <c r="Q258" s="403"/>
      <c r="R258" s="403"/>
      <c r="S258" s="405"/>
      <c r="T258" s="405"/>
      <c r="U258" s="403"/>
      <c r="V258" s="403"/>
      <c r="W258" s="404"/>
      <c r="X258" s="392"/>
      <c r="Y258" s="404"/>
      <c r="Z258" s="404"/>
      <c r="AA258" s="403"/>
      <c r="AB258" s="406"/>
      <c r="AC258" s="406"/>
      <c r="AD258" s="404"/>
      <c r="AE258" s="404"/>
      <c r="AF258" s="407"/>
      <c r="AG258" s="405"/>
      <c r="AH258" s="414"/>
      <c r="AI258" s="409"/>
      <c r="AJ258" s="410"/>
    </row>
    <row r="259">
      <c r="A259" s="402"/>
      <c r="B259" s="402"/>
      <c r="C259" s="403"/>
      <c r="D259" s="403"/>
      <c r="E259" s="404"/>
      <c r="F259" s="403"/>
      <c r="G259" s="411"/>
      <c r="H259" s="405"/>
      <c r="I259" s="403"/>
      <c r="J259" s="403"/>
      <c r="K259" s="403"/>
      <c r="L259" s="403"/>
      <c r="M259" s="403"/>
      <c r="N259" s="403"/>
      <c r="O259" s="403"/>
      <c r="P259" s="403"/>
      <c r="Q259" s="403"/>
      <c r="R259" s="403"/>
      <c r="S259" s="405"/>
      <c r="T259" s="405"/>
      <c r="U259" s="403"/>
      <c r="V259" s="403"/>
      <c r="W259" s="404"/>
      <c r="X259" s="404"/>
      <c r="Y259" s="404"/>
      <c r="Z259" s="404"/>
      <c r="AA259" s="403"/>
      <c r="AB259" s="406"/>
      <c r="AC259" s="406"/>
      <c r="AD259" s="404"/>
      <c r="AE259" s="404"/>
      <c r="AF259" s="407"/>
      <c r="AG259" s="405"/>
      <c r="AH259" s="403"/>
      <c r="AI259" s="409"/>
      <c r="AJ259" s="410"/>
    </row>
    <row r="260">
      <c r="A260" s="402"/>
      <c r="B260" s="402"/>
      <c r="C260" s="403"/>
      <c r="D260" s="403"/>
      <c r="E260" s="404"/>
      <c r="F260" s="403"/>
      <c r="G260" s="411"/>
      <c r="H260" s="405"/>
      <c r="I260" s="403"/>
      <c r="J260" s="403"/>
      <c r="K260" s="403"/>
      <c r="L260" s="403"/>
      <c r="M260" s="403"/>
      <c r="N260" s="403"/>
      <c r="O260" s="403"/>
      <c r="P260" s="403"/>
      <c r="Q260" s="403"/>
      <c r="R260" s="403"/>
      <c r="S260" s="405"/>
      <c r="T260" s="405"/>
      <c r="U260" s="403"/>
      <c r="V260" s="403"/>
      <c r="W260" s="404"/>
      <c r="X260" s="392"/>
      <c r="Y260" s="404"/>
      <c r="Z260" s="404"/>
      <c r="AA260" s="403"/>
      <c r="AB260" s="406"/>
      <c r="AC260" s="406"/>
      <c r="AD260" s="404"/>
      <c r="AE260" s="404"/>
      <c r="AF260" s="407"/>
      <c r="AG260" s="405"/>
      <c r="AH260" s="414"/>
      <c r="AI260" s="409"/>
      <c r="AJ260" s="410"/>
    </row>
    <row r="261">
      <c r="A261" s="402"/>
      <c r="B261" s="402"/>
      <c r="C261" s="403"/>
      <c r="D261" s="403"/>
      <c r="E261" s="404"/>
      <c r="F261" s="403"/>
      <c r="G261" s="405"/>
      <c r="H261" s="405"/>
      <c r="I261" s="403"/>
      <c r="J261" s="403"/>
      <c r="K261" s="403"/>
      <c r="L261" s="403"/>
      <c r="M261" s="403"/>
      <c r="N261" s="403"/>
      <c r="O261" s="403"/>
      <c r="P261" s="403"/>
      <c r="Q261" s="403"/>
      <c r="R261" s="403"/>
      <c r="S261" s="405"/>
      <c r="T261" s="405"/>
      <c r="U261" s="403"/>
      <c r="V261" s="403"/>
      <c r="W261" s="404"/>
      <c r="X261" s="392"/>
      <c r="Y261" s="404"/>
      <c r="Z261" s="404"/>
      <c r="AA261" s="403"/>
      <c r="AB261" s="406"/>
      <c r="AC261" s="406"/>
      <c r="AD261" s="404"/>
      <c r="AE261" s="404"/>
      <c r="AF261" s="407"/>
      <c r="AG261" s="405"/>
      <c r="AH261" s="414"/>
      <c r="AI261" s="409"/>
      <c r="AJ261" s="410"/>
    </row>
    <row r="262">
      <c r="A262" s="402"/>
      <c r="B262" s="402"/>
      <c r="C262" s="403"/>
      <c r="D262" s="403"/>
      <c r="E262" s="404"/>
      <c r="F262" s="403"/>
      <c r="G262" s="405"/>
      <c r="H262" s="405"/>
      <c r="I262" s="403"/>
      <c r="J262" s="403"/>
      <c r="K262" s="403"/>
      <c r="L262" s="403"/>
      <c r="M262" s="403"/>
      <c r="N262" s="403"/>
      <c r="O262" s="403"/>
      <c r="P262" s="403"/>
      <c r="Q262" s="403"/>
      <c r="R262" s="403"/>
      <c r="S262" s="405"/>
      <c r="T262" s="405"/>
      <c r="U262" s="403"/>
      <c r="V262" s="403"/>
      <c r="W262" s="404"/>
      <c r="X262" s="392"/>
      <c r="Y262" s="404"/>
      <c r="Z262" s="404"/>
      <c r="AA262" s="403"/>
      <c r="AB262" s="406"/>
      <c r="AC262" s="406"/>
      <c r="AD262" s="404"/>
      <c r="AE262" s="404"/>
      <c r="AF262" s="407"/>
      <c r="AG262" s="405"/>
      <c r="AH262" s="414"/>
      <c r="AI262" s="409"/>
      <c r="AJ262" s="410"/>
    </row>
    <row r="263">
      <c r="A263" s="402"/>
      <c r="B263" s="402"/>
      <c r="C263" s="403"/>
      <c r="D263" s="403"/>
      <c r="E263" s="404"/>
      <c r="F263" s="403"/>
      <c r="G263" s="405"/>
      <c r="H263" s="405"/>
      <c r="I263" s="403"/>
      <c r="J263" s="403"/>
      <c r="K263" s="403"/>
      <c r="L263" s="403"/>
      <c r="M263" s="403"/>
      <c r="N263" s="403"/>
      <c r="O263" s="403"/>
      <c r="P263" s="403"/>
      <c r="Q263" s="403"/>
      <c r="R263" s="403"/>
      <c r="S263" s="405"/>
      <c r="T263" s="405"/>
      <c r="U263" s="403"/>
      <c r="V263" s="403"/>
      <c r="W263" s="404"/>
      <c r="X263" s="392"/>
      <c r="Y263" s="404"/>
      <c r="Z263" s="404"/>
      <c r="AA263" s="403"/>
      <c r="AB263" s="406"/>
      <c r="AC263" s="406"/>
      <c r="AD263" s="404"/>
      <c r="AE263" s="404"/>
      <c r="AF263" s="407"/>
      <c r="AG263" s="405"/>
      <c r="AH263" s="414"/>
      <c r="AI263" s="409"/>
      <c r="AJ263" s="410"/>
    </row>
    <row r="264">
      <c r="A264" s="402"/>
      <c r="B264" s="402"/>
      <c r="C264" s="403"/>
      <c r="D264" s="403"/>
      <c r="E264" s="404"/>
      <c r="F264" s="403"/>
      <c r="G264" s="405"/>
      <c r="H264" s="405"/>
      <c r="I264" s="403"/>
      <c r="J264" s="403"/>
      <c r="K264" s="403"/>
      <c r="L264" s="403"/>
      <c r="M264" s="403"/>
      <c r="N264" s="403"/>
      <c r="O264" s="403"/>
      <c r="P264" s="403"/>
      <c r="Q264" s="403"/>
      <c r="R264" s="403"/>
      <c r="S264" s="405"/>
      <c r="T264" s="405"/>
      <c r="U264" s="403"/>
      <c r="V264" s="403"/>
      <c r="W264" s="404"/>
      <c r="X264" s="392"/>
      <c r="Y264" s="404"/>
      <c r="Z264" s="404"/>
      <c r="AA264" s="403"/>
      <c r="AB264" s="406"/>
      <c r="AC264" s="406"/>
      <c r="AD264" s="404"/>
      <c r="AE264" s="404"/>
      <c r="AF264" s="407"/>
      <c r="AG264" s="405"/>
      <c r="AH264" s="414"/>
      <c r="AI264" s="409"/>
      <c r="AJ264" s="410"/>
    </row>
    <row r="265">
      <c r="A265" s="402"/>
      <c r="B265" s="402"/>
      <c r="C265" s="405"/>
      <c r="D265" s="403"/>
      <c r="E265" s="404"/>
      <c r="F265" s="403"/>
      <c r="G265" s="411"/>
      <c r="H265" s="405"/>
      <c r="I265" s="403"/>
      <c r="J265" s="403"/>
      <c r="K265" s="403"/>
      <c r="L265" s="403"/>
      <c r="M265" s="403"/>
      <c r="N265" s="403"/>
      <c r="O265" s="403"/>
      <c r="P265" s="403"/>
      <c r="Q265" s="403"/>
      <c r="R265" s="403"/>
      <c r="S265" s="405"/>
      <c r="T265" s="405"/>
      <c r="U265" s="403"/>
      <c r="V265" s="403"/>
      <c r="W265" s="404"/>
      <c r="X265" s="392"/>
      <c r="Y265" s="404"/>
      <c r="Z265" s="415"/>
      <c r="AA265" s="405"/>
      <c r="AB265" s="406"/>
      <c r="AC265" s="406"/>
      <c r="AD265" s="412"/>
      <c r="AE265" s="404"/>
      <c r="AF265" s="407"/>
      <c r="AG265" s="405"/>
      <c r="AH265" s="414"/>
      <c r="AI265" s="409"/>
      <c r="AJ265" s="410"/>
    </row>
    <row r="266">
      <c r="A266" s="402"/>
      <c r="B266" s="402"/>
      <c r="C266" s="405"/>
      <c r="D266" s="403"/>
      <c r="E266" s="404"/>
      <c r="F266" s="403"/>
      <c r="G266" s="405"/>
      <c r="H266" s="405"/>
      <c r="I266" s="403"/>
      <c r="J266" s="403"/>
      <c r="K266" s="403"/>
      <c r="L266" s="403"/>
      <c r="M266" s="403"/>
      <c r="N266" s="403"/>
      <c r="O266" s="403"/>
      <c r="P266" s="403"/>
      <c r="Q266" s="403"/>
      <c r="R266" s="403"/>
      <c r="S266" s="405"/>
      <c r="T266" s="405"/>
      <c r="U266" s="403"/>
      <c r="V266" s="403"/>
      <c r="W266" s="404"/>
      <c r="X266" s="404"/>
      <c r="Y266" s="404"/>
      <c r="Z266" s="415"/>
      <c r="AA266" s="403"/>
      <c r="AB266" s="406"/>
      <c r="AC266" s="406"/>
      <c r="AD266" s="404"/>
      <c r="AE266" s="404"/>
      <c r="AF266" s="407"/>
      <c r="AG266" s="405"/>
      <c r="AH266" s="414"/>
      <c r="AI266" s="409"/>
      <c r="AJ266" s="410"/>
    </row>
    <row r="267">
      <c r="A267" s="402"/>
      <c r="B267" s="402"/>
      <c r="C267" s="403"/>
      <c r="D267" s="403"/>
      <c r="E267" s="404"/>
      <c r="F267" s="403"/>
      <c r="G267" s="405"/>
      <c r="H267" s="405"/>
      <c r="I267" s="403"/>
      <c r="J267" s="405"/>
      <c r="K267" s="405"/>
      <c r="L267" s="403"/>
      <c r="M267" s="403"/>
      <c r="N267" s="403"/>
      <c r="O267" s="403"/>
      <c r="P267" s="405"/>
      <c r="Q267" s="405"/>
      <c r="R267" s="403"/>
      <c r="S267" s="405"/>
      <c r="T267" s="405"/>
      <c r="U267" s="403"/>
      <c r="V267" s="403"/>
      <c r="W267" s="404"/>
      <c r="X267" s="404"/>
      <c r="Y267" s="404"/>
      <c r="Z267" s="404"/>
      <c r="AA267" s="403"/>
      <c r="AB267" s="416"/>
      <c r="AC267" s="406"/>
      <c r="AD267" s="404"/>
      <c r="AE267" s="404"/>
      <c r="AF267" s="407"/>
      <c r="AG267" s="405"/>
      <c r="AH267" s="414"/>
      <c r="AI267" s="409"/>
      <c r="AJ267" s="410"/>
    </row>
    <row r="268">
      <c r="A268" s="402"/>
      <c r="B268" s="402"/>
      <c r="C268" s="403"/>
      <c r="D268" s="403"/>
      <c r="E268" s="404"/>
      <c r="F268" s="403"/>
      <c r="G268" s="405"/>
      <c r="H268" s="405"/>
      <c r="I268" s="403"/>
      <c r="J268" s="405"/>
      <c r="K268" s="405"/>
      <c r="L268" s="403"/>
      <c r="M268" s="403"/>
      <c r="N268" s="403"/>
      <c r="O268" s="403"/>
      <c r="P268" s="405"/>
      <c r="Q268" s="405"/>
      <c r="R268" s="403"/>
      <c r="S268" s="405"/>
      <c r="T268" s="403"/>
      <c r="U268" s="403"/>
      <c r="V268" s="403"/>
      <c r="W268" s="404"/>
      <c r="X268" s="404"/>
      <c r="Y268" s="404"/>
      <c r="Z268" s="404"/>
      <c r="AA268" s="403"/>
      <c r="AB268" s="416"/>
      <c r="AC268" s="406"/>
      <c r="AD268" s="404"/>
      <c r="AE268" s="404"/>
      <c r="AF268" s="407"/>
      <c r="AG268" s="405"/>
      <c r="AH268" s="414"/>
      <c r="AI268" s="409"/>
      <c r="AJ268" s="410"/>
    </row>
    <row r="269">
      <c r="A269" s="402"/>
      <c r="B269" s="402"/>
      <c r="C269" s="403"/>
      <c r="D269" s="403"/>
      <c r="E269" s="404"/>
      <c r="F269" s="403"/>
      <c r="G269" s="411"/>
      <c r="H269" s="405"/>
      <c r="I269" s="403"/>
      <c r="J269" s="403"/>
      <c r="K269" s="403"/>
      <c r="L269" s="403"/>
      <c r="M269" s="403"/>
      <c r="N269" s="403"/>
      <c r="O269" s="403"/>
      <c r="P269" s="403"/>
      <c r="Q269" s="403"/>
      <c r="R269" s="403"/>
      <c r="S269" s="405"/>
      <c r="T269" s="405"/>
      <c r="U269" s="403"/>
      <c r="V269" s="403"/>
      <c r="W269" s="404"/>
      <c r="X269" s="404"/>
      <c r="Y269" s="404"/>
      <c r="Z269" s="404"/>
      <c r="AA269" s="403"/>
      <c r="AB269" s="406"/>
      <c r="AC269" s="406"/>
      <c r="AD269" s="404"/>
      <c r="AE269" s="404"/>
      <c r="AF269" s="407"/>
      <c r="AG269" s="405"/>
      <c r="AH269" s="403"/>
      <c r="AI269" s="409"/>
      <c r="AJ269" s="410"/>
    </row>
    <row r="270">
      <c r="A270" s="402"/>
      <c r="B270" s="402"/>
      <c r="C270" s="403"/>
      <c r="D270" s="403"/>
      <c r="E270" s="404"/>
      <c r="F270" s="403"/>
      <c r="G270" s="411"/>
      <c r="H270" s="405"/>
      <c r="I270" s="403"/>
      <c r="J270" s="403"/>
      <c r="K270" s="403"/>
      <c r="L270" s="403"/>
      <c r="M270" s="403"/>
      <c r="N270" s="403"/>
      <c r="O270" s="403"/>
      <c r="P270" s="403"/>
      <c r="Q270" s="403"/>
      <c r="R270" s="403"/>
      <c r="S270" s="405"/>
      <c r="T270" s="405"/>
      <c r="U270" s="417"/>
      <c r="V270" s="403"/>
      <c r="W270" s="404"/>
      <c r="X270" s="404"/>
      <c r="Y270" s="404"/>
      <c r="Z270" s="404"/>
      <c r="AA270" s="403"/>
      <c r="AB270" s="406"/>
      <c r="AC270" s="406"/>
      <c r="AD270" s="404"/>
      <c r="AE270" s="404"/>
      <c r="AF270" s="407"/>
      <c r="AG270" s="405"/>
      <c r="AH270" s="403"/>
      <c r="AI270" s="409"/>
      <c r="AJ270" s="410"/>
    </row>
    <row r="271">
      <c r="A271" s="402"/>
      <c r="B271" s="402"/>
      <c r="C271" s="403"/>
      <c r="D271" s="403"/>
      <c r="E271" s="404"/>
      <c r="F271" s="403"/>
      <c r="G271" s="411"/>
      <c r="H271" s="405"/>
      <c r="I271" s="403"/>
      <c r="J271" s="403"/>
      <c r="K271" s="403"/>
      <c r="L271" s="403"/>
      <c r="M271" s="403"/>
      <c r="N271" s="403"/>
      <c r="O271" s="403"/>
      <c r="P271" s="403"/>
      <c r="Q271" s="403"/>
      <c r="R271" s="403"/>
      <c r="S271" s="405"/>
      <c r="T271" s="405"/>
      <c r="U271" s="417"/>
      <c r="V271" s="403"/>
      <c r="W271" s="404"/>
      <c r="X271" s="404"/>
      <c r="Y271" s="404"/>
      <c r="Z271" s="404"/>
      <c r="AA271" s="403"/>
      <c r="AB271" s="406"/>
      <c r="AC271" s="406"/>
      <c r="AD271" s="404"/>
      <c r="AE271" s="404"/>
      <c r="AF271" s="407"/>
      <c r="AG271" s="405"/>
      <c r="AH271" s="403"/>
      <c r="AI271" s="409"/>
      <c r="AJ271" s="410"/>
    </row>
    <row r="272">
      <c r="A272" s="402"/>
      <c r="B272" s="402"/>
      <c r="C272" s="403"/>
      <c r="D272" s="403"/>
      <c r="E272" s="404"/>
      <c r="F272" s="403"/>
      <c r="G272" s="405"/>
      <c r="H272" s="405"/>
      <c r="I272" s="403"/>
      <c r="J272" s="403"/>
      <c r="K272" s="403"/>
      <c r="L272" s="403"/>
      <c r="M272" s="403"/>
      <c r="N272" s="403"/>
      <c r="O272" s="403"/>
      <c r="P272" s="403"/>
      <c r="Q272" s="403"/>
      <c r="R272" s="403"/>
      <c r="S272" s="405"/>
      <c r="T272" s="405"/>
      <c r="U272" s="403"/>
      <c r="V272" s="403"/>
      <c r="W272" s="404"/>
      <c r="X272" s="392"/>
      <c r="Y272" s="404"/>
      <c r="Z272" s="404"/>
      <c r="AA272" s="403"/>
      <c r="AB272" s="406"/>
      <c r="AC272" s="406"/>
      <c r="AD272" s="404"/>
      <c r="AE272" s="404"/>
      <c r="AF272" s="407"/>
      <c r="AG272" s="405"/>
      <c r="AH272" s="414"/>
      <c r="AI272" s="409"/>
      <c r="AJ272" s="410"/>
    </row>
    <row r="273">
      <c r="A273" s="402"/>
      <c r="B273" s="402"/>
      <c r="C273" s="403"/>
      <c r="D273" s="403"/>
      <c r="E273" s="404"/>
      <c r="F273" s="403"/>
      <c r="G273" s="411"/>
      <c r="H273" s="405"/>
      <c r="I273" s="403"/>
      <c r="J273" s="403"/>
      <c r="K273" s="403"/>
      <c r="L273" s="403"/>
      <c r="M273" s="403"/>
      <c r="N273" s="403"/>
      <c r="O273" s="403"/>
      <c r="P273" s="403"/>
      <c r="Q273" s="403"/>
      <c r="R273" s="403"/>
      <c r="S273" s="405"/>
      <c r="T273" s="405"/>
      <c r="U273" s="403"/>
      <c r="V273" s="403"/>
      <c r="W273" s="404"/>
      <c r="X273" s="404"/>
      <c r="Y273" s="404"/>
      <c r="Z273" s="404"/>
      <c r="AA273" s="403"/>
      <c r="AB273" s="406"/>
      <c r="AC273" s="406"/>
      <c r="AD273" s="404"/>
      <c r="AE273" s="404"/>
      <c r="AF273" s="407"/>
      <c r="AG273" s="405"/>
      <c r="AH273" s="414"/>
      <c r="AI273" s="409"/>
      <c r="AJ273" s="410"/>
    </row>
    <row r="274">
      <c r="A274" s="402"/>
      <c r="B274" s="402"/>
      <c r="C274" s="403"/>
      <c r="D274" s="403"/>
      <c r="E274" s="404"/>
      <c r="F274" s="403"/>
      <c r="G274" s="411"/>
      <c r="H274" s="405"/>
      <c r="I274" s="403"/>
      <c r="J274" s="403"/>
      <c r="K274" s="403"/>
      <c r="L274" s="403"/>
      <c r="M274" s="403"/>
      <c r="N274" s="403"/>
      <c r="O274" s="403"/>
      <c r="P274" s="403"/>
      <c r="Q274" s="403"/>
      <c r="R274" s="403"/>
      <c r="S274" s="405"/>
      <c r="T274" s="403"/>
      <c r="U274" s="403"/>
      <c r="V274" s="403"/>
      <c r="W274" s="404"/>
      <c r="X274" s="404"/>
      <c r="Y274" s="404"/>
      <c r="Z274" s="404"/>
      <c r="AA274" s="403"/>
      <c r="AB274" s="406"/>
      <c r="AC274" s="406"/>
      <c r="AD274" s="404"/>
      <c r="AE274" s="404"/>
      <c r="AF274" s="418"/>
      <c r="AG274" s="403"/>
      <c r="AH274" s="403"/>
      <c r="AI274" s="409"/>
      <c r="AJ274" s="410"/>
    </row>
    <row r="275">
      <c r="A275" s="402"/>
      <c r="B275" s="402"/>
      <c r="C275" s="403"/>
      <c r="D275" s="403"/>
      <c r="E275" s="404"/>
      <c r="F275" s="403"/>
      <c r="G275" s="405"/>
      <c r="H275" s="405"/>
      <c r="I275" s="403"/>
      <c r="J275" s="403"/>
      <c r="K275" s="403"/>
      <c r="L275" s="403"/>
      <c r="M275" s="403"/>
      <c r="N275" s="403"/>
      <c r="O275" s="403"/>
      <c r="P275" s="403"/>
      <c r="Q275" s="403"/>
      <c r="R275" s="403"/>
      <c r="S275" s="405"/>
      <c r="T275" s="405"/>
      <c r="U275" s="403"/>
      <c r="V275" s="403"/>
      <c r="W275" s="404"/>
      <c r="X275" s="404"/>
      <c r="Y275" s="404"/>
      <c r="Z275" s="404"/>
      <c r="AA275" s="403"/>
      <c r="AB275" s="406"/>
      <c r="AC275" s="406"/>
      <c r="AD275" s="404"/>
      <c r="AE275" s="404"/>
      <c r="AF275" s="418"/>
      <c r="AG275" s="403"/>
      <c r="AH275" s="403"/>
      <c r="AI275" s="409"/>
      <c r="AJ275" s="410"/>
    </row>
    <row r="276">
      <c r="A276" s="402"/>
      <c r="B276" s="402"/>
      <c r="C276" s="403"/>
      <c r="D276" s="403"/>
      <c r="E276" s="404"/>
      <c r="F276" s="403"/>
      <c r="G276" s="411"/>
      <c r="H276" s="405"/>
      <c r="I276" s="403"/>
      <c r="J276" s="403"/>
      <c r="K276" s="403"/>
      <c r="L276" s="403"/>
      <c r="M276" s="403"/>
      <c r="N276" s="403"/>
      <c r="O276" s="403"/>
      <c r="P276" s="403"/>
      <c r="Q276" s="403"/>
      <c r="R276" s="403"/>
      <c r="S276" s="405"/>
      <c r="T276" s="405"/>
      <c r="U276" s="403"/>
      <c r="V276" s="403"/>
      <c r="W276" s="404"/>
      <c r="X276" s="404"/>
      <c r="Y276" s="404"/>
      <c r="Z276" s="404"/>
      <c r="AA276" s="403"/>
      <c r="AB276" s="406"/>
      <c r="AC276" s="406"/>
      <c r="AD276" s="404"/>
      <c r="AE276" s="404"/>
      <c r="AF276" s="418"/>
      <c r="AG276" s="403"/>
      <c r="AH276" s="403"/>
      <c r="AI276" s="409"/>
      <c r="AJ276" s="410"/>
    </row>
    <row r="277">
      <c r="A277" s="402"/>
      <c r="B277" s="402"/>
      <c r="C277" s="403"/>
      <c r="D277" s="403"/>
      <c r="E277" s="404"/>
      <c r="F277" s="403"/>
      <c r="G277" s="405"/>
      <c r="H277" s="405"/>
      <c r="I277" s="403"/>
      <c r="J277" s="403"/>
      <c r="K277" s="403"/>
      <c r="L277" s="403"/>
      <c r="M277" s="403"/>
      <c r="N277" s="403"/>
      <c r="O277" s="403"/>
      <c r="P277" s="403"/>
      <c r="Q277" s="403"/>
      <c r="R277" s="403"/>
      <c r="S277" s="405"/>
      <c r="T277" s="405"/>
      <c r="U277" s="403"/>
      <c r="V277" s="403"/>
      <c r="W277" s="404"/>
      <c r="X277" s="404"/>
      <c r="Y277" s="404"/>
      <c r="Z277" s="404"/>
      <c r="AA277" s="403"/>
      <c r="AB277" s="406"/>
      <c r="AC277" s="406"/>
      <c r="AD277" s="404"/>
      <c r="AE277" s="404"/>
      <c r="AF277" s="418"/>
      <c r="AG277" s="403"/>
      <c r="AH277" s="403"/>
      <c r="AI277" s="409"/>
      <c r="AJ277" s="410"/>
    </row>
    <row r="278">
      <c r="A278" s="402"/>
      <c r="B278" s="402"/>
      <c r="C278" s="403"/>
      <c r="D278" s="403"/>
      <c r="E278" s="404"/>
      <c r="F278" s="403"/>
      <c r="G278" s="411"/>
      <c r="H278" s="405"/>
      <c r="I278" s="403"/>
      <c r="J278" s="403"/>
      <c r="K278" s="403"/>
      <c r="L278" s="403"/>
      <c r="M278" s="403"/>
      <c r="N278" s="403"/>
      <c r="O278" s="403"/>
      <c r="P278" s="403"/>
      <c r="Q278" s="403"/>
      <c r="R278" s="403"/>
      <c r="S278" s="405"/>
      <c r="T278" s="405"/>
      <c r="U278" s="403"/>
      <c r="V278" s="403"/>
      <c r="W278" s="404"/>
      <c r="X278" s="404"/>
      <c r="Y278" s="404"/>
      <c r="Z278" s="404"/>
      <c r="AA278" s="403"/>
      <c r="AB278" s="406"/>
      <c r="AC278" s="406"/>
      <c r="AD278" s="404"/>
      <c r="AE278" s="404"/>
      <c r="AF278" s="418"/>
      <c r="AG278" s="403"/>
      <c r="AH278" s="403"/>
      <c r="AI278" s="409"/>
      <c r="AJ278" s="410"/>
    </row>
    <row r="279">
      <c r="A279" s="402"/>
      <c r="B279" s="402"/>
      <c r="C279" s="403"/>
      <c r="D279" s="403"/>
      <c r="E279" s="404"/>
      <c r="F279" s="403"/>
      <c r="G279" s="411"/>
      <c r="H279" s="405"/>
      <c r="I279" s="403"/>
      <c r="J279" s="403"/>
      <c r="K279" s="403"/>
      <c r="L279" s="403"/>
      <c r="M279" s="403"/>
      <c r="N279" s="403"/>
      <c r="O279" s="403"/>
      <c r="P279" s="403"/>
      <c r="Q279" s="403"/>
      <c r="R279" s="403"/>
      <c r="S279" s="405"/>
      <c r="T279" s="405"/>
      <c r="U279" s="403"/>
      <c r="V279" s="403"/>
      <c r="W279" s="404"/>
      <c r="X279" s="404"/>
      <c r="Y279" s="404"/>
      <c r="Z279" s="404"/>
      <c r="AA279" s="403"/>
      <c r="AB279" s="406"/>
      <c r="AC279" s="406"/>
      <c r="AD279" s="404"/>
      <c r="AE279" s="404"/>
      <c r="AF279" s="418"/>
      <c r="AG279" s="403"/>
      <c r="AH279" s="403"/>
      <c r="AI279" s="409"/>
      <c r="AJ279" s="410"/>
    </row>
    <row r="280">
      <c r="A280" s="402"/>
      <c r="B280" s="402"/>
      <c r="C280" s="403"/>
      <c r="D280" s="403"/>
      <c r="E280" s="404"/>
      <c r="F280" s="403"/>
      <c r="G280" s="405"/>
      <c r="H280" s="405"/>
      <c r="I280" s="403"/>
      <c r="J280" s="403"/>
      <c r="K280" s="403"/>
      <c r="L280" s="403"/>
      <c r="M280" s="403"/>
      <c r="N280" s="403"/>
      <c r="O280" s="403"/>
      <c r="P280" s="403"/>
      <c r="Q280" s="403"/>
      <c r="R280" s="403"/>
      <c r="S280" s="405"/>
      <c r="T280" s="405"/>
      <c r="U280" s="403"/>
      <c r="V280" s="403"/>
      <c r="W280" s="404"/>
      <c r="X280" s="404"/>
      <c r="Y280" s="404"/>
      <c r="Z280" s="404"/>
      <c r="AA280" s="403"/>
      <c r="AB280" s="406"/>
      <c r="AC280" s="406"/>
      <c r="AD280" s="404"/>
      <c r="AE280" s="404"/>
      <c r="AF280" s="418"/>
      <c r="AG280" s="403"/>
      <c r="AH280" s="414"/>
      <c r="AI280" s="409"/>
      <c r="AJ280" s="410"/>
    </row>
    <row r="281">
      <c r="A281" s="402"/>
      <c r="B281" s="402"/>
      <c r="C281" s="403"/>
      <c r="D281" s="403"/>
      <c r="E281" s="404"/>
      <c r="F281" s="403"/>
      <c r="G281" s="411"/>
      <c r="H281" s="405"/>
      <c r="I281" s="403"/>
      <c r="J281" s="403"/>
      <c r="K281" s="403"/>
      <c r="L281" s="403"/>
      <c r="M281" s="403"/>
      <c r="N281" s="403"/>
      <c r="O281" s="403"/>
      <c r="P281" s="403"/>
      <c r="Q281" s="403"/>
      <c r="R281" s="403"/>
      <c r="S281" s="405"/>
      <c r="T281" s="405"/>
      <c r="U281" s="403"/>
      <c r="V281" s="403"/>
      <c r="W281" s="404"/>
      <c r="X281" s="404"/>
      <c r="Y281" s="404"/>
      <c r="Z281" s="404"/>
      <c r="AA281" s="403"/>
      <c r="AB281" s="406"/>
      <c r="AC281" s="403"/>
      <c r="AD281" s="404"/>
      <c r="AE281" s="404"/>
      <c r="AF281" s="418"/>
      <c r="AG281" s="403"/>
      <c r="AH281" s="414"/>
      <c r="AI281" s="409"/>
      <c r="AJ281" s="410"/>
    </row>
    <row r="282">
      <c r="A282" s="402"/>
      <c r="B282" s="402"/>
      <c r="C282" s="403"/>
      <c r="D282" s="403"/>
      <c r="E282" s="404"/>
      <c r="F282" s="403"/>
      <c r="G282" s="411"/>
      <c r="H282" s="405"/>
      <c r="I282" s="403"/>
      <c r="J282" s="403"/>
      <c r="K282" s="403"/>
      <c r="L282" s="403"/>
      <c r="M282" s="403"/>
      <c r="N282" s="403"/>
      <c r="O282" s="403"/>
      <c r="P282" s="403"/>
      <c r="Q282" s="403"/>
      <c r="R282" s="403"/>
      <c r="S282" s="405"/>
      <c r="T282" s="405"/>
      <c r="U282" s="403"/>
      <c r="V282" s="403"/>
      <c r="W282" s="404"/>
      <c r="X282" s="404"/>
      <c r="Y282" s="404"/>
      <c r="Z282" s="404"/>
      <c r="AA282" s="403"/>
      <c r="AB282" s="406"/>
      <c r="AC282" s="403"/>
      <c r="AD282" s="404"/>
      <c r="AE282" s="404"/>
      <c r="AF282" s="418"/>
      <c r="AG282" s="403"/>
      <c r="AH282" s="403"/>
      <c r="AI282" s="409"/>
      <c r="AJ282" s="410"/>
    </row>
    <row r="283">
      <c r="A283" s="402"/>
      <c r="B283" s="402"/>
      <c r="C283" s="403"/>
      <c r="D283" s="403"/>
      <c r="E283" s="404"/>
      <c r="F283" s="403"/>
      <c r="G283" s="411"/>
      <c r="H283" s="405"/>
      <c r="I283" s="403"/>
      <c r="J283" s="403"/>
      <c r="K283" s="403"/>
      <c r="L283" s="403"/>
      <c r="M283" s="403"/>
      <c r="N283" s="403"/>
      <c r="O283" s="403"/>
      <c r="P283" s="403"/>
      <c r="Q283" s="403"/>
      <c r="R283" s="403"/>
      <c r="S283" s="405"/>
      <c r="T283" s="405"/>
      <c r="U283" s="403"/>
      <c r="V283" s="403"/>
      <c r="W283" s="404"/>
      <c r="X283" s="404"/>
      <c r="Y283" s="404"/>
      <c r="Z283" s="404"/>
      <c r="AA283" s="392"/>
      <c r="AB283" s="413"/>
      <c r="AC283" s="403"/>
      <c r="AD283" s="404"/>
      <c r="AE283" s="404"/>
      <c r="AF283" s="418"/>
      <c r="AG283" s="403"/>
      <c r="AH283" s="403"/>
      <c r="AI283" s="409"/>
      <c r="AJ283" s="410"/>
    </row>
    <row r="284">
      <c r="A284" s="402"/>
      <c r="B284" s="402"/>
      <c r="C284" s="403"/>
      <c r="D284" s="403"/>
      <c r="E284" s="404"/>
      <c r="F284" s="403"/>
      <c r="G284" s="405"/>
      <c r="H284" s="405"/>
      <c r="I284" s="403"/>
      <c r="J284" s="403"/>
      <c r="K284" s="403"/>
      <c r="L284" s="403"/>
      <c r="M284" s="403"/>
      <c r="N284" s="403"/>
      <c r="O284" s="403"/>
      <c r="P284" s="403"/>
      <c r="Q284" s="403"/>
      <c r="R284" s="403"/>
      <c r="S284" s="405"/>
      <c r="T284" s="405"/>
      <c r="U284" s="403"/>
      <c r="V284" s="403"/>
      <c r="W284" s="404"/>
      <c r="X284" s="404"/>
      <c r="Y284" s="404"/>
      <c r="Z284" s="404"/>
      <c r="AA284" s="392"/>
      <c r="AB284" s="413"/>
      <c r="AC284" s="419"/>
      <c r="AD284" s="404"/>
      <c r="AE284" s="404"/>
      <c r="AF284" s="418"/>
      <c r="AG284" s="403"/>
      <c r="AH284" s="403"/>
      <c r="AI284" s="409"/>
      <c r="AJ284" s="410"/>
    </row>
    <row r="285">
      <c r="A285" s="402"/>
      <c r="B285" s="402"/>
      <c r="C285" s="403"/>
      <c r="D285" s="403"/>
      <c r="E285" s="404"/>
      <c r="F285" s="403"/>
      <c r="G285" s="411"/>
      <c r="H285" s="405"/>
      <c r="I285" s="403"/>
      <c r="J285" s="403"/>
      <c r="K285" s="403"/>
      <c r="L285" s="403"/>
      <c r="M285" s="403"/>
      <c r="N285" s="403"/>
      <c r="O285" s="403"/>
      <c r="P285" s="403"/>
      <c r="Q285" s="403"/>
      <c r="R285" s="403"/>
      <c r="S285" s="405"/>
      <c r="T285" s="405"/>
      <c r="U285" s="403"/>
      <c r="V285" s="403"/>
      <c r="W285" s="404"/>
      <c r="X285" s="404"/>
      <c r="Y285" s="404"/>
      <c r="Z285" s="404"/>
      <c r="AA285" s="403"/>
      <c r="AB285" s="413"/>
      <c r="AC285" s="419"/>
      <c r="AD285" s="404"/>
      <c r="AE285" s="404"/>
      <c r="AF285" s="418"/>
      <c r="AG285" s="403"/>
      <c r="AH285" s="403"/>
      <c r="AI285" s="409"/>
      <c r="AJ285" s="410"/>
    </row>
    <row r="286">
      <c r="A286" s="402"/>
      <c r="B286" s="402"/>
      <c r="C286" s="403"/>
      <c r="D286" s="403"/>
      <c r="E286" s="404"/>
      <c r="F286" s="403"/>
      <c r="G286" s="405"/>
      <c r="H286" s="405"/>
      <c r="I286" s="403"/>
      <c r="J286" s="403"/>
      <c r="K286" s="403"/>
      <c r="L286" s="403"/>
      <c r="M286" s="403"/>
      <c r="N286" s="403"/>
      <c r="O286" s="403"/>
      <c r="P286" s="403"/>
      <c r="Q286" s="403"/>
      <c r="R286" s="403"/>
      <c r="S286" s="405"/>
      <c r="T286" s="405"/>
      <c r="U286" s="403"/>
      <c r="V286" s="403"/>
      <c r="W286" s="404"/>
      <c r="X286" s="404"/>
      <c r="Y286" s="404"/>
      <c r="Z286" s="404"/>
      <c r="AA286" s="403"/>
      <c r="AB286" s="406"/>
      <c r="AC286" s="419"/>
      <c r="AD286" s="404"/>
      <c r="AE286" s="404"/>
      <c r="AF286" s="418"/>
      <c r="AG286" s="403"/>
      <c r="AH286" s="403"/>
      <c r="AI286" s="409"/>
      <c r="AJ286" s="410"/>
    </row>
    <row r="287">
      <c r="A287" s="402"/>
      <c r="B287" s="402"/>
      <c r="C287" s="403"/>
      <c r="D287" s="403"/>
      <c r="E287" s="404"/>
      <c r="F287" s="403"/>
      <c r="G287" s="405"/>
      <c r="H287" s="405"/>
      <c r="I287" s="403"/>
      <c r="J287" s="403"/>
      <c r="K287" s="403"/>
      <c r="L287" s="403"/>
      <c r="M287" s="403"/>
      <c r="N287" s="403"/>
      <c r="O287" s="403"/>
      <c r="P287" s="403"/>
      <c r="Q287" s="403"/>
      <c r="R287" s="403"/>
      <c r="S287" s="405"/>
      <c r="T287" s="405"/>
      <c r="U287" s="403"/>
      <c r="V287" s="403"/>
      <c r="W287" s="404"/>
      <c r="X287" s="404"/>
      <c r="Y287" s="404"/>
      <c r="Z287" s="404"/>
      <c r="AA287" s="403"/>
      <c r="AB287" s="413"/>
      <c r="AC287" s="413"/>
      <c r="AD287" s="404"/>
      <c r="AE287" s="404"/>
      <c r="AF287" s="418"/>
      <c r="AG287" s="403"/>
      <c r="AH287" s="403"/>
      <c r="AI287" s="409"/>
      <c r="AJ287" s="410"/>
    </row>
    <row r="288">
      <c r="A288" s="402"/>
      <c r="B288" s="402"/>
      <c r="C288" s="403"/>
      <c r="D288" s="403"/>
      <c r="E288" s="404"/>
      <c r="F288" s="403"/>
      <c r="G288" s="411"/>
      <c r="H288" s="405"/>
      <c r="I288" s="403"/>
      <c r="J288" s="403"/>
      <c r="K288" s="403"/>
      <c r="L288" s="403"/>
      <c r="M288" s="403"/>
      <c r="N288" s="403"/>
      <c r="O288" s="403"/>
      <c r="P288" s="403"/>
      <c r="Q288" s="403"/>
      <c r="R288" s="403"/>
      <c r="S288" s="405"/>
      <c r="T288" s="405"/>
      <c r="U288" s="403"/>
      <c r="V288" s="403"/>
      <c r="W288" s="404"/>
      <c r="X288" s="404"/>
      <c r="Y288" s="404"/>
      <c r="Z288" s="404"/>
      <c r="AA288" s="403"/>
      <c r="AB288" s="413"/>
      <c r="AC288" s="413"/>
      <c r="AD288" s="404"/>
      <c r="AE288" s="404"/>
      <c r="AF288" s="418"/>
      <c r="AG288" s="403"/>
      <c r="AH288" s="403"/>
      <c r="AI288" s="409"/>
      <c r="AJ288" s="410"/>
    </row>
    <row r="289">
      <c r="A289" s="402"/>
      <c r="B289" s="402"/>
      <c r="C289" s="403"/>
      <c r="D289" s="403"/>
      <c r="E289" s="404"/>
      <c r="F289" s="403"/>
      <c r="G289" s="405"/>
      <c r="H289" s="405"/>
      <c r="I289" s="403"/>
      <c r="J289" s="403"/>
      <c r="K289" s="403"/>
      <c r="L289" s="403"/>
      <c r="M289" s="403"/>
      <c r="N289" s="403"/>
      <c r="O289" s="403"/>
      <c r="P289" s="403"/>
      <c r="Q289" s="403"/>
      <c r="R289" s="403"/>
      <c r="S289" s="405"/>
      <c r="T289" s="405"/>
      <c r="U289" s="403"/>
      <c r="V289" s="403"/>
      <c r="W289" s="404"/>
      <c r="X289" s="404"/>
      <c r="Y289" s="404"/>
      <c r="Z289" s="404"/>
      <c r="AA289" s="403"/>
      <c r="AB289" s="413"/>
      <c r="AC289" s="419"/>
      <c r="AD289" s="404"/>
      <c r="AE289" s="404"/>
      <c r="AF289" s="418"/>
      <c r="AG289" s="403"/>
      <c r="AH289" s="403"/>
      <c r="AI289" s="409"/>
      <c r="AJ289" s="410"/>
    </row>
    <row r="290">
      <c r="A290" s="402"/>
      <c r="B290" s="402"/>
      <c r="C290" s="403"/>
      <c r="D290" s="403"/>
      <c r="E290" s="404"/>
      <c r="F290" s="403"/>
      <c r="G290" s="405"/>
      <c r="H290" s="405"/>
      <c r="I290" s="403"/>
      <c r="J290" s="403"/>
      <c r="K290" s="403"/>
      <c r="L290" s="403"/>
      <c r="M290" s="403"/>
      <c r="N290" s="403"/>
      <c r="O290" s="403"/>
      <c r="P290" s="403"/>
      <c r="Q290" s="403"/>
      <c r="R290" s="403"/>
      <c r="S290" s="405"/>
      <c r="T290" s="405"/>
      <c r="U290" s="403"/>
      <c r="V290" s="403"/>
      <c r="W290" s="404"/>
      <c r="X290" s="404"/>
      <c r="Y290" s="404"/>
      <c r="Z290" s="404"/>
      <c r="AA290" s="392"/>
      <c r="AB290" s="403"/>
      <c r="AC290" s="419"/>
      <c r="AD290" s="404"/>
      <c r="AE290" s="404"/>
      <c r="AF290" s="418"/>
      <c r="AG290" s="403"/>
      <c r="AH290" s="414"/>
      <c r="AI290" s="409"/>
      <c r="AJ290" s="410"/>
    </row>
    <row r="291">
      <c r="A291" s="402"/>
      <c r="B291" s="402"/>
      <c r="C291" s="403"/>
      <c r="D291" s="403"/>
      <c r="E291" s="404"/>
      <c r="F291" s="403"/>
      <c r="G291" s="411"/>
      <c r="H291" s="405"/>
      <c r="I291" s="403"/>
      <c r="J291" s="403"/>
      <c r="K291" s="403"/>
      <c r="L291" s="403"/>
      <c r="M291" s="403"/>
      <c r="N291" s="403"/>
      <c r="O291" s="403"/>
      <c r="P291" s="403"/>
      <c r="Q291" s="403"/>
      <c r="R291" s="403"/>
      <c r="S291" s="405"/>
      <c r="T291" s="405"/>
      <c r="U291" s="403"/>
      <c r="V291" s="403"/>
      <c r="W291" s="404"/>
      <c r="X291" s="404"/>
      <c r="Y291" s="404"/>
      <c r="Z291" s="404"/>
      <c r="AA291" s="403"/>
      <c r="AB291" s="413"/>
      <c r="AC291" s="419"/>
      <c r="AD291" s="404"/>
      <c r="AE291" s="404"/>
      <c r="AF291" s="418"/>
      <c r="AG291" s="403"/>
      <c r="AH291" s="403"/>
      <c r="AI291" s="409"/>
      <c r="AJ291" s="410"/>
    </row>
    <row r="292">
      <c r="A292" s="402"/>
      <c r="B292" s="402"/>
      <c r="C292" s="403"/>
      <c r="D292" s="403"/>
      <c r="E292" s="404"/>
      <c r="F292" s="403"/>
      <c r="G292" s="411"/>
      <c r="H292" s="405"/>
      <c r="I292" s="403"/>
      <c r="J292" s="403"/>
      <c r="K292" s="403"/>
      <c r="L292" s="403"/>
      <c r="M292" s="403"/>
      <c r="N292" s="403"/>
      <c r="O292" s="403"/>
      <c r="P292" s="403"/>
      <c r="Q292" s="403"/>
      <c r="R292" s="403"/>
      <c r="S292" s="405"/>
      <c r="T292" s="405"/>
      <c r="U292" s="403"/>
      <c r="V292" s="403"/>
      <c r="W292" s="404"/>
      <c r="X292" s="404"/>
      <c r="Y292" s="404"/>
      <c r="Z292" s="404"/>
      <c r="AA292" s="403"/>
      <c r="AB292" s="413"/>
      <c r="AC292" s="419"/>
      <c r="AD292" s="404"/>
      <c r="AE292" s="404"/>
      <c r="AF292" s="418"/>
      <c r="AG292" s="403"/>
      <c r="AH292" s="403"/>
      <c r="AI292" s="409"/>
      <c r="AJ292" s="410"/>
    </row>
    <row r="293">
      <c r="A293" s="402"/>
      <c r="B293" s="402"/>
      <c r="C293" s="403"/>
      <c r="D293" s="403"/>
      <c r="E293" s="404"/>
      <c r="F293" s="403"/>
      <c r="G293" s="405"/>
      <c r="H293" s="405"/>
      <c r="I293" s="403"/>
      <c r="J293" s="403"/>
      <c r="K293" s="403"/>
      <c r="L293" s="403"/>
      <c r="M293" s="403"/>
      <c r="N293" s="403"/>
      <c r="O293" s="403"/>
      <c r="P293" s="403"/>
      <c r="Q293" s="403"/>
      <c r="R293" s="403"/>
      <c r="S293" s="405"/>
      <c r="T293" s="405"/>
      <c r="U293" s="403"/>
      <c r="V293" s="403"/>
      <c r="W293" s="404"/>
      <c r="X293" s="404"/>
      <c r="Y293" s="404"/>
      <c r="Z293" s="404"/>
      <c r="AA293" s="403"/>
      <c r="AB293" s="413"/>
      <c r="AC293" s="419"/>
      <c r="AD293" s="404"/>
      <c r="AE293" s="404"/>
      <c r="AF293" s="418"/>
      <c r="AG293" s="403"/>
      <c r="AH293" s="403"/>
      <c r="AI293" s="409"/>
      <c r="AJ293" s="410"/>
    </row>
    <row r="294">
      <c r="A294" s="402"/>
      <c r="B294" s="402"/>
      <c r="C294" s="403"/>
      <c r="D294" s="403"/>
      <c r="E294" s="404"/>
      <c r="F294" s="403"/>
      <c r="G294" s="405"/>
      <c r="H294" s="405"/>
      <c r="I294" s="403"/>
      <c r="J294" s="403"/>
      <c r="K294" s="403"/>
      <c r="L294" s="403"/>
      <c r="M294" s="403"/>
      <c r="N294" s="403"/>
      <c r="O294" s="403"/>
      <c r="P294" s="403"/>
      <c r="Q294" s="403"/>
      <c r="R294" s="403"/>
      <c r="S294" s="405"/>
      <c r="T294" s="405"/>
      <c r="U294" s="403"/>
      <c r="V294" s="403"/>
      <c r="W294" s="404"/>
      <c r="X294" s="404"/>
      <c r="Y294" s="404"/>
      <c r="Z294" s="404"/>
      <c r="AA294" s="392"/>
      <c r="AB294" s="413"/>
      <c r="AC294" s="419"/>
      <c r="AD294" s="404"/>
      <c r="AE294" s="404"/>
      <c r="AF294" s="418"/>
      <c r="AG294" s="403"/>
      <c r="AH294" s="414"/>
      <c r="AI294" s="409"/>
      <c r="AJ294" s="410"/>
    </row>
    <row r="295">
      <c r="A295" s="402"/>
      <c r="B295" s="402"/>
      <c r="C295" s="403"/>
      <c r="D295" s="403"/>
      <c r="E295" s="404"/>
      <c r="F295" s="403"/>
      <c r="G295" s="411"/>
      <c r="H295" s="405"/>
      <c r="I295" s="403"/>
      <c r="J295" s="403"/>
      <c r="K295" s="403"/>
      <c r="L295" s="403"/>
      <c r="M295" s="403"/>
      <c r="N295" s="403"/>
      <c r="O295" s="403"/>
      <c r="P295" s="403"/>
      <c r="Q295" s="403"/>
      <c r="R295" s="403"/>
      <c r="S295" s="405"/>
      <c r="T295" s="405"/>
      <c r="U295" s="403"/>
      <c r="V295" s="403"/>
      <c r="W295" s="404"/>
      <c r="X295" s="404"/>
      <c r="Y295" s="404"/>
      <c r="Z295" s="404"/>
      <c r="AA295" s="403"/>
      <c r="AB295" s="413"/>
      <c r="AC295" s="419"/>
      <c r="AD295" s="404"/>
      <c r="AE295" s="404"/>
      <c r="AF295" s="418"/>
      <c r="AG295" s="403"/>
      <c r="AH295" s="403"/>
      <c r="AI295" s="409"/>
      <c r="AJ295" s="410"/>
    </row>
    <row r="296">
      <c r="A296" s="402"/>
      <c r="B296" s="402"/>
      <c r="C296" s="403"/>
      <c r="D296" s="403"/>
      <c r="E296" s="404"/>
      <c r="F296" s="403"/>
      <c r="G296" s="411"/>
      <c r="H296" s="405"/>
      <c r="I296" s="403"/>
      <c r="J296" s="403"/>
      <c r="K296" s="403"/>
      <c r="L296" s="403"/>
      <c r="M296" s="403"/>
      <c r="N296" s="403"/>
      <c r="O296" s="403"/>
      <c r="P296" s="403"/>
      <c r="Q296" s="403"/>
      <c r="R296" s="403"/>
      <c r="S296" s="405"/>
      <c r="T296" s="405"/>
      <c r="U296" s="403"/>
      <c r="V296" s="403"/>
      <c r="W296" s="404"/>
      <c r="X296" s="404"/>
      <c r="Y296" s="404"/>
      <c r="Z296" s="404"/>
      <c r="AA296" s="403"/>
      <c r="AB296" s="413"/>
      <c r="AC296" s="419"/>
      <c r="AD296" s="404"/>
      <c r="AE296" s="404"/>
      <c r="AF296" s="418"/>
      <c r="AG296" s="403"/>
      <c r="AH296" s="403"/>
      <c r="AI296" s="409"/>
      <c r="AJ296" s="410"/>
    </row>
    <row r="297">
      <c r="A297" s="402"/>
      <c r="B297" s="402"/>
      <c r="C297" s="403"/>
      <c r="D297" s="403"/>
      <c r="E297" s="404"/>
      <c r="F297" s="403"/>
      <c r="G297" s="411"/>
      <c r="H297" s="405"/>
      <c r="I297" s="403"/>
      <c r="J297" s="403"/>
      <c r="K297" s="403"/>
      <c r="L297" s="403"/>
      <c r="M297" s="403"/>
      <c r="N297" s="403"/>
      <c r="O297" s="403"/>
      <c r="P297" s="403"/>
      <c r="Q297" s="403"/>
      <c r="R297" s="403"/>
      <c r="S297" s="405"/>
      <c r="T297" s="405"/>
      <c r="U297" s="392"/>
      <c r="V297" s="403"/>
      <c r="W297" s="404"/>
      <c r="X297" s="404"/>
      <c r="Y297" s="404"/>
      <c r="Z297" s="404"/>
      <c r="AA297" s="403"/>
      <c r="AB297" s="413"/>
      <c r="AC297" s="419"/>
      <c r="AD297" s="404"/>
      <c r="AE297" s="404"/>
      <c r="AF297" s="418"/>
      <c r="AG297" s="403"/>
      <c r="AH297" s="403"/>
      <c r="AI297" s="409"/>
      <c r="AJ297" s="410"/>
    </row>
    <row r="298">
      <c r="A298" s="402"/>
      <c r="B298" s="402"/>
      <c r="C298" s="403"/>
      <c r="D298" s="403"/>
      <c r="E298" s="404"/>
      <c r="F298" s="403"/>
      <c r="G298" s="411"/>
      <c r="H298" s="405"/>
      <c r="I298" s="403"/>
      <c r="J298" s="403"/>
      <c r="K298" s="403"/>
      <c r="L298" s="403"/>
      <c r="M298" s="403"/>
      <c r="N298" s="403"/>
      <c r="O298" s="403"/>
      <c r="P298" s="403"/>
      <c r="Q298" s="403"/>
      <c r="R298" s="403"/>
      <c r="S298" s="405"/>
      <c r="T298" s="405"/>
      <c r="U298" s="403"/>
      <c r="V298" s="403"/>
      <c r="W298" s="404"/>
      <c r="X298" s="404"/>
      <c r="Y298" s="404"/>
      <c r="Z298" s="404"/>
      <c r="AA298" s="403"/>
      <c r="AB298" s="413"/>
      <c r="AC298" s="419"/>
      <c r="AD298" s="404"/>
      <c r="AE298" s="404"/>
      <c r="AF298" s="418"/>
      <c r="AG298" s="403"/>
      <c r="AH298" s="403"/>
      <c r="AI298" s="409"/>
      <c r="AJ298" s="410"/>
    </row>
    <row r="299">
      <c r="A299" s="402"/>
      <c r="B299" s="402"/>
      <c r="C299" s="403"/>
      <c r="D299" s="403"/>
      <c r="E299" s="404"/>
      <c r="F299" s="403"/>
      <c r="G299" s="411"/>
      <c r="H299" s="405"/>
      <c r="I299" s="403"/>
      <c r="J299" s="403"/>
      <c r="K299" s="403"/>
      <c r="L299" s="403"/>
      <c r="M299" s="403"/>
      <c r="N299" s="403"/>
      <c r="O299" s="403"/>
      <c r="P299" s="403"/>
      <c r="Q299" s="403"/>
      <c r="R299" s="403"/>
      <c r="S299" s="405"/>
      <c r="T299" s="405"/>
      <c r="U299" s="403"/>
      <c r="V299" s="403"/>
      <c r="W299" s="404"/>
      <c r="X299" s="404"/>
      <c r="Y299" s="404"/>
      <c r="Z299" s="404"/>
      <c r="AA299" s="403"/>
      <c r="AB299" s="413"/>
      <c r="AC299" s="413"/>
      <c r="AD299" s="404"/>
      <c r="AE299" s="404"/>
      <c r="AF299" s="418"/>
      <c r="AG299" s="403"/>
      <c r="AH299" s="414"/>
      <c r="AI299" s="409"/>
      <c r="AJ299" s="410"/>
    </row>
    <row r="300">
      <c r="A300" s="402"/>
      <c r="B300" s="402"/>
      <c r="C300" s="403"/>
      <c r="D300" s="403"/>
      <c r="E300" s="404"/>
      <c r="F300" s="403"/>
      <c r="G300" s="411"/>
      <c r="H300" s="405"/>
      <c r="I300" s="403"/>
      <c r="J300" s="403"/>
      <c r="K300" s="403"/>
      <c r="L300" s="403"/>
      <c r="M300" s="403"/>
      <c r="N300" s="403"/>
      <c r="O300" s="403"/>
      <c r="P300" s="403"/>
      <c r="Q300" s="403"/>
      <c r="R300" s="403"/>
      <c r="S300" s="405"/>
      <c r="T300" s="405"/>
      <c r="U300" s="403"/>
      <c r="V300" s="403"/>
      <c r="W300" s="404"/>
      <c r="X300" s="404"/>
      <c r="Y300" s="404"/>
      <c r="Z300" s="404"/>
      <c r="AA300" s="403"/>
      <c r="AB300" s="413"/>
      <c r="AC300" s="419"/>
      <c r="AD300" s="404"/>
      <c r="AE300" s="404"/>
      <c r="AF300" s="418"/>
      <c r="AG300" s="403"/>
      <c r="AH300" s="403"/>
      <c r="AI300" s="409"/>
      <c r="AJ300" s="410"/>
    </row>
    <row r="301">
      <c r="A301" s="402"/>
      <c r="B301" s="402"/>
      <c r="C301" s="403"/>
      <c r="D301" s="403"/>
      <c r="E301" s="404"/>
      <c r="F301" s="403"/>
      <c r="G301" s="411"/>
      <c r="H301" s="405"/>
      <c r="I301" s="403"/>
      <c r="J301" s="392"/>
      <c r="K301" s="403"/>
      <c r="L301" s="403"/>
      <c r="M301" s="403"/>
      <c r="N301" s="403"/>
      <c r="O301" s="403"/>
      <c r="P301" s="403"/>
      <c r="Q301" s="403"/>
      <c r="R301" s="403"/>
      <c r="S301" s="405"/>
      <c r="T301" s="411"/>
      <c r="U301" s="392"/>
      <c r="V301" s="403"/>
      <c r="W301" s="404"/>
      <c r="X301" s="404"/>
      <c r="Y301" s="404"/>
      <c r="Z301" s="404"/>
      <c r="AA301" s="403"/>
      <c r="AB301" s="413"/>
      <c r="AC301" s="419"/>
      <c r="AD301" s="404"/>
      <c r="AE301" s="404"/>
      <c r="AF301" s="418"/>
      <c r="AG301" s="403"/>
      <c r="AH301" s="403"/>
      <c r="AI301" s="409"/>
      <c r="AJ301" s="410"/>
    </row>
    <row r="302">
      <c r="A302" s="402"/>
      <c r="B302" s="402"/>
      <c r="C302" s="403"/>
      <c r="D302" s="403"/>
      <c r="E302" s="404"/>
      <c r="F302" s="403"/>
      <c r="G302" s="411"/>
      <c r="H302" s="405"/>
      <c r="I302" s="403"/>
      <c r="J302" s="403"/>
      <c r="K302" s="403"/>
      <c r="L302" s="403"/>
      <c r="M302" s="403"/>
      <c r="N302" s="403"/>
      <c r="O302" s="403"/>
      <c r="P302" s="403"/>
      <c r="Q302" s="403"/>
      <c r="R302" s="403"/>
      <c r="S302" s="405"/>
      <c r="T302" s="405"/>
      <c r="U302" s="403"/>
      <c r="V302" s="403"/>
      <c r="W302" s="404"/>
      <c r="X302" s="404"/>
      <c r="Y302" s="404"/>
      <c r="Z302" s="404"/>
      <c r="AA302" s="392"/>
      <c r="AB302" s="413"/>
      <c r="AC302" s="413"/>
      <c r="AD302" s="404"/>
      <c r="AE302" s="404"/>
      <c r="AF302" s="418"/>
      <c r="AG302" s="403"/>
      <c r="AH302" s="403"/>
      <c r="AI302" s="409"/>
      <c r="AJ302" s="410"/>
    </row>
    <row r="303">
      <c r="A303" s="402"/>
      <c r="B303" s="402"/>
      <c r="C303" s="403"/>
      <c r="D303" s="403"/>
      <c r="E303" s="404"/>
      <c r="F303" s="403"/>
      <c r="G303" s="411"/>
      <c r="H303" s="405"/>
      <c r="I303" s="403"/>
      <c r="J303" s="403"/>
      <c r="K303" s="403"/>
      <c r="L303" s="403"/>
      <c r="M303" s="403"/>
      <c r="N303" s="403"/>
      <c r="O303" s="403"/>
      <c r="P303" s="403"/>
      <c r="Q303" s="403"/>
      <c r="R303" s="403"/>
      <c r="S303" s="405"/>
      <c r="T303" s="405"/>
      <c r="U303" s="403"/>
      <c r="V303" s="403"/>
      <c r="W303" s="404"/>
      <c r="X303" s="404"/>
      <c r="Y303" s="404"/>
      <c r="Z303" s="404"/>
      <c r="AA303" s="403"/>
      <c r="AB303" s="413"/>
      <c r="AC303" s="419"/>
      <c r="AD303" s="404"/>
      <c r="AE303" s="404"/>
      <c r="AF303" s="418"/>
      <c r="AG303" s="403"/>
      <c r="AH303" s="403"/>
      <c r="AI303" s="409"/>
      <c r="AJ303" s="410"/>
    </row>
    <row r="304">
      <c r="A304" s="402"/>
      <c r="B304" s="402"/>
      <c r="C304" s="403"/>
      <c r="D304" s="403"/>
      <c r="E304" s="404"/>
      <c r="F304" s="403"/>
      <c r="G304" s="405"/>
      <c r="H304" s="405"/>
      <c r="I304" s="403"/>
      <c r="J304" s="403"/>
      <c r="K304" s="403"/>
      <c r="L304" s="403"/>
      <c r="M304" s="403"/>
      <c r="N304" s="403"/>
      <c r="O304" s="403"/>
      <c r="P304" s="403"/>
      <c r="Q304" s="403"/>
      <c r="R304" s="403"/>
      <c r="S304" s="405"/>
      <c r="T304" s="405"/>
      <c r="U304" s="403"/>
      <c r="V304" s="403"/>
      <c r="W304" s="404"/>
      <c r="X304" s="404"/>
      <c r="Y304" s="404"/>
      <c r="Z304" s="404"/>
      <c r="AA304" s="392"/>
      <c r="AB304" s="419"/>
      <c r="AC304" s="419"/>
      <c r="AD304" s="404"/>
      <c r="AE304" s="404"/>
      <c r="AF304" s="418"/>
      <c r="AG304" s="403"/>
      <c r="AH304" s="414"/>
      <c r="AI304" s="409"/>
      <c r="AJ304" s="410"/>
    </row>
    <row r="305">
      <c r="A305" s="402"/>
      <c r="B305" s="402"/>
      <c r="C305" s="403"/>
      <c r="D305" s="403"/>
      <c r="E305" s="404"/>
      <c r="F305" s="403"/>
      <c r="G305" s="405"/>
      <c r="H305" s="405"/>
      <c r="I305" s="403"/>
      <c r="J305" s="403"/>
      <c r="K305" s="403"/>
      <c r="L305" s="403"/>
      <c r="M305" s="403"/>
      <c r="N305" s="403"/>
      <c r="O305" s="403"/>
      <c r="P305" s="403"/>
      <c r="Q305" s="403"/>
      <c r="R305" s="403"/>
      <c r="S305" s="405"/>
      <c r="T305" s="405"/>
      <c r="U305" s="403"/>
      <c r="V305" s="403"/>
      <c r="W305" s="404"/>
      <c r="X305" s="404"/>
      <c r="Y305" s="404"/>
      <c r="Z305" s="404"/>
      <c r="AA305" s="392"/>
      <c r="AB305" s="406"/>
      <c r="AC305" s="436"/>
      <c r="AD305" s="404"/>
      <c r="AE305" s="404"/>
      <c r="AF305" s="405"/>
      <c r="AG305" s="405"/>
      <c r="AH305" s="414"/>
      <c r="AI305" s="409"/>
      <c r="AJ305" s="410"/>
    </row>
    <row r="306">
      <c r="A306" s="402"/>
      <c r="B306" s="402"/>
      <c r="C306" s="403"/>
      <c r="D306" s="403"/>
      <c r="E306" s="404"/>
      <c r="F306" s="403"/>
      <c r="G306" s="411"/>
      <c r="H306" s="405"/>
      <c r="I306" s="403"/>
      <c r="J306" s="403"/>
      <c r="K306" s="403"/>
      <c r="L306" s="403"/>
      <c r="M306" s="403"/>
      <c r="N306" s="403"/>
      <c r="O306" s="403"/>
      <c r="P306" s="403"/>
      <c r="Q306" s="403"/>
      <c r="R306" s="403"/>
      <c r="S306" s="403"/>
      <c r="T306" s="403"/>
      <c r="U306" s="403"/>
      <c r="V306" s="403"/>
      <c r="W306" s="404"/>
      <c r="X306" s="404"/>
      <c r="Y306" s="404"/>
      <c r="Z306" s="404"/>
      <c r="AA306" s="403"/>
      <c r="AB306" s="413"/>
      <c r="AC306" s="419"/>
      <c r="AD306" s="404"/>
      <c r="AE306" s="404"/>
      <c r="AF306" s="418"/>
      <c r="AG306" s="403"/>
      <c r="AH306" s="403"/>
      <c r="AI306" s="409"/>
      <c r="AJ306" s="410"/>
    </row>
    <row r="307">
      <c r="A307" s="402"/>
      <c r="B307" s="402"/>
      <c r="C307" s="403"/>
      <c r="D307" s="403"/>
      <c r="E307" s="404"/>
      <c r="F307" s="403"/>
      <c r="G307" s="405"/>
      <c r="H307" s="405"/>
      <c r="I307" s="403"/>
      <c r="J307" s="403"/>
      <c r="K307" s="403"/>
      <c r="L307" s="403"/>
      <c r="M307" s="403"/>
      <c r="N307" s="403"/>
      <c r="O307" s="403"/>
      <c r="P307" s="403"/>
      <c r="Q307" s="403"/>
      <c r="R307" s="403"/>
      <c r="S307" s="403"/>
      <c r="T307" s="403"/>
      <c r="U307" s="403"/>
      <c r="V307" s="403"/>
      <c r="W307" s="404"/>
      <c r="X307" s="404"/>
      <c r="Y307" s="404"/>
      <c r="Z307" s="404"/>
      <c r="AA307" s="392"/>
      <c r="AB307" s="413"/>
      <c r="AC307" s="419"/>
      <c r="AD307" s="404"/>
      <c r="AE307" s="404"/>
      <c r="AF307" s="418"/>
      <c r="AG307" s="403"/>
      <c r="AH307" s="403"/>
      <c r="AI307" s="409"/>
      <c r="AJ307" s="410"/>
    </row>
    <row r="308">
      <c r="A308" s="402"/>
      <c r="B308" s="402"/>
      <c r="C308" s="403"/>
      <c r="D308" s="403"/>
      <c r="E308" s="404"/>
      <c r="F308" s="403"/>
      <c r="G308" s="405"/>
      <c r="H308" s="405"/>
      <c r="I308" s="403"/>
      <c r="J308" s="403"/>
      <c r="K308" s="403"/>
      <c r="L308" s="403"/>
      <c r="M308" s="403"/>
      <c r="N308" s="403"/>
      <c r="O308" s="403"/>
      <c r="P308" s="403"/>
      <c r="Q308" s="403"/>
      <c r="R308" s="403"/>
      <c r="S308" s="405"/>
      <c r="T308" s="405"/>
      <c r="U308" s="403"/>
      <c r="V308" s="403"/>
      <c r="W308" s="404"/>
      <c r="X308" s="404"/>
      <c r="Y308" s="404"/>
      <c r="Z308" s="404"/>
      <c r="AA308" s="403"/>
      <c r="AB308" s="406"/>
      <c r="AC308" s="419"/>
      <c r="AD308" s="404"/>
      <c r="AE308" s="404"/>
      <c r="AF308" s="418"/>
      <c r="AG308" s="403"/>
      <c r="AH308" s="403"/>
      <c r="AI308" s="409"/>
      <c r="AJ308" s="410"/>
    </row>
    <row r="309">
      <c r="A309" s="402"/>
      <c r="B309" s="402"/>
      <c r="C309" s="403"/>
      <c r="D309" s="403"/>
      <c r="E309" s="404"/>
      <c r="F309" s="403"/>
      <c r="G309" s="405"/>
      <c r="H309" s="405"/>
      <c r="I309" s="403"/>
      <c r="J309" s="403"/>
      <c r="K309" s="403"/>
      <c r="L309" s="403"/>
      <c r="M309" s="403"/>
      <c r="N309" s="403"/>
      <c r="O309" s="403"/>
      <c r="P309" s="403"/>
      <c r="Q309" s="403"/>
      <c r="R309" s="403"/>
      <c r="S309" s="403"/>
      <c r="T309" s="403"/>
      <c r="U309" s="403"/>
      <c r="V309" s="403"/>
      <c r="W309" s="404"/>
      <c r="X309" s="404"/>
      <c r="Y309" s="404"/>
      <c r="Z309" s="404"/>
      <c r="AA309" s="392"/>
      <c r="AB309" s="413"/>
      <c r="AC309" s="419"/>
      <c r="AD309" s="404"/>
      <c r="AE309" s="404"/>
      <c r="AF309" s="403"/>
      <c r="AG309" s="403"/>
      <c r="AH309" s="414"/>
      <c r="AI309" s="409"/>
      <c r="AJ309" s="410"/>
    </row>
    <row r="310">
      <c r="A310" s="402"/>
      <c r="B310" s="402"/>
      <c r="C310" s="403"/>
      <c r="D310" s="403"/>
      <c r="E310" s="404"/>
      <c r="F310" s="403"/>
      <c r="G310" s="411"/>
      <c r="H310" s="405"/>
      <c r="I310" s="403"/>
      <c r="J310" s="403"/>
      <c r="K310" s="403"/>
      <c r="L310" s="403"/>
      <c r="M310" s="403"/>
      <c r="N310" s="403"/>
      <c r="O310" s="403"/>
      <c r="P310" s="403"/>
      <c r="Q310" s="403"/>
      <c r="R310" s="403"/>
      <c r="S310" s="403"/>
      <c r="T310" s="403"/>
      <c r="U310" s="403"/>
      <c r="V310" s="403"/>
      <c r="W310" s="404"/>
      <c r="X310" s="404"/>
      <c r="Y310" s="404"/>
      <c r="Z310" s="404"/>
      <c r="AA310" s="392"/>
      <c r="AB310" s="413"/>
      <c r="AC310" s="419"/>
      <c r="AD310" s="404"/>
      <c r="AE310" s="404"/>
      <c r="AF310" s="418"/>
      <c r="AG310" s="403"/>
      <c r="AH310" s="414"/>
      <c r="AI310" s="409"/>
      <c r="AJ310" s="410"/>
    </row>
    <row r="311">
      <c r="A311" s="402"/>
      <c r="B311" s="402"/>
      <c r="C311" s="403"/>
      <c r="D311" s="403"/>
      <c r="E311" s="404"/>
      <c r="F311" s="403"/>
      <c r="G311" s="405"/>
      <c r="H311" s="405"/>
      <c r="I311" s="403"/>
      <c r="J311" s="403"/>
      <c r="K311" s="403"/>
      <c r="L311" s="403"/>
      <c r="M311" s="403"/>
      <c r="N311" s="403"/>
      <c r="O311" s="403"/>
      <c r="P311" s="403"/>
      <c r="Q311" s="403"/>
      <c r="R311" s="403"/>
      <c r="S311" s="403"/>
      <c r="T311" s="403"/>
      <c r="U311" s="403"/>
      <c r="V311" s="403"/>
      <c r="W311" s="404"/>
      <c r="X311" s="404"/>
      <c r="Y311" s="404"/>
      <c r="Z311" s="404"/>
      <c r="AA311" s="403"/>
      <c r="AB311" s="413"/>
      <c r="AC311" s="419"/>
      <c r="AD311" s="404"/>
      <c r="AE311" s="404"/>
      <c r="AF311" s="418"/>
      <c r="AG311" s="403"/>
      <c r="AH311" s="403"/>
      <c r="AI311" s="409"/>
      <c r="AJ311" s="410"/>
    </row>
    <row r="312">
      <c r="A312" s="402"/>
      <c r="B312" s="402"/>
      <c r="C312" s="403"/>
      <c r="D312" s="403"/>
      <c r="E312" s="404"/>
      <c r="F312" s="403"/>
      <c r="G312" s="411"/>
      <c r="H312" s="405"/>
      <c r="I312" s="403"/>
      <c r="J312" s="403"/>
      <c r="K312" s="403"/>
      <c r="L312" s="403"/>
      <c r="M312" s="403"/>
      <c r="N312" s="403"/>
      <c r="O312" s="403"/>
      <c r="P312" s="403"/>
      <c r="Q312" s="403"/>
      <c r="R312" s="403"/>
      <c r="S312" s="403"/>
      <c r="T312" s="403"/>
      <c r="U312" s="403"/>
      <c r="V312" s="403"/>
      <c r="W312" s="404"/>
      <c r="X312" s="404"/>
      <c r="Y312" s="404"/>
      <c r="Z312" s="404"/>
      <c r="AA312" s="392"/>
      <c r="AB312" s="413"/>
      <c r="AC312" s="419"/>
      <c r="AD312" s="404"/>
      <c r="AE312" s="404"/>
      <c r="AF312" s="418"/>
      <c r="AG312" s="403"/>
      <c r="AH312" s="414"/>
      <c r="AI312" s="409"/>
      <c r="AJ312" s="410"/>
    </row>
    <row r="313">
      <c r="A313" s="402"/>
      <c r="B313" s="402"/>
      <c r="C313" s="403"/>
      <c r="D313" s="403"/>
      <c r="E313" s="404"/>
      <c r="F313" s="403"/>
      <c r="G313" s="405"/>
      <c r="H313" s="405"/>
      <c r="I313" s="403"/>
      <c r="J313" s="403"/>
      <c r="K313" s="403"/>
      <c r="L313" s="403"/>
      <c r="M313" s="403"/>
      <c r="N313" s="403"/>
      <c r="O313" s="403"/>
      <c r="P313" s="403"/>
      <c r="Q313" s="403"/>
      <c r="R313" s="403"/>
      <c r="S313" s="403"/>
      <c r="T313" s="403"/>
      <c r="U313" s="403"/>
      <c r="V313" s="403"/>
      <c r="W313" s="404"/>
      <c r="X313" s="404"/>
      <c r="Y313" s="404"/>
      <c r="Z313" s="404"/>
      <c r="AA313" s="392"/>
      <c r="AB313" s="413"/>
      <c r="AC313" s="413"/>
      <c r="AD313" s="404"/>
      <c r="AE313" s="404"/>
      <c r="AF313" s="418"/>
      <c r="AG313" s="403"/>
      <c r="AH313" s="403"/>
      <c r="AI313" s="409"/>
      <c r="AJ313" s="410"/>
    </row>
    <row r="314">
      <c r="A314" s="402"/>
      <c r="B314" s="402"/>
      <c r="C314" s="403"/>
      <c r="D314" s="403"/>
      <c r="E314" s="404"/>
      <c r="F314" s="403"/>
      <c r="G314" s="405"/>
      <c r="H314" s="405"/>
      <c r="I314" s="403"/>
      <c r="J314" s="403"/>
      <c r="K314" s="403"/>
      <c r="L314" s="403"/>
      <c r="M314" s="403"/>
      <c r="N314" s="403"/>
      <c r="O314" s="403"/>
      <c r="P314" s="403"/>
      <c r="Q314" s="403"/>
      <c r="R314" s="403"/>
      <c r="S314" s="403"/>
      <c r="T314" s="403"/>
      <c r="U314" s="403"/>
      <c r="V314" s="403"/>
      <c r="W314" s="404"/>
      <c r="X314" s="404"/>
      <c r="Y314" s="404"/>
      <c r="Z314" s="404"/>
      <c r="AA314" s="403"/>
      <c r="AB314" s="413"/>
      <c r="AC314" s="419"/>
      <c r="AD314" s="404"/>
      <c r="AE314" s="404"/>
      <c r="AF314" s="418"/>
      <c r="AG314" s="403"/>
      <c r="AH314" s="403"/>
      <c r="AI314" s="409"/>
      <c r="AJ314" s="410"/>
    </row>
    <row r="315">
      <c r="A315" s="402"/>
      <c r="B315" s="402"/>
      <c r="C315" s="403"/>
      <c r="D315" s="403"/>
      <c r="E315" s="404"/>
      <c r="F315" s="403"/>
      <c r="G315" s="405"/>
      <c r="H315" s="405"/>
      <c r="I315" s="403"/>
      <c r="J315" s="403"/>
      <c r="K315" s="403"/>
      <c r="L315" s="403"/>
      <c r="M315" s="403"/>
      <c r="N315" s="403"/>
      <c r="O315" s="403"/>
      <c r="P315" s="403"/>
      <c r="Q315" s="403"/>
      <c r="R315" s="403"/>
      <c r="S315" s="403"/>
      <c r="T315" s="403"/>
      <c r="U315" s="403"/>
      <c r="V315" s="403"/>
      <c r="W315" s="404"/>
      <c r="X315" s="404"/>
      <c r="Y315" s="404"/>
      <c r="Z315" s="404"/>
      <c r="AA315" s="403"/>
      <c r="AB315" s="413"/>
      <c r="AC315" s="413"/>
      <c r="AD315" s="404"/>
      <c r="AE315" s="404"/>
      <c r="AF315" s="418"/>
      <c r="AG315" s="403"/>
      <c r="AH315" s="403"/>
      <c r="AI315" s="409"/>
      <c r="AJ315" s="410"/>
    </row>
    <row r="316">
      <c r="A316" s="402"/>
      <c r="B316" s="402"/>
      <c r="C316" s="403"/>
      <c r="D316" s="403"/>
      <c r="E316" s="404"/>
      <c r="F316" s="403"/>
      <c r="G316" s="405"/>
      <c r="H316" s="405"/>
      <c r="I316" s="403"/>
      <c r="J316" s="403"/>
      <c r="K316" s="403"/>
      <c r="L316" s="403"/>
      <c r="M316" s="403"/>
      <c r="N316" s="403"/>
      <c r="O316" s="403"/>
      <c r="P316" s="403"/>
      <c r="Q316" s="403"/>
      <c r="R316" s="403"/>
      <c r="S316" s="403"/>
      <c r="T316" s="403"/>
      <c r="U316" s="403"/>
      <c r="V316" s="403"/>
      <c r="W316" s="404"/>
      <c r="X316" s="404"/>
      <c r="Y316" s="404"/>
      <c r="Z316" s="404"/>
      <c r="AA316" s="403"/>
      <c r="AB316" s="413"/>
      <c r="AC316" s="413"/>
      <c r="AD316" s="404"/>
      <c r="AE316" s="404"/>
      <c r="AF316" s="418"/>
      <c r="AG316" s="403"/>
      <c r="AH316" s="403"/>
      <c r="AI316" s="409"/>
      <c r="AJ316" s="410"/>
    </row>
    <row r="317">
      <c r="A317" s="402"/>
      <c r="B317" s="402"/>
      <c r="C317" s="403"/>
      <c r="D317" s="403"/>
      <c r="E317" s="404"/>
      <c r="F317" s="403"/>
      <c r="G317" s="411"/>
      <c r="H317" s="405"/>
      <c r="I317" s="403"/>
      <c r="J317" s="403"/>
      <c r="K317" s="403"/>
      <c r="L317" s="403"/>
      <c r="M317" s="403"/>
      <c r="N317" s="403"/>
      <c r="O317" s="403"/>
      <c r="P317" s="403"/>
      <c r="Q317" s="403"/>
      <c r="R317" s="403"/>
      <c r="S317" s="403"/>
      <c r="T317" s="403"/>
      <c r="U317" s="403"/>
      <c r="V317" s="403"/>
      <c r="W317" s="404"/>
      <c r="X317" s="404"/>
      <c r="Y317" s="404"/>
      <c r="Z317" s="404"/>
      <c r="AA317" s="403"/>
      <c r="AB317" s="413"/>
      <c r="AC317" s="413"/>
      <c r="AD317" s="404"/>
      <c r="AE317" s="404"/>
      <c r="AF317" s="418"/>
      <c r="AG317" s="403"/>
      <c r="AH317" s="403"/>
      <c r="AI317" s="409"/>
      <c r="AJ317" s="410"/>
    </row>
    <row r="318">
      <c r="A318" s="402"/>
      <c r="B318" s="402"/>
      <c r="C318" s="403"/>
      <c r="D318" s="403"/>
      <c r="E318" s="404"/>
      <c r="F318" s="403"/>
      <c r="G318" s="411"/>
      <c r="H318" s="405"/>
      <c r="I318" s="403"/>
      <c r="J318" s="403"/>
      <c r="K318" s="403"/>
      <c r="L318" s="403"/>
      <c r="M318" s="403"/>
      <c r="N318" s="403"/>
      <c r="O318" s="403"/>
      <c r="P318" s="403"/>
      <c r="Q318" s="403"/>
      <c r="R318" s="403"/>
      <c r="S318" s="403"/>
      <c r="T318" s="403"/>
      <c r="U318" s="403"/>
      <c r="V318" s="403"/>
      <c r="W318" s="404"/>
      <c r="X318" s="404"/>
      <c r="Y318" s="404"/>
      <c r="Z318" s="404"/>
      <c r="AA318" s="403"/>
      <c r="AB318" s="413"/>
      <c r="AC318" s="420"/>
      <c r="AD318" s="404"/>
      <c r="AE318" s="404"/>
      <c r="AF318" s="418"/>
      <c r="AG318" s="403"/>
      <c r="AH318" s="403"/>
      <c r="AI318" s="409"/>
      <c r="AJ318" s="410"/>
    </row>
    <row r="319">
      <c r="A319" s="402"/>
      <c r="B319" s="402"/>
      <c r="C319" s="403"/>
      <c r="D319" s="403"/>
      <c r="E319" s="404"/>
      <c r="F319" s="403"/>
      <c r="G319" s="411"/>
      <c r="H319" s="405"/>
      <c r="I319" s="403"/>
      <c r="J319" s="403"/>
      <c r="K319" s="392"/>
      <c r="L319" s="403"/>
      <c r="M319" s="403"/>
      <c r="N319" s="403"/>
      <c r="O319" s="403"/>
      <c r="P319" s="403"/>
      <c r="Q319" s="403"/>
      <c r="R319" s="403"/>
      <c r="S319" s="403"/>
      <c r="T319" s="403"/>
      <c r="U319" s="403"/>
      <c r="V319" s="403"/>
      <c r="W319" s="404"/>
      <c r="X319" s="404"/>
      <c r="Y319" s="404"/>
      <c r="Z319" s="404"/>
      <c r="AA319" s="403"/>
      <c r="AB319" s="413"/>
      <c r="AC319" s="420"/>
      <c r="AD319" s="404"/>
      <c r="AE319" s="404"/>
      <c r="AF319" s="418"/>
      <c r="AG319" s="403"/>
      <c r="AH319" s="403"/>
      <c r="AI319" s="409"/>
      <c r="AJ319" s="410"/>
    </row>
    <row r="320">
      <c r="A320" s="402"/>
      <c r="B320" s="402"/>
      <c r="C320" s="403"/>
      <c r="D320" s="403"/>
      <c r="E320" s="404"/>
      <c r="F320" s="403"/>
      <c r="G320" s="411"/>
      <c r="H320" s="405"/>
      <c r="I320" s="403"/>
      <c r="J320" s="403"/>
      <c r="K320" s="403"/>
      <c r="L320" s="403"/>
      <c r="M320" s="403"/>
      <c r="N320" s="403"/>
      <c r="O320" s="403"/>
      <c r="P320" s="403"/>
      <c r="Q320" s="403"/>
      <c r="R320" s="403"/>
      <c r="S320" s="403"/>
      <c r="T320" s="403"/>
      <c r="U320" s="403"/>
      <c r="V320" s="403"/>
      <c r="W320" s="404"/>
      <c r="X320" s="404"/>
      <c r="Y320" s="404"/>
      <c r="Z320" s="404"/>
      <c r="AA320" s="392"/>
      <c r="AB320" s="413"/>
      <c r="AC320" s="419"/>
      <c r="AD320" s="404"/>
      <c r="AE320" s="404"/>
      <c r="AF320" s="418"/>
      <c r="AG320" s="403"/>
      <c r="AH320" s="403"/>
      <c r="AI320" s="409"/>
      <c r="AJ320" s="410"/>
    </row>
    <row r="321">
      <c r="A321" s="402"/>
      <c r="B321" s="402"/>
      <c r="C321" s="403"/>
      <c r="D321" s="403"/>
      <c r="E321" s="404"/>
      <c r="F321" s="403"/>
      <c r="G321" s="405"/>
      <c r="H321" s="405"/>
      <c r="I321" s="403"/>
      <c r="J321" s="403"/>
      <c r="K321" s="403"/>
      <c r="L321" s="403"/>
      <c r="M321" s="403"/>
      <c r="N321" s="403"/>
      <c r="O321" s="403"/>
      <c r="P321" s="403"/>
      <c r="Q321" s="403"/>
      <c r="R321" s="403"/>
      <c r="S321" s="403"/>
      <c r="T321" s="403"/>
      <c r="U321" s="403"/>
      <c r="V321" s="403"/>
      <c r="W321" s="404"/>
      <c r="X321" s="404"/>
      <c r="Y321" s="404"/>
      <c r="Z321" s="404"/>
      <c r="AA321" s="403"/>
      <c r="AB321" s="413"/>
      <c r="AC321" s="419"/>
      <c r="AD321" s="404"/>
      <c r="AE321" s="404"/>
      <c r="AF321" s="418"/>
      <c r="AG321" s="403"/>
      <c r="AH321" s="403"/>
      <c r="AI321" s="409"/>
      <c r="AJ321" s="410"/>
    </row>
    <row r="322">
      <c r="A322" s="402"/>
      <c r="B322" s="402"/>
      <c r="C322" s="403"/>
      <c r="D322" s="403"/>
      <c r="E322" s="404"/>
      <c r="F322" s="403"/>
      <c r="G322" s="411"/>
      <c r="H322" s="405"/>
      <c r="I322" s="403"/>
      <c r="J322" s="403"/>
      <c r="K322" s="403"/>
      <c r="L322" s="403"/>
      <c r="M322" s="403"/>
      <c r="N322" s="403"/>
      <c r="O322" s="403"/>
      <c r="P322" s="403"/>
      <c r="Q322" s="403"/>
      <c r="R322" s="403"/>
      <c r="S322" s="403"/>
      <c r="T322" s="403"/>
      <c r="U322" s="403"/>
      <c r="V322" s="403"/>
      <c r="W322" s="404"/>
      <c r="X322" s="404"/>
      <c r="Y322" s="404"/>
      <c r="Z322" s="404"/>
      <c r="AA322" s="403"/>
      <c r="AB322" s="413"/>
      <c r="AC322" s="419"/>
      <c r="AD322" s="404"/>
      <c r="AE322" s="404"/>
      <c r="AF322" s="418"/>
      <c r="AG322" s="403"/>
      <c r="AH322" s="403"/>
      <c r="AI322" s="409"/>
      <c r="AJ322" s="410"/>
    </row>
    <row r="323">
      <c r="A323" s="402"/>
      <c r="B323" s="402"/>
      <c r="C323" s="403"/>
      <c r="D323" s="403"/>
      <c r="E323" s="404"/>
      <c r="F323" s="403"/>
      <c r="G323" s="411"/>
      <c r="H323" s="405"/>
      <c r="I323" s="403"/>
      <c r="J323" s="403"/>
      <c r="K323" s="403"/>
      <c r="L323" s="403"/>
      <c r="M323" s="403"/>
      <c r="N323" s="403"/>
      <c r="O323" s="403"/>
      <c r="P323" s="403"/>
      <c r="Q323" s="403"/>
      <c r="R323" s="403"/>
      <c r="S323" s="403"/>
      <c r="T323" s="403"/>
      <c r="U323" s="392"/>
      <c r="V323" s="403"/>
      <c r="W323" s="404"/>
      <c r="X323" s="404"/>
      <c r="Y323" s="404"/>
      <c r="Z323" s="404"/>
      <c r="AA323" s="403"/>
      <c r="AB323" s="413"/>
      <c r="AC323" s="419"/>
      <c r="AD323" s="404"/>
      <c r="AE323" s="404"/>
      <c r="AF323" s="418"/>
      <c r="AG323" s="403"/>
      <c r="AH323" s="403"/>
      <c r="AI323" s="409"/>
      <c r="AJ323" s="410"/>
    </row>
    <row r="324">
      <c r="A324" s="402"/>
      <c r="B324" s="402"/>
      <c r="C324" s="403"/>
      <c r="D324" s="403"/>
      <c r="E324" s="404"/>
      <c r="F324" s="403"/>
      <c r="G324" s="411"/>
      <c r="H324" s="405"/>
      <c r="I324" s="403"/>
      <c r="J324" s="403"/>
      <c r="K324" s="403"/>
      <c r="L324" s="403"/>
      <c r="M324" s="403"/>
      <c r="N324" s="403"/>
      <c r="O324" s="403"/>
      <c r="P324" s="403"/>
      <c r="Q324" s="403"/>
      <c r="R324" s="403"/>
      <c r="S324" s="403"/>
      <c r="T324" s="403"/>
      <c r="U324" s="392"/>
      <c r="V324" s="403"/>
      <c r="W324" s="404"/>
      <c r="X324" s="404"/>
      <c r="Y324" s="404"/>
      <c r="Z324" s="404"/>
      <c r="AA324" s="403"/>
      <c r="AB324" s="413"/>
      <c r="AC324" s="419"/>
      <c r="AD324" s="404"/>
      <c r="AE324" s="404"/>
      <c r="AF324" s="418"/>
      <c r="AG324" s="403"/>
      <c r="AH324" s="403"/>
      <c r="AI324" s="409"/>
      <c r="AJ324" s="410"/>
    </row>
    <row r="325">
      <c r="A325" s="402"/>
      <c r="B325" s="402"/>
      <c r="C325" s="403"/>
      <c r="D325" s="403"/>
      <c r="E325" s="404"/>
      <c r="F325" s="403"/>
      <c r="G325" s="411"/>
      <c r="H325" s="405"/>
      <c r="I325" s="403"/>
      <c r="J325" s="392"/>
      <c r="K325" s="403"/>
      <c r="L325" s="403"/>
      <c r="M325" s="403"/>
      <c r="N325" s="403"/>
      <c r="O325" s="403"/>
      <c r="P325" s="403"/>
      <c r="Q325" s="403"/>
      <c r="R325" s="403"/>
      <c r="S325" s="392"/>
      <c r="T325" s="392"/>
      <c r="U325" s="403"/>
      <c r="V325" s="403"/>
      <c r="W325" s="404"/>
      <c r="X325" s="404"/>
      <c r="Y325" s="404"/>
      <c r="Z325" s="404"/>
      <c r="AA325" s="392"/>
      <c r="AB325" s="413"/>
      <c r="AC325" s="419"/>
      <c r="AD325" s="404"/>
      <c r="AE325" s="404"/>
      <c r="AF325" s="418"/>
      <c r="AG325" s="403"/>
      <c r="AH325" s="403"/>
      <c r="AI325" s="409"/>
      <c r="AJ325" s="410"/>
    </row>
    <row r="326">
      <c r="A326" s="402"/>
      <c r="B326" s="402"/>
      <c r="C326" s="403"/>
      <c r="D326" s="403"/>
      <c r="E326" s="404"/>
      <c r="F326" s="403"/>
      <c r="G326" s="411"/>
      <c r="H326" s="405"/>
      <c r="I326" s="403"/>
      <c r="J326" s="392"/>
      <c r="K326" s="403"/>
      <c r="L326" s="403"/>
      <c r="M326" s="403"/>
      <c r="N326" s="403"/>
      <c r="O326" s="403"/>
      <c r="P326" s="403"/>
      <c r="Q326" s="403"/>
      <c r="R326" s="403"/>
      <c r="S326" s="392"/>
      <c r="T326" s="392"/>
      <c r="U326" s="403"/>
      <c r="V326" s="403"/>
      <c r="W326" s="404"/>
      <c r="X326" s="404"/>
      <c r="Y326" s="404"/>
      <c r="Z326" s="404"/>
      <c r="AA326" s="392"/>
      <c r="AB326" s="413"/>
      <c r="AC326" s="419"/>
      <c r="AD326" s="404"/>
      <c r="AE326" s="404"/>
      <c r="AF326" s="418"/>
      <c r="AG326" s="403"/>
      <c r="AH326" s="403"/>
      <c r="AI326" s="409"/>
      <c r="AJ326" s="410"/>
    </row>
    <row r="327">
      <c r="A327" s="402"/>
      <c r="B327" s="402"/>
      <c r="C327" s="403"/>
      <c r="D327" s="403"/>
      <c r="E327" s="404"/>
      <c r="F327" s="403"/>
      <c r="G327" s="411"/>
      <c r="H327" s="405"/>
      <c r="I327" s="403"/>
      <c r="J327" s="403"/>
      <c r="K327" s="403"/>
      <c r="L327" s="403"/>
      <c r="M327" s="403"/>
      <c r="N327" s="403"/>
      <c r="O327" s="403"/>
      <c r="P327" s="403"/>
      <c r="Q327" s="403"/>
      <c r="R327" s="403"/>
      <c r="S327" s="403"/>
      <c r="T327" s="403"/>
      <c r="U327" s="403"/>
      <c r="V327" s="403"/>
      <c r="W327" s="404"/>
      <c r="X327" s="404"/>
      <c r="Y327" s="404"/>
      <c r="Z327" s="404"/>
      <c r="AA327" s="392"/>
      <c r="AB327" s="413"/>
      <c r="AC327" s="413"/>
      <c r="AD327" s="404"/>
      <c r="AE327" s="404"/>
      <c r="AF327" s="418"/>
      <c r="AG327" s="403"/>
      <c r="AH327" s="403"/>
      <c r="AI327" s="409"/>
      <c r="AJ327" s="410"/>
    </row>
    <row r="328">
      <c r="A328" s="402"/>
      <c r="B328" s="402"/>
      <c r="C328" s="403"/>
      <c r="D328" s="403"/>
      <c r="E328" s="404"/>
      <c r="F328" s="403"/>
      <c r="G328" s="405"/>
      <c r="H328" s="405"/>
      <c r="I328" s="403"/>
      <c r="J328" s="403"/>
      <c r="K328" s="403"/>
      <c r="L328" s="403"/>
      <c r="M328" s="403"/>
      <c r="N328" s="403"/>
      <c r="O328" s="403"/>
      <c r="P328" s="403"/>
      <c r="Q328" s="403"/>
      <c r="R328" s="403"/>
      <c r="S328" s="403"/>
      <c r="T328" s="403"/>
      <c r="U328" s="403"/>
      <c r="V328" s="403"/>
      <c r="W328" s="404"/>
      <c r="X328" s="404"/>
      <c r="Y328" s="404"/>
      <c r="Z328" s="404"/>
      <c r="AA328" s="403"/>
      <c r="AB328" s="413"/>
      <c r="AC328" s="419"/>
      <c r="AD328" s="404"/>
      <c r="AE328" s="404"/>
      <c r="AF328" s="418"/>
      <c r="AG328" s="403"/>
      <c r="AH328" s="403"/>
      <c r="AI328" s="409"/>
      <c r="AJ328" s="410"/>
    </row>
    <row r="329">
      <c r="A329" s="402"/>
      <c r="B329" s="402"/>
      <c r="C329" s="403"/>
      <c r="D329" s="403"/>
      <c r="E329" s="404"/>
      <c r="F329" s="403"/>
      <c r="G329" s="411"/>
      <c r="H329" s="405"/>
      <c r="I329" s="403"/>
      <c r="J329" s="403"/>
      <c r="K329" s="403"/>
      <c r="L329" s="403"/>
      <c r="M329" s="403"/>
      <c r="N329" s="403"/>
      <c r="O329" s="403"/>
      <c r="P329" s="403"/>
      <c r="Q329" s="403"/>
      <c r="R329" s="403"/>
      <c r="S329" s="403"/>
      <c r="T329" s="403"/>
      <c r="U329" s="403"/>
      <c r="V329" s="403"/>
      <c r="W329" s="404"/>
      <c r="X329" s="404"/>
      <c r="Y329" s="404"/>
      <c r="Z329" s="404"/>
      <c r="AA329" s="392"/>
      <c r="AB329" s="413"/>
      <c r="AC329" s="413"/>
      <c r="AD329" s="404"/>
      <c r="AE329" s="404"/>
      <c r="AF329" s="418"/>
      <c r="AG329" s="403"/>
      <c r="AH329" s="403"/>
      <c r="AI329" s="409"/>
      <c r="AJ329" s="410"/>
    </row>
    <row r="330">
      <c r="A330" s="402"/>
      <c r="B330" s="402"/>
      <c r="C330" s="403"/>
      <c r="D330" s="403"/>
      <c r="E330" s="404"/>
      <c r="F330" s="403"/>
      <c r="G330" s="405"/>
      <c r="H330" s="405"/>
      <c r="I330" s="403"/>
      <c r="J330" s="403"/>
      <c r="K330" s="403"/>
      <c r="L330" s="403"/>
      <c r="M330" s="403"/>
      <c r="N330" s="403"/>
      <c r="O330" s="403"/>
      <c r="P330" s="403"/>
      <c r="Q330" s="403"/>
      <c r="R330" s="403"/>
      <c r="S330" s="403"/>
      <c r="T330" s="403"/>
      <c r="U330" s="403"/>
      <c r="V330" s="403"/>
      <c r="W330" s="404"/>
      <c r="X330" s="404"/>
      <c r="Y330" s="404"/>
      <c r="Z330" s="404"/>
      <c r="AA330" s="403"/>
      <c r="AB330" s="413"/>
      <c r="AC330" s="419"/>
      <c r="AD330" s="404"/>
      <c r="AE330" s="404"/>
      <c r="AF330" s="418"/>
      <c r="AG330" s="403"/>
      <c r="AH330" s="403"/>
      <c r="AI330" s="409"/>
      <c r="AJ330" s="410"/>
    </row>
    <row r="331">
      <c r="A331" s="402"/>
      <c r="B331" s="402"/>
      <c r="C331" s="403"/>
      <c r="D331" s="403"/>
      <c r="E331" s="404"/>
      <c r="F331" s="403"/>
      <c r="G331" s="405"/>
      <c r="H331" s="405"/>
      <c r="I331" s="403"/>
      <c r="J331" s="403"/>
      <c r="K331" s="403"/>
      <c r="L331" s="403"/>
      <c r="M331" s="403"/>
      <c r="N331" s="403"/>
      <c r="O331" s="403"/>
      <c r="P331" s="403"/>
      <c r="Q331" s="403"/>
      <c r="R331" s="403"/>
      <c r="S331" s="403"/>
      <c r="T331" s="403"/>
      <c r="U331" s="403"/>
      <c r="V331" s="403"/>
      <c r="W331" s="404"/>
      <c r="X331" s="404"/>
      <c r="Y331" s="404"/>
      <c r="Z331" s="404"/>
      <c r="AA331" s="403"/>
      <c r="AB331" s="413"/>
      <c r="AC331" s="413"/>
      <c r="AD331" s="404"/>
      <c r="AE331" s="404"/>
      <c r="AF331" s="418"/>
      <c r="AG331" s="403"/>
      <c r="AH331" s="403"/>
      <c r="AI331" s="409"/>
      <c r="AJ331" s="410"/>
    </row>
    <row r="332">
      <c r="A332" s="402"/>
      <c r="B332" s="402"/>
      <c r="C332" s="403"/>
      <c r="D332" s="403"/>
      <c r="E332" s="404"/>
      <c r="F332" s="403"/>
      <c r="G332" s="405"/>
      <c r="H332" s="405"/>
      <c r="I332" s="403"/>
      <c r="J332" s="403"/>
      <c r="K332" s="403"/>
      <c r="L332" s="403"/>
      <c r="M332" s="403"/>
      <c r="N332" s="403"/>
      <c r="O332" s="403"/>
      <c r="P332" s="403"/>
      <c r="Q332" s="403"/>
      <c r="R332" s="403"/>
      <c r="S332" s="403"/>
      <c r="T332" s="403"/>
      <c r="U332" s="403"/>
      <c r="V332" s="403"/>
      <c r="W332" s="404"/>
      <c r="X332" s="404"/>
      <c r="Y332" s="404"/>
      <c r="Z332" s="404"/>
      <c r="AA332" s="392"/>
      <c r="AB332" s="413"/>
      <c r="AC332" s="419"/>
      <c r="AD332" s="404"/>
      <c r="AE332" s="404"/>
      <c r="AF332" s="403"/>
      <c r="AG332" s="403"/>
      <c r="AH332" s="403"/>
      <c r="AI332" s="409"/>
      <c r="AJ332" s="410"/>
    </row>
    <row r="333">
      <c r="A333" s="402"/>
      <c r="B333" s="402"/>
      <c r="C333" s="403"/>
      <c r="D333" s="403"/>
      <c r="E333" s="404"/>
      <c r="F333" s="403"/>
      <c r="G333" s="405"/>
      <c r="H333" s="405"/>
      <c r="I333" s="403"/>
      <c r="J333" s="403"/>
      <c r="K333" s="403"/>
      <c r="L333" s="403"/>
      <c r="M333" s="403"/>
      <c r="N333" s="403"/>
      <c r="O333" s="403"/>
      <c r="P333" s="403"/>
      <c r="Q333" s="403"/>
      <c r="R333" s="403"/>
      <c r="S333" s="403"/>
      <c r="T333" s="403"/>
      <c r="U333" s="403"/>
      <c r="V333" s="403"/>
      <c r="W333" s="404"/>
      <c r="X333" s="404"/>
      <c r="Y333" s="404"/>
      <c r="Z333" s="404"/>
      <c r="AA333" s="392"/>
      <c r="AB333" s="413"/>
      <c r="AC333" s="413"/>
      <c r="AD333" s="404"/>
      <c r="AE333" s="404"/>
      <c r="AF333" s="418"/>
      <c r="AG333" s="403"/>
      <c r="AH333" s="432"/>
      <c r="AI333" s="409"/>
      <c r="AJ333" s="410"/>
    </row>
    <row r="334">
      <c r="A334" s="402"/>
      <c r="B334" s="402"/>
      <c r="C334" s="403"/>
      <c r="D334" s="403"/>
      <c r="E334" s="431"/>
      <c r="F334" s="421"/>
      <c r="G334" s="410"/>
      <c r="H334" s="410"/>
      <c r="I334" s="421"/>
      <c r="J334" s="421"/>
      <c r="K334" s="421"/>
      <c r="L334" s="421"/>
      <c r="M334" s="421"/>
      <c r="N334" s="403"/>
      <c r="O334" s="421"/>
      <c r="P334" s="421"/>
      <c r="Q334" s="421"/>
      <c r="R334" s="421"/>
      <c r="S334" s="421"/>
      <c r="T334" s="421"/>
      <c r="U334" s="421"/>
      <c r="V334" s="421"/>
      <c r="W334" s="431"/>
      <c r="X334" s="431"/>
      <c r="Y334" s="431"/>
      <c r="Z334" s="431"/>
      <c r="AA334" s="409"/>
      <c r="AB334" s="413"/>
      <c r="AC334" s="443"/>
      <c r="AD334" s="431"/>
      <c r="AE334" s="431"/>
      <c r="AF334" s="418"/>
      <c r="AG334" s="403"/>
      <c r="AH334" s="432"/>
      <c r="AI334" s="409"/>
      <c r="AJ334" s="410"/>
    </row>
    <row r="335">
      <c r="A335" s="402"/>
      <c r="B335" s="402"/>
      <c r="C335" s="403"/>
      <c r="D335" s="403"/>
      <c r="E335" s="404"/>
      <c r="F335" s="403"/>
      <c r="G335" s="405"/>
      <c r="H335" s="405"/>
      <c r="I335" s="403"/>
      <c r="J335" s="403"/>
      <c r="K335" s="403"/>
      <c r="L335" s="403"/>
      <c r="M335" s="403"/>
      <c r="N335" s="403"/>
      <c r="O335" s="403"/>
      <c r="P335" s="403"/>
      <c r="Q335" s="403"/>
      <c r="R335" s="403"/>
      <c r="S335" s="403"/>
      <c r="T335" s="403"/>
      <c r="U335" s="403"/>
      <c r="V335" s="403"/>
      <c r="W335" s="404"/>
      <c r="X335" s="404"/>
      <c r="Y335" s="404"/>
      <c r="Z335" s="404"/>
      <c r="AA335" s="392"/>
      <c r="AB335" s="413"/>
      <c r="AC335" s="419"/>
      <c r="AD335" s="404"/>
      <c r="AE335" s="404"/>
      <c r="AF335" s="418"/>
      <c r="AG335" s="403"/>
      <c r="AH335" s="414"/>
      <c r="AI335" s="409"/>
      <c r="AJ335" s="410"/>
    </row>
    <row r="336">
      <c r="A336" s="402"/>
      <c r="B336" s="402"/>
      <c r="C336" s="403"/>
      <c r="D336" s="403"/>
      <c r="E336" s="404"/>
      <c r="F336" s="403"/>
      <c r="G336" s="405"/>
      <c r="H336" s="405"/>
      <c r="I336" s="403"/>
      <c r="J336" s="403"/>
      <c r="K336" s="403"/>
      <c r="L336" s="403"/>
      <c r="M336" s="403"/>
      <c r="N336" s="403"/>
      <c r="O336" s="403"/>
      <c r="P336" s="403"/>
      <c r="Q336" s="403"/>
      <c r="R336" s="403"/>
      <c r="S336" s="403"/>
      <c r="T336" s="403"/>
      <c r="U336" s="403"/>
      <c r="V336" s="403"/>
      <c r="W336" s="404"/>
      <c r="X336" s="404"/>
      <c r="Y336" s="404"/>
      <c r="Z336" s="404"/>
      <c r="AA336" s="392"/>
      <c r="AB336" s="413"/>
      <c r="AC336" s="419"/>
      <c r="AD336" s="404"/>
      <c r="AE336" s="404"/>
      <c r="AF336" s="418"/>
      <c r="AG336" s="403"/>
      <c r="AH336" s="403"/>
      <c r="AI336" s="409"/>
      <c r="AJ336" s="410"/>
    </row>
    <row r="337">
      <c r="A337" s="402"/>
      <c r="B337" s="402"/>
      <c r="C337" s="403"/>
      <c r="D337" s="403"/>
      <c r="E337" s="404"/>
      <c r="F337" s="403"/>
      <c r="G337" s="405"/>
      <c r="H337" s="405"/>
      <c r="I337" s="403"/>
      <c r="J337" s="403"/>
      <c r="K337" s="403"/>
      <c r="L337" s="403"/>
      <c r="M337" s="403"/>
      <c r="N337" s="403"/>
      <c r="O337" s="403"/>
      <c r="P337" s="403"/>
      <c r="Q337" s="403"/>
      <c r="R337" s="403"/>
      <c r="S337" s="403"/>
      <c r="T337" s="392"/>
      <c r="U337" s="403"/>
      <c r="V337" s="403"/>
      <c r="W337" s="404"/>
      <c r="X337" s="404"/>
      <c r="Y337" s="404"/>
      <c r="Z337" s="404"/>
      <c r="AA337" s="392"/>
      <c r="AB337" s="413"/>
      <c r="AC337" s="419"/>
      <c r="AD337" s="392"/>
      <c r="AE337" s="392"/>
      <c r="AF337" s="418"/>
      <c r="AG337" s="403"/>
      <c r="AH337" s="414"/>
      <c r="AI337" s="409"/>
      <c r="AJ337" s="410"/>
    </row>
    <row r="338">
      <c r="A338" s="402"/>
      <c r="B338" s="402"/>
      <c r="C338" s="403"/>
      <c r="D338" s="403"/>
      <c r="E338" s="404"/>
      <c r="F338" s="403"/>
      <c r="G338" s="405"/>
      <c r="H338" s="405"/>
      <c r="I338" s="403"/>
      <c r="J338" s="403"/>
      <c r="K338" s="403"/>
      <c r="L338" s="403"/>
      <c r="M338" s="403"/>
      <c r="N338" s="403"/>
      <c r="O338" s="403"/>
      <c r="P338" s="403"/>
      <c r="Q338" s="403"/>
      <c r="R338" s="403"/>
      <c r="S338" s="403"/>
      <c r="T338" s="403"/>
      <c r="U338" s="403"/>
      <c r="V338" s="403"/>
      <c r="W338" s="404"/>
      <c r="X338" s="404"/>
      <c r="Y338" s="404"/>
      <c r="Z338" s="404"/>
      <c r="AA338" s="392"/>
      <c r="AB338" s="413"/>
      <c r="AC338" s="419"/>
      <c r="AD338" s="404"/>
      <c r="AE338" s="404"/>
      <c r="AF338" s="418"/>
      <c r="AG338" s="403"/>
      <c r="AH338" s="403"/>
      <c r="AI338" s="409"/>
      <c r="AJ338" s="410"/>
    </row>
    <row r="339">
      <c r="A339" s="402"/>
      <c r="B339" s="402"/>
      <c r="C339" s="403"/>
      <c r="D339" s="403"/>
      <c r="E339" s="404"/>
      <c r="F339" s="403"/>
      <c r="G339" s="405"/>
      <c r="H339" s="405"/>
      <c r="I339" s="403"/>
      <c r="J339" s="403"/>
      <c r="K339" s="403"/>
      <c r="L339" s="403"/>
      <c r="M339" s="403"/>
      <c r="N339" s="403"/>
      <c r="O339" s="403"/>
      <c r="P339" s="403"/>
      <c r="Q339" s="403"/>
      <c r="R339" s="403"/>
      <c r="S339" s="403"/>
      <c r="T339" s="403"/>
      <c r="U339" s="403"/>
      <c r="V339" s="403"/>
      <c r="W339" s="404"/>
      <c r="X339" s="404"/>
      <c r="Y339" s="404"/>
      <c r="Z339" s="404"/>
      <c r="AA339" s="392"/>
      <c r="AB339" s="413"/>
      <c r="AC339" s="419"/>
      <c r="AD339" s="404"/>
      <c r="AE339" s="404"/>
      <c r="AF339" s="418"/>
      <c r="AG339" s="403"/>
      <c r="AH339" s="403"/>
      <c r="AI339" s="409"/>
      <c r="AJ339" s="410"/>
    </row>
    <row r="340">
      <c r="A340" s="402"/>
      <c r="B340" s="402"/>
      <c r="C340" s="403"/>
      <c r="D340" s="403"/>
      <c r="E340" s="404"/>
      <c r="F340" s="403"/>
      <c r="G340" s="405"/>
      <c r="H340" s="403"/>
      <c r="I340" s="403"/>
      <c r="J340" s="403"/>
      <c r="K340" s="403"/>
      <c r="L340" s="403"/>
      <c r="M340" s="403"/>
      <c r="N340" s="403"/>
      <c r="O340" s="403"/>
      <c r="P340" s="421"/>
      <c r="Q340" s="403"/>
      <c r="R340" s="403"/>
      <c r="S340" s="403"/>
      <c r="T340" s="403"/>
      <c r="U340" s="403"/>
      <c r="V340" s="421"/>
      <c r="W340" s="404"/>
      <c r="X340" s="404"/>
      <c r="Y340" s="404"/>
      <c r="Z340" s="404"/>
      <c r="AA340" s="392"/>
      <c r="AB340" s="413"/>
      <c r="AC340" s="392"/>
      <c r="AD340" s="404"/>
      <c r="AE340" s="404"/>
      <c r="AF340" s="418"/>
      <c r="AG340" s="403"/>
      <c r="AH340" s="414"/>
      <c r="AI340" s="409"/>
      <c r="AJ340" s="410"/>
    </row>
    <row r="341">
      <c r="A341" s="402"/>
      <c r="B341" s="402"/>
      <c r="C341" s="403"/>
      <c r="D341" s="403"/>
      <c r="E341" s="404"/>
      <c r="F341" s="403"/>
      <c r="G341" s="405"/>
      <c r="H341" s="405"/>
      <c r="I341" s="403"/>
      <c r="J341" s="403"/>
      <c r="K341" s="403"/>
      <c r="L341" s="403"/>
      <c r="M341" s="403"/>
      <c r="N341" s="403"/>
      <c r="O341" s="403"/>
      <c r="P341" s="403"/>
      <c r="Q341" s="403"/>
      <c r="R341" s="403"/>
      <c r="S341" s="403"/>
      <c r="T341" s="403"/>
      <c r="U341" s="403"/>
      <c r="V341" s="403"/>
      <c r="W341" s="404"/>
      <c r="X341" s="404"/>
      <c r="Y341" s="404"/>
      <c r="Z341" s="404"/>
      <c r="AA341" s="392"/>
      <c r="AB341" s="413"/>
      <c r="AC341" s="419"/>
      <c r="AD341" s="404"/>
      <c r="AE341" s="404"/>
      <c r="AF341" s="418"/>
      <c r="AG341" s="403"/>
      <c r="AH341" s="403"/>
      <c r="AI341" s="409"/>
      <c r="AJ341" s="410"/>
    </row>
    <row r="342">
      <c r="A342" s="402"/>
      <c r="B342" s="402"/>
      <c r="C342" s="403"/>
      <c r="D342" s="403"/>
      <c r="E342" s="404"/>
      <c r="F342" s="403"/>
      <c r="G342" s="405"/>
      <c r="H342" s="405"/>
      <c r="I342" s="403"/>
      <c r="J342" s="403"/>
      <c r="K342" s="403"/>
      <c r="L342" s="403"/>
      <c r="M342" s="403"/>
      <c r="N342" s="403"/>
      <c r="O342" s="403"/>
      <c r="P342" s="403"/>
      <c r="Q342" s="403"/>
      <c r="R342" s="403"/>
      <c r="S342" s="403"/>
      <c r="T342" s="403"/>
      <c r="U342" s="403"/>
      <c r="V342" s="403"/>
      <c r="W342" s="404"/>
      <c r="X342" s="404"/>
      <c r="Y342" s="404"/>
      <c r="Z342" s="404"/>
      <c r="AA342" s="392"/>
      <c r="AB342" s="413"/>
      <c r="AC342" s="419"/>
      <c r="AD342" s="404"/>
      <c r="AE342" s="404"/>
      <c r="AF342" s="418"/>
      <c r="AG342" s="403"/>
      <c r="AH342" s="414"/>
      <c r="AI342" s="409"/>
      <c r="AJ342" s="410"/>
    </row>
    <row r="343">
      <c r="A343" s="402"/>
      <c r="B343" s="402"/>
      <c r="C343" s="403"/>
      <c r="D343" s="403"/>
      <c r="E343" s="404"/>
      <c r="F343" s="403"/>
      <c r="G343" s="405"/>
      <c r="H343" s="405"/>
      <c r="I343" s="403"/>
      <c r="J343" s="403"/>
      <c r="K343" s="403"/>
      <c r="L343" s="403"/>
      <c r="M343" s="403"/>
      <c r="N343" s="403"/>
      <c r="O343" s="403"/>
      <c r="P343" s="403"/>
      <c r="Q343" s="403"/>
      <c r="R343" s="403"/>
      <c r="S343" s="405"/>
      <c r="T343" s="405"/>
      <c r="U343" s="403"/>
      <c r="V343" s="403"/>
      <c r="W343" s="404"/>
      <c r="X343" s="404"/>
      <c r="Y343" s="392"/>
      <c r="Z343" s="392"/>
      <c r="AA343" s="392"/>
      <c r="AB343" s="419"/>
      <c r="AC343" s="419"/>
      <c r="AD343" s="392"/>
      <c r="AE343" s="392"/>
      <c r="AF343" s="429"/>
      <c r="AG343" s="392"/>
      <c r="AH343" s="414"/>
      <c r="AI343" s="409"/>
      <c r="AJ343" s="410"/>
    </row>
    <row r="344">
      <c r="A344" s="422"/>
      <c r="B344" s="402"/>
      <c r="C344" s="405"/>
      <c r="D344" s="405"/>
      <c r="E344" s="415"/>
      <c r="F344" s="405"/>
      <c r="G344" s="405"/>
      <c r="H344" s="405"/>
      <c r="I344" s="405"/>
      <c r="J344" s="405"/>
      <c r="K344" s="405"/>
      <c r="L344" s="405"/>
      <c r="M344" s="405"/>
      <c r="N344" s="403"/>
      <c r="O344" s="405"/>
      <c r="P344" s="405"/>
      <c r="Q344" s="405"/>
      <c r="R344" s="405"/>
      <c r="S344" s="405"/>
      <c r="T344" s="405"/>
      <c r="U344" s="405"/>
      <c r="V344" s="405"/>
      <c r="W344" s="415"/>
      <c r="X344" s="415"/>
      <c r="Y344" s="415"/>
      <c r="Z344" s="415"/>
      <c r="AA344" s="411"/>
      <c r="AB344" s="423"/>
      <c r="AC344" s="424"/>
      <c r="AD344" s="415"/>
      <c r="AE344" s="415"/>
      <c r="AF344" s="407"/>
      <c r="AG344" s="405"/>
      <c r="AH344" s="405"/>
      <c r="AI344" s="426"/>
      <c r="AJ344" s="410"/>
    </row>
    <row r="345">
      <c r="A345" s="402"/>
      <c r="B345" s="402"/>
      <c r="C345" s="403"/>
      <c r="D345" s="405"/>
      <c r="E345" s="404"/>
      <c r="F345" s="403"/>
      <c r="G345" s="405"/>
      <c r="H345" s="403"/>
      <c r="I345" s="403"/>
      <c r="J345" s="403"/>
      <c r="K345" s="403"/>
      <c r="L345" s="403"/>
      <c r="M345" s="403"/>
      <c r="N345" s="403"/>
      <c r="O345" s="403"/>
      <c r="P345" s="403"/>
      <c r="Q345" s="403"/>
      <c r="R345" s="403"/>
      <c r="S345" s="403"/>
      <c r="T345" s="403"/>
      <c r="U345" s="403"/>
      <c r="V345" s="403"/>
      <c r="W345" s="404"/>
      <c r="X345" s="404"/>
      <c r="Y345" s="404"/>
      <c r="Z345" s="404"/>
      <c r="AA345" s="392"/>
      <c r="AB345" s="413"/>
      <c r="AC345" s="419"/>
      <c r="AD345" s="404"/>
      <c r="AE345" s="404"/>
      <c r="AF345" s="418"/>
      <c r="AG345" s="403"/>
      <c r="AH345" s="414"/>
      <c r="AI345" s="426"/>
      <c r="AJ345" s="410"/>
    </row>
    <row r="346">
      <c r="A346" s="402"/>
      <c r="B346" s="402"/>
      <c r="C346" s="403"/>
      <c r="D346" s="405"/>
      <c r="E346" s="404"/>
      <c r="F346" s="403"/>
      <c r="G346" s="403"/>
      <c r="H346" s="403"/>
      <c r="I346" s="403"/>
      <c r="J346" s="403"/>
      <c r="K346" s="403"/>
      <c r="L346" s="403"/>
      <c r="M346" s="403"/>
      <c r="N346" s="403"/>
      <c r="O346" s="403"/>
      <c r="P346" s="403"/>
      <c r="Q346" s="403"/>
      <c r="R346" s="403"/>
      <c r="S346" s="403"/>
      <c r="T346" s="403"/>
      <c r="U346" s="392"/>
      <c r="V346" s="403"/>
      <c r="W346" s="404"/>
      <c r="X346" s="404"/>
      <c r="Y346" s="404"/>
      <c r="Z346" s="404"/>
      <c r="AA346" s="392"/>
      <c r="AB346" s="413"/>
      <c r="AC346" s="419"/>
      <c r="AD346" s="404"/>
      <c r="AE346" s="404"/>
      <c r="AF346" s="418"/>
      <c r="AG346" s="403"/>
      <c r="AH346" s="405"/>
      <c r="AI346" s="426"/>
      <c r="AJ346" s="410"/>
    </row>
    <row r="347">
      <c r="A347" s="402"/>
      <c r="B347" s="402"/>
      <c r="C347" s="403"/>
      <c r="D347" s="405"/>
      <c r="E347" s="404"/>
      <c r="F347" s="392"/>
      <c r="G347" s="405"/>
      <c r="H347" s="403"/>
      <c r="I347" s="403"/>
      <c r="J347" s="403"/>
      <c r="K347" s="403"/>
      <c r="L347" s="403"/>
      <c r="M347" s="403"/>
      <c r="N347" s="403"/>
      <c r="O347" s="403"/>
      <c r="P347" s="403"/>
      <c r="Q347" s="403"/>
      <c r="R347" s="403"/>
      <c r="S347" s="403"/>
      <c r="T347" s="403"/>
      <c r="U347" s="403"/>
      <c r="V347" s="403"/>
      <c r="W347" s="404"/>
      <c r="X347" s="404"/>
      <c r="Y347" s="404"/>
      <c r="Z347" s="404"/>
      <c r="AA347" s="392"/>
      <c r="AB347" s="413"/>
      <c r="AC347" s="419"/>
      <c r="AD347" s="404"/>
      <c r="AE347" s="404"/>
      <c r="AF347" s="418"/>
      <c r="AG347" s="403"/>
      <c r="AH347" s="405"/>
      <c r="AI347" s="426"/>
      <c r="AJ347" s="410"/>
    </row>
    <row r="348">
      <c r="A348" s="402"/>
      <c r="B348" s="402"/>
      <c r="C348" s="403"/>
      <c r="D348" s="405"/>
      <c r="E348" s="404"/>
      <c r="F348" s="403"/>
      <c r="G348" s="403"/>
      <c r="H348" s="403"/>
      <c r="I348" s="403"/>
      <c r="J348" s="403"/>
      <c r="K348" s="403"/>
      <c r="L348" s="403"/>
      <c r="M348" s="403"/>
      <c r="N348" s="403"/>
      <c r="O348" s="403"/>
      <c r="P348" s="403"/>
      <c r="Q348" s="403"/>
      <c r="R348" s="403"/>
      <c r="S348" s="403"/>
      <c r="T348" s="403"/>
      <c r="U348" s="403"/>
      <c r="V348" s="403"/>
      <c r="W348" s="404"/>
      <c r="X348" s="404"/>
      <c r="Y348" s="404"/>
      <c r="Z348" s="404"/>
      <c r="AA348" s="392"/>
      <c r="AB348" s="413"/>
      <c r="AC348" s="419"/>
      <c r="AD348" s="404"/>
      <c r="AE348" s="404"/>
      <c r="AF348" s="418"/>
      <c r="AG348" s="403"/>
      <c r="AH348" s="405"/>
      <c r="AI348" s="426"/>
      <c r="AJ348" s="410"/>
    </row>
    <row r="349">
      <c r="A349" s="402"/>
      <c r="B349" s="402"/>
      <c r="C349" s="403"/>
      <c r="D349" s="405"/>
      <c r="E349" s="404"/>
      <c r="F349" s="403"/>
      <c r="G349" s="403"/>
      <c r="H349" s="403"/>
      <c r="I349" s="403"/>
      <c r="J349" s="403"/>
      <c r="K349" s="403"/>
      <c r="L349" s="403"/>
      <c r="M349" s="403"/>
      <c r="N349" s="403"/>
      <c r="O349" s="403"/>
      <c r="P349" s="403"/>
      <c r="Q349" s="403"/>
      <c r="R349" s="403"/>
      <c r="S349" s="403"/>
      <c r="T349" s="403"/>
      <c r="U349" s="403"/>
      <c r="V349" s="403"/>
      <c r="W349" s="404"/>
      <c r="X349" s="404"/>
      <c r="Y349" s="404"/>
      <c r="Z349" s="404"/>
      <c r="AA349" s="392"/>
      <c r="AB349" s="413"/>
      <c r="AC349" s="419"/>
      <c r="AD349" s="404"/>
      <c r="AE349" s="404"/>
      <c r="AF349" s="418"/>
      <c r="AG349" s="403"/>
      <c r="AH349" s="414"/>
      <c r="AI349" s="426"/>
      <c r="AJ349" s="410"/>
    </row>
    <row r="350">
      <c r="A350" s="403"/>
      <c r="B350" s="403"/>
      <c r="C350" s="403"/>
      <c r="D350" s="405"/>
      <c r="E350" s="403"/>
      <c r="F350" s="403"/>
      <c r="G350" s="403"/>
      <c r="H350" s="403"/>
      <c r="I350" s="403"/>
      <c r="J350" s="403"/>
      <c r="K350" s="403"/>
      <c r="L350" s="403"/>
      <c r="M350" s="403"/>
      <c r="N350" s="403"/>
      <c r="O350" s="403"/>
      <c r="P350" s="403"/>
      <c r="Q350" s="403"/>
      <c r="R350" s="403"/>
      <c r="S350" s="403"/>
      <c r="T350" s="403"/>
      <c r="U350" s="403"/>
      <c r="V350" s="403"/>
      <c r="W350" s="404"/>
      <c r="X350" s="404"/>
      <c r="Y350" s="404"/>
      <c r="Z350" s="404"/>
      <c r="AA350" s="392"/>
      <c r="AB350" s="413"/>
      <c r="AC350" s="413"/>
      <c r="AD350" s="404"/>
      <c r="AE350" s="404"/>
      <c r="AF350" s="403"/>
      <c r="AG350" s="403"/>
      <c r="AH350" s="414"/>
      <c r="AI350" s="426"/>
      <c r="AJ350" s="410"/>
    </row>
    <row r="351">
      <c r="A351" s="403"/>
      <c r="B351" s="403"/>
      <c r="C351" s="403"/>
      <c r="D351" s="405"/>
      <c r="E351" s="403"/>
      <c r="F351" s="403"/>
      <c r="G351" s="403"/>
      <c r="H351" s="403"/>
      <c r="I351" s="403"/>
      <c r="J351" s="403"/>
      <c r="K351" s="403"/>
      <c r="L351" s="403"/>
      <c r="M351" s="403"/>
      <c r="N351" s="403"/>
      <c r="O351" s="403"/>
      <c r="P351" s="403"/>
      <c r="Q351" s="403"/>
      <c r="R351" s="403"/>
      <c r="S351" s="403"/>
      <c r="T351" s="403"/>
      <c r="U351" s="403"/>
      <c r="V351" s="403"/>
      <c r="W351" s="404"/>
      <c r="X351" s="404"/>
      <c r="Y351" s="404"/>
      <c r="Z351" s="404"/>
      <c r="AA351" s="404"/>
      <c r="AB351" s="413"/>
      <c r="AC351" s="413"/>
      <c r="AD351" s="404"/>
      <c r="AE351" s="404"/>
      <c r="AF351" s="418"/>
      <c r="AG351" s="403"/>
      <c r="AH351" s="405"/>
      <c r="AI351" s="426"/>
      <c r="AJ351" s="410"/>
    </row>
    <row r="352">
      <c r="A352" s="403"/>
      <c r="B352" s="403"/>
      <c r="C352" s="403"/>
      <c r="D352" s="405"/>
      <c r="E352" s="403"/>
      <c r="F352" s="403"/>
      <c r="G352" s="403"/>
      <c r="H352" s="427"/>
      <c r="I352" s="403"/>
      <c r="J352" s="403"/>
      <c r="K352" s="403"/>
      <c r="L352" s="403"/>
      <c r="M352" s="403"/>
      <c r="N352" s="403"/>
      <c r="O352" s="403"/>
      <c r="P352" s="403"/>
      <c r="Q352" s="403"/>
      <c r="R352" s="403"/>
      <c r="S352" s="403"/>
      <c r="T352" s="403"/>
      <c r="U352" s="403"/>
      <c r="V352" s="392"/>
      <c r="W352" s="404"/>
      <c r="X352" s="404"/>
      <c r="Y352" s="404"/>
      <c r="Z352" s="404"/>
      <c r="AA352" s="392"/>
      <c r="AB352" s="413"/>
      <c r="AC352" s="419"/>
      <c r="AD352" s="404"/>
      <c r="AE352" s="404"/>
      <c r="AF352" s="403"/>
      <c r="AG352" s="403"/>
      <c r="AH352" s="414"/>
      <c r="AI352" s="426"/>
      <c r="AJ352" s="410"/>
    </row>
    <row r="353">
      <c r="A353" s="403"/>
      <c r="B353" s="403"/>
      <c r="C353" s="403"/>
      <c r="D353" s="405"/>
      <c r="E353" s="403"/>
      <c r="F353" s="403"/>
      <c r="G353" s="403"/>
      <c r="H353" s="403"/>
      <c r="I353" s="403"/>
      <c r="J353" s="403"/>
      <c r="K353" s="403"/>
      <c r="L353" s="403"/>
      <c r="M353" s="403"/>
      <c r="N353" s="403"/>
      <c r="O353" s="403"/>
      <c r="P353" s="403"/>
      <c r="Q353" s="403"/>
      <c r="R353" s="403"/>
      <c r="S353" s="403"/>
      <c r="T353" s="403"/>
      <c r="U353" s="403"/>
      <c r="V353" s="403"/>
      <c r="W353" s="404"/>
      <c r="X353" s="404"/>
      <c r="Y353" s="404"/>
      <c r="Z353" s="404"/>
      <c r="AA353" s="404"/>
      <c r="AB353" s="413"/>
      <c r="AC353" s="413"/>
      <c r="AD353" s="404"/>
      <c r="AE353" s="404"/>
      <c r="AF353" s="418"/>
      <c r="AG353" s="403"/>
      <c r="AH353" s="405"/>
      <c r="AI353" s="426"/>
      <c r="AJ353" s="410"/>
    </row>
    <row r="354">
      <c r="A354" s="403"/>
      <c r="B354" s="403"/>
      <c r="C354" s="403"/>
      <c r="D354" s="405"/>
      <c r="E354" s="403"/>
      <c r="F354" s="403"/>
      <c r="G354" s="403"/>
      <c r="H354" s="403"/>
      <c r="I354" s="403"/>
      <c r="J354" s="403"/>
      <c r="K354" s="403"/>
      <c r="L354" s="403"/>
      <c r="M354" s="403"/>
      <c r="N354" s="403"/>
      <c r="O354" s="403"/>
      <c r="P354" s="403"/>
      <c r="Q354" s="403"/>
      <c r="R354" s="403"/>
      <c r="S354" s="403"/>
      <c r="T354" s="403"/>
      <c r="U354" s="403"/>
      <c r="V354" s="403"/>
      <c r="W354" s="404"/>
      <c r="X354" s="404"/>
      <c r="Y354" s="404"/>
      <c r="Z354" s="404"/>
      <c r="AA354" s="392"/>
      <c r="AB354" s="413"/>
      <c r="AC354" s="428"/>
      <c r="AD354" s="404"/>
      <c r="AE354" s="404"/>
      <c r="AF354" s="403"/>
      <c r="AG354" s="403"/>
      <c r="AH354" s="414"/>
      <c r="AI354" s="426"/>
      <c r="AJ354" s="410"/>
    </row>
    <row r="355">
      <c r="A355" s="403"/>
      <c r="B355" s="403"/>
      <c r="C355" s="403"/>
      <c r="D355" s="405"/>
      <c r="E355" s="403"/>
      <c r="F355" s="403"/>
      <c r="G355" s="405"/>
      <c r="H355" s="403"/>
      <c r="I355" s="403"/>
      <c r="J355" s="403"/>
      <c r="K355" s="403"/>
      <c r="L355" s="403"/>
      <c r="M355" s="403"/>
      <c r="N355" s="403"/>
      <c r="O355" s="403"/>
      <c r="P355" s="403"/>
      <c r="Q355" s="403"/>
      <c r="R355" s="403"/>
      <c r="S355" s="403"/>
      <c r="T355" s="403"/>
      <c r="U355" s="403"/>
      <c r="V355" s="392"/>
      <c r="W355" s="404"/>
      <c r="X355" s="404"/>
      <c r="Y355" s="404"/>
      <c r="Z355" s="404"/>
      <c r="AA355" s="392"/>
      <c r="AB355" s="413"/>
      <c r="AC355" s="419"/>
      <c r="AD355" s="404"/>
      <c r="AE355" s="404"/>
      <c r="AF355" s="418"/>
      <c r="AG355" s="403"/>
      <c r="AH355" s="414"/>
      <c r="AI355" s="426"/>
      <c r="AJ355" s="410"/>
    </row>
    <row r="356">
      <c r="A356" s="403"/>
      <c r="B356" s="403"/>
      <c r="C356" s="403"/>
      <c r="D356" s="405"/>
      <c r="E356" s="403"/>
      <c r="F356" s="403"/>
      <c r="G356" s="403"/>
      <c r="H356" s="403"/>
      <c r="I356" s="403"/>
      <c r="J356" s="403"/>
      <c r="K356" s="403"/>
      <c r="L356" s="403"/>
      <c r="M356" s="403"/>
      <c r="N356" s="403"/>
      <c r="O356" s="403"/>
      <c r="P356" s="403"/>
      <c r="Q356" s="403"/>
      <c r="R356" s="403"/>
      <c r="S356" s="403"/>
      <c r="T356" s="403"/>
      <c r="U356" s="403"/>
      <c r="V356" s="403"/>
      <c r="W356" s="404"/>
      <c r="X356" s="404"/>
      <c r="Y356" s="404"/>
      <c r="Z356" s="404"/>
      <c r="AA356" s="403"/>
      <c r="AB356" s="413"/>
      <c r="AC356" s="413"/>
      <c r="AD356" s="404"/>
      <c r="AE356" s="404"/>
      <c r="AF356" s="418"/>
      <c r="AG356" s="403"/>
      <c r="AH356" s="405"/>
      <c r="AI356" s="426"/>
      <c r="AJ356" s="410"/>
    </row>
    <row r="357">
      <c r="A357" s="403"/>
      <c r="B357" s="403"/>
      <c r="C357" s="403"/>
      <c r="D357" s="405"/>
      <c r="E357" s="403"/>
      <c r="F357" s="403"/>
      <c r="G357" s="403"/>
      <c r="H357" s="403"/>
      <c r="I357" s="403"/>
      <c r="J357" s="403"/>
      <c r="K357" s="403"/>
      <c r="L357" s="403"/>
      <c r="M357" s="403"/>
      <c r="N357" s="403"/>
      <c r="O357" s="403"/>
      <c r="P357" s="403"/>
      <c r="Q357" s="403"/>
      <c r="R357" s="403"/>
      <c r="S357" s="403"/>
      <c r="T357" s="403"/>
      <c r="U357" s="403"/>
      <c r="V357" s="403"/>
      <c r="W357" s="404"/>
      <c r="X357" s="404"/>
      <c r="Y357" s="404"/>
      <c r="Z357" s="404"/>
      <c r="AA357" s="392"/>
      <c r="AB357" s="413"/>
      <c r="AC357" s="419"/>
      <c r="AD357" s="404"/>
      <c r="AE357" s="404"/>
      <c r="AF357" s="418"/>
      <c r="AG357" s="403"/>
      <c r="AH357" s="414"/>
      <c r="AI357" s="426"/>
      <c r="AJ357" s="410"/>
    </row>
    <row r="358">
      <c r="A358" s="403"/>
      <c r="B358" s="403"/>
      <c r="C358" s="403"/>
      <c r="D358" s="405"/>
      <c r="E358" s="403"/>
      <c r="F358" s="403"/>
      <c r="G358" s="403"/>
      <c r="H358" s="403"/>
      <c r="I358" s="403"/>
      <c r="J358" s="403"/>
      <c r="K358" s="403"/>
      <c r="L358" s="403"/>
      <c r="M358" s="403"/>
      <c r="N358" s="403"/>
      <c r="O358" s="403"/>
      <c r="P358" s="403"/>
      <c r="Q358" s="403"/>
      <c r="R358" s="403"/>
      <c r="S358" s="403"/>
      <c r="T358" s="403"/>
      <c r="U358" s="403"/>
      <c r="V358" s="403"/>
      <c r="W358" s="404"/>
      <c r="X358" s="404"/>
      <c r="Y358" s="404"/>
      <c r="Z358" s="404"/>
      <c r="AA358" s="392"/>
      <c r="AB358" s="413"/>
      <c r="AC358" s="419"/>
      <c r="AD358" s="404"/>
      <c r="AE358" s="404"/>
      <c r="AF358" s="418"/>
      <c r="AG358" s="403"/>
      <c r="AH358" s="414"/>
      <c r="AI358" s="426"/>
      <c r="AJ358" s="410"/>
    </row>
    <row r="359">
      <c r="A359" s="403"/>
      <c r="B359" s="403"/>
      <c r="C359" s="403"/>
      <c r="D359" s="405"/>
      <c r="E359" s="403"/>
      <c r="F359" s="403"/>
      <c r="G359" s="403"/>
      <c r="H359" s="403"/>
      <c r="I359" s="403"/>
      <c r="J359" s="403"/>
      <c r="K359" s="403"/>
      <c r="L359" s="403"/>
      <c r="M359" s="403"/>
      <c r="N359" s="403"/>
      <c r="O359" s="403"/>
      <c r="P359" s="403"/>
      <c r="Q359" s="403"/>
      <c r="R359" s="403"/>
      <c r="S359" s="403"/>
      <c r="T359" s="403"/>
      <c r="U359" s="403"/>
      <c r="V359" s="403"/>
      <c r="W359" s="404"/>
      <c r="X359" s="404"/>
      <c r="Y359" s="404"/>
      <c r="Z359" s="404"/>
      <c r="AA359" s="392"/>
      <c r="AB359" s="413"/>
      <c r="AC359" s="419"/>
      <c r="AD359" s="404"/>
      <c r="AE359" s="404"/>
      <c r="AF359" s="418"/>
      <c r="AG359" s="403"/>
      <c r="AH359" s="414"/>
      <c r="AI359" s="426"/>
      <c r="AJ359" s="410"/>
    </row>
    <row r="360">
      <c r="A360" s="403"/>
      <c r="B360" s="403"/>
      <c r="C360" s="403"/>
      <c r="D360" s="405"/>
      <c r="E360" s="403"/>
      <c r="F360" s="403"/>
      <c r="G360" s="403"/>
      <c r="H360" s="403"/>
      <c r="I360" s="403"/>
      <c r="J360" s="403"/>
      <c r="K360" s="403"/>
      <c r="L360" s="403"/>
      <c r="M360" s="403"/>
      <c r="N360" s="403"/>
      <c r="O360" s="403"/>
      <c r="P360" s="403"/>
      <c r="Q360" s="403"/>
      <c r="R360" s="403"/>
      <c r="S360" s="403"/>
      <c r="T360" s="403"/>
      <c r="U360" s="403"/>
      <c r="V360" s="403"/>
      <c r="W360" s="404"/>
      <c r="X360" s="404"/>
      <c r="Y360" s="404"/>
      <c r="Z360" s="404"/>
      <c r="AA360" s="392"/>
      <c r="AB360" s="413"/>
      <c r="AC360" s="413"/>
      <c r="AD360" s="404"/>
      <c r="AE360" s="404"/>
      <c r="AF360" s="418"/>
      <c r="AG360" s="403"/>
      <c r="AH360" s="414"/>
      <c r="AI360" s="426"/>
      <c r="AJ360" s="410"/>
    </row>
    <row r="361">
      <c r="A361" s="403"/>
      <c r="B361" s="403"/>
      <c r="C361" s="403"/>
      <c r="D361" s="405"/>
      <c r="E361" s="403"/>
      <c r="F361" s="403"/>
      <c r="G361" s="403"/>
      <c r="H361" s="403"/>
      <c r="I361" s="403"/>
      <c r="J361" s="403"/>
      <c r="K361" s="403"/>
      <c r="L361" s="403"/>
      <c r="M361" s="403"/>
      <c r="N361" s="403"/>
      <c r="O361" s="403"/>
      <c r="P361" s="403"/>
      <c r="Q361" s="403"/>
      <c r="R361" s="403"/>
      <c r="S361" s="403"/>
      <c r="T361" s="403"/>
      <c r="U361" s="403"/>
      <c r="V361" s="403"/>
      <c r="W361" s="404"/>
      <c r="X361" s="404"/>
      <c r="Y361" s="404"/>
      <c r="Z361" s="404"/>
      <c r="AA361" s="392"/>
      <c r="AB361" s="413"/>
      <c r="AC361" s="419"/>
      <c r="AD361" s="404"/>
      <c r="AE361" s="404"/>
      <c r="AF361" s="418"/>
      <c r="AG361" s="403"/>
      <c r="AH361" s="414"/>
      <c r="AI361" s="426"/>
      <c r="AJ361" s="410"/>
    </row>
    <row r="362">
      <c r="A362" s="403"/>
      <c r="B362" s="403"/>
      <c r="C362" s="403"/>
      <c r="D362" s="405"/>
      <c r="E362" s="403"/>
      <c r="F362" s="403"/>
      <c r="G362" s="403"/>
      <c r="H362" s="403"/>
      <c r="I362" s="403"/>
      <c r="J362" s="403"/>
      <c r="K362" s="403"/>
      <c r="L362" s="403"/>
      <c r="M362" s="403"/>
      <c r="N362" s="403"/>
      <c r="O362" s="403"/>
      <c r="P362" s="403"/>
      <c r="Q362" s="403"/>
      <c r="R362" s="403"/>
      <c r="S362" s="403"/>
      <c r="T362" s="403"/>
      <c r="U362" s="403"/>
      <c r="V362" s="403"/>
      <c r="W362" s="404"/>
      <c r="X362" s="404"/>
      <c r="Y362" s="404"/>
      <c r="Z362" s="404"/>
      <c r="AA362" s="392"/>
      <c r="AB362" s="413"/>
      <c r="AC362" s="413"/>
      <c r="AD362" s="404"/>
      <c r="AE362" s="404"/>
      <c r="AF362" s="418"/>
      <c r="AG362" s="403"/>
      <c r="AH362" s="414"/>
      <c r="AI362" s="426"/>
      <c r="AJ362" s="410"/>
    </row>
    <row r="363">
      <c r="A363" s="403"/>
      <c r="B363" s="403"/>
      <c r="C363" s="403"/>
      <c r="D363" s="405"/>
      <c r="E363" s="403"/>
      <c r="F363" s="403"/>
      <c r="G363" s="403"/>
      <c r="H363" s="403"/>
      <c r="I363" s="403"/>
      <c r="J363" s="403"/>
      <c r="K363" s="403"/>
      <c r="L363" s="403"/>
      <c r="M363" s="403"/>
      <c r="N363" s="403"/>
      <c r="O363" s="403"/>
      <c r="P363" s="403"/>
      <c r="Q363" s="403"/>
      <c r="R363" s="403"/>
      <c r="S363" s="403"/>
      <c r="T363" s="403"/>
      <c r="U363" s="403"/>
      <c r="V363" s="403"/>
      <c r="W363" s="404"/>
      <c r="X363" s="404"/>
      <c r="Y363" s="404"/>
      <c r="Z363" s="404"/>
      <c r="AA363" s="403"/>
      <c r="AB363" s="413"/>
      <c r="AC363" s="419"/>
      <c r="AD363" s="404"/>
      <c r="AE363" s="404"/>
      <c r="AF363" s="418"/>
      <c r="AG363" s="403"/>
      <c r="AH363" s="414"/>
      <c r="AI363" s="426"/>
      <c r="AJ363" s="410"/>
    </row>
    <row r="364">
      <c r="A364" s="403"/>
      <c r="B364" s="403"/>
      <c r="C364" s="403"/>
      <c r="D364" s="405"/>
      <c r="E364" s="403"/>
      <c r="F364" s="403"/>
      <c r="G364" s="403"/>
      <c r="H364" s="403"/>
      <c r="I364" s="403"/>
      <c r="J364" s="403"/>
      <c r="K364" s="403"/>
      <c r="L364" s="403"/>
      <c r="M364" s="403"/>
      <c r="N364" s="403"/>
      <c r="O364" s="403"/>
      <c r="P364" s="403"/>
      <c r="Q364" s="403"/>
      <c r="R364" s="403"/>
      <c r="S364" s="403"/>
      <c r="T364" s="403"/>
      <c r="U364" s="403"/>
      <c r="V364" s="403"/>
      <c r="W364" s="404"/>
      <c r="X364" s="404"/>
      <c r="Y364" s="404"/>
      <c r="Z364" s="404"/>
      <c r="AA364" s="392"/>
      <c r="AB364" s="413"/>
      <c r="AC364" s="413"/>
      <c r="AD364" s="404"/>
      <c r="AE364" s="404"/>
      <c r="AF364" s="418"/>
      <c r="AG364" s="403"/>
      <c r="AH364" s="414"/>
      <c r="AI364" s="426"/>
      <c r="AJ364" s="410"/>
    </row>
    <row r="365">
      <c r="A365" s="403"/>
      <c r="B365" s="403"/>
      <c r="C365" s="403"/>
      <c r="D365" s="405"/>
      <c r="E365" s="403"/>
      <c r="F365" s="403"/>
      <c r="G365" s="403"/>
      <c r="H365" s="403"/>
      <c r="I365" s="403"/>
      <c r="J365" s="403"/>
      <c r="K365" s="403"/>
      <c r="L365" s="403"/>
      <c r="M365" s="403"/>
      <c r="N365" s="403"/>
      <c r="O365" s="403"/>
      <c r="P365" s="403"/>
      <c r="Q365" s="403"/>
      <c r="R365" s="403"/>
      <c r="S365" s="403"/>
      <c r="T365" s="403"/>
      <c r="U365" s="403"/>
      <c r="V365" s="403"/>
      <c r="W365" s="404"/>
      <c r="X365" s="404"/>
      <c r="Y365" s="404"/>
      <c r="Z365" s="404"/>
      <c r="AA365" s="392"/>
      <c r="AB365" s="413"/>
      <c r="AC365" s="419"/>
      <c r="AD365" s="404"/>
      <c r="AE365" s="404"/>
      <c r="AF365" s="418"/>
      <c r="AG365" s="403"/>
      <c r="AH365" s="414"/>
      <c r="AI365" s="426"/>
      <c r="AJ365" s="410"/>
    </row>
    <row r="366">
      <c r="A366" s="403"/>
      <c r="B366" s="403"/>
      <c r="C366" s="403"/>
      <c r="D366" s="405"/>
      <c r="E366" s="403"/>
      <c r="F366" s="403"/>
      <c r="G366" s="403"/>
      <c r="H366" s="403"/>
      <c r="I366" s="403"/>
      <c r="J366" s="403"/>
      <c r="K366" s="403"/>
      <c r="L366" s="403"/>
      <c r="M366" s="403"/>
      <c r="N366" s="403"/>
      <c r="O366" s="403"/>
      <c r="P366" s="403"/>
      <c r="Q366" s="403"/>
      <c r="R366" s="403"/>
      <c r="S366" s="403"/>
      <c r="T366" s="403"/>
      <c r="U366" s="403"/>
      <c r="V366" s="403"/>
      <c r="W366" s="404"/>
      <c r="X366" s="404"/>
      <c r="Y366" s="404"/>
      <c r="Z366" s="404"/>
      <c r="AA366" s="392"/>
      <c r="AB366" s="413"/>
      <c r="AC366" s="419"/>
      <c r="AD366" s="392"/>
      <c r="AE366" s="392"/>
      <c r="AF366" s="429"/>
      <c r="AG366" s="392"/>
      <c r="AH366" s="414"/>
      <c r="AI366" s="426"/>
      <c r="AJ366" s="410"/>
    </row>
    <row r="367">
      <c r="A367" s="403"/>
      <c r="B367" s="403"/>
      <c r="C367" s="403"/>
      <c r="D367" s="405"/>
      <c r="E367" s="403"/>
      <c r="F367" s="403"/>
      <c r="G367" s="403"/>
      <c r="H367" s="403"/>
      <c r="I367" s="403"/>
      <c r="J367" s="403"/>
      <c r="K367" s="403"/>
      <c r="L367" s="403"/>
      <c r="M367" s="403"/>
      <c r="N367" s="403"/>
      <c r="O367" s="403"/>
      <c r="P367" s="403"/>
      <c r="Q367" s="403"/>
      <c r="R367" s="403"/>
      <c r="S367" s="403"/>
      <c r="T367" s="403"/>
      <c r="U367" s="403"/>
      <c r="V367" s="403"/>
      <c r="W367" s="404"/>
      <c r="X367" s="404"/>
      <c r="Y367" s="404"/>
      <c r="Z367" s="404"/>
      <c r="AA367" s="392"/>
      <c r="AB367" s="413"/>
      <c r="AC367" s="419"/>
      <c r="AD367" s="392"/>
      <c r="AE367" s="392"/>
      <c r="AF367" s="429"/>
      <c r="AG367" s="392"/>
      <c r="AH367" s="414"/>
      <c r="AI367" s="426"/>
      <c r="AJ367" s="410"/>
    </row>
    <row r="368">
      <c r="A368" s="403"/>
      <c r="B368" s="403"/>
      <c r="C368" s="403"/>
      <c r="D368" s="405"/>
      <c r="E368" s="403"/>
      <c r="F368" s="403"/>
      <c r="G368" s="403"/>
      <c r="H368" s="403"/>
      <c r="I368" s="403"/>
      <c r="J368" s="403"/>
      <c r="K368" s="403"/>
      <c r="L368" s="403"/>
      <c r="M368" s="403"/>
      <c r="N368" s="403"/>
      <c r="O368" s="403"/>
      <c r="P368" s="403"/>
      <c r="Q368" s="403"/>
      <c r="R368" s="403"/>
      <c r="S368" s="403"/>
      <c r="T368" s="403"/>
      <c r="U368" s="403"/>
      <c r="V368" s="403"/>
      <c r="W368" s="404"/>
      <c r="X368" s="404"/>
      <c r="Y368" s="404"/>
      <c r="Z368" s="404"/>
      <c r="AA368" s="392"/>
      <c r="AB368" s="413"/>
      <c r="AC368" s="419"/>
      <c r="AD368" s="392"/>
      <c r="AE368" s="392"/>
      <c r="AF368" s="429"/>
      <c r="AG368" s="392"/>
      <c r="AH368" s="414"/>
      <c r="AI368" s="426"/>
      <c r="AJ368" s="410"/>
    </row>
    <row r="369">
      <c r="A369" s="403"/>
      <c r="B369" s="403"/>
      <c r="C369" s="403"/>
      <c r="D369" s="405"/>
      <c r="E369" s="403"/>
      <c r="F369" s="403"/>
      <c r="G369" s="403"/>
      <c r="H369" s="403"/>
      <c r="I369" s="403"/>
      <c r="J369" s="403"/>
      <c r="K369" s="403"/>
      <c r="L369" s="403"/>
      <c r="M369" s="403"/>
      <c r="N369" s="403"/>
      <c r="O369" s="403"/>
      <c r="P369" s="403"/>
      <c r="Q369" s="403"/>
      <c r="R369" s="403"/>
      <c r="S369" s="403"/>
      <c r="T369" s="403"/>
      <c r="U369" s="403"/>
      <c r="V369" s="403"/>
      <c r="W369" s="404"/>
      <c r="X369" s="404"/>
      <c r="Y369" s="404"/>
      <c r="Z369" s="404"/>
      <c r="AA369" s="392"/>
      <c r="AB369" s="413"/>
      <c r="AC369" s="419"/>
      <c r="AD369" s="404"/>
      <c r="AE369" s="404"/>
      <c r="AF369" s="403"/>
      <c r="AG369" s="403"/>
      <c r="AH369" s="414"/>
      <c r="AI369" s="426"/>
      <c r="AJ369" s="410"/>
    </row>
    <row r="370">
      <c r="A370" s="403"/>
      <c r="B370" s="403"/>
      <c r="C370" s="403"/>
      <c r="D370" s="405"/>
      <c r="E370" s="403"/>
      <c r="F370" s="403"/>
      <c r="G370" s="403"/>
      <c r="H370" s="403"/>
      <c r="I370" s="403"/>
      <c r="J370" s="403"/>
      <c r="K370" s="403"/>
      <c r="L370" s="403"/>
      <c r="M370" s="403"/>
      <c r="N370" s="403"/>
      <c r="O370" s="403"/>
      <c r="P370" s="403"/>
      <c r="Q370" s="403"/>
      <c r="R370" s="403"/>
      <c r="S370" s="403"/>
      <c r="T370" s="403"/>
      <c r="U370" s="403"/>
      <c r="V370" s="403"/>
      <c r="W370" s="404"/>
      <c r="X370" s="404"/>
      <c r="Y370" s="404"/>
      <c r="Z370" s="404"/>
      <c r="AA370" s="392"/>
      <c r="AB370" s="413"/>
      <c r="AC370" s="419"/>
      <c r="AD370" s="404"/>
      <c r="AE370" s="404"/>
      <c r="AF370" s="403"/>
      <c r="AG370" s="403"/>
      <c r="AH370" s="414"/>
      <c r="AI370" s="426"/>
      <c r="AJ370" s="410"/>
    </row>
    <row r="371">
      <c r="A371" s="403"/>
      <c r="B371" s="403"/>
      <c r="C371" s="403"/>
      <c r="D371" s="405"/>
      <c r="E371" s="403"/>
      <c r="F371" s="403"/>
      <c r="G371" s="403"/>
      <c r="H371" s="403"/>
      <c r="I371" s="403"/>
      <c r="J371" s="403"/>
      <c r="K371" s="403"/>
      <c r="L371" s="403"/>
      <c r="M371" s="403"/>
      <c r="N371" s="403"/>
      <c r="O371" s="403"/>
      <c r="P371" s="403"/>
      <c r="Q371" s="403"/>
      <c r="R371" s="403"/>
      <c r="S371" s="380"/>
      <c r="T371" s="403"/>
      <c r="U371" s="403"/>
      <c r="V371" s="403"/>
      <c r="W371" s="404"/>
      <c r="X371" s="404"/>
      <c r="Y371" s="404"/>
      <c r="Z371" s="404"/>
      <c r="AA371" s="392"/>
      <c r="AB371" s="413"/>
      <c r="AC371" s="419"/>
      <c r="AD371" s="404"/>
      <c r="AE371" s="404"/>
      <c r="AF371" s="418"/>
      <c r="AG371" s="403"/>
      <c r="AH371" s="414"/>
      <c r="AI371" s="426"/>
      <c r="AJ371" s="410"/>
    </row>
    <row r="372">
      <c r="A372" s="403"/>
      <c r="B372" s="403"/>
      <c r="C372" s="403"/>
      <c r="D372" s="403"/>
      <c r="E372" s="403"/>
      <c r="F372" s="403"/>
      <c r="G372" s="403"/>
      <c r="H372" s="403"/>
      <c r="I372" s="403"/>
      <c r="J372" s="403"/>
      <c r="K372" s="403"/>
      <c r="L372" s="403"/>
      <c r="M372" s="403"/>
      <c r="N372" s="403"/>
      <c r="O372" s="403"/>
      <c r="P372" s="403"/>
      <c r="Q372" s="403"/>
      <c r="R372" s="403"/>
      <c r="S372" s="403"/>
      <c r="T372" s="403"/>
      <c r="U372" s="403"/>
      <c r="V372" s="403"/>
      <c r="W372" s="404"/>
      <c r="X372" s="404"/>
      <c r="Y372" s="404"/>
      <c r="Z372" s="404"/>
      <c r="AA372" s="392"/>
      <c r="AB372" s="413"/>
      <c r="AC372" s="419"/>
      <c r="AD372" s="404"/>
      <c r="AE372" s="404"/>
      <c r="AF372" s="418"/>
      <c r="AG372" s="403"/>
      <c r="AH372" s="414"/>
      <c r="AI372" s="410"/>
      <c r="AJ372" s="410"/>
    </row>
    <row r="373">
      <c r="A373" s="403"/>
      <c r="B373" s="403"/>
      <c r="C373" s="403"/>
      <c r="D373" s="405"/>
      <c r="E373" s="403"/>
      <c r="F373" s="403"/>
      <c r="G373" s="403"/>
      <c r="H373" s="403"/>
      <c r="I373" s="403"/>
      <c r="J373" s="403"/>
      <c r="K373" s="403"/>
      <c r="L373" s="403"/>
      <c r="M373" s="403"/>
      <c r="N373" s="403"/>
      <c r="O373" s="392"/>
      <c r="P373" s="403"/>
      <c r="Q373" s="403"/>
      <c r="R373" s="403"/>
      <c r="S373" s="403"/>
      <c r="T373" s="403"/>
      <c r="U373" s="389"/>
      <c r="V373" s="380"/>
      <c r="W373" s="404"/>
      <c r="X373" s="404"/>
      <c r="Y373" s="404"/>
      <c r="Z373" s="404"/>
      <c r="AA373" s="392"/>
      <c r="AB373" s="413"/>
      <c r="AC373" s="413"/>
      <c r="AD373" s="404"/>
      <c r="AE373" s="404"/>
      <c r="AF373" s="418"/>
      <c r="AG373" s="403"/>
      <c r="AH373" s="414"/>
      <c r="AI373" s="410"/>
      <c r="AJ373" s="410"/>
    </row>
    <row r="374">
      <c r="A374" s="403"/>
      <c r="B374" s="403"/>
      <c r="C374" s="403"/>
      <c r="D374" s="405"/>
      <c r="E374" s="403"/>
      <c r="F374" s="403"/>
      <c r="G374" s="403"/>
      <c r="H374" s="403"/>
      <c r="I374" s="403"/>
      <c r="J374" s="403"/>
      <c r="K374" s="403"/>
      <c r="L374" s="403"/>
      <c r="M374" s="403"/>
      <c r="N374" s="403"/>
      <c r="O374" s="403"/>
      <c r="P374" s="403"/>
      <c r="Q374" s="403"/>
      <c r="R374" s="403"/>
      <c r="S374" s="380"/>
      <c r="T374" s="403"/>
      <c r="U374" s="403"/>
      <c r="V374" s="403"/>
      <c r="W374" s="404"/>
      <c r="X374" s="404"/>
      <c r="Y374" s="404"/>
      <c r="Z374" s="404"/>
      <c r="AA374" s="392"/>
      <c r="AB374" s="413"/>
      <c r="AC374" s="419"/>
      <c r="AD374" s="404"/>
      <c r="AE374" s="404"/>
      <c r="AF374" s="418"/>
      <c r="AG374" s="403"/>
      <c r="AH374" s="414"/>
      <c r="AI374" s="410"/>
      <c r="AJ374" s="410"/>
    </row>
    <row r="375">
      <c r="A375" s="403"/>
      <c r="B375" s="403"/>
      <c r="C375" s="403"/>
      <c r="D375" s="405"/>
      <c r="E375" s="403"/>
      <c r="F375" s="403"/>
      <c r="G375" s="403"/>
      <c r="H375" s="403"/>
      <c r="I375" s="403"/>
      <c r="J375" s="403"/>
      <c r="K375" s="403"/>
      <c r="L375" s="403"/>
      <c r="M375" s="403"/>
      <c r="N375" s="403"/>
      <c r="O375" s="403"/>
      <c r="P375" s="403"/>
      <c r="Q375" s="403"/>
      <c r="R375" s="403"/>
      <c r="S375" s="403"/>
      <c r="T375" s="403"/>
      <c r="U375" s="403"/>
      <c r="V375" s="403"/>
      <c r="W375" s="404"/>
      <c r="X375" s="404"/>
      <c r="Y375" s="404"/>
      <c r="Z375" s="404"/>
      <c r="AA375" s="392"/>
      <c r="AB375" s="413"/>
      <c r="AC375" s="419"/>
      <c r="AD375" s="404"/>
      <c r="AE375" s="404"/>
      <c r="AF375" s="418"/>
      <c r="AG375" s="403"/>
      <c r="AH375" s="414"/>
      <c r="AI375" s="410"/>
      <c r="AJ375" s="410"/>
    </row>
    <row r="376">
      <c r="A376" s="403"/>
      <c r="B376" s="403"/>
      <c r="C376" s="403"/>
      <c r="D376" s="405"/>
      <c r="E376" s="403"/>
      <c r="F376" s="403"/>
      <c r="G376" s="403"/>
      <c r="H376" s="403"/>
      <c r="I376" s="403"/>
      <c r="J376" s="403"/>
      <c r="K376" s="403"/>
      <c r="L376" s="403"/>
      <c r="M376" s="403"/>
      <c r="N376" s="403"/>
      <c r="O376" s="403"/>
      <c r="P376" s="403"/>
      <c r="Q376" s="403"/>
      <c r="R376" s="403"/>
      <c r="S376" s="403"/>
      <c r="T376" s="403"/>
      <c r="U376" s="403"/>
      <c r="V376" s="403"/>
      <c r="W376" s="404"/>
      <c r="X376" s="404"/>
      <c r="Y376" s="404"/>
      <c r="Z376" s="404"/>
      <c r="AA376" s="392"/>
      <c r="AB376" s="413"/>
      <c r="AC376" s="419"/>
      <c r="AD376" s="404"/>
      <c r="AE376" s="404"/>
      <c r="AF376" s="418"/>
      <c r="AG376" s="403"/>
      <c r="AH376" s="414"/>
      <c r="AI376" s="410"/>
      <c r="AJ376" s="410"/>
    </row>
    <row r="377">
      <c r="A377" s="403"/>
      <c r="B377" s="403"/>
      <c r="C377" s="403"/>
      <c r="D377" s="405"/>
      <c r="E377" s="403"/>
      <c r="F377" s="403"/>
      <c r="G377" s="403"/>
      <c r="H377" s="403"/>
      <c r="I377" s="403"/>
      <c r="J377" s="403"/>
      <c r="K377" s="403"/>
      <c r="L377" s="403"/>
      <c r="M377" s="403"/>
      <c r="N377" s="403"/>
      <c r="O377" s="403"/>
      <c r="P377" s="403"/>
      <c r="Q377" s="403"/>
      <c r="R377" s="403"/>
      <c r="S377" s="403"/>
      <c r="T377" s="403"/>
      <c r="U377" s="403"/>
      <c r="V377" s="392"/>
      <c r="W377" s="404"/>
      <c r="X377" s="404"/>
      <c r="Y377" s="404"/>
      <c r="Z377" s="404"/>
      <c r="AA377" s="392"/>
      <c r="AB377" s="413"/>
      <c r="AC377" s="419"/>
      <c r="AD377" s="404"/>
      <c r="AE377" s="404"/>
      <c r="AF377" s="418"/>
      <c r="AG377" s="403"/>
      <c r="AH377" s="414"/>
      <c r="AI377" s="410"/>
      <c r="AJ377" s="410"/>
    </row>
    <row r="378">
      <c r="A378" s="403"/>
      <c r="B378" s="403"/>
      <c r="C378" s="403"/>
      <c r="D378" s="405"/>
      <c r="E378" s="403"/>
      <c r="F378" s="403"/>
      <c r="G378" s="403"/>
      <c r="H378" s="403"/>
      <c r="I378" s="403"/>
      <c r="J378" s="403"/>
      <c r="K378" s="403"/>
      <c r="L378" s="403"/>
      <c r="M378" s="403"/>
      <c r="N378" s="403"/>
      <c r="O378" s="403"/>
      <c r="P378" s="403"/>
      <c r="Q378" s="403"/>
      <c r="R378" s="403"/>
      <c r="S378" s="403"/>
      <c r="T378" s="403"/>
      <c r="U378" s="403"/>
      <c r="V378" s="403"/>
      <c r="W378" s="404"/>
      <c r="X378" s="404"/>
      <c r="Y378" s="404"/>
      <c r="Z378" s="404"/>
      <c r="AA378" s="404"/>
      <c r="AB378" s="413"/>
      <c r="AC378" s="413"/>
      <c r="AD378" s="404"/>
      <c r="AE378" s="404"/>
      <c r="AF378" s="418"/>
      <c r="AG378" s="403"/>
      <c r="AH378" s="405"/>
      <c r="AI378" s="410"/>
      <c r="AJ378" s="410"/>
    </row>
    <row r="379">
      <c r="A379" s="403"/>
      <c r="B379" s="403"/>
      <c r="C379" s="403"/>
      <c r="D379" s="405"/>
      <c r="E379" s="403"/>
      <c r="F379" s="403"/>
      <c r="G379" s="403"/>
      <c r="H379" s="403"/>
      <c r="I379" s="403"/>
      <c r="J379" s="403"/>
      <c r="K379" s="403"/>
      <c r="L379" s="403"/>
      <c r="M379" s="403"/>
      <c r="N379" s="403"/>
      <c r="O379" s="403"/>
      <c r="P379" s="403"/>
      <c r="Q379" s="403"/>
      <c r="R379" s="430"/>
      <c r="S379" s="403"/>
      <c r="T379" s="403"/>
      <c r="U379" s="403"/>
      <c r="V379" s="403"/>
      <c r="W379" s="404"/>
      <c r="X379" s="404"/>
      <c r="Y379" s="404"/>
      <c r="Z379" s="404"/>
      <c r="AA379" s="392"/>
      <c r="AB379" s="413"/>
      <c r="AC379" s="419"/>
      <c r="AD379" s="404"/>
      <c r="AE379" s="404"/>
      <c r="AF379" s="418"/>
      <c r="AG379" s="403"/>
      <c r="AH379" s="414"/>
      <c r="AI379" s="410"/>
      <c r="AJ379" s="410"/>
    </row>
    <row r="380">
      <c r="A380" s="403"/>
      <c r="B380" s="403"/>
      <c r="C380" s="403"/>
      <c r="D380" s="405"/>
      <c r="E380" s="403"/>
      <c r="F380" s="403"/>
      <c r="G380" s="403"/>
      <c r="H380" s="403"/>
      <c r="I380" s="403"/>
      <c r="J380" s="403"/>
      <c r="K380" s="403"/>
      <c r="L380" s="403"/>
      <c r="M380" s="403"/>
      <c r="N380" s="403"/>
      <c r="O380" s="403"/>
      <c r="P380" s="403"/>
      <c r="Q380" s="403"/>
      <c r="R380" s="403"/>
      <c r="S380" s="403"/>
      <c r="T380" s="403"/>
      <c r="U380" s="403"/>
      <c r="V380" s="403"/>
      <c r="W380" s="404"/>
      <c r="X380" s="404"/>
      <c r="Y380" s="404"/>
      <c r="Z380" s="404"/>
      <c r="AA380" s="392"/>
      <c r="AB380" s="413"/>
      <c r="AC380" s="419"/>
      <c r="AD380" s="404"/>
      <c r="AE380" s="404"/>
      <c r="AF380" s="418"/>
      <c r="AG380" s="403"/>
      <c r="AH380" s="414"/>
      <c r="AI380" s="410"/>
      <c r="AJ380" s="410"/>
    </row>
    <row r="381">
      <c r="A381" s="403"/>
      <c r="B381" s="403"/>
      <c r="C381" s="403"/>
      <c r="D381" s="405"/>
      <c r="E381" s="403"/>
      <c r="F381" s="403"/>
      <c r="G381" s="392"/>
      <c r="H381" s="403"/>
      <c r="I381" s="403"/>
      <c r="J381" s="403"/>
      <c r="K381" s="403"/>
      <c r="L381" s="403"/>
      <c r="M381" s="403"/>
      <c r="N381" s="403"/>
      <c r="O381" s="403"/>
      <c r="P381" s="403"/>
      <c r="Q381" s="403"/>
      <c r="R381" s="403"/>
      <c r="S381" s="403"/>
      <c r="T381" s="403"/>
      <c r="U381" s="403"/>
      <c r="V381" s="403"/>
      <c r="W381" s="404"/>
      <c r="X381" s="404"/>
      <c r="Y381" s="404"/>
      <c r="Z381" s="404"/>
      <c r="AA381" s="392"/>
      <c r="AB381" s="413"/>
      <c r="AC381" s="419"/>
      <c r="AD381" s="404"/>
      <c r="AE381" s="404"/>
      <c r="AF381" s="418"/>
      <c r="AG381" s="403"/>
      <c r="AH381" s="414"/>
      <c r="AI381" s="410"/>
      <c r="AJ381" s="410"/>
    </row>
    <row r="382">
      <c r="A382" s="403"/>
      <c r="B382" s="403"/>
      <c r="C382" s="403"/>
      <c r="D382" s="405"/>
      <c r="E382" s="403"/>
      <c r="F382" s="403"/>
      <c r="G382" s="403"/>
      <c r="H382" s="403"/>
      <c r="I382" s="403"/>
      <c r="J382" s="403"/>
      <c r="K382" s="403"/>
      <c r="L382" s="403"/>
      <c r="M382" s="403"/>
      <c r="N382" s="403"/>
      <c r="O382" s="403"/>
      <c r="P382" s="403"/>
      <c r="Q382" s="392"/>
      <c r="R382" s="403"/>
      <c r="S382" s="403"/>
      <c r="T382" s="403"/>
      <c r="U382" s="403"/>
      <c r="V382" s="403"/>
      <c r="W382" s="404"/>
      <c r="X382" s="404"/>
      <c r="Y382" s="404"/>
      <c r="Z382" s="404"/>
      <c r="AA382" s="392"/>
      <c r="AB382" s="413"/>
      <c r="AC382" s="419"/>
      <c r="AD382" s="404"/>
      <c r="AE382" s="404"/>
      <c r="AF382" s="418"/>
      <c r="AG382" s="403"/>
      <c r="AH382" s="414"/>
      <c r="AI382" s="410"/>
      <c r="AJ382" s="410"/>
    </row>
    <row r="383">
      <c r="A383" s="403"/>
      <c r="B383" s="403"/>
      <c r="C383" s="403"/>
      <c r="D383" s="405"/>
      <c r="E383" s="403"/>
      <c r="F383" s="403"/>
      <c r="G383" s="403"/>
      <c r="H383" s="403"/>
      <c r="I383" s="403"/>
      <c r="J383" s="403"/>
      <c r="K383" s="403"/>
      <c r="L383" s="403"/>
      <c r="M383" s="403"/>
      <c r="N383" s="392"/>
      <c r="O383" s="403"/>
      <c r="P383" s="403"/>
      <c r="Q383" s="403"/>
      <c r="R383" s="403"/>
      <c r="S383" s="403"/>
      <c r="T383" s="403"/>
      <c r="U383" s="403"/>
      <c r="V383" s="403"/>
      <c r="W383" s="404"/>
      <c r="X383" s="404"/>
      <c r="Y383" s="404"/>
      <c r="Z383" s="404"/>
      <c r="AA383" s="392"/>
      <c r="AB383" s="406"/>
      <c r="AC383" s="419"/>
      <c r="AD383" s="404"/>
      <c r="AE383" s="404"/>
      <c r="AF383" s="418"/>
      <c r="AG383" s="403"/>
      <c r="AH383" s="414"/>
      <c r="AI383" s="410"/>
      <c r="AJ383" s="410"/>
    </row>
    <row r="384">
      <c r="A384" s="403"/>
      <c r="B384" s="403"/>
      <c r="C384" s="403"/>
      <c r="D384" s="405"/>
      <c r="E384" s="403"/>
      <c r="F384" s="403"/>
      <c r="G384" s="403"/>
      <c r="H384" s="403"/>
      <c r="I384" s="403"/>
      <c r="J384" s="403"/>
      <c r="K384" s="403"/>
      <c r="L384" s="403"/>
      <c r="M384" s="403"/>
      <c r="N384" s="403"/>
      <c r="O384" s="403"/>
      <c r="P384" s="403"/>
      <c r="Q384" s="403"/>
      <c r="R384" s="403"/>
      <c r="S384" s="403"/>
      <c r="T384" s="403"/>
      <c r="U384" s="403"/>
      <c r="V384" s="403"/>
      <c r="W384" s="404"/>
      <c r="X384" s="404"/>
      <c r="Y384" s="404"/>
      <c r="Z384" s="404"/>
      <c r="AA384" s="392"/>
      <c r="AB384" s="413"/>
      <c r="AC384" s="419"/>
      <c r="AD384" s="404"/>
      <c r="AE384" s="404"/>
      <c r="AF384" s="418"/>
      <c r="AG384" s="403"/>
      <c r="AH384" s="414"/>
      <c r="AI384" s="410"/>
      <c r="AJ384" s="410"/>
    </row>
    <row r="385">
      <c r="A385" s="403"/>
      <c r="B385" s="403"/>
      <c r="C385" s="403"/>
      <c r="D385" s="405"/>
      <c r="E385" s="403"/>
      <c r="F385" s="403"/>
      <c r="G385" s="403"/>
      <c r="H385" s="403"/>
      <c r="I385" s="403"/>
      <c r="J385" s="403"/>
      <c r="K385" s="403"/>
      <c r="L385" s="403"/>
      <c r="M385" s="403"/>
      <c r="N385" s="403"/>
      <c r="O385" s="403"/>
      <c r="P385" s="403"/>
      <c r="Q385" s="403"/>
      <c r="R385" s="403"/>
      <c r="S385" s="403"/>
      <c r="T385" s="403"/>
      <c r="U385" s="403"/>
      <c r="V385" s="403"/>
      <c r="W385" s="404"/>
      <c r="X385" s="404"/>
      <c r="Y385" s="404"/>
      <c r="Z385" s="404"/>
      <c r="AA385" s="392"/>
      <c r="AB385" s="413"/>
      <c r="AC385" s="419"/>
      <c r="AD385" s="404"/>
      <c r="AE385" s="404"/>
      <c r="AF385" s="418"/>
      <c r="AG385" s="403"/>
      <c r="AH385" s="414"/>
      <c r="AI385" s="421"/>
      <c r="AJ385" s="410"/>
    </row>
    <row r="386">
      <c r="A386" s="403"/>
      <c r="B386" s="403"/>
      <c r="C386" s="403"/>
      <c r="D386" s="405"/>
      <c r="E386" s="403"/>
      <c r="F386" s="403"/>
      <c r="G386" s="403"/>
      <c r="H386" s="403"/>
      <c r="I386" s="403"/>
      <c r="J386" s="403"/>
      <c r="K386" s="403"/>
      <c r="L386" s="403"/>
      <c r="M386" s="403"/>
      <c r="N386" s="403"/>
      <c r="O386" s="403"/>
      <c r="P386" s="403"/>
      <c r="Q386" s="403"/>
      <c r="R386" s="403"/>
      <c r="S386" s="403"/>
      <c r="T386" s="403"/>
      <c r="U386" s="403"/>
      <c r="V386" s="403"/>
      <c r="W386" s="404"/>
      <c r="X386" s="404"/>
      <c r="Y386" s="404"/>
      <c r="Z386" s="404"/>
      <c r="AA386" s="392"/>
      <c r="AB386" s="413"/>
      <c r="AC386" s="419"/>
      <c r="AD386" s="404"/>
      <c r="AE386" s="404"/>
      <c r="AF386" s="418"/>
      <c r="AG386" s="403"/>
      <c r="AH386" s="405"/>
      <c r="AI386" s="421"/>
      <c r="AJ386" s="410"/>
    </row>
    <row r="387">
      <c r="A387" s="403"/>
      <c r="B387" s="403"/>
      <c r="C387" s="403"/>
      <c r="D387" s="405"/>
      <c r="E387" s="403"/>
      <c r="F387" s="403"/>
      <c r="G387" s="403"/>
      <c r="H387" s="403"/>
      <c r="I387" s="403"/>
      <c r="J387" s="403"/>
      <c r="K387" s="403"/>
      <c r="L387" s="403"/>
      <c r="M387" s="403"/>
      <c r="N387" s="403"/>
      <c r="O387" s="403"/>
      <c r="P387" s="403"/>
      <c r="Q387" s="403"/>
      <c r="R387" s="403"/>
      <c r="S387" s="403"/>
      <c r="T387" s="403"/>
      <c r="U387" s="403"/>
      <c r="V387" s="403"/>
      <c r="W387" s="404"/>
      <c r="X387" s="404"/>
      <c r="Y387" s="404"/>
      <c r="Z387" s="404"/>
      <c r="AA387" s="392"/>
      <c r="AB387" s="413"/>
      <c r="AC387" s="419"/>
      <c r="AD387" s="404"/>
      <c r="AE387" s="404"/>
      <c r="AF387" s="418"/>
      <c r="AG387" s="403"/>
      <c r="AH387" s="405"/>
      <c r="AI387" s="421"/>
      <c r="AJ387" s="410"/>
    </row>
    <row r="388">
      <c r="A388" s="403"/>
      <c r="B388" s="403"/>
      <c r="C388" s="403"/>
      <c r="D388" s="405"/>
      <c r="E388" s="403"/>
      <c r="F388" s="403"/>
      <c r="G388" s="403"/>
      <c r="H388" s="403"/>
      <c r="I388" s="403"/>
      <c r="J388" s="403"/>
      <c r="K388" s="403"/>
      <c r="L388" s="403"/>
      <c r="M388" s="403"/>
      <c r="N388" s="403"/>
      <c r="O388" s="403"/>
      <c r="P388" s="403"/>
      <c r="Q388" s="403"/>
      <c r="R388" s="403"/>
      <c r="S388" s="403"/>
      <c r="T388" s="403"/>
      <c r="U388" s="392"/>
      <c r="V388" s="392"/>
      <c r="W388" s="404"/>
      <c r="X388" s="404"/>
      <c r="Y388" s="404"/>
      <c r="Z388" s="404"/>
      <c r="AA388" s="392"/>
      <c r="AB388" s="413"/>
      <c r="AC388" s="419"/>
      <c r="AD388" s="404"/>
      <c r="AE388" s="404"/>
      <c r="AF388" s="418"/>
      <c r="AG388" s="403"/>
      <c r="AH388" s="414"/>
      <c r="AI388" s="410"/>
      <c r="AJ388" s="410"/>
    </row>
    <row r="389">
      <c r="A389" s="403"/>
      <c r="B389" s="403"/>
      <c r="C389" s="403"/>
      <c r="D389" s="405"/>
      <c r="E389" s="403"/>
      <c r="F389" s="403"/>
      <c r="G389" s="403"/>
      <c r="H389" s="403"/>
      <c r="I389" s="403"/>
      <c r="J389" s="403"/>
      <c r="K389" s="403"/>
      <c r="L389" s="403"/>
      <c r="M389" s="403"/>
      <c r="N389" s="403"/>
      <c r="O389" s="403"/>
      <c r="P389" s="403"/>
      <c r="Q389" s="403"/>
      <c r="R389" s="403"/>
      <c r="S389" s="403"/>
      <c r="T389" s="403"/>
      <c r="U389" s="403"/>
      <c r="V389" s="392"/>
      <c r="W389" s="404"/>
      <c r="X389" s="404"/>
      <c r="Y389" s="404"/>
      <c r="Z389" s="404"/>
      <c r="AA389" s="392"/>
      <c r="AB389" s="413"/>
      <c r="AC389" s="419"/>
      <c r="AD389" s="404"/>
      <c r="AE389" s="404"/>
      <c r="AF389" s="418"/>
      <c r="AG389" s="403"/>
      <c r="AH389" s="414"/>
      <c r="AI389" s="410"/>
      <c r="AJ389" s="410"/>
    </row>
    <row r="390">
      <c r="A390" s="403"/>
      <c r="B390" s="403"/>
      <c r="C390" s="403"/>
      <c r="D390" s="405"/>
      <c r="E390" s="403"/>
      <c r="F390" s="403"/>
      <c r="G390" s="403"/>
      <c r="H390" s="403"/>
      <c r="I390" s="403"/>
      <c r="J390" s="403"/>
      <c r="K390" s="403"/>
      <c r="L390" s="403"/>
      <c r="M390" s="403"/>
      <c r="N390" s="392"/>
      <c r="O390" s="403"/>
      <c r="P390" s="403"/>
      <c r="Q390" s="403"/>
      <c r="R390" s="403"/>
      <c r="S390" s="403"/>
      <c r="T390" s="403"/>
      <c r="U390" s="403"/>
      <c r="V390" s="403"/>
      <c r="W390" s="404"/>
      <c r="X390" s="404"/>
      <c r="Y390" s="404"/>
      <c r="Z390" s="404"/>
      <c r="AA390" s="392"/>
      <c r="AB390" s="413"/>
      <c r="AC390" s="419"/>
      <c r="AD390" s="404"/>
      <c r="AE390" s="404"/>
      <c r="AF390" s="418"/>
      <c r="AG390" s="403"/>
      <c r="AH390" s="414"/>
      <c r="AI390" s="410"/>
      <c r="AJ390" s="410"/>
    </row>
    <row r="391">
      <c r="A391" s="403"/>
      <c r="B391" s="403"/>
      <c r="C391" s="403"/>
      <c r="D391" s="405"/>
      <c r="E391" s="403"/>
      <c r="F391" s="403"/>
      <c r="G391" s="403"/>
      <c r="H391" s="403"/>
      <c r="I391" s="403"/>
      <c r="J391" s="403"/>
      <c r="K391" s="403"/>
      <c r="L391" s="403"/>
      <c r="M391" s="403"/>
      <c r="N391" s="392"/>
      <c r="O391" s="403"/>
      <c r="P391" s="403"/>
      <c r="Q391" s="403"/>
      <c r="R391" s="403"/>
      <c r="S391" s="403"/>
      <c r="T391" s="403"/>
      <c r="U391" s="403"/>
      <c r="V391" s="403"/>
      <c r="W391" s="404"/>
      <c r="X391" s="404"/>
      <c r="Y391" s="404"/>
      <c r="Z391" s="404"/>
      <c r="AA391" s="392"/>
      <c r="AB391" s="413"/>
      <c r="AC391" s="419"/>
      <c r="AD391" s="404"/>
      <c r="AE391" s="404"/>
      <c r="AF391" s="418"/>
      <c r="AG391" s="403"/>
      <c r="AH391" s="414"/>
      <c r="AI391" s="410"/>
      <c r="AJ391" s="410"/>
    </row>
    <row r="392">
      <c r="A392" s="403"/>
      <c r="B392" s="403"/>
      <c r="C392" s="403"/>
      <c r="D392" s="405"/>
      <c r="E392" s="403"/>
      <c r="F392" s="403"/>
      <c r="G392" s="403"/>
      <c r="H392" s="403"/>
      <c r="I392" s="403"/>
      <c r="J392" s="403"/>
      <c r="K392" s="403"/>
      <c r="L392" s="403"/>
      <c r="M392" s="403"/>
      <c r="N392" s="403"/>
      <c r="O392" s="403"/>
      <c r="P392" s="403"/>
      <c r="Q392" s="403"/>
      <c r="R392" s="403"/>
      <c r="S392" s="403"/>
      <c r="T392" s="403"/>
      <c r="U392" s="403"/>
      <c r="V392" s="403"/>
      <c r="W392" s="404"/>
      <c r="X392" s="404"/>
      <c r="Y392" s="404"/>
      <c r="Z392" s="404"/>
      <c r="AA392" s="392"/>
      <c r="AB392" s="413"/>
      <c r="AC392" s="419"/>
      <c r="AD392" s="404"/>
      <c r="AE392" s="404"/>
      <c r="AF392" s="418"/>
      <c r="AG392" s="403"/>
      <c r="AH392" s="414"/>
      <c r="AI392" s="410"/>
      <c r="AJ392" s="410"/>
    </row>
    <row r="393">
      <c r="A393" s="403"/>
      <c r="B393" s="403"/>
      <c r="C393" s="403"/>
      <c r="D393" s="405"/>
      <c r="E393" s="403"/>
      <c r="F393" s="403"/>
      <c r="G393" s="403"/>
      <c r="H393" s="403"/>
      <c r="I393" s="403"/>
      <c r="J393" s="403"/>
      <c r="K393" s="403"/>
      <c r="L393" s="403"/>
      <c r="M393" s="403"/>
      <c r="N393" s="403"/>
      <c r="O393" s="403"/>
      <c r="P393" s="403"/>
      <c r="Q393" s="403"/>
      <c r="R393" s="403"/>
      <c r="S393" s="403"/>
      <c r="T393" s="403"/>
      <c r="U393" s="403"/>
      <c r="V393" s="403"/>
      <c r="W393" s="404"/>
      <c r="X393" s="404"/>
      <c r="Y393" s="404"/>
      <c r="Z393" s="404"/>
      <c r="AA393" s="392"/>
      <c r="AB393" s="413"/>
      <c r="AC393" s="419"/>
      <c r="AD393" s="404"/>
      <c r="AE393" s="404"/>
      <c r="AF393" s="418"/>
      <c r="AG393" s="403"/>
      <c r="AH393" s="414"/>
      <c r="AI393" s="410"/>
      <c r="AJ393" s="410"/>
    </row>
    <row r="394">
      <c r="A394" s="403"/>
      <c r="B394" s="403"/>
      <c r="C394" s="403"/>
      <c r="D394" s="405"/>
      <c r="E394" s="403"/>
      <c r="F394" s="403"/>
      <c r="G394" s="403"/>
      <c r="H394" s="403"/>
      <c r="I394" s="403"/>
      <c r="J394" s="403"/>
      <c r="K394" s="403"/>
      <c r="L394" s="403"/>
      <c r="M394" s="403"/>
      <c r="N394" s="403"/>
      <c r="O394" s="403"/>
      <c r="P394" s="403"/>
      <c r="Q394" s="403"/>
      <c r="R394" s="403"/>
      <c r="S394" s="403"/>
      <c r="T394" s="403"/>
      <c r="U394" s="403"/>
      <c r="V394" s="403"/>
      <c r="W394" s="404"/>
      <c r="X394" s="404"/>
      <c r="Y394" s="404"/>
      <c r="Z394" s="404"/>
      <c r="AA394" s="392"/>
      <c r="AB394" s="413"/>
      <c r="AC394" s="419"/>
      <c r="AD394" s="404"/>
      <c r="AE394" s="404"/>
      <c r="AF394" s="418"/>
      <c r="AG394" s="403"/>
      <c r="AH394" s="414"/>
      <c r="AI394" s="410"/>
      <c r="AJ394" s="410"/>
    </row>
    <row r="395">
      <c r="A395" s="403"/>
      <c r="B395" s="403"/>
      <c r="C395" s="403"/>
      <c r="D395" s="405"/>
      <c r="E395" s="403"/>
      <c r="F395" s="403"/>
      <c r="G395" s="403"/>
      <c r="H395" s="403"/>
      <c r="I395" s="403"/>
      <c r="J395" s="403"/>
      <c r="K395" s="403"/>
      <c r="L395" s="403"/>
      <c r="M395" s="403"/>
      <c r="N395" s="403"/>
      <c r="O395" s="403"/>
      <c r="P395" s="403"/>
      <c r="Q395" s="403"/>
      <c r="R395" s="403"/>
      <c r="S395" s="403"/>
      <c r="T395" s="403"/>
      <c r="U395" s="403"/>
      <c r="V395" s="403"/>
      <c r="W395" s="404"/>
      <c r="X395" s="404"/>
      <c r="Y395" s="404"/>
      <c r="Z395" s="404"/>
      <c r="AA395" s="392"/>
      <c r="AB395" s="413"/>
      <c r="AC395" s="419"/>
      <c r="AD395" s="404"/>
      <c r="AE395" s="404"/>
      <c r="AF395" s="418"/>
      <c r="AG395" s="403"/>
      <c r="AH395" s="414"/>
      <c r="AI395" s="410"/>
      <c r="AJ395" s="410"/>
    </row>
    <row r="396">
      <c r="A396" s="403"/>
      <c r="B396" s="403"/>
      <c r="C396" s="403"/>
      <c r="D396" s="405"/>
      <c r="E396" s="403"/>
      <c r="F396" s="403"/>
      <c r="G396" s="403"/>
      <c r="H396" s="403"/>
      <c r="I396" s="403"/>
      <c r="J396" s="403"/>
      <c r="K396" s="403"/>
      <c r="L396" s="403"/>
      <c r="M396" s="403"/>
      <c r="N396" s="403"/>
      <c r="O396" s="403"/>
      <c r="P396" s="403"/>
      <c r="Q396" s="403"/>
      <c r="R396" s="403"/>
      <c r="S396" s="403"/>
      <c r="T396" s="403"/>
      <c r="U396" s="403"/>
      <c r="V396" s="403"/>
      <c r="W396" s="404"/>
      <c r="X396" s="404"/>
      <c r="Y396" s="404"/>
      <c r="Z396" s="404"/>
      <c r="AA396" s="392"/>
      <c r="AB396" s="413"/>
      <c r="AC396" s="419"/>
      <c r="AD396" s="404"/>
      <c r="AE396" s="404"/>
      <c r="AF396" s="418"/>
      <c r="AG396" s="403"/>
      <c r="AH396" s="414"/>
      <c r="AI396" s="410"/>
      <c r="AJ396" s="410"/>
    </row>
    <row r="397">
      <c r="A397" s="403"/>
      <c r="B397" s="403"/>
      <c r="C397" s="403"/>
      <c r="D397" s="405"/>
      <c r="E397" s="403"/>
      <c r="F397" s="403"/>
      <c r="G397" s="403"/>
      <c r="H397" s="403"/>
      <c r="I397" s="403"/>
      <c r="J397" s="403"/>
      <c r="K397" s="403"/>
      <c r="L397" s="403"/>
      <c r="M397" s="403"/>
      <c r="N397" s="403"/>
      <c r="O397" s="403"/>
      <c r="P397" s="403"/>
      <c r="Q397" s="403"/>
      <c r="R397" s="403"/>
      <c r="S397" s="403"/>
      <c r="T397" s="403"/>
      <c r="U397" s="403"/>
      <c r="V397" s="403"/>
      <c r="W397" s="404"/>
      <c r="X397" s="404"/>
      <c r="Y397" s="404"/>
      <c r="Z397" s="404"/>
      <c r="AA397" s="392"/>
      <c r="AB397" s="413"/>
      <c r="AC397" s="419"/>
      <c r="AD397" s="404"/>
      <c r="AE397" s="404"/>
      <c r="AF397" s="418"/>
      <c r="AG397" s="403"/>
      <c r="AH397" s="414"/>
      <c r="AI397" s="410"/>
      <c r="AJ397" s="410"/>
    </row>
    <row r="398">
      <c r="A398" s="403"/>
      <c r="B398" s="403"/>
      <c r="C398" s="403"/>
      <c r="D398" s="405"/>
      <c r="E398" s="403"/>
      <c r="F398" s="403"/>
      <c r="G398" s="403"/>
      <c r="H398" s="403"/>
      <c r="I398" s="403"/>
      <c r="J398" s="403"/>
      <c r="K398" s="403"/>
      <c r="L398" s="403"/>
      <c r="M398" s="403"/>
      <c r="N398" s="392"/>
      <c r="O398" s="403"/>
      <c r="P398" s="403"/>
      <c r="Q398" s="403"/>
      <c r="R398" s="403"/>
      <c r="S398" s="403"/>
      <c r="T398" s="403"/>
      <c r="U398" s="403"/>
      <c r="V398" s="403"/>
      <c r="W398" s="404"/>
      <c r="X398" s="404"/>
      <c r="Y398" s="404"/>
      <c r="Z398" s="404"/>
      <c r="AA398" s="392"/>
      <c r="AB398" s="413"/>
      <c r="AC398" s="419"/>
      <c r="AD398" s="404"/>
      <c r="AE398" s="404"/>
      <c r="AF398" s="418"/>
      <c r="AG398" s="403"/>
      <c r="AH398" s="414"/>
      <c r="AI398" s="410"/>
      <c r="AJ398" s="410"/>
    </row>
    <row r="399">
      <c r="A399" s="403"/>
      <c r="B399" s="403"/>
      <c r="C399" s="403"/>
      <c r="D399" s="405"/>
      <c r="E399" s="403"/>
      <c r="F399" s="403"/>
      <c r="G399" s="403"/>
      <c r="H399" s="403"/>
      <c r="I399" s="403"/>
      <c r="J399" s="403"/>
      <c r="K399" s="403"/>
      <c r="L399" s="403"/>
      <c r="M399" s="403"/>
      <c r="N399" s="392"/>
      <c r="O399" s="403"/>
      <c r="P399" s="403"/>
      <c r="Q399" s="403"/>
      <c r="R399" s="403"/>
      <c r="S399" s="403"/>
      <c r="T399" s="403"/>
      <c r="U399" s="403"/>
      <c r="V399" s="392"/>
      <c r="W399" s="404"/>
      <c r="X399" s="404"/>
      <c r="Y399" s="404"/>
      <c r="Z399" s="404"/>
      <c r="AA399" s="392"/>
      <c r="AB399" s="413"/>
      <c r="AC399" s="419"/>
      <c r="AD399" s="404"/>
      <c r="AE399" s="404"/>
      <c r="AF399" s="418"/>
      <c r="AG399" s="403"/>
      <c r="AH399" s="414"/>
      <c r="AI399" s="410"/>
      <c r="AJ399" s="410"/>
    </row>
    <row r="400">
      <c r="A400" s="403"/>
      <c r="B400" s="403"/>
      <c r="C400" s="403"/>
      <c r="D400" s="405"/>
      <c r="E400" s="403"/>
      <c r="F400" s="403"/>
      <c r="G400" s="403"/>
      <c r="H400" s="403"/>
      <c r="I400" s="403"/>
      <c r="J400" s="403"/>
      <c r="K400" s="403"/>
      <c r="L400" s="403"/>
      <c r="M400" s="403"/>
      <c r="N400" s="392"/>
      <c r="O400" s="403"/>
      <c r="P400" s="403"/>
      <c r="Q400" s="403"/>
      <c r="R400" s="403"/>
      <c r="S400" s="403"/>
      <c r="T400" s="403"/>
      <c r="U400" s="403"/>
      <c r="V400" s="403"/>
      <c r="W400" s="404"/>
      <c r="X400" s="404"/>
      <c r="Y400" s="404"/>
      <c r="Z400" s="404"/>
      <c r="AA400" s="392"/>
      <c r="AB400" s="413"/>
      <c r="AC400" s="419"/>
      <c r="AD400" s="404"/>
      <c r="AE400" s="404"/>
      <c r="AF400" s="418"/>
      <c r="AG400" s="403"/>
      <c r="AH400" s="414"/>
      <c r="AI400" s="410"/>
      <c r="AJ400" s="410"/>
    </row>
    <row r="401">
      <c r="A401" s="403"/>
      <c r="B401" s="403"/>
      <c r="C401" s="403"/>
      <c r="D401" s="405"/>
      <c r="E401" s="403"/>
      <c r="F401" s="403"/>
      <c r="G401" s="403"/>
      <c r="H401" s="403"/>
      <c r="I401" s="403"/>
      <c r="J401" s="403"/>
      <c r="K401" s="403"/>
      <c r="L401" s="403"/>
      <c r="M401" s="403"/>
      <c r="N401" s="392"/>
      <c r="O401" s="403"/>
      <c r="P401" s="403"/>
      <c r="Q401" s="403"/>
      <c r="R401" s="403"/>
      <c r="S401" s="403"/>
      <c r="T401" s="403"/>
      <c r="U401" s="403"/>
      <c r="V401" s="403"/>
      <c r="W401" s="404"/>
      <c r="X401" s="404"/>
      <c r="Y401" s="404"/>
      <c r="Z401" s="404"/>
      <c r="AA401" s="392"/>
      <c r="AB401" s="413"/>
      <c r="AC401" s="392"/>
      <c r="AD401" s="404"/>
      <c r="AE401" s="404"/>
      <c r="AF401" s="418"/>
      <c r="AG401" s="403"/>
      <c r="AH401" s="414"/>
      <c r="AI401" s="410"/>
      <c r="AJ401" s="410"/>
    </row>
    <row r="402">
      <c r="A402" s="403"/>
      <c r="B402" s="403"/>
      <c r="C402" s="403"/>
      <c r="D402" s="405"/>
      <c r="E402" s="403"/>
      <c r="F402" s="403"/>
      <c r="G402" s="403"/>
      <c r="H402" s="403"/>
      <c r="I402" s="403"/>
      <c r="J402" s="403"/>
      <c r="K402" s="403"/>
      <c r="L402" s="403"/>
      <c r="M402" s="403"/>
      <c r="N402" s="403"/>
      <c r="O402" s="403"/>
      <c r="P402" s="403"/>
      <c r="Q402" s="403"/>
      <c r="R402" s="403"/>
      <c r="S402" s="403"/>
      <c r="T402" s="403"/>
      <c r="U402" s="403"/>
      <c r="V402" s="403"/>
      <c r="W402" s="404"/>
      <c r="X402" s="404"/>
      <c r="Y402" s="404"/>
      <c r="Z402" s="404"/>
      <c r="AA402" s="392"/>
      <c r="AB402" s="413"/>
      <c r="AC402" s="419"/>
      <c r="AD402" s="404"/>
      <c r="AE402" s="404"/>
      <c r="AF402" s="418"/>
      <c r="AG402" s="403"/>
      <c r="AH402" s="414"/>
      <c r="AI402" s="410"/>
      <c r="AJ402" s="410"/>
    </row>
    <row r="403">
      <c r="A403" s="403"/>
      <c r="B403" s="403"/>
      <c r="C403" s="403"/>
      <c r="D403" s="405"/>
      <c r="E403" s="403"/>
      <c r="F403" s="403"/>
      <c r="G403" s="403"/>
      <c r="H403" s="403"/>
      <c r="I403" s="403"/>
      <c r="J403" s="403"/>
      <c r="K403" s="403"/>
      <c r="L403" s="403"/>
      <c r="M403" s="403"/>
      <c r="N403" s="403"/>
      <c r="O403" s="403"/>
      <c r="P403" s="403"/>
      <c r="Q403" s="403"/>
      <c r="R403" s="403"/>
      <c r="S403" s="403"/>
      <c r="T403" s="403"/>
      <c r="U403" s="403"/>
      <c r="V403" s="403"/>
      <c r="W403" s="404"/>
      <c r="X403" s="404"/>
      <c r="Y403" s="404"/>
      <c r="Z403" s="404"/>
      <c r="AA403" s="392"/>
      <c r="AB403" s="413"/>
      <c r="AC403" s="419"/>
      <c r="AD403" s="404"/>
      <c r="AE403" s="404"/>
      <c r="AF403" s="418"/>
      <c r="AG403" s="403"/>
      <c r="AH403" s="414"/>
      <c r="AI403" s="410"/>
      <c r="AJ403" s="410"/>
    </row>
    <row r="404">
      <c r="A404" s="403"/>
      <c r="B404" s="403"/>
      <c r="C404" s="403"/>
      <c r="D404" s="405"/>
      <c r="E404" s="403"/>
      <c r="F404" s="403"/>
      <c r="G404" s="403"/>
      <c r="H404" s="403"/>
      <c r="I404" s="403"/>
      <c r="J404" s="403"/>
      <c r="K404" s="403"/>
      <c r="L404" s="403"/>
      <c r="M404" s="403"/>
      <c r="N404" s="403"/>
      <c r="O404" s="403"/>
      <c r="P404" s="403"/>
      <c r="Q404" s="403"/>
      <c r="R404" s="403"/>
      <c r="S404" s="403"/>
      <c r="T404" s="403"/>
      <c r="U404" s="403"/>
      <c r="V404" s="403"/>
      <c r="W404" s="404"/>
      <c r="X404" s="404"/>
      <c r="Y404" s="404"/>
      <c r="Z404" s="404"/>
      <c r="AA404" s="392"/>
      <c r="AB404" s="413"/>
      <c r="AC404" s="419"/>
      <c r="AD404" s="404"/>
      <c r="AE404" s="404"/>
      <c r="AF404" s="418"/>
      <c r="AG404" s="403"/>
      <c r="AH404" s="414"/>
      <c r="AI404" s="410"/>
      <c r="AJ404" s="410"/>
    </row>
    <row r="405">
      <c r="A405" s="403"/>
      <c r="B405" s="403"/>
      <c r="C405" s="403"/>
      <c r="D405" s="405"/>
      <c r="E405" s="403"/>
      <c r="F405" s="403"/>
      <c r="G405" s="403"/>
      <c r="H405" s="403"/>
      <c r="I405" s="403"/>
      <c r="J405" s="403"/>
      <c r="K405" s="403"/>
      <c r="L405" s="403"/>
      <c r="M405" s="403"/>
      <c r="N405" s="403"/>
      <c r="O405" s="403"/>
      <c r="P405" s="403"/>
      <c r="Q405" s="403"/>
      <c r="R405" s="403"/>
      <c r="S405" s="403"/>
      <c r="T405" s="403"/>
      <c r="U405" s="403"/>
      <c r="V405" s="403"/>
      <c r="W405" s="404"/>
      <c r="X405" s="404"/>
      <c r="Y405" s="404"/>
      <c r="Z405" s="404"/>
      <c r="AA405" s="392"/>
      <c r="AB405" s="413"/>
      <c r="AC405" s="419"/>
      <c r="AD405" s="404"/>
      <c r="AE405" s="404"/>
      <c r="AF405" s="418"/>
      <c r="AG405" s="403"/>
      <c r="AH405" s="414"/>
      <c r="AI405" s="410"/>
      <c r="AJ405" s="410"/>
    </row>
    <row r="406">
      <c r="A406" s="403"/>
      <c r="B406" s="403"/>
      <c r="C406" s="403"/>
      <c r="D406" s="405"/>
      <c r="E406" s="404"/>
      <c r="F406" s="403"/>
      <c r="G406" s="403"/>
      <c r="H406" s="403"/>
      <c r="I406" s="403"/>
      <c r="J406" s="403"/>
      <c r="K406" s="403"/>
      <c r="L406" s="403"/>
      <c r="M406" s="403"/>
      <c r="N406" s="403"/>
      <c r="O406" s="403"/>
      <c r="P406" s="403"/>
      <c r="Q406" s="403"/>
      <c r="R406" s="403"/>
      <c r="S406" s="403"/>
      <c r="T406" s="403"/>
      <c r="U406" s="403"/>
      <c r="V406" s="403"/>
      <c r="W406" s="404"/>
      <c r="X406" s="404"/>
      <c r="Y406" s="404"/>
      <c r="Z406" s="404"/>
      <c r="AA406" s="392"/>
      <c r="AB406" s="413"/>
      <c r="AC406" s="419"/>
      <c r="AD406" s="404"/>
      <c r="AE406" s="404"/>
      <c r="AF406" s="418"/>
      <c r="AG406" s="403"/>
      <c r="AH406" s="414"/>
      <c r="AI406" s="410"/>
      <c r="AJ406" s="410"/>
    </row>
    <row r="407">
      <c r="A407" s="403"/>
      <c r="B407" s="403"/>
      <c r="C407" s="403"/>
      <c r="D407" s="405"/>
      <c r="E407" s="403"/>
      <c r="F407" s="403"/>
      <c r="G407" s="403"/>
      <c r="H407" s="431"/>
      <c r="I407" s="403"/>
      <c r="J407" s="403"/>
      <c r="K407" s="403"/>
      <c r="L407" s="403"/>
      <c r="M407" s="403"/>
      <c r="N407" s="392"/>
      <c r="O407" s="403"/>
      <c r="P407" s="403"/>
      <c r="Q407" s="403"/>
      <c r="R407" s="403"/>
      <c r="S407" s="403"/>
      <c r="T407" s="403"/>
      <c r="U407" s="403"/>
      <c r="V407" s="403"/>
      <c r="W407" s="404"/>
      <c r="X407" s="404"/>
      <c r="Y407" s="404"/>
      <c r="Z407" s="404"/>
      <c r="AA407" s="392"/>
      <c r="AB407" s="413"/>
      <c r="AC407" s="419"/>
      <c r="AD407" s="404"/>
      <c r="AE407" s="404"/>
      <c r="AF407" s="407"/>
      <c r="AG407" s="403"/>
      <c r="AH407" s="414"/>
      <c r="AI407" s="410"/>
      <c r="AJ407" s="410"/>
    </row>
    <row r="408">
      <c r="A408" s="403"/>
      <c r="B408" s="403"/>
      <c r="C408" s="403"/>
      <c r="D408" s="405"/>
      <c r="E408" s="403"/>
      <c r="F408" s="403"/>
      <c r="G408" s="403"/>
      <c r="H408" s="403"/>
      <c r="I408" s="403"/>
      <c r="J408" s="403"/>
      <c r="K408" s="403"/>
      <c r="L408" s="403"/>
      <c r="M408" s="403"/>
      <c r="N408" s="392"/>
      <c r="O408" s="403"/>
      <c r="P408" s="403"/>
      <c r="Q408" s="403"/>
      <c r="R408" s="403"/>
      <c r="S408" s="403"/>
      <c r="T408" s="403"/>
      <c r="U408" s="403"/>
      <c r="V408" s="403"/>
      <c r="W408" s="404"/>
      <c r="X408" s="404"/>
      <c r="Y408" s="404"/>
      <c r="Z408" s="404"/>
      <c r="AA408" s="392"/>
      <c r="AB408" s="413"/>
      <c r="AC408" s="419"/>
      <c r="AD408" s="404"/>
      <c r="AE408" s="404"/>
      <c r="AF408" s="407"/>
      <c r="AG408" s="403"/>
      <c r="AH408" s="414"/>
      <c r="AI408" s="410"/>
      <c r="AJ408" s="410"/>
    </row>
    <row r="409">
      <c r="A409" s="403"/>
      <c r="B409" s="403"/>
      <c r="C409" s="403"/>
      <c r="D409" s="405"/>
      <c r="E409" s="403"/>
      <c r="F409" s="403"/>
      <c r="G409" s="403"/>
      <c r="H409" s="403"/>
      <c r="I409" s="403"/>
      <c r="J409" s="403"/>
      <c r="K409" s="403"/>
      <c r="L409" s="403"/>
      <c r="M409" s="403"/>
      <c r="N409" s="392"/>
      <c r="O409" s="403"/>
      <c r="P409" s="403"/>
      <c r="Q409" s="403"/>
      <c r="R409" s="403"/>
      <c r="S409" s="403"/>
      <c r="T409" s="403"/>
      <c r="U409" s="403"/>
      <c r="V409" s="403"/>
      <c r="W409" s="404"/>
      <c r="X409" s="404"/>
      <c r="Y409" s="404"/>
      <c r="Z409" s="404"/>
      <c r="AA409" s="392"/>
      <c r="AB409" s="413"/>
      <c r="AC409" s="419"/>
      <c r="AD409" s="404"/>
      <c r="AE409" s="404"/>
      <c r="AF409" s="418"/>
      <c r="AG409" s="403"/>
      <c r="AH409" s="432"/>
      <c r="AI409" s="410"/>
      <c r="AJ409" s="410"/>
    </row>
    <row r="410">
      <c r="A410" s="403"/>
      <c r="B410" s="403"/>
      <c r="C410" s="403"/>
      <c r="D410" s="405"/>
      <c r="E410" s="403"/>
      <c r="F410" s="403"/>
      <c r="G410" s="403"/>
      <c r="H410" s="403"/>
      <c r="I410" s="403"/>
      <c r="J410" s="403"/>
      <c r="K410" s="403"/>
      <c r="L410" s="403"/>
      <c r="M410" s="403"/>
      <c r="N410" s="392"/>
      <c r="O410" s="403"/>
      <c r="P410" s="403"/>
      <c r="Q410" s="403"/>
      <c r="R410" s="403"/>
      <c r="S410" s="403"/>
      <c r="T410" s="403"/>
      <c r="U410" s="403"/>
      <c r="V410" s="403"/>
      <c r="W410" s="404"/>
      <c r="X410" s="404"/>
      <c r="Y410" s="404"/>
      <c r="Z410" s="404"/>
      <c r="AA410" s="392"/>
      <c r="AB410" s="413"/>
      <c r="AC410" s="419"/>
      <c r="AD410" s="404"/>
      <c r="AE410" s="404"/>
      <c r="AF410" s="418"/>
      <c r="AG410" s="403"/>
      <c r="AH410" s="432"/>
      <c r="AI410" s="410"/>
      <c r="AJ410" s="410"/>
    </row>
    <row r="411">
      <c r="A411" s="403"/>
      <c r="B411" s="403"/>
      <c r="C411" s="403"/>
      <c r="D411" s="405"/>
      <c r="E411" s="403"/>
      <c r="F411" s="403"/>
      <c r="G411" s="403"/>
      <c r="H411" s="403"/>
      <c r="I411" s="403"/>
      <c r="J411" s="403"/>
      <c r="K411" s="403"/>
      <c r="L411" s="403"/>
      <c r="M411" s="403"/>
      <c r="N411" s="392"/>
      <c r="O411" s="403"/>
      <c r="P411" s="403"/>
      <c r="Q411" s="403"/>
      <c r="R411" s="403"/>
      <c r="S411" s="403"/>
      <c r="T411" s="403"/>
      <c r="U411" s="403"/>
      <c r="V411" s="403"/>
      <c r="W411" s="404"/>
      <c r="X411" s="404"/>
      <c r="Y411" s="404"/>
      <c r="Z411" s="404"/>
      <c r="AA411" s="392"/>
      <c r="AB411" s="413"/>
      <c r="AC411" s="409"/>
      <c r="AD411" s="404"/>
      <c r="AE411" s="404"/>
      <c r="AF411" s="418"/>
      <c r="AG411" s="403"/>
      <c r="AH411" s="432"/>
      <c r="AI411" s="410"/>
      <c r="AJ411" s="410"/>
    </row>
    <row r="412">
      <c r="A412" s="403"/>
      <c r="B412" s="403"/>
      <c r="C412" s="403"/>
      <c r="D412" s="405"/>
      <c r="E412" s="403"/>
      <c r="F412" s="403"/>
      <c r="G412" s="403"/>
      <c r="H412" s="403"/>
      <c r="I412" s="403"/>
      <c r="J412" s="403"/>
      <c r="K412" s="403"/>
      <c r="L412" s="403"/>
      <c r="M412" s="403"/>
      <c r="N412" s="403"/>
      <c r="O412" s="403"/>
      <c r="P412" s="403"/>
      <c r="Q412" s="403"/>
      <c r="R412" s="403"/>
      <c r="S412" s="403"/>
      <c r="T412" s="403"/>
      <c r="U412" s="403"/>
      <c r="V412" s="403"/>
      <c r="W412" s="404"/>
      <c r="X412" s="404"/>
      <c r="Y412" s="404"/>
      <c r="Z412" s="404"/>
      <c r="AA412" s="392"/>
      <c r="AB412" s="413"/>
      <c r="AC412" s="419"/>
      <c r="AD412" s="404"/>
      <c r="AE412" s="404"/>
      <c r="AF412" s="418"/>
      <c r="AG412" s="403"/>
      <c r="AH412" s="405"/>
      <c r="AI412" s="410"/>
      <c r="AJ412" s="410"/>
    </row>
    <row r="413">
      <c r="A413" s="403"/>
      <c r="B413" s="403"/>
      <c r="C413" s="403"/>
      <c r="D413" s="405"/>
      <c r="E413" s="403"/>
      <c r="F413" s="403"/>
      <c r="G413" s="403"/>
      <c r="H413" s="403"/>
      <c r="I413" s="403"/>
      <c r="J413" s="403"/>
      <c r="K413" s="403"/>
      <c r="L413" s="403"/>
      <c r="M413" s="403"/>
      <c r="N413" s="403"/>
      <c r="O413" s="403"/>
      <c r="P413" s="403"/>
      <c r="Q413" s="403"/>
      <c r="R413" s="403"/>
      <c r="S413" s="403"/>
      <c r="T413" s="403"/>
      <c r="U413" s="403"/>
      <c r="V413" s="403"/>
      <c r="W413" s="404"/>
      <c r="X413" s="404"/>
      <c r="Y413" s="404"/>
      <c r="Z413" s="404"/>
      <c r="AA413" s="392"/>
      <c r="AB413" s="413"/>
      <c r="AC413" s="419"/>
      <c r="AD413" s="404"/>
      <c r="AE413" s="404"/>
      <c r="AF413" s="418"/>
      <c r="AG413" s="403"/>
      <c r="AH413" s="433"/>
      <c r="AI413" s="410"/>
      <c r="AJ413" s="410"/>
    </row>
    <row r="414">
      <c r="A414" s="403"/>
      <c r="B414" s="403"/>
      <c r="C414" s="403"/>
      <c r="D414" s="405"/>
      <c r="E414" s="403"/>
      <c r="F414" s="403"/>
      <c r="G414" s="403"/>
      <c r="H414" s="403"/>
      <c r="I414" s="403"/>
      <c r="J414" s="403"/>
      <c r="K414" s="403"/>
      <c r="L414" s="403"/>
      <c r="M414" s="403"/>
      <c r="N414" s="403"/>
      <c r="O414" s="403"/>
      <c r="P414" s="403"/>
      <c r="Q414" s="403"/>
      <c r="R414" s="403"/>
      <c r="S414" s="403"/>
      <c r="T414" s="403"/>
      <c r="U414" s="403"/>
      <c r="V414" s="403"/>
      <c r="W414" s="404"/>
      <c r="X414" s="404"/>
      <c r="Y414" s="404"/>
      <c r="Z414" s="404"/>
      <c r="AA414" s="392"/>
      <c r="AB414" s="413"/>
      <c r="AC414" s="419"/>
      <c r="AD414" s="404"/>
      <c r="AE414" s="404"/>
      <c r="AF414" s="418"/>
      <c r="AG414" s="403"/>
      <c r="AH414" s="432"/>
      <c r="AI414" s="410"/>
      <c r="AJ414" s="410"/>
    </row>
    <row r="415">
      <c r="A415" s="403"/>
      <c r="B415" s="403"/>
      <c r="C415" s="403"/>
      <c r="D415" s="405"/>
      <c r="E415" s="403"/>
      <c r="F415" s="403"/>
      <c r="G415" s="403"/>
      <c r="H415" s="403"/>
      <c r="I415" s="403"/>
      <c r="J415" s="403"/>
      <c r="K415" s="403"/>
      <c r="L415" s="403"/>
      <c r="M415" s="403"/>
      <c r="N415" s="392"/>
      <c r="O415" s="403"/>
      <c r="P415" s="403"/>
      <c r="Q415" s="403"/>
      <c r="R415" s="403"/>
      <c r="S415" s="403"/>
      <c r="T415" s="403"/>
      <c r="U415" s="403"/>
      <c r="V415" s="403"/>
      <c r="W415" s="404"/>
      <c r="X415" s="404"/>
      <c r="Y415" s="404"/>
      <c r="Z415" s="404"/>
      <c r="AA415" s="392"/>
      <c r="AB415" s="413"/>
      <c r="AC415" s="419"/>
      <c r="AD415" s="404"/>
      <c r="AE415" s="404"/>
      <c r="AF415" s="418"/>
      <c r="AG415" s="403"/>
      <c r="AH415" s="433"/>
      <c r="AI415" s="410"/>
      <c r="AJ415" s="410"/>
    </row>
    <row r="416">
      <c r="A416" s="403"/>
      <c r="B416" s="403"/>
      <c r="C416" s="403"/>
      <c r="D416" s="405"/>
      <c r="E416" s="403"/>
      <c r="F416" s="403"/>
      <c r="G416" s="403"/>
      <c r="H416" s="403"/>
      <c r="I416" s="403"/>
      <c r="J416" s="403"/>
      <c r="K416" s="403"/>
      <c r="L416" s="403"/>
      <c r="M416" s="403"/>
      <c r="N416" s="392"/>
      <c r="O416" s="403"/>
      <c r="P416" s="403"/>
      <c r="Q416" s="403"/>
      <c r="R416" s="403"/>
      <c r="S416" s="403"/>
      <c r="T416" s="403"/>
      <c r="U416" s="403"/>
      <c r="V416" s="403"/>
      <c r="W416" s="404"/>
      <c r="X416" s="404"/>
      <c r="Y416" s="404"/>
      <c r="Z416" s="404"/>
      <c r="AA416" s="392"/>
      <c r="AB416" s="413"/>
      <c r="AC416" s="419"/>
      <c r="AD416" s="404"/>
      <c r="AE416" s="404"/>
      <c r="AF416" s="418"/>
      <c r="AG416" s="403"/>
      <c r="AH416" s="433"/>
      <c r="AI416" s="410"/>
      <c r="AJ416" s="410"/>
    </row>
    <row r="417">
      <c r="A417" s="403"/>
      <c r="B417" s="403"/>
      <c r="C417" s="403"/>
      <c r="D417" s="405"/>
      <c r="E417" s="403"/>
      <c r="F417" s="403"/>
      <c r="G417" s="403"/>
      <c r="H417" s="434"/>
      <c r="I417" s="403"/>
      <c r="J417" s="435"/>
      <c r="K417" s="403"/>
      <c r="L417" s="403"/>
      <c r="M417" s="403"/>
      <c r="N417" s="403"/>
      <c r="O417" s="392"/>
      <c r="P417" s="404"/>
      <c r="Q417" s="392"/>
      <c r="R417" s="392"/>
      <c r="S417" s="392"/>
      <c r="T417" s="392"/>
      <c r="U417" s="392"/>
      <c r="V417" s="392"/>
      <c r="W417" s="404"/>
      <c r="X417" s="404"/>
      <c r="Y417" s="404"/>
      <c r="Z417" s="404"/>
      <c r="AA417" s="404"/>
      <c r="AB417" s="413"/>
      <c r="AC417" s="413"/>
      <c r="AD417" s="404"/>
      <c r="AE417" s="404"/>
      <c r="AF417" s="418"/>
      <c r="AG417" s="403"/>
      <c r="AH417" s="414"/>
      <c r="AI417" s="410"/>
      <c r="AJ417" s="410"/>
    </row>
    <row r="418">
      <c r="A418" s="403"/>
      <c r="B418" s="403"/>
      <c r="C418" s="403"/>
      <c r="D418" s="405"/>
      <c r="E418" s="403"/>
      <c r="F418" s="403"/>
      <c r="G418" s="392"/>
      <c r="H418" s="403"/>
      <c r="I418" s="392"/>
      <c r="J418" s="392"/>
      <c r="K418" s="392"/>
      <c r="L418" s="403"/>
      <c r="M418" s="403"/>
      <c r="N418" s="392"/>
      <c r="O418" s="392"/>
      <c r="P418" s="404"/>
      <c r="Q418" s="392"/>
      <c r="R418" s="392"/>
      <c r="S418" s="392"/>
      <c r="T418" s="392"/>
      <c r="U418" s="392"/>
      <c r="V418" s="392"/>
      <c r="W418" s="392"/>
      <c r="X418" s="392"/>
      <c r="Y418" s="392"/>
      <c r="Z418" s="392"/>
      <c r="AA418" s="392"/>
      <c r="AB418" s="419"/>
      <c r="AC418" s="419"/>
      <c r="AD418" s="404"/>
      <c r="AE418" s="404"/>
      <c r="AF418" s="429"/>
      <c r="AG418" s="392"/>
      <c r="AH418" s="414"/>
      <c r="AI418" s="410"/>
      <c r="AJ418" s="410"/>
    </row>
    <row r="419">
      <c r="A419" s="403"/>
      <c r="B419" s="403"/>
      <c r="C419" s="403"/>
      <c r="D419" s="405"/>
      <c r="E419" s="403"/>
      <c r="F419" s="403"/>
      <c r="G419" s="392"/>
      <c r="H419" s="403"/>
      <c r="I419" s="392"/>
      <c r="J419" s="392"/>
      <c r="K419" s="392"/>
      <c r="L419" s="403"/>
      <c r="M419" s="403"/>
      <c r="N419" s="392"/>
      <c r="O419" s="392"/>
      <c r="P419" s="404"/>
      <c r="Q419" s="392"/>
      <c r="R419" s="392"/>
      <c r="S419" s="392"/>
      <c r="T419" s="392"/>
      <c r="U419" s="392"/>
      <c r="V419" s="392"/>
      <c r="W419" s="392"/>
      <c r="X419" s="392"/>
      <c r="Y419" s="392"/>
      <c r="Z419" s="392"/>
      <c r="AA419" s="392"/>
      <c r="AB419" s="419"/>
      <c r="AC419" s="419"/>
      <c r="AD419" s="404"/>
      <c r="AE419" s="404"/>
      <c r="AF419" s="429"/>
      <c r="AG419" s="392"/>
      <c r="AH419" s="414"/>
      <c r="AI419" s="410"/>
      <c r="AJ419" s="410"/>
    </row>
    <row r="420">
      <c r="A420" s="403"/>
      <c r="B420" s="403"/>
      <c r="C420" s="403"/>
      <c r="D420" s="405"/>
      <c r="E420" s="403"/>
      <c r="F420" s="403"/>
      <c r="G420" s="392"/>
      <c r="H420" s="403"/>
      <c r="I420" s="392"/>
      <c r="J420" s="392"/>
      <c r="K420" s="392"/>
      <c r="L420" s="403"/>
      <c r="M420" s="403"/>
      <c r="N420" s="392"/>
      <c r="O420" s="392"/>
      <c r="P420" s="404"/>
      <c r="Q420" s="392"/>
      <c r="R420" s="392"/>
      <c r="S420" s="392"/>
      <c r="T420" s="392"/>
      <c r="U420" s="392"/>
      <c r="V420" s="392"/>
      <c r="W420" s="392"/>
      <c r="X420" s="392"/>
      <c r="Y420" s="392"/>
      <c r="Z420" s="392"/>
      <c r="AA420" s="392"/>
      <c r="AB420" s="419"/>
      <c r="AC420" s="419"/>
      <c r="AD420" s="404"/>
      <c r="AE420" s="404"/>
      <c r="AF420" s="429"/>
      <c r="AG420" s="392"/>
      <c r="AH420" s="414"/>
      <c r="AI420" s="410"/>
      <c r="AJ420" s="410"/>
    </row>
    <row r="421">
      <c r="A421" s="403"/>
      <c r="B421" s="403"/>
      <c r="C421" s="403"/>
      <c r="D421" s="405"/>
      <c r="E421" s="404"/>
      <c r="F421" s="403"/>
      <c r="G421" s="405"/>
      <c r="H421" s="405"/>
      <c r="I421" s="403"/>
      <c r="J421" s="403"/>
      <c r="K421" s="403"/>
      <c r="L421" s="403"/>
      <c r="M421" s="403"/>
      <c r="N421" s="403"/>
      <c r="O421" s="403"/>
      <c r="P421" s="403"/>
      <c r="Q421" s="403"/>
      <c r="R421" s="403"/>
      <c r="S421" s="405"/>
      <c r="T421" s="405"/>
      <c r="U421" s="403"/>
      <c r="V421" s="403"/>
      <c r="W421" s="404"/>
      <c r="X421" s="404"/>
      <c r="Y421" s="404"/>
      <c r="Z421" s="404"/>
      <c r="AA421" s="403"/>
      <c r="AB421" s="406"/>
      <c r="AC421" s="436"/>
      <c r="AD421" s="404"/>
      <c r="AE421" s="404"/>
      <c r="AF421" s="407"/>
      <c r="AG421" s="405"/>
      <c r="AH421" s="414"/>
      <c r="AI421" s="410"/>
      <c r="AJ421" s="410"/>
    </row>
    <row r="422">
      <c r="A422" s="403"/>
      <c r="B422" s="403"/>
      <c r="C422" s="403"/>
      <c r="D422" s="403"/>
      <c r="E422" s="403"/>
      <c r="F422" s="403"/>
      <c r="G422" s="405"/>
      <c r="H422" s="403"/>
      <c r="I422" s="392"/>
      <c r="J422" s="392"/>
      <c r="K422" s="392"/>
      <c r="L422" s="403"/>
      <c r="M422" s="403"/>
      <c r="N422" s="392"/>
      <c r="O422" s="392"/>
      <c r="P422" s="404"/>
      <c r="Q422" s="392"/>
      <c r="R422" s="392"/>
      <c r="S422" s="392"/>
      <c r="T422" s="392"/>
      <c r="U422" s="392"/>
      <c r="V422" s="392"/>
      <c r="W422" s="392"/>
      <c r="X422" s="392"/>
      <c r="Y422" s="392"/>
      <c r="Z422" s="392"/>
      <c r="AA422" s="392"/>
      <c r="AB422" s="419"/>
      <c r="AC422" s="419"/>
      <c r="AD422" s="404"/>
      <c r="AE422" s="404"/>
      <c r="AF422" s="429"/>
      <c r="AG422" s="392"/>
      <c r="AH422" s="414"/>
      <c r="AI422" s="410"/>
      <c r="AJ422" s="410"/>
    </row>
    <row r="423">
      <c r="A423" s="403"/>
      <c r="B423" s="403"/>
      <c r="C423" s="403"/>
      <c r="D423" s="403"/>
      <c r="E423" s="403"/>
      <c r="F423" s="403"/>
      <c r="G423" s="405"/>
      <c r="H423" s="403"/>
      <c r="I423" s="392"/>
      <c r="J423" s="392"/>
      <c r="K423" s="392"/>
      <c r="L423" s="403"/>
      <c r="M423" s="403"/>
      <c r="N423" s="392"/>
      <c r="O423" s="392"/>
      <c r="P423" s="404"/>
      <c r="Q423" s="392"/>
      <c r="R423" s="392"/>
      <c r="S423" s="392"/>
      <c r="T423" s="392"/>
      <c r="U423" s="392"/>
      <c r="V423" s="392"/>
      <c r="W423" s="392"/>
      <c r="X423" s="392"/>
      <c r="Y423" s="392"/>
      <c r="Z423" s="392"/>
      <c r="AA423" s="392"/>
      <c r="AB423" s="419"/>
      <c r="AC423" s="419"/>
      <c r="AD423" s="404"/>
      <c r="AE423" s="404"/>
      <c r="AF423" s="429"/>
      <c r="AG423" s="392"/>
      <c r="AH423" s="414"/>
      <c r="AI423" s="410"/>
      <c r="AJ423" s="410"/>
    </row>
    <row r="424">
      <c r="A424" s="403"/>
      <c r="B424" s="403"/>
      <c r="C424" s="403"/>
      <c r="D424" s="403"/>
      <c r="E424" s="403"/>
      <c r="F424" s="403"/>
      <c r="G424" s="405"/>
      <c r="H424" s="403"/>
      <c r="I424" s="392"/>
      <c r="J424" s="392"/>
      <c r="K424" s="392"/>
      <c r="L424" s="403"/>
      <c r="M424" s="403"/>
      <c r="N424" s="392"/>
      <c r="O424" s="392"/>
      <c r="P424" s="404"/>
      <c r="Q424" s="392"/>
      <c r="R424" s="392"/>
      <c r="S424" s="392"/>
      <c r="T424" s="392"/>
      <c r="U424" s="392"/>
      <c r="V424" s="392"/>
      <c r="W424" s="392"/>
      <c r="X424" s="392"/>
      <c r="Y424" s="392"/>
      <c r="Z424" s="392"/>
      <c r="AA424" s="392"/>
      <c r="AB424" s="419"/>
      <c r="AC424" s="419"/>
      <c r="AD424" s="404"/>
      <c r="AE424" s="404"/>
      <c r="AF424" s="429"/>
      <c r="AG424" s="392"/>
      <c r="AH424" s="414"/>
      <c r="AI424" s="410"/>
      <c r="AJ424" s="410"/>
    </row>
    <row r="425">
      <c r="A425" s="403"/>
      <c r="B425" s="403"/>
      <c r="C425" s="403"/>
      <c r="D425" s="403"/>
      <c r="E425" s="403"/>
      <c r="F425" s="403"/>
      <c r="G425" s="405"/>
      <c r="H425" s="403"/>
      <c r="I425" s="392"/>
      <c r="J425" s="392"/>
      <c r="K425" s="392"/>
      <c r="L425" s="403"/>
      <c r="M425" s="403"/>
      <c r="N425" s="392"/>
      <c r="O425" s="392"/>
      <c r="P425" s="404"/>
      <c r="Q425" s="392"/>
      <c r="R425" s="392"/>
      <c r="S425" s="392"/>
      <c r="T425" s="392"/>
      <c r="U425" s="392"/>
      <c r="V425" s="392"/>
      <c r="W425" s="392"/>
      <c r="X425" s="392"/>
      <c r="Y425" s="392"/>
      <c r="Z425" s="392"/>
      <c r="AA425" s="392"/>
      <c r="AB425" s="419"/>
      <c r="AC425" s="419"/>
      <c r="AD425" s="404"/>
      <c r="AE425" s="404"/>
      <c r="AF425" s="429"/>
      <c r="AG425" s="392"/>
      <c r="AH425" s="414"/>
      <c r="AI425" s="410"/>
      <c r="AJ425" s="410"/>
    </row>
    <row r="426">
      <c r="A426" s="403"/>
      <c r="B426" s="403"/>
      <c r="C426" s="403"/>
      <c r="D426" s="403"/>
      <c r="E426" s="403"/>
      <c r="F426" s="403"/>
      <c r="G426" s="405"/>
      <c r="H426" s="403"/>
      <c r="I426" s="392"/>
      <c r="J426" s="392"/>
      <c r="K426" s="392"/>
      <c r="L426" s="403"/>
      <c r="M426" s="403"/>
      <c r="N426" s="392"/>
      <c r="O426" s="392"/>
      <c r="P426" s="404"/>
      <c r="Q426" s="392"/>
      <c r="R426" s="392"/>
      <c r="S426" s="392"/>
      <c r="T426" s="392"/>
      <c r="U426" s="392"/>
      <c r="V426" s="392"/>
      <c r="W426" s="392"/>
      <c r="X426" s="392"/>
      <c r="Y426" s="392"/>
      <c r="Z426" s="392"/>
      <c r="AA426" s="392"/>
      <c r="AB426" s="419"/>
      <c r="AC426" s="419"/>
      <c r="AD426" s="404"/>
      <c r="AE426" s="404"/>
      <c r="AF426" s="429"/>
      <c r="AG426" s="392"/>
      <c r="AH426" s="414"/>
      <c r="AI426" s="410"/>
      <c r="AJ426" s="410"/>
    </row>
    <row r="427">
      <c r="A427" s="403"/>
      <c r="B427" s="403"/>
      <c r="C427" s="403"/>
      <c r="D427" s="403"/>
      <c r="E427" s="403"/>
      <c r="F427" s="403"/>
      <c r="G427" s="405"/>
      <c r="H427" s="403"/>
      <c r="I427" s="392"/>
      <c r="J427" s="392"/>
      <c r="K427" s="392"/>
      <c r="L427" s="403"/>
      <c r="M427" s="403"/>
      <c r="N427" s="403"/>
      <c r="O427" s="392"/>
      <c r="P427" s="404"/>
      <c r="Q427" s="392"/>
      <c r="R427" s="392"/>
      <c r="S427" s="392"/>
      <c r="T427" s="392"/>
      <c r="U427" s="392"/>
      <c r="V427" s="392"/>
      <c r="W427" s="392"/>
      <c r="X427" s="392"/>
      <c r="Y427" s="392"/>
      <c r="Z427" s="392"/>
      <c r="AA427" s="392"/>
      <c r="AB427" s="419"/>
      <c r="AC427" s="419"/>
      <c r="AD427" s="404"/>
      <c r="AE427" s="404"/>
      <c r="AF427" s="418"/>
      <c r="AG427" s="403"/>
      <c r="AH427" s="414"/>
      <c r="AI427" s="410"/>
      <c r="AJ427" s="410"/>
    </row>
    <row r="428">
      <c r="A428" s="403"/>
      <c r="B428" s="403"/>
      <c r="C428" s="403"/>
      <c r="D428" s="403"/>
      <c r="E428" s="403"/>
      <c r="F428" s="403"/>
      <c r="G428" s="403"/>
      <c r="H428" s="403"/>
      <c r="I428" s="392"/>
      <c r="J428" s="392"/>
      <c r="K428" s="392"/>
      <c r="L428" s="403"/>
      <c r="M428" s="392"/>
      <c r="N428" s="392"/>
      <c r="O428" s="392"/>
      <c r="P428" s="404"/>
      <c r="Q428" s="392"/>
      <c r="R428" s="392"/>
      <c r="S428" s="392"/>
      <c r="T428" s="392"/>
      <c r="U428" s="392"/>
      <c r="V428" s="392"/>
      <c r="W428" s="392"/>
      <c r="X428" s="392"/>
      <c r="Y428" s="392"/>
      <c r="Z428" s="392"/>
      <c r="AA428" s="392"/>
      <c r="AB428" s="419"/>
      <c r="AC428" s="419"/>
      <c r="AD428" s="404"/>
      <c r="AE428" s="404"/>
      <c r="AF428" s="429"/>
      <c r="AG428" s="392"/>
      <c r="AH428" s="414"/>
      <c r="AI428" s="426"/>
      <c r="AJ428" s="410"/>
    </row>
    <row r="429">
      <c r="A429" s="403"/>
      <c r="B429" s="403"/>
      <c r="C429" s="403"/>
      <c r="D429" s="403"/>
      <c r="E429" s="403"/>
      <c r="F429" s="403"/>
      <c r="G429" s="392"/>
      <c r="H429" s="403"/>
      <c r="I429" s="392"/>
      <c r="J429" s="392"/>
      <c r="K429" s="392"/>
      <c r="L429" s="403"/>
      <c r="M429" s="392"/>
      <c r="N429" s="392"/>
      <c r="O429" s="392"/>
      <c r="P429" s="404"/>
      <c r="Q429" s="392"/>
      <c r="R429" s="392"/>
      <c r="S429" s="392"/>
      <c r="T429" s="392"/>
      <c r="U429" s="392"/>
      <c r="V429" s="392"/>
      <c r="W429" s="392"/>
      <c r="X429" s="392"/>
      <c r="Y429" s="392"/>
      <c r="Z429" s="392"/>
      <c r="AA429" s="392"/>
      <c r="AB429" s="419"/>
      <c r="AC429" s="419"/>
      <c r="AD429" s="404"/>
      <c r="AE429" s="404"/>
      <c r="AF429" s="429"/>
      <c r="AG429" s="392"/>
      <c r="AH429" s="414"/>
      <c r="AI429" s="426"/>
      <c r="AJ429" s="410"/>
    </row>
    <row r="430">
      <c r="A430" s="403"/>
      <c r="B430" s="403"/>
      <c r="C430" s="403"/>
      <c r="D430" s="403"/>
      <c r="E430" s="403"/>
      <c r="F430" s="403"/>
      <c r="G430" s="403"/>
      <c r="H430" s="403"/>
      <c r="I430" s="392"/>
      <c r="J430" s="392"/>
      <c r="K430" s="392"/>
      <c r="L430" s="403"/>
      <c r="M430" s="392"/>
      <c r="N430" s="392"/>
      <c r="O430" s="392"/>
      <c r="P430" s="404"/>
      <c r="Q430" s="392"/>
      <c r="R430" s="392"/>
      <c r="S430" s="392"/>
      <c r="T430" s="392"/>
      <c r="U430" s="392"/>
      <c r="V430" s="392"/>
      <c r="W430" s="392"/>
      <c r="X430" s="392"/>
      <c r="Y430" s="392"/>
      <c r="Z430" s="392"/>
      <c r="AA430" s="392"/>
      <c r="AB430" s="419"/>
      <c r="AC430" s="419"/>
      <c r="AD430" s="404"/>
      <c r="AE430" s="404"/>
      <c r="AF430" s="429"/>
      <c r="AG430" s="392"/>
      <c r="AH430" s="414"/>
      <c r="AI430" s="426"/>
      <c r="AJ430" s="410"/>
    </row>
    <row r="431">
      <c r="A431" s="403"/>
      <c r="B431" s="403"/>
      <c r="C431" s="403"/>
      <c r="D431" s="403"/>
      <c r="E431" s="403"/>
      <c r="F431" s="403"/>
      <c r="G431" s="392"/>
      <c r="H431" s="403"/>
      <c r="I431" s="392"/>
      <c r="J431" s="392"/>
      <c r="K431" s="392"/>
      <c r="L431" s="403"/>
      <c r="M431" s="392"/>
      <c r="N431" s="392"/>
      <c r="O431" s="392"/>
      <c r="P431" s="404"/>
      <c r="Q431" s="392"/>
      <c r="R431" s="392"/>
      <c r="S431" s="392"/>
      <c r="T431" s="392"/>
      <c r="U431" s="392"/>
      <c r="V431" s="392"/>
      <c r="W431" s="392"/>
      <c r="X431" s="392"/>
      <c r="Y431" s="392"/>
      <c r="Z431" s="392"/>
      <c r="AA431" s="392"/>
      <c r="AB431" s="419"/>
      <c r="AC431" s="419"/>
      <c r="AD431" s="404"/>
      <c r="AE431" s="404"/>
      <c r="AF431" s="429"/>
      <c r="AG431" s="392"/>
      <c r="AH431" s="414"/>
      <c r="AI431" s="426"/>
      <c r="AJ431" s="410"/>
    </row>
    <row r="432">
      <c r="A432" s="403"/>
      <c r="B432" s="403"/>
      <c r="C432" s="403"/>
      <c r="D432" s="403"/>
      <c r="E432" s="403"/>
      <c r="F432" s="403"/>
      <c r="G432" s="392"/>
      <c r="H432" s="403"/>
      <c r="I432" s="392"/>
      <c r="J432" s="392"/>
      <c r="K432" s="392"/>
      <c r="L432" s="403"/>
      <c r="M432" s="392"/>
      <c r="N432" s="392"/>
      <c r="O432" s="392"/>
      <c r="P432" s="404"/>
      <c r="Q432" s="392"/>
      <c r="R432" s="392"/>
      <c r="S432" s="392"/>
      <c r="T432" s="392"/>
      <c r="U432" s="392"/>
      <c r="V432" s="392"/>
      <c r="W432" s="392"/>
      <c r="X432" s="392"/>
      <c r="Y432" s="392"/>
      <c r="Z432" s="392"/>
      <c r="AA432" s="392"/>
      <c r="AB432" s="419"/>
      <c r="AC432" s="419"/>
      <c r="AD432" s="404"/>
      <c r="AE432" s="404"/>
      <c r="AF432" s="429"/>
      <c r="AG432" s="392"/>
      <c r="AH432" s="414"/>
      <c r="AI432" s="426"/>
      <c r="AJ432" s="410"/>
    </row>
    <row r="433">
      <c r="A433" s="403"/>
      <c r="B433" s="403"/>
      <c r="C433" s="403"/>
      <c r="D433" s="403"/>
      <c r="E433" s="403"/>
      <c r="F433" s="403"/>
      <c r="G433" s="392"/>
      <c r="H433" s="403"/>
      <c r="I433" s="392"/>
      <c r="J433" s="392"/>
      <c r="K433" s="392"/>
      <c r="L433" s="403"/>
      <c r="M433" s="392"/>
      <c r="N433" s="392"/>
      <c r="O433" s="392"/>
      <c r="P433" s="404"/>
      <c r="Q433" s="392"/>
      <c r="R433" s="392"/>
      <c r="S433" s="392"/>
      <c r="T433" s="392"/>
      <c r="U433" s="392"/>
      <c r="V433" s="392"/>
      <c r="W433" s="392"/>
      <c r="X433" s="392"/>
      <c r="Y433" s="392"/>
      <c r="Z433" s="392"/>
      <c r="AA433" s="392"/>
      <c r="AB433" s="419"/>
      <c r="AC433" s="419"/>
      <c r="AD433" s="404"/>
      <c r="AE433" s="404"/>
      <c r="AF433" s="429"/>
      <c r="AG433" s="392"/>
      <c r="AH433" s="414"/>
      <c r="AI433" s="426"/>
      <c r="AJ433" s="410"/>
    </row>
    <row r="434">
      <c r="A434" s="403"/>
      <c r="B434" s="403"/>
      <c r="C434" s="403"/>
      <c r="D434" s="403"/>
      <c r="E434" s="403"/>
      <c r="F434" s="403"/>
      <c r="G434" s="392"/>
      <c r="H434" s="403"/>
      <c r="I434" s="392"/>
      <c r="J434" s="392"/>
      <c r="K434" s="392"/>
      <c r="L434" s="403"/>
      <c r="M434" s="392"/>
      <c r="N434" s="392"/>
      <c r="O434" s="392"/>
      <c r="P434" s="404"/>
      <c r="Q434" s="392"/>
      <c r="R434" s="392"/>
      <c r="S434" s="392"/>
      <c r="T434" s="392"/>
      <c r="U434" s="392"/>
      <c r="V434" s="392"/>
      <c r="W434" s="392"/>
      <c r="X434" s="392"/>
      <c r="Y434" s="392"/>
      <c r="Z434" s="392"/>
      <c r="AA434" s="392"/>
      <c r="AB434" s="419"/>
      <c r="AC434" s="419"/>
      <c r="AD434" s="404"/>
      <c r="AE434" s="404"/>
      <c r="AF434" s="429"/>
      <c r="AG434" s="392"/>
      <c r="AH434" s="414"/>
      <c r="AI434" s="426"/>
      <c r="AJ434" s="410"/>
    </row>
    <row r="435">
      <c r="A435" s="403"/>
      <c r="B435" s="403"/>
      <c r="C435" s="403"/>
      <c r="D435" s="405"/>
      <c r="E435" s="403"/>
      <c r="F435" s="403"/>
      <c r="G435" s="403"/>
      <c r="H435" s="403"/>
      <c r="I435" s="403"/>
      <c r="J435" s="403"/>
      <c r="K435" s="403"/>
      <c r="L435" s="403"/>
      <c r="M435" s="403"/>
      <c r="N435" s="403"/>
      <c r="O435" s="403"/>
      <c r="P435" s="403"/>
      <c r="Q435" s="403"/>
      <c r="R435" s="403"/>
      <c r="S435" s="403"/>
      <c r="T435" s="403"/>
      <c r="U435" s="403"/>
      <c r="V435" s="403"/>
      <c r="W435" s="404"/>
      <c r="X435" s="404"/>
      <c r="Y435" s="404"/>
      <c r="Z435" s="404"/>
      <c r="AA435" s="404"/>
      <c r="AB435" s="413"/>
      <c r="AC435" s="419"/>
      <c r="AD435" s="404"/>
      <c r="AE435" s="404"/>
      <c r="AF435" s="418"/>
      <c r="AG435" s="403"/>
      <c r="AH435" s="411"/>
      <c r="AI435" s="426"/>
      <c r="AJ435" s="410"/>
    </row>
    <row r="436">
      <c r="A436" s="403"/>
      <c r="B436" s="403"/>
      <c r="C436" s="403"/>
      <c r="D436" s="405"/>
      <c r="E436" s="403"/>
      <c r="F436" s="403"/>
      <c r="G436" s="403"/>
      <c r="H436" s="403"/>
      <c r="I436" s="403"/>
      <c r="J436" s="403"/>
      <c r="K436" s="403"/>
      <c r="L436" s="403"/>
      <c r="M436" s="403"/>
      <c r="N436" s="403"/>
      <c r="O436" s="403"/>
      <c r="P436" s="403"/>
      <c r="Q436" s="403"/>
      <c r="R436" s="403"/>
      <c r="S436" s="403"/>
      <c r="T436" s="403"/>
      <c r="U436" s="403"/>
      <c r="V436" s="403"/>
      <c r="W436" s="404"/>
      <c r="X436" s="404"/>
      <c r="Y436" s="404"/>
      <c r="Z436" s="404"/>
      <c r="AA436" s="404"/>
      <c r="AB436" s="413"/>
      <c r="AC436" s="419"/>
      <c r="AD436" s="404"/>
      <c r="AE436" s="404"/>
      <c r="AF436" s="418"/>
      <c r="AG436" s="403"/>
      <c r="AH436" s="409"/>
      <c r="AI436" s="426"/>
      <c r="AJ436" s="410"/>
    </row>
    <row r="437">
      <c r="A437" s="402"/>
      <c r="B437" s="402"/>
      <c r="C437" s="403"/>
      <c r="D437" s="405"/>
      <c r="E437" s="403"/>
      <c r="F437" s="403"/>
      <c r="G437" s="392"/>
      <c r="H437" s="403"/>
      <c r="I437" s="392"/>
      <c r="J437" s="392"/>
      <c r="K437" s="392"/>
      <c r="L437" s="403"/>
      <c r="M437" s="392"/>
      <c r="N437" s="392"/>
      <c r="O437" s="392"/>
      <c r="P437" s="404"/>
      <c r="Q437" s="392"/>
      <c r="R437" s="392"/>
      <c r="S437" s="392"/>
      <c r="T437" s="392"/>
      <c r="U437" s="392"/>
      <c r="V437" s="392"/>
      <c r="W437" s="392"/>
      <c r="X437" s="392"/>
      <c r="Y437" s="392"/>
      <c r="Z437" s="392"/>
      <c r="AA437" s="392"/>
      <c r="AB437" s="419"/>
      <c r="AC437" s="419"/>
      <c r="AD437" s="404"/>
      <c r="AE437" s="404"/>
      <c r="AF437" s="429"/>
      <c r="AG437" s="392"/>
      <c r="AH437" s="411"/>
      <c r="AI437" s="426"/>
      <c r="AJ437" s="410"/>
    </row>
    <row r="438">
      <c r="A438" s="402"/>
      <c r="B438" s="402"/>
      <c r="C438" s="403"/>
      <c r="D438" s="405"/>
      <c r="E438" s="403"/>
      <c r="F438" s="403"/>
      <c r="G438" s="392"/>
      <c r="H438" s="403"/>
      <c r="I438" s="392"/>
      <c r="J438" s="392"/>
      <c r="K438" s="392"/>
      <c r="L438" s="403"/>
      <c r="M438" s="392"/>
      <c r="N438" s="392"/>
      <c r="O438" s="392"/>
      <c r="P438" s="404"/>
      <c r="Q438" s="392"/>
      <c r="R438" s="392"/>
      <c r="S438" s="392"/>
      <c r="T438" s="392"/>
      <c r="U438" s="392"/>
      <c r="V438" s="392"/>
      <c r="W438" s="392"/>
      <c r="X438" s="392"/>
      <c r="Y438" s="392"/>
      <c r="Z438" s="392"/>
      <c r="AA438" s="392"/>
      <c r="AB438" s="419"/>
      <c r="AC438" s="419"/>
      <c r="AD438" s="404"/>
      <c r="AE438" s="404"/>
      <c r="AF438" s="429"/>
      <c r="AG438" s="392"/>
      <c r="AH438" s="411"/>
      <c r="AI438" s="426"/>
      <c r="AJ438" s="410"/>
    </row>
    <row r="439">
      <c r="A439" s="402"/>
      <c r="B439" s="402"/>
      <c r="C439" s="403"/>
      <c r="D439" s="405"/>
      <c r="E439" s="403"/>
      <c r="F439" s="403"/>
      <c r="G439" s="392"/>
      <c r="H439" s="403"/>
      <c r="I439" s="392"/>
      <c r="J439" s="392"/>
      <c r="K439" s="392"/>
      <c r="L439" s="403"/>
      <c r="M439" s="392"/>
      <c r="N439" s="392"/>
      <c r="O439" s="392"/>
      <c r="P439" s="404"/>
      <c r="Q439" s="392"/>
      <c r="R439" s="392"/>
      <c r="S439" s="392"/>
      <c r="T439" s="392"/>
      <c r="U439" s="392"/>
      <c r="V439" s="392"/>
      <c r="W439" s="392"/>
      <c r="X439" s="392"/>
      <c r="Y439" s="392"/>
      <c r="Z439" s="392"/>
      <c r="AA439" s="392"/>
      <c r="AB439" s="419"/>
      <c r="AC439" s="419"/>
      <c r="AD439" s="404"/>
      <c r="AE439" s="404"/>
      <c r="AF439" s="429"/>
      <c r="AG439" s="392"/>
      <c r="AH439" s="411"/>
      <c r="AI439" s="426"/>
      <c r="AJ439" s="410"/>
    </row>
    <row r="440">
      <c r="A440" s="402"/>
      <c r="B440" s="402"/>
      <c r="C440" s="403"/>
      <c r="D440" s="405"/>
      <c r="E440" s="403"/>
      <c r="F440" s="403"/>
      <c r="G440" s="403"/>
      <c r="H440" s="403"/>
      <c r="I440" s="392"/>
      <c r="J440" s="392"/>
      <c r="K440" s="392"/>
      <c r="L440" s="403"/>
      <c r="M440" s="392"/>
      <c r="N440" s="392"/>
      <c r="O440" s="392"/>
      <c r="P440" s="404"/>
      <c r="Q440" s="392"/>
      <c r="R440" s="392"/>
      <c r="S440" s="392"/>
      <c r="T440" s="392"/>
      <c r="U440" s="392"/>
      <c r="V440" s="392"/>
      <c r="W440" s="392"/>
      <c r="X440" s="392"/>
      <c r="Y440" s="392"/>
      <c r="Z440" s="392"/>
      <c r="AA440" s="392"/>
      <c r="AB440" s="419"/>
      <c r="AC440" s="419"/>
      <c r="AD440" s="404"/>
      <c r="AE440" s="404"/>
      <c r="AF440" s="429"/>
      <c r="AG440" s="392"/>
      <c r="AH440" s="411"/>
      <c r="AI440" s="426"/>
      <c r="AJ440" s="410"/>
    </row>
    <row r="441">
      <c r="A441" s="402"/>
      <c r="B441" s="402"/>
      <c r="C441" s="403"/>
      <c r="D441" s="405"/>
      <c r="E441" s="403"/>
      <c r="F441" s="403"/>
      <c r="G441" s="403"/>
      <c r="H441" s="403"/>
      <c r="I441" s="392"/>
      <c r="J441" s="392"/>
      <c r="K441" s="392"/>
      <c r="L441" s="403"/>
      <c r="M441" s="392"/>
      <c r="N441" s="392"/>
      <c r="O441" s="392"/>
      <c r="P441" s="404"/>
      <c r="Q441" s="392"/>
      <c r="R441" s="392"/>
      <c r="S441" s="392"/>
      <c r="T441" s="392"/>
      <c r="U441" s="392"/>
      <c r="V441" s="392"/>
      <c r="W441" s="392"/>
      <c r="X441" s="392"/>
      <c r="Y441" s="392"/>
      <c r="Z441" s="392"/>
      <c r="AA441" s="392"/>
      <c r="AB441" s="419"/>
      <c r="AC441" s="419"/>
      <c r="AD441" s="404"/>
      <c r="AE441" s="404"/>
      <c r="AF441" s="429"/>
      <c r="AG441" s="392"/>
      <c r="AH441" s="411"/>
      <c r="AI441" s="426"/>
      <c r="AJ441" s="410"/>
    </row>
    <row r="442">
      <c r="A442" s="402"/>
      <c r="B442" s="402"/>
      <c r="C442" s="403"/>
      <c r="D442" s="405"/>
      <c r="E442" s="403"/>
      <c r="F442" s="403"/>
      <c r="G442" s="403"/>
      <c r="H442" s="403"/>
      <c r="I442" s="392"/>
      <c r="J442" s="392"/>
      <c r="K442" s="392"/>
      <c r="L442" s="403"/>
      <c r="M442" s="392"/>
      <c r="N442" s="392"/>
      <c r="O442" s="392"/>
      <c r="P442" s="404"/>
      <c r="Q442" s="392"/>
      <c r="R442" s="392"/>
      <c r="S442" s="392"/>
      <c r="T442" s="392"/>
      <c r="U442" s="392"/>
      <c r="V442" s="392"/>
      <c r="W442" s="392"/>
      <c r="X442" s="392"/>
      <c r="Y442" s="409"/>
      <c r="Z442" s="392"/>
      <c r="AA442" s="392"/>
      <c r="AB442" s="419"/>
      <c r="AC442" s="419"/>
      <c r="AD442" s="404"/>
      <c r="AE442" s="404"/>
      <c r="AF442" s="429"/>
      <c r="AG442" s="392"/>
      <c r="AH442" s="411"/>
      <c r="AI442" s="426"/>
      <c r="AJ442" s="410"/>
    </row>
    <row r="443">
      <c r="A443" s="402"/>
      <c r="B443" s="402"/>
      <c r="C443" s="403"/>
      <c r="D443" s="405"/>
      <c r="E443" s="403"/>
      <c r="F443" s="403"/>
      <c r="G443" s="403"/>
      <c r="H443" s="403"/>
      <c r="I443" s="392"/>
      <c r="J443" s="392"/>
      <c r="K443" s="392"/>
      <c r="L443" s="403"/>
      <c r="M443" s="392"/>
      <c r="N443" s="392"/>
      <c r="O443" s="392"/>
      <c r="P443" s="404"/>
      <c r="Q443" s="392"/>
      <c r="R443" s="392"/>
      <c r="S443" s="392"/>
      <c r="T443" s="392"/>
      <c r="U443" s="392"/>
      <c r="V443" s="392"/>
      <c r="W443" s="392"/>
      <c r="X443" s="392"/>
      <c r="Y443" s="392"/>
      <c r="Z443" s="392"/>
      <c r="AA443" s="392"/>
      <c r="AB443" s="419"/>
      <c r="AC443" s="419"/>
      <c r="AD443" s="404"/>
      <c r="AE443" s="404"/>
      <c r="AF443" s="429"/>
      <c r="AG443" s="392"/>
      <c r="AH443" s="411"/>
      <c r="AI443" s="426"/>
      <c r="AJ443" s="410"/>
    </row>
    <row r="444">
      <c r="A444" s="403"/>
      <c r="B444" s="403"/>
      <c r="C444" s="403"/>
      <c r="D444" s="405"/>
      <c r="E444" s="403"/>
      <c r="F444" s="403"/>
      <c r="G444" s="403"/>
      <c r="H444" s="403"/>
      <c r="I444" s="403"/>
      <c r="J444" s="403"/>
      <c r="K444" s="403"/>
      <c r="L444" s="403"/>
      <c r="M444" s="403"/>
      <c r="N444" s="403"/>
      <c r="O444" s="403"/>
      <c r="P444" s="403"/>
      <c r="Q444" s="403"/>
      <c r="R444" s="403"/>
      <c r="S444" s="403"/>
      <c r="T444" s="403"/>
      <c r="U444" s="403"/>
      <c r="V444" s="403"/>
      <c r="W444" s="404"/>
      <c r="X444" s="404"/>
      <c r="Y444" s="404"/>
      <c r="Z444" s="404"/>
      <c r="AA444" s="404"/>
      <c r="AB444" s="413"/>
      <c r="AC444" s="419"/>
      <c r="AD444" s="404"/>
      <c r="AE444" s="404"/>
      <c r="AF444" s="418"/>
      <c r="AG444" s="403"/>
      <c r="AH444" s="433"/>
      <c r="AI444" s="426"/>
      <c r="AJ444" s="410"/>
    </row>
    <row r="445">
      <c r="A445" s="403"/>
      <c r="B445" s="403"/>
      <c r="C445" s="403"/>
      <c r="D445" s="405"/>
      <c r="E445" s="403"/>
      <c r="F445" s="403"/>
      <c r="G445" s="403"/>
      <c r="H445" s="403"/>
      <c r="I445" s="403"/>
      <c r="J445" s="403"/>
      <c r="K445" s="403"/>
      <c r="L445" s="403"/>
      <c r="M445" s="403"/>
      <c r="N445" s="403"/>
      <c r="O445" s="403"/>
      <c r="P445" s="403"/>
      <c r="Q445" s="403"/>
      <c r="R445" s="403"/>
      <c r="S445" s="403"/>
      <c r="T445" s="403"/>
      <c r="U445" s="403"/>
      <c r="V445" s="403"/>
      <c r="W445" s="404"/>
      <c r="X445" s="404"/>
      <c r="Y445" s="404"/>
      <c r="Z445" s="404"/>
      <c r="AA445" s="392"/>
      <c r="AB445" s="413"/>
      <c r="AC445" s="419"/>
      <c r="AD445" s="404"/>
      <c r="AE445" s="404"/>
      <c r="AF445" s="418"/>
      <c r="AG445" s="403"/>
      <c r="AH445" s="433"/>
      <c r="AI445" s="426"/>
      <c r="AJ445" s="410"/>
    </row>
    <row r="446">
      <c r="A446" s="403"/>
      <c r="B446" s="403"/>
      <c r="C446" s="403"/>
      <c r="D446" s="405"/>
      <c r="E446" s="403"/>
      <c r="F446" s="403"/>
      <c r="G446" s="403"/>
      <c r="H446" s="403"/>
      <c r="I446" s="403"/>
      <c r="J446" s="403"/>
      <c r="K446" s="403"/>
      <c r="L446" s="403"/>
      <c r="M446" s="403"/>
      <c r="N446" s="403"/>
      <c r="O446" s="403"/>
      <c r="P446" s="403"/>
      <c r="Q446" s="403"/>
      <c r="R446" s="403"/>
      <c r="S446" s="403"/>
      <c r="T446" s="403"/>
      <c r="U446" s="403"/>
      <c r="V446" s="403"/>
      <c r="W446" s="404"/>
      <c r="X446" s="404"/>
      <c r="Y446" s="404"/>
      <c r="Z446" s="404"/>
      <c r="AA446" s="404"/>
      <c r="AB446" s="413"/>
      <c r="AC446" s="419"/>
      <c r="AD446" s="404"/>
      <c r="AE446" s="404"/>
      <c r="AF446" s="418"/>
      <c r="AG446" s="403"/>
      <c r="AH446" s="439"/>
      <c r="AI446" s="426"/>
      <c r="AJ446" s="410"/>
    </row>
    <row r="447">
      <c r="A447" s="403"/>
      <c r="B447" s="403"/>
      <c r="C447" s="403"/>
      <c r="D447" s="405"/>
      <c r="E447" s="403"/>
      <c r="F447" s="403"/>
      <c r="G447" s="403"/>
      <c r="H447" s="403"/>
      <c r="I447" s="403"/>
      <c r="J447" s="403"/>
      <c r="K447" s="403"/>
      <c r="L447" s="403"/>
      <c r="M447" s="403"/>
      <c r="N447" s="403"/>
      <c r="O447" s="403"/>
      <c r="P447" s="403"/>
      <c r="Q447" s="403"/>
      <c r="R447" s="403"/>
      <c r="S447" s="403"/>
      <c r="T447" s="403"/>
      <c r="U447" s="403"/>
      <c r="V447" s="403"/>
      <c r="W447" s="404"/>
      <c r="X447" s="404"/>
      <c r="Y447" s="404"/>
      <c r="Z447" s="404"/>
      <c r="AA447" s="392"/>
      <c r="AB447" s="413"/>
      <c r="AC447" s="419"/>
      <c r="AD447" s="404"/>
      <c r="AE447" s="404"/>
      <c r="AF447" s="418"/>
      <c r="AG447" s="403"/>
      <c r="AH447" s="440"/>
      <c r="AI447" s="426"/>
      <c r="AJ447" s="410"/>
    </row>
    <row r="448">
      <c r="A448" s="403"/>
      <c r="B448" s="403"/>
      <c r="C448" s="403"/>
      <c r="D448" s="405"/>
      <c r="E448" s="403"/>
      <c r="F448" s="403"/>
      <c r="G448" s="403"/>
      <c r="H448" s="403"/>
      <c r="I448" s="403"/>
      <c r="J448" s="403"/>
      <c r="K448" s="403"/>
      <c r="L448" s="403"/>
      <c r="M448" s="403"/>
      <c r="N448" s="403"/>
      <c r="O448" s="403"/>
      <c r="P448" s="403"/>
      <c r="Q448" s="403"/>
      <c r="R448" s="403"/>
      <c r="S448" s="403"/>
      <c r="T448" s="403"/>
      <c r="U448" s="403"/>
      <c r="V448" s="403"/>
      <c r="W448" s="404"/>
      <c r="X448" s="404"/>
      <c r="Y448" s="404"/>
      <c r="Z448" s="404"/>
      <c r="AA448" s="392"/>
      <c r="AB448" s="413"/>
      <c r="AC448" s="419"/>
      <c r="AD448" s="404"/>
      <c r="AE448" s="404"/>
      <c r="AF448" s="418"/>
      <c r="AG448" s="403"/>
      <c r="AH448" s="440"/>
      <c r="AI448" s="426"/>
      <c r="AJ448" s="410"/>
    </row>
    <row r="449">
      <c r="A449" s="403"/>
      <c r="B449" s="403"/>
      <c r="C449" s="403"/>
      <c r="D449" s="405"/>
      <c r="E449" s="403"/>
      <c r="F449" s="403"/>
      <c r="G449" s="403"/>
      <c r="H449" s="403"/>
      <c r="I449" s="403"/>
      <c r="J449" s="403"/>
      <c r="K449" s="403"/>
      <c r="L449" s="403"/>
      <c r="M449" s="403"/>
      <c r="N449" s="403"/>
      <c r="O449" s="403"/>
      <c r="P449" s="403"/>
      <c r="Q449" s="403"/>
      <c r="R449" s="403"/>
      <c r="S449" s="403"/>
      <c r="T449" s="403"/>
      <c r="U449" s="403"/>
      <c r="V449" s="403"/>
      <c r="W449" s="404"/>
      <c r="X449" s="404"/>
      <c r="Y449" s="404"/>
      <c r="Z449" s="404"/>
      <c r="AA449" s="392"/>
      <c r="AB449" s="413"/>
      <c r="AC449" s="419"/>
      <c r="AD449" s="404"/>
      <c r="AE449" s="404"/>
      <c r="AF449" s="418"/>
      <c r="AG449" s="403"/>
      <c r="AH449" s="440"/>
      <c r="AI449" s="426"/>
      <c r="AJ449" s="410"/>
    </row>
    <row r="450">
      <c r="A450" s="403"/>
      <c r="B450" s="403"/>
      <c r="C450" s="403"/>
      <c r="D450" s="405"/>
      <c r="E450" s="403"/>
      <c r="F450" s="403"/>
      <c r="G450" s="403"/>
      <c r="H450" s="403"/>
      <c r="I450" s="403"/>
      <c r="J450" s="403"/>
      <c r="K450" s="403"/>
      <c r="L450" s="403"/>
      <c r="M450" s="403"/>
      <c r="N450" s="403"/>
      <c r="O450" s="403"/>
      <c r="P450" s="403"/>
      <c r="Q450" s="403"/>
      <c r="R450" s="403"/>
      <c r="S450" s="403"/>
      <c r="T450" s="403"/>
      <c r="U450" s="403"/>
      <c r="V450" s="403"/>
      <c r="W450" s="404"/>
      <c r="X450" s="404"/>
      <c r="Y450" s="404"/>
      <c r="Z450" s="404"/>
      <c r="AA450" s="392"/>
      <c r="AB450" s="413"/>
      <c r="AC450" s="419"/>
      <c r="AD450" s="404"/>
      <c r="AE450" s="404"/>
      <c r="AF450" s="418"/>
      <c r="AG450" s="403"/>
      <c r="AH450" s="440"/>
      <c r="AI450" s="426"/>
      <c r="AJ450" s="410"/>
    </row>
    <row r="451">
      <c r="A451" s="403"/>
      <c r="B451" s="403"/>
      <c r="C451" s="403"/>
      <c r="D451" s="405"/>
      <c r="E451" s="403"/>
      <c r="F451" s="403"/>
      <c r="G451" s="403"/>
      <c r="H451" s="403"/>
      <c r="I451" s="403"/>
      <c r="J451" s="403"/>
      <c r="K451" s="403"/>
      <c r="L451" s="403"/>
      <c r="M451" s="403"/>
      <c r="N451" s="403"/>
      <c r="O451" s="403"/>
      <c r="P451" s="403"/>
      <c r="Q451" s="403"/>
      <c r="R451" s="403"/>
      <c r="S451" s="403"/>
      <c r="T451" s="403"/>
      <c r="U451" s="403"/>
      <c r="V451" s="403"/>
      <c r="W451" s="404"/>
      <c r="X451" s="404"/>
      <c r="Y451" s="404"/>
      <c r="Z451" s="404"/>
      <c r="AA451" s="392"/>
      <c r="AB451" s="413"/>
      <c r="AC451" s="419"/>
      <c r="AD451" s="404"/>
      <c r="AE451" s="404"/>
      <c r="AF451" s="418"/>
      <c r="AG451" s="403"/>
      <c r="AH451" s="440"/>
      <c r="AI451" s="426"/>
      <c r="AJ451" s="410"/>
    </row>
    <row r="452">
      <c r="A452" s="403"/>
      <c r="B452" s="403"/>
      <c r="C452" s="403"/>
      <c r="D452" s="405"/>
      <c r="E452" s="403"/>
      <c r="F452" s="403"/>
      <c r="G452" s="403"/>
      <c r="H452" s="403"/>
      <c r="I452" s="403"/>
      <c r="J452" s="403"/>
      <c r="K452" s="403"/>
      <c r="L452" s="403"/>
      <c r="M452" s="403"/>
      <c r="N452" s="403"/>
      <c r="O452" s="403"/>
      <c r="P452" s="403"/>
      <c r="Q452" s="403"/>
      <c r="R452" s="403"/>
      <c r="S452" s="403"/>
      <c r="T452" s="403"/>
      <c r="U452" s="403"/>
      <c r="V452" s="403"/>
      <c r="W452" s="404"/>
      <c r="X452" s="404"/>
      <c r="Y452" s="404"/>
      <c r="Z452" s="404"/>
      <c r="AA452" s="392"/>
      <c r="AB452" s="413"/>
      <c r="AC452" s="419"/>
      <c r="AD452" s="404"/>
      <c r="AE452" s="404"/>
      <c r="AF452" s="418"/>
      <c r="AG452" s="403"/>
      <c r="AH452" s="440"/>
      <c r="AI452" s="426"/>
      <c r="AJ452" s="410"/>
    </row>
    <row r="453">
      <c r="A453" s="403"/>
      <c r="B453" s="403"/>
      <c r="C453" s="403"/>
      <c r="D453" s="405"/>
      <c r="E453" s="403"/>
      <c r="F453" s="403"/>
      <c r="G453" s="403"/>
      <c r="H453" s="403"/>
      <c r="I453" s="403"/>
      <c r="J453" s="403"/>
      <c r="K453" s="403"/>
      <c r="L453" s="403"/>
      <c r="M453" s="403"/>
      <c r="N453" s="403"/>
      <c r="O453" s="403"/>
      <c r="P453" s="403"/>
      <c r="Q453" s="403"/>
      <c r="R453" s="403"/>
      <c r="S453" s="403"/>
      <c r="T453" s="403"/>
      <c r="U453" s="403"/>
      <c r="V453" s="403"/>
      <c r="W453" s="404"/>
      <c r="X453" s="404"/>
      <c r="Y453" s="404"/>
      <c r="Z453" s="404"/>
      <c r="AA453" s="392"/>
      <c r="AB453" s="413"/>
      <c r="AC453" s="419"/>
      <c r="AD453" s="404"/>
      <c r="AE453" s="404"/>
      <c r="AF453" s="418"/>
      <c r="AG453" s="403"/>
      <c r="AH453" s="411"/>
      <c r="AI453" s="426"/>
      <c r="AJ453" s="410"/>
    </row>
    <row r="454">
      <c r="A454" s="403"/>
      <c r="B454" s="403"/>
      <c r="C454" s="403"/>
      <c r="D454" s="405"/>
      <c r="E454" s="403"/>
      <c r="F454" s="403"/>
      <c r="G454" s="403"/>
      <c r="H454" s="403"/>
      <c r="I454" s="403"/>
      <c r="J454" s="403"/>
      <c r="K454" s="403"/>
      <c r="L454" s="403"/>
      <c r="M454" s="403"/>
      <c r="N454" s="403"/>
      <c r="O454" s="403"/>
      <c r="P454" s="403"/>
      <c r="Q454" s="403"/>
      <c r="R454" s="403"/>
      <c r="S454" s="403"/>
      <c r="T454" s="403"/>
      <c r="U454" s="403"/>
      <c r="V454" s="403"/>
      <c r="W454" s="404"/>
      <c r="X454" s="404"/>
      <c r="Y454" s="404"/>
      <c r="Z454" s="404"/>
      <c r="AA454" s="392"/>
      <c r="AB454" s="413"/>
      <c r="AC454" s="419"/>
      <c r="AD454" s="404"/>
      <c r="AE454" s="404"/>
      <c r="AF454" s="418"/>
      <c r="AG454" s="403"/>
      <c r="AH454" s="440"/>
      <c r="AI454" s="426"/>
      <c r="AJ454" s="410"/>
    </row>
    <row r="455">
      <c r="A455" s="403"/>
      <c r="B455" s="403"/>
      <c r="C455" s="403"/>
      <c r="D455" s="405"/>
      <c r="E455" s="403"/>
      <c r="F455" s="403"/>
      <c r="G455" s="403"/>
      <c r="H455" s="403"/>
      <c r="I455" s="403"/>
      <c r="J455" s="403"/>
      <c r="K455" s="403"/>
      <c r="L455" s="403"/>
      <c r="M455" s="403"/>
      <c r="N455" s="403"/>
      <c r="O455" s="403"/>
      <c r="P455" s="403"/>
      <c r="Q455" s="403"/>
      <c r="R455" s="403"/>
      <c r="S455" s="403"/>
      <c r="T455" s="403"/>
      <c r="U455" s="403"/>
      <c r="V455" s="403"/>
      <c r="W455" s="404"/>
      <c r="X455" s="404"/>
      <c r="Y455" s="404"/>
      <c r="Z455" s="404"/>
      <c r="AA455" s="392"/>
      <c r="AB455" s="413"/>
      <c r="AC455" s="419"/>
      <c r="AD455" s="404"/>
      <c r="AE455" s="404"/>
      <c r="AF455" s="418"/>
      <c r="AG455" s="403"/>
      <c r="AH455" s="439"/>
      <c r="AI455" s="426"/>
      <c r="AJ455" s="410"/>
    </row>
    <row r="456">
      <c r="A456" s="403"/>
      <c r="B456" s="403"/>
      <c r="C456" s="403"/>
      <c r="D456" s="405"/>
      <c r="E456" s="403"/>
      <c r="F456" s="403"/>
      <c r="G456" s="403"/>
      <c r="H456" s="403"/>
      <c r="I456" s="403"/>
      <c r="J456" s="403"/>
      <c r="K456" s="403"/>
      <c r="L456" s="403"/>
      <c r="M456" s="403"/>
      <c r="N456" s="403"/>
      <c r="O456" s="403"/>
      <c r="P456" s="403"/>
      <c r="Q456" s="403"/>
      <c r="R456" s="403"/>
      <c r="S456" s="403"/>
      <c r="T456" s="403"/>
      <c r="U456" s="403"/>
      <c r="V456" s="403"/>
      <c r="W456" s="404"/>
      <c r="X456" s="404"/>
      <c r="Y456" s="404"/>
      <c r="Z456" s="404"/>
      <c r="AA456" s="392"/>
      <c r="AB456" s="413"/>
      <c r="AC456" s="419"/>
      <c r="AD456" s="404"/>
      <c r="AE456" s="404"/>
      <c r="AF456" s="418"/>
      <c r="AG456" s="403"/>
      <c r="AH456" s="439"/>
      <c r="AI456" s="426"/>
      <c r="AJ456" s="410"/>
    </row>
    <row r="457">
      <c r="A457" s="403"/>
      <c r="B457" s="403"/>
      <c r="C457" s="403"/>
      <c r="D457" s="405"/>
      <c r="E457" s="403"/>
      <c r="F457" s="403"/>
      <c r="G457" s="403"/>
      <c r="H457" s="403"/>
      <c r="I457" s="403"/>
      <c r="J457" s="403"/>
      <c r="K457" s="403"/>
      <c r="L457" s="403"/>
      <c r="M457" s="403"/>
      <c r="N457" s="403"/>
      <c r="O457" s="403"/>
      <c r="P457" s="403"/>
      <c r="Q457" s="403"/>
      <c r="R457" s="403"/>
      <c r="S457" s="403"/>
      <c r="T457" s="403"/>
      <c r="U457" s="403"/>
      <c r="V457" s="403"/>
      <c r="W457" s="404"/>
      <c r="X457" s="404"/>
      <c r="Y457" s="404"/>
      <c r="Z457" s="404"/>
      <c r="AA457" s="392"/>
      <c r="AB457" s="413"/>
      <c r="AC457" s="419"/>
      <c r="AD457" s="404"/>
      <c r="AE457" s="404"/>
      <c r="AF457" s="418"/>
      <c r="AG457" s="403"/>
      <c r="AH457" s="439"/>
      <c r="AI457" s="426"/>
      <c r="AJ457" s="410"/>
    </row>
    <row r="458">
      <c r="A458" s="403"/>
      <c r="B458" s="403"/>
      <c r="C458" s="403"/>
      <c r="D458" s="405"/>
      <c r="E458" s="403"/>
      <c r="F458" s="403"/>
      <c r="G458" s="403"/>
      <c r="H458" s="403"/>
      <c r="I458" s="403"/>
      <c r="J458" s="403"/>
      <c r="K458" s="403"/>
      <c r="L458" s="403"/>
      <c r="M458" s="403"/>
      <c r="N458" s="403"/>
      <c r="O458" s="403"/>
      <c r="P458" s="403"/>
      <c r="Q458" s="403"/>
      <c r="R458" s="403"/>
      <c r="S458" s="403"/>
      <c r="T458" s="403"/>
      <c r="U458" s="403"/>
      <c r="V458" s="403"/>
      <c r="W458" s="404"/>
      <c r="X458" s="404"/>
      <c r="Y458" s="404"/>
      <c r="Z458" s="404"/>
      <c r="AA458" s="392"/>
      <c r="AB458" s="413"/>
      <c r="AC458" s="419"/>
      <c r="AD458" s="404"/>
      <c r="AE458" s="404"/>
      <c r="AF458" s="418"/>
      <c r="AG458" s="403"/>
      <c r="AH458" s="439"/>
      <c r="AI458" s="426"/>
      <c r="AJ458" s="410"/>
    </row>
    <row r="459">
      <c r="A459" s="403"/>
      <c r="B459" s="403"/>
      <c r="C459" s="403"/>
      <c r="D459" s="405"/>
      <c r="E459" s="403"/>
      <c r="F459" s="403"/>
      <c r="G459" s="403"/>
      <c r="H459" s="403"/>
      <c r="I459" s="403"/>
      <c r="J459" s="403"/>
      <c r="K459" s="403"/>
      <c r="L459" s="403"/>
      <c r="M459" s="403"/>
      <c r="N459" s="403"/>
      <c r="O459" s="403"/>
      <c r="P459" s="403"/>
      <c r="Q459" s="403"/>
      <c r="R459" s="403"/>
      <c r="S459" s="392"/>
      <c r="T459" s="392"/>
      <c r="U459" s="403"/>
      <c r="V459" s="403"/>
      <c r="W459" s="404"/>
      <c r="X459" s="392"/>
      <c r="Y459" s="404"/>
      <c r="Z459" s="404"/>
      <c r="AA459" s="392"/>
      <c r="AB459" s="413"/>
      <c r="AC459" s="419"/>
      <c r="AD459" s="404"/>
      <c r="AE459" s="404"/>
      <c r="AF459" s="418"/>
      <c r="AG459" s="403"/>
      <c r="AH459" s="411"/>
      <c r="AI459" s="426"/>
      <c r="AJ459" s="410"/>
    </row>
    <row r="460">
      <c r="A460" s="403"/>
      <c r="B460" s="403"/>
      <c r="C460" s="403"/>
      <c r="D460" s="405"/>
      <c r="E460" s="403"/>
      <c r="F460" s="403"/>
      <c r="G460" s="403"/>
      <c r="H460" s="403"/>
      <c r="I460" s="403"/>
      <c r="J460" s="403"/>
      <c r="K460" s="403"/>
      <c r="L460" s="403"/>
      <c r="M460" s="403"/>
      <c r="N460" s="403"/>
      <c r="O460" s="403"/>
      <c r="P460" s="403"/>
      <c r="Q460" s="403"/>
      <c r="R460" s="403"/>
      <c r="S460" s="403"/>
      <c r="T460" s="403"/>
      <c r="U460" s="403"/>
      <c r="V460" s="403"/>
      <c r="W460" s="404"/>
      <c r="X460" s="404"/>
      <c r="Y460" s="404"/>
      <c r="Z460" s="404"/>
      <c r="AA460" s="392"/>
      <c r="AB460" s="413"/>
      <c r="AC460" s="419"/>
      <c r="AD460" s="404"/>
      <c r="AE460" s="404"/>
      <c r="AF460" s="418"/>
      <c r="AG460" s="403"/>
      <c r="AH460" s="439"/>
      <c r="AI460" s="426"/>
      <c r="AJ460" s="410"/>
    </row>
    <row r="461">
      <c r="A461" s="403"/>
      <c r="B461" s="403"/>
      <c r="C461" s="403"/>
      <c r="D461" s="405"/>
      <c r="E461" s="403"/>
      <c r="F461" s="403"/>
      <c r="G461" s="403"/>
      <c r="H461" s="403"/>
      <c r="I461" s="403"/>
      <c r="J461" s="403"/>
      <c r="K461" s="403"/>
      <c r="L461" s="403"/>
      <c r="M461" s="403"/>
      <c r="N461" s="403"/>
      <c r="O461" s="403"/>
      <c r="P461" s="403"/>
      <c r="Q461" s="403"/>
      <c r="R461" s="403"/>
      <c r="S461" s="403"/>
      <c r="T461" s="403"/>
      <c r="U461" s="403"/>
      <c r="V461" s="403"/>
      <c r="W461" s="404"/>
      <c r="X461" s="404"/>
      <c r="Y461" s="404"/>
      <c r="Z461" s="404"/>
      <c r="AA461" s="392"/>
      <c r="AB461" s="413"/>
      <c r="AC461" s="419"/>
      <c r="AD461" s="404"/>
      <c r="AE461" s="404"/>
      <c r="AF461" s="418"/>
      <c r="AG461" s="403"/>
      <c r="AH461" s="439"/>
      <c r="AI461" s="426"/>
      <c r="AJ461" s="410"/>
    </row>
    <row r="462">
      <c r="A462" s="403"/>
      <c r="B462" s="403"/>
      <c r="C462" s="403"/>
      <c r="D462" s="405"/>
      <c r="E462" s="403"/>
      <c r="F462" s="403"/>
      <c r="G462" s="403"/>
      <c r="H462" s="403"/>
      <c r="I462" s="403"/>
      <c r="J462" s="403"/>
      <c r="K462" s="403"/>
      <c r="L462" s="403"/>
      <c r="M462" s="403"/>
      <c r="N462" s="403"/>
      <c r="O462" s="403"/>
      <c r="P462" s="403"/>
      <c r="Q462" s="403"/>
      <c r="R462" s="403"/>
      <c r="S462" s="403"/>
      <c r="T462" s="403"/>
      <c r="U462" s="403"/>
      <c r="V462" s="403"/>
      <c r="W462" s="404"/>
      <c r="X462" s="404"/>
      <c r="Y462" s="404"/>
      <c r="Z462" s="404"/>
      <c r="AA462" s="392"/>
      <c r="AB462" s="413"/>
      <c r="AC462" s="419"/>
      <c r="AD462" s="404"/>
      <c r="AE462" s="404"/>
      <c r="AF462" s="418"/>
      <c r="AG462" s="403"/>
      <c r="AH462" s="439"/>
      <c r="AI462" s="426"/>
      <c r="AJ462" s="410"/>
    </row>
    <row r="463">
      <c r="A463" s="403"/>
      <c r="B463" s="403"/>
      <c r="C463" s="403"/>
      <c r="D463" s="405"/>
      <c r="E463" s="403"/>
      <c r="F463" s="403"/>
      <c r="G463" s="392"/>
      <c r="H463" s="403"/>
      <c r="I463" s="392"/>
      <c r="J463" s="392"/>
      <c r="K463" s="392"/>
      <c r="L463" s="403"/>
      <c r="M463" s="392"/>
      <c r="N463" s="392"/>
      <c r="O463" s="392"/>
      <c r="P463" s="404"/>
      <c r="Q463" s="392"/>
      <c r="R463" s="392"/>
      <c r="S463" s="392"/>
      <c r="T463" s="392"/>
      <c r="U463" s="392"/>
      <c r="V463" s="392"/>
      <c r="W463" s="392"/>
      <c r="X463" s="392"/>
      <c r="Y463" s="392"/>
      <c r="Z463" s="392"/>
      <c r="AA463" s="392"/>
      <c r="AB463" s="419"/>
      <c r="AC463" s="419"/>
      <c r="AD463" s="404"/>
      <c r="AE463" s="404"/>
      <c r="AF463" s="429"/>
      <c r="AG463" s="392"/>
      <c r="AH463" s="411"/>
      <c r="AI463" s="426"/>
      <c r="AJ463" s="410"/>
    </row>
    <row r="464">
      <c r="A464" s="403"/>
      <c r="B464" s="403"/>
      <c r="C464" s="403"/>
      <c r="D464" s="405"/>
      <c r="E464" s="403"/>
      <c r="F464" s="403"/>
      <c r="G464" s="392"/>
      <c r="H464" s="403"/>
      <c r="I464" s="392"/>
      <c r="J464" s="392"/>
      <c r="K464" s="392"/>
      <c r="L464" s="403"/>
      <c r="M464" s="392"/>
      <c r="N464" s="392"/>
      <c r="O464" s="392"/>
      <c r="P464" s="404"/>
      <c r="Q464" s="392"/>
      <c r="R464" s="392"/>
      <c r="S464" s="392"/>
      <c r="T464" s="392"/>
      <c r="U464" s="392"/>
      <c r="V464" s="392"/>
      <c r="W464" s="392"/>
      <c r="X464" s="392"/>
      <c r="Y464" s="392"/>
      <c r="Z464" s="392"/>
      <c r="AA464" s="392"/>
      <c r="AB464" s="419"/>
      <c r="AC464" s="419"/>
      <c r="AD464" s="404"/>
      <c r="AE464" s="404"/>
      <c r="AF464" s="429"/>
      <c r="AG464" s="392"/>
      <c r="AH464" s="411"/>
      <c r="AI464" s="426"/>
      <c r="AJ464" s="410"/>
    </row>
    <row r="465">
      <c r="A465" s="403"/>
      <c r="B465" s="403"/>
      <c r="C465" s="403"/>
      <c r="D465" s="405"/>
      <c r="E465" s="403"/>
      <c r="F465" s="403"/>
      <c r="G465" s="392"/>
      <c r="H465" s="403"/>
      <c r="I465" s="392"/>
      <c r="J465" s="392"/>
      <c r="K465" s="392"/>
      <c r="L465" s="403"/>
      <c r="M465" s="392"/>
      <c r="N465" s="392"/>
      <c r="O465" s="392"/>
      <c r="P465" s="404"/>
      <c r="Q465" s="392"/>
      <c r="R465" s="392"/>
      <c r="S465" s="392"/>
      <c r="T465" s="392"/>
      <c r="U465" s="392"/>
      <c r="V465" s="392"/>
      <c r="W465" s="392"/>
      <c r="X465" s="392"/>
      <c r="Y465" s="392"/>
      <c r="Z465" s="392"/>
      <c r="AA465" s="392"/>
      <c r="AB465" s="419"/>
      <c r="AC465" s="419"/>
      <c r="AD465" s="404"/>
      <c r="AE465" s="404"/>
      <c r="AF465" s="429"/>
      <c r="AG465" s="392"/>
      <c r="AH465" s="411"/>
      <c r="AI465" s="426"/>
      <c r="AJ465" s="410"/>
    </row>
    <row r="466">
      <c r="A466" s="403"/>
      <c r="B466" s="403"/>
      <c r="C466" s="403"/>
      <c r="D466" s="405"/>
      <c r="E466" s="403"/>
      <c r="F466" s="403"/>
      <c r="G466" s="392"/>
      <c r="H466" s="403"/>
      <c r="I466" s="392"/>
      <c r="J466" s="392"/>
      <c r="K466" s="392"/>
      <c r="L466" s="403"/>
      <c r="M466" s="392"/>
      <c r="N466" s="392"/>
      <c r="O466" s="392"/>
      <c r="P466" s="404"/>
      <c r="Q466" s="392"/>
      <c r="R466" s="392"/>
      <c r="S466" s="392"/>
      <c r="T466" s="392"/>
      <c r="U466" s="392"/>
      <c r="V466" s="392"/>
      <c r="W466" s="392"/>
      <c r="X466" s="392"/>
      <c r="Y466" s="392"/>
      <c r="Z466" s="392"/>
      <c r="AA466" s="392"/>
      <c r="AB466" s="419"/>
      <c r="AC466" s="419"/>
      <c r="AD466" s="404"/>
      <c r="AE466" s="404"/>
      <c r="AF466" s="429"/>
      <c r="AG466" s="392"/>
      <c r="AH466" s="411"/>
      <c r="AI466" s="426"/>
      <c r="AJ466" s="410"/>
    </row>
    <row r="467">
      <c r="A467" s="403"/>
      <c r="B467" s="403"/>
      <c r="C467" s="403"/>
      <c r="D467" s="405"/>
      <c r="E467" s="403"/>
      <c r="F467" s="403"/>
      <c r="G467" s="392"/>
      <c r="H467" s="403"/>
      <c r="I467" s="392"/>
      <c r="J467" s="392"/>
      <c r="K467" s="392"/>
      <c r="L467" s="403"/>
      <c r="M467" s="392"/>
      <c r="N467" s="392"/>
      <c r="O467" s="392"/>
      <c r="P467" s="404"/>
      <c r="Q467" s="392"/>
      <c r="R467" s="392"/>
      <c r="S467" s="392"/>
      <c r="T467" s="392"/>
      <c r="U467" s="392"/>
      <c r="V467" s="392"/>
      <c r="W467" s="392"/>
      <c r="X467" s="392"/>
      <c r="Y467" s="392"/>
      <c r="Z467" s="392"/>
      <c r="AA467" s="392"/>
      <c r="AB467" s="419"/>
      <c r="AC467" s="419"/>
      <c r="AD467" s="404"/>
      <c r="AE467" s="404"/>
      <c r="AF467" s="429"/>
      <c r="AG467" s="392"/>
      <c r="AH467" s="411"/>
      <c r="AI467" s="426"/>
      <c r="AJ467" s="410"/>
    </row>
    <row r="468">
      <c r="A468" s="403"/>
      <c r="B468" s="403"/>
      <c r="C468" s="403"/>
      <c r="D468" s="405"/>
      <c r="E468" s="403"/>
      <c r="F468" s="403"/>
      <c r="G468" s="392"/>
      <c r="H468" s="403"/>
      <c r="I468" s="392"/>
      <c r="J468" s="392"/>
      <c r="K468" s="392"/>
      <c r="L468" s="403"/>
      <c r="M468" s="392"/>
      <c r="N468" s="392"/>
      <c r="O468" s="392"/>
      <c r="P468" s="404"/>
      <c r="Q468" s="392"/>
      <c r="R468" s="392"/>
      <c r="S468" s="392"/>
      <c r="T468" s="392"/>
      <c r="U468" s="392"/>
      <c r="V468" s="392"/>
      <c r="W468" s="392"/>
      <c r="X468" s="392"/>
      <c r="Y468" s="392"/>
      <c r="Z468" s="392"/>
      <c r="AA468" s="392"/>
      <c r="AB468" s="419"/>
      <c r="AC468" s="419"/>
      <c r="AD468" s="404"/>
      <c r="AE468" s="404"/>
      <c r="AF468" s="429"/>
      <c r="AG468" s="392"/>
      <c r="AH468" s="411"/>
      <c r="AI468" s="426"/>
      <c r="AJ468" s="410"/>
    </row>
    <row r="469">
      <c r="A469" s="403"/>
      <c r="B469" s="403"/>
      <c r="C469" s="403"/>
      <c r="D469" s="405"/>
      <c r="E469" s="403"/>
      <c r="F469" s="403"/>
      <c r="G469" s="403"/>
      <c r="H469" s="403"/>
      <c r="I469" s="392"/>
      <c r="J469" s="392"/>
      <c r="K469" s="392"/>
      <c r="L469" s="403"/>
      <c r="M469" s="392"/>
      <c r="N469" s="392"/>
      <c r="O469" s="392"/>
      <c r="P469" s="404"/>
      <c r="Q469" s="392"/>
      <c r="R469" s="392"/>
      <c r="S469" s="392"/>
      <c r="T469" s="392"/>
      <c r="U469" s="392"/>
      <c r="V469" s="392"/>
      <c r="W469" s="392"/>
      <c r="X469" s="392"/>
      <c r="Y469" s="392"/>
      <c r="Z469" s="392"/>
      <c r="AA469" s="392"/>
      <c r="AB469" s="419"/>
      <c r="AC469" s="419"/>
      <c r="AD469" s="404"/>
      <c r="AE469" s="404"/>
      <c r="AF469" s="429"/>
      <c r="AG469" s="392"/>
      <c r="AH469" s="411"/>
      <c r="AI469" s="426"/>
      <c r="AJ469" s="410"/>
    </row>
    <row r="470">
      <c r="A470" s="403"/>
      <c r="B470" s="403"/>
      <c r="C470" s="403"/>
      <c r="D470" s="405"/>
      <c r="E470" s="403"/>
      <c r="F470" s="403"/>
      <c r="G470" s="403"/>
      <c r="H470" s="403"/>
      <c r="I470" s="403"/>
      <c r="J470" s="403"/>
      <c r="K470" s="403"/>
      <c r="L470" s="403"/>
      <c r="M470" s="403"/>
      <c r="N470" s="403"/>
      <c r="O470" s="403"/>
      <c r="P470" s="403"/>
      <c r="Q470" s="403"/>
      <c r="R470" s="403"/>
      <c r="S470" s="403"/>
      <c r="T470" s="403"/>
      <c r="U470" s="403"/>
      <c r="V470" s="403"/>
      <c r="W470" s="404"/>
      <c r="X470" s="404"/>
      <c r="Y470" s="404"/>
      <c r="Z470" s="404"/>
      <c r="AA470" s="392"/>
      <c r="AB470" s="413"/>
      <c r="AC470" s="419"/>
      <c r="AD470" s="404"/>
      <c r="AE470" s="404"/>
      <c r="AF470" s="418"/>
      <c r="AG470" s="403"/>
      <c r="AH470" s="439"/>
      <c r="AI470" s="426"/>
      <c r="AJ470" s="410"/>
    </row>
    <row r="471">
      <c r="A471" s="403"/>
      <c r="B471" s="403"/>
      <c r="C471" s="403"/>
      <c r="D471" s="405"/>
      <c r="E471" s="403"/>
      <c r="F471" s="403"/>
      <c r="G471" s="403"/>
      <c r="H471" s="403"/>
      <c r="I471" s="403"/>
      <c r="J471" s="403"/>
      <c r="K471" s="403"/>
      <c r="L471" s="403"/>
      <c r="M471" s="403"/>
      <c r="N471" s="403"/>
      <c r="O471" s="403"/>
      <c r="P471" s="403"/>
      <c r="Q471" s="403"/>
      <c r="R471" s="403"/>
      <c r="S471" s="403"/>
      <c r="T471" s="403"/>
      <c r="U471" s="403"/>
      <c r="V471" s="403"/>
      <c r="W471" s="404"/>
      <c r="X471" s="404"/>
      <c r="Y471" s="404"/>
      <c r="Z471" s="404"/>
      <c r="AA471" s="392"/>
      <c r="AB471" s="413"/>
      <c r="AC471" s="419"/>
      <c r="AD471" s="404"/>
      <c r="AE471" s="404"/>
      <c r="AF471" s="418"/>
      <c r="AG471" s="403"/>
      <c r="AH471" s="439"/>
      <c r="AI471" s="426"/>
      <c r="AJ471" s="410"/>
    </row>
    <row r="472">
      <c r="A472" s="403"/>
      <c r="B472" s="403"/>
      <c r="C472" s="403"/>
      <c r="D472" s="405"/>
      <c r="E472" s="403"/>
      <c r="F472" s="403"/>
      <c r="G472" s="403"/>
      <c r="H472" s="403"/>
      <c r="I472" s="403"/>
      <c r="J472" s="403"/>
      <c r="K472" s="403"/>
      <c r="L472" s="403"/>
      <c r="M472" s="403"/>
      <c r="N472" s="403"/>
      <c r="O472" s="403"/>
      <c r="P472" s="403"/>
      <c r="Q472" s="403"/>
      <c r="R472" s="403"/>
      <c r="S472" s="403"/>
      <c r="T472" s="403"/>
      <c r="U472" s="403"/>
      <c r="V472" s="403"/>
      <c r="W472" s="404"/>
      <c r="X472" s="404"/>
      <c r="Y472" s="404"/>
      <c r="Z472" s="404"/>
      <c r="AA472" s="392"/>
      <c r="AB472" s="413"/>
      <c r="AC472" s="419"/>
      <c r="AD472" s="404"/>
      <c r="AE472" s="404"/>
      <c r="AF472" s="418"/>
      <c r="AG472" s="403"/>
      <c r="AH472" s="439"/>
      <c r="AI472" s="426"/>
      <c r="AJ472" s="410"/>
    </row>
    <row r="473">
      <c r="A473" s="403"/>
      <c r="B473" s="403"/>
      <c r="C473" s="403"/>
      <c r="D473" s="405"/>
      <c r="E473" s="403"/>
      <c r="F473" s="403"/>
      <c r="G473" s="403"/>
      <c r="H473" s="403"/>
      <c r="I473" s="403"/>
      <c r="J473" s="403"/>
      <c r="K473" s="403"/>
      <c r="L473" s="403"/>
      <c r="M473" s="403"/>
      <c r="N473" s="403"/>
      <c r="O473" s="403"/>
      <c r="P473" s="403"/>
      <c r="Q473" s="403"/>
      <c r="R473" s="403"/>
      <c r="S473" s="403"/>
      <c r="T473" s="403"/>
      <c r="U473" s="403"/>
      <c r="V473" s="403"/>
      <c r="W473" s="404"/>
      <c r="X473" s="404"/>
      <c r="Y473" s="404"/>
      <c r="Z473" s="404"/>
      <c r="AA473" s="392"/>
      <c r="AB473" s="413"/>
      <c r="AC473" s="419"/>
      <c r="AD473" s="404"/>
      <c r="AE473" s="404"/>
      <c r="AF473" s="418"/>
      <c r="AG473" s="403"/>
      <c r="AH473" s="439"/>
      <c r="AI473" s="426"/>
      <c r="AJ473" s="410"/>
    </row>
    <row r="474">
      <c r="A474" s="403"/>
      <c r="B474" s="403"/>
      <c r="C474" s="403"/>
      <c r="D474" s="405"/>
      <c r="E474" s="403"/>
      <c r="F474" s="403"/>
      <c r="G474" s="403"/>
      <c r="H474" s="403"/>
      <c r="I474" s="403"/>
      <c r="J474" s="403"/>
      <c r="K474" s="403"/>
      <c r="L474" s="403"/>
      <c r="M474" s="403"/>
      <c r="N474" s="403"/>
      <c r="O474" s="403"/>
      <c r="P474" s="403"/>
      <c r="Q474" s="403"/>
      <c r="R474" s="403"/>
      <c r="S474" s="403"/>
      <c r="T474" s="403"/>
      <c r="U474" s="403"/>
      <c r="V474" s="403"/>
      <c r="W474" s="404"/>
      <c r="X474" s="404"/>
      <c r="Y474" s="404"/>
      <c r="Z474" s="404"/>
      <c r="AA474" s="392"/>
      <c r="AB474" s="413"/>
      <c r="AC474" s="419"/>
      <c r="AD474" s="404"/>
      <c r="AE474" s="404"/>
      <c r="AF474" s="418"/>
      <c r="AG474" s="403"/>
      <c r="AH474" s="439"/>
      <c r="AI474" s="426"/>
      <c r="AJ474" s="410"/>
    </row>
    <row r="475">
      <c r="A475" s="403"/>
      <c r="B475" s="403"/>
      <c r="C475" s="403"/>
      <c r="D475" s="405"/>
      <c r="E475" s="403"/>
      <c r="F475" s="403"/>
      <c r="G475" s="403"/>
      <c r="H475" s="403"/>
      <c r="I475" s="403"/>
      <c r="J475" s="403"/>
      <c r="K475" s="403"/>
      <c r="L475" s="403"/>
      <c r="M475" s="403"/>
      <c r="N475" s="403"/>
      <c r="O475" s="403"/>
      <c r="P475" s="403"/>
      <c r="Q475" s="403"/>
      <c r="R475" s="403"/>
      <c r="S475" s="403"/>
      <c r="T475" s="403"/>
      <c r="U475" s="403"/>
      <c r="V475" s="403"/>
      <c r="W475" s="404"/>
      <c r="X475" s="404"/>
      <c r="Y475" s="404"/>
      <c r="Z475" s="404"/>
      <c r="AA475" s="392"/>
      <c r="AB475" s="413"/>
      <c r="AC475" s="419"/>
      <c r="AD475" s="404"/>
      <c r="AE475" s="404"/>
      <c r="AF475" s="418"/>
      <c r="AG475" s="403"/>
      <c r="AH475" s="440"/>
      <c r="AI475" s="426"/>
      <c r="AJ475" s="410"/>
    </row>
    <row r="476">
      <c r="A476" s="403"/>
      <c r="B476" s="403"/>
      <c r="C476" s="403"/>
      <c r="D476" s="405"/>
      <c r="E476" s="403"/>
      <c r="F476" s="403"/>
      <c r="G476" s="403"/>
      <c r="H476" s="403"/>
      <c r="I476" s="403"/>
      <c r="J476" s="403"/>
      <c r="K476" s="403"/>
      <c r="L476" s="403"/>
      <c r="M476" s="403"/>
      <c r="N476" s="403"/>
      <c r="O476" s="403"/>
      <c r="P476" s="403"/>
      <c r="Q476" s="403"/>
      <c r="R476" s="403"/>
      <c r="S476" s="403"/>
      <c r="T476" s="403"/>
      <c r="U476" s="403"/>
      <c r="V476" s="403"/>
      <c r="W476" s="404"/>
      <c r="X476" s="404"/>
      <c r="Y476" s="404"/>
      <c r="Z476" s="404"/>
      <c r="AA476" s="392"/>
      <c r="AB476" s="413"/>
      <c r="AC476" s="419"/>
      <c r="AD476" s="404"/>
      <c r="AE476" s="404"/>
      <c r="AF476" s="418"/>
      <c r="AG476" s="403"/>
      <c r="AH476" s="440"/>
      <c r="AI476" s="426"/>
      <c r="AJ476" s="410"/>
    </row>
    <row r="477">
      <c r="H477" s="442"/>
      <c r="P477" s="442"/>
    </row>
    <row r="478">
      <c r="H478" s="442"/>
      <c r="P478" s="442"/>
    </row>
    <row r="479">
      <c r="H479" s="442"/>
      <c r="P479" s="442"/>
    </row>
    <row r="480">
      <c r="H480" s="442"/>
      <c r="P480" s="442"/>
    </row>
    <row r="481">
      <c r="H481" s="442"/>
      <c r="P481" s="442"/>
    </row>
    <row r="482">
      <c r="H482" s="442"/>
      <c r="P482" s="442"/>
    </row>
    <row r="483">
      <c r="H483" s="442"/>
      <c r="P483" s="442"/>
    </row>
    <row r="484">
      <c r="H484" s="442"/>
      <c r="P484" s="442"/>
    </row>
    <row r="485">
      <c r="H485" s="442"/>
      <c r="P485" s="442"/>
    </row>
    <row r="486">
      <c r="H486" s="442"/>
      <c r="P486" s="442"/>
    </row>
    <row r="487">
      <c r="H487" s="442"/>
      <c r="P487" s="442"/>
    </row>
    <row r="488">
      <c r="H488" s="442"/>
      <c r="P488" s="442"/>
    </row>
    <row r="489">
      <c r="H489" s="442"/>
      <c r="P489" s="442"/>
    </row>
    <row r="490">
      <c r="H490" s="442"/>
      <c r="P490" s="442"/>
    </row>
    <row r="491">
      <c r="H491" s="442"/>
      <c r="P491" s="442"/>
    </row>
    <row r="492">
      <c r="H492" s="442"/>
      <c r="P492" s="442"/>
    </row>
    <row r="493">
      <c r="H493" s="442"/>
      <c r="P493" s="442"/>
    </row>
    <row r="494">
      <c r="H494" s="442"/>
      <c r="P494" s="442"/>
    </row>
    <row r="495">
      <c r="H495" s="442"/>
      <c r="P495" s="442"/>
    </row>
    <row r="496">
      <c r="H496" s="442"/>
      <c r="P496" s="442"/>
    </row>
    <row r="497">
      <c r="H497" s="442"/>
      <c r="P497" s="442"/>
    </row>
    <row r="498">
      <c r="H498" s="442"/>
      <c r="P498" s="442"/>
    </row>
    <row r="499">
      <c r="H499" s="442"/>
      <c r="P499" s="442"/>
    </row>
    <row r="500">
      <c r="H500" s="442"/>
      <c r="P500" s="442"/>
    </row>
    <row r="501">
      <c r="H501" s="442"/>
      <c r="P501" s="442"/>
    </row>
    <row r="502">
      <c r="H502" s="442"/>
      <c r="P502" s="442"/>
    </row>
    <row r="503">
      <c r="H503" s="442"/>
      <c r="P503" s="442"/>
    </row>
    <row r="504">
      <c r="H504" s="442"/>
      <c r="P504" s="442"/>
    </row>
    <row r="505">
      <c r="H505" s="442"/>
      <c r="P505" s="442"/>
    </row>
    <row r="506">
      <c r="H506" s="442"/>
      <c r="P506" s="442"/>
    </row>
    <row r="507">
      <c r="H507" s="442"/>
      <c r="P507" s="442"/>
    </row>
    <row r="508">
      <c r="H508" s="442"/>
      <c r="P508" s="442"/>
    </row>
    <row r="509">
      <c r="H509" s="442"/>
      <c r="P509" s="442"/>
    </row>
    <row r="510">
      <c r="H510" s="442"/>
      <c r="P510" s="442"/>
    </row>
    <row r="511">
      <c r="H511" s="442"/>
      <c r="P511" s="442"/>
    </row>
    <row r="512">
      <c r="H512" s="442"/>
      <c r="P512" s="442"/>
    </row>
    <row r="513">
      <c r="H513" s="442"/>
      <c r="P513" s="442"/>
    </row>
    <row r="514">
      <c r="H514" s="442"/>
      <c r="P514" s="442"/>
    </row>
    <row r="515">
      <c r="H515" s="442"/>
      <c r="P515" s="442"/>
    </row>
    <row r="516">
      <c r="H516" s="442"/>
      <c r="P516" s="442"/>
    </row>
    <row r="517">
      <c r="H517" s="442"/>
      <c r="P517" s="442"/>
    </row>
    <row r="518">
      <c r="H518" s="442"/>
      <c r="P518" s="442"/>
    </row>
    <row r="519">
      <c r="H519" s="442"/>
      <c r="P519" s="442"/>
    </row>
    <row r="520">
      <c r="H520" s="442"/>
      <c r="P520" s="442"/>
    </row>
    <row r="521">
      <c r="H521" s="442"/>
      <c r="P521" s="442"/>
    </row>
    <row r="522">
      <c r="H522" s="442"/>
      <c r="P522" s="442"/>
    </row>
    <row r="523">
      <c r="H523" s="442"/>
      <c r="P523" s="442"/>
    </row>
    <row r="524">
      <c r="H524" s="442"/>
      <c r="P524" s="442"/>
    </row>
    <row r="525">
      <c r="H525" s="442"/>
      <c r="P525" s="442"/>
    </row>
    <row r="526">
      <c r="H526" s="442"/>
      <c r="P526" s="442"/>
    </row>
    <row r="527">
      <c r="H527" s="442"/>
      <c r="P527" s="442"/>
    </row>
    <row r="528">
      <c r="H528" s="442"/>
      <c r="P528" s="442"/>
    </row>
    <row r="529">
      <c r="H529" s="442"/>
      <c r="P529" s="442"/>
    </row>
    <row r="530">
      <c r="H530" s="442"/>
      <c r="P530" s="442"/>
    </row>
    <row r="531">
      <c r="H531" s="442"/>
      <c r="P531" s="442"/>
    </row>
    <row r="532">
      <c r="H532" s="442"/>
      <c r="P532" s="442"/>
    </row>
    <row r="533">
      <c r="H533" s="442"/>
      <c r="P533" s="442"/>
    </row>
    <row r="534">
      <c r="H534" s="442"/>
      <c r="P534" s="442"/>
    </row>
    <row r="535">
      <c r="H535" s="442"/>
      <c r="P535" s="442"/>
    </row>
    <row r="536">
      <c r="H536" s="442"/>
      <c r="P536" s="442"/>
    </row>
    <row r="537">
      <c r="H537" s="442"/>
      <c r="P537" s="442"/>
    </row>
    <row r="538">
      <c r="H538" s="442"/>
      <c r="P538" s="442"/>
    </row>
    <row r="539">
      <c r="H539" s="442"/>
      <c r="P539" s="442"/>
    </row>
    <row r="540">
      <c r="H540" s="442"/>
      <c r="P540" s="442"/>
    </row>
    <row r="541">
      <c r="H541" s="442"/>
      <c r="P541" s="442"/>
    </row>
    <row r="542">
      <c r="H542" s="442"/>
      <c r="P542" s="442"/>
    </row>
    <row r="543">
      <c r="H543" s="442"/>
      <c r="P543" s="442"/>
    </row>
    <row r="544">
      <c r="H544" s="442"/>
      <c r="P544" s="442"/>
    </row>
    <row r="545">
      <c r="H545" s="442"/>
      <c r="P545" s="442"/>
    </row>
    <row r="546">
      <c r="H546" s="442"/>
      <c r="P546" s="442"/>
    </row>
    <row r="547">
      <c r="H547" s="442"/>
      <c r="P547" s="442"/>
    </row>
    <row r="548">
      <c r="H548" s="442"/>
      <c r="P548" s="442"/>
    </row>
    <row r="549">
      <c r="H549" s="442"/>
      <c r="P549" s="442"/>
    </row>
    <row r="550">
      <c r="H550" s="442"/>
      <c r="P550" s="442"/>
    </row>
    <row r="551">
      <c r="H551" s="442"/>
      <c r="P551" s="442"/>
    </row>
    <row r="552">
      <c r="H552" s="442"/>
      <c r="P552" s="442"/>
    </row>
    <row r="553">
      <c r="H553" s="442"/>
      <c r="P553" s="442"/>
    </row>
    <row r="554">
      <c r="H554" s="442"/>
      <c r="P554" s="442"/>
    </row>
    <row r="555">
      <c r="H555" s="442"/>
      <c r="P555" s="442"/>
    </row>
    <row r="556">
      <c r="H556" s="442"/>
      <c r="P556" s="442"/>
    </row>
    <row r="557">
      <c r="H557" s="442"/>
      <c r="P557" s="442"/>
    </row>
    <row r="558">
      <c r="H558" s="442"/>
      <c r="P558" s="442"/>
    </row>
    <row r="559">
      <c r="H559" s="442"/>
      <c r="P559" s="442"/>
    </row>
    <row r="560">
      <c r="H560" s="442"/>
      <c r="P560" s="442"/>
    </row>
    <row r="561">
      <c r="H561" s="442"/>
      <c r="P561" s="442"/>
    </row>
    <row r="562">
      <c r="H562" s="442"/>
      <c r="P562" s="442"/>
    </row>
    <row r="563">
      <c r="H563" s="442"/>
      <c r="P563" s="442"/>
    </row>
    <row r="564">
      <c r="H564" s="442"/>
      <c r="P564" s="442"/>
    </row>
    <row r="565">
      <c r="H565" s="442"/>
      <c r="P565" s="442"/>
    </row>
    <row r="566">
      <c r="H566" s="442"/>
      <c r="P566" s="442"/>
    </row>
    <row r="567">
      <c r="H567" s="442"/>
      <c r="P567" s="442"/>
    </row>
    <row r="568">
      <c r="H568" s="442"/>
      <c r="P568" s="442"/>
    </row>
    <row r="569">
      <c r="H569" s="442"/>
      <c r="P569" s="442"/>
    </row>
    <row r="570">
      <c r="H570" s="442"/>
      <c r="P570" s="442"/>
    </row>
    <row r="571">
      <c r="H571" s="442"/>
      <c r="P571" s="442"/>
    </row>
    <row r="572">
      <c r="H572" s="442"/>
      <c r="P572" s="442"/>
    </row>
    <row r="573">
      <c r="H573" s="442"/>
      <c r="P573" s="442"/>
    </row>
    <row r="574">
      <c r="H574" s="442"/>
      <c r="P574" s="442"/>
    </row>
    <row r="575">
      <c r="H575" s="442"/>
      <c r="P575" s="442"/>
    </row>
    <row r="576">
      <c r="H576" s="442"/>
      <c r="P576" s="442"/>
    </row>
    <row r="577">
      <c r="H577" s="442"/>
      <c r="P577" s="442"/>
    </row>
    <row r="578">
      <c r="H578" s="442"/>
      <c r="P578" s="442"/>
    </row>
    <row r="579">
      <c r="H579" s="442"/>
      <c r="P579" s="442"/>
    </row>
    <row r="580">
      <c r="H580" s="442"/>
      <c r="P580" s="442"/>
    </row>
    <row r="581">
      <c r="H581" s="442"/>
      <c r="P581" s="442"/>
    </row>
    <row r="582">
      <c r="H582" s="442"/>
      <c r="P582" s="442"/>
    </row>
    <row r="583">
      <c r="H583" s="442"/>
      <c r="P583" s="442"/>
    </row>
    <row r="584">
      <c r="H584" s="442"/>
      <c r="P584" s="442"/>
    </row>
    <row r="585">
      <c r="H585" s="442"/>
      <c r="P585" s="442"/>
    </row>
    <row r="586">
      <c r="H586" s="442"/>
      <c r="P586" s="442"/>
    </row>
    <row r="587">
      <c r="H587" s="442"/>
      <c r="P587" s="442"/>
    </row>
    <row r="588">
      <c r="H588" s="442"/>
      <c r="P588" s="442"/>
    </row>
    <row r="589">
      <c r="H589" s="442"/>
      <c r="P589" s="442"/>
    </row>
    <row r="590">
      <c r="H590" s="442"/>
      <c r="P590" s="442"/>
    </row>
    <row r="591">
      <c r="H591" s="442"/>
      <c r="P591" s="442"/>
    </row>
    <row r="592">
      <c r="H592" s="442"/>
      <c r="P592" s="442"/>
    </row>
    <row r="593">
      <c r="H593" s="442"/>
      <c r="P593" s="442"/>
    </row>
    <row r="594">
      <c r="H594" s="442"/>
      <c r="P594" s="442"/>
    </row>
    <row r="595">
      <c r="H595" s="442"/>
      <c r="P595" s="442"/>
    </row>
    <row r="596">
      <c r="H596" s="442"/>
      <c r="P596" s="442"/>
    </row>
    <row r="597">
      <c r="H597" s="442"/>
      <c r="P597" s="442"/>
    </row>
    <row r="598">
      <c r="H598" s="442"/>
      <c r="P598" s="442"/>
    </row>
    <row r="599">
      <c r="H599" s="442"/>
      <c r="P599" s="442"/>
    </row>
    <row r="600">
      <c r="H600" s="442"/>
      <c r="P600" s="442"/>
    </row>
    <row r="601">
      <c r="H601" s="442"/>
      <c r="P601" s="442"/>
    </row>
    <row r="602">
      <c r="H602" s="442"/>
      <c r="P602" s="442"/>
    </row>
    <row r="603">
      <c r="H603" s="442"/>
      <c r="P603" s="442"/>
    </row>
    <row r="604">
      <c r="H604" s="442"/>
      <c r="P604" s="442"/>
    </row>
    <row r="605">
      <c r="H605" s="442"/>
      <c r="P605" s="442"/>
    </row>
    <row r="606">
      <c r="H606" s="442"/>
      <c r="P606" s="442"/>
    </row>
    <row r="607">
      <c r="H607" s="442"/>
      <c r="P607" s="442"/>
    </row>
    <row r="608">
      <c r="H608" s="442"/>
      <c r="P608" s="442"/>
    </row>
    <row r="609">
      <c r="H609" s="442"/>
      <c r="P609" s="442"/>
    </row>
    <row r="610">
      <c r="H610" s="442"/>
      <c r="P610" s="442"/>
    </row>
    <row r="611">
      <c r="H611" s="442"/>
      <c r="P611" s="442"/>
    </row>
    <row r="612">
      <c r="H612" s="442"/>
      <c r="P612" s="442"/>
    </row>
    <row r="613">
      <c r="H613" s="442"/>
      <c r="P613" s="442"/>
    </row>
    <row r="614">
      <c r="H614" s="442"/>
      <c r="P614" s="442"/>
    </row>
    <row r="615">
      <c r="H615" s="442"/>
      <c r="P615" s="442"/>
    </row>
    <row r="616">
      <c r="H616" s="442"/>
      <c r="P616" s="442"/>
    </row>
    <row r="617">
      <c r="H617" s="442"/>
      <c r="P617" s="442"/>
    </row>
    <row r="618">
      <c r="H618" s="442"/>
      <c r="P618" s="442"/>
    </row>
    <row r="619">
      <c r="H619" s="442"/>
      <c r="P619" s="442"/>
    </row>
    <row r="620">
      <c r="H620" s="442"/>
      <c r="P620" s="442"/>
    </row>
    <row r="621">
      <c r="H621" s="442"/>
      <c r="P621" s="442"/>
    </row>
    <row r="622">
      <c r="H622" s="442"/>
      <c r="P622" s="442"/>
    </row>
    <row r="623">
      <c r="H623" s="442"/>
      <c r="P623" s="442"/>
    </row>
    <row r="624">
      <c r="H624" s="442"/>
      <c r="P624" s="442"/>
    </row>
    <row r="625">
      <c r="H625" s="442"/>
      <c r="P625" s="442"/>
    </row>
    <row r="626">
      <c r="H626" s="442"/>
      <c r="P626" s="442"/>
    </row>
    <row r="627">
      <c r="H627" s="442"/>
      <c r="P627" s="442"/>
    </row>
    <row r="628">
      <c r="H628" s="442"/>
      <c r="P628" s="442"/>
    </row>
    <row r="629">
      <c r="H629" s="442"/>
      <c r="P629" s="442"/>
    </row>
    <row r="630">
      <c r="H630" s="442"/>
      <c r="P630" s="442"/>
    </row>
    <row r="631">
      <c r="H631" s="442"/>
      <c r="P631" s="442"/>
    </row>
    <row r="632">
      <c r="H632" s="442"/>
      <c r="P632" s="442"/>
    </row>
    <row r="633">
      <c r="H633" s="442"/>
      <c r="P633" s="442"/>
    </row>
    <row r="634">
      <c r="H634" s="442"/>
      <c r="P634" s="442"/>
    </row>
    <row r="635">
      <c r="H635" s="442"/>
      <c r="P635" s="442"/>
    </row>
    <row r="636">
      <c r="H636" s="442"/>
      <c r="P636" s="442"/>
    </row>
    <row r="637">
      <c r="H637" s="442"/>
      <c r="P637" s="442"/>
    </row>
    <row r="638">
      <c r="H638" s="442"/>
      <c r="P638" s="442"/>
    </row>
    <row r="639">
      <c r="H639" s="442"/>
      <c r="P639" s="442"/>
    </row>
    <row r="640">
      <c r="H640" s="442"/>
      <c r="P640" s="442"/>
    </row>
    <row r="641">
      <c r="H641" s="442"/>
      <c r="P641" s="442"/>
    </row>
    <row r="642">
      <c r="H642" s="442"/>
      <c r="P642" s="442"/>
    </row>
    <row r="643">
      <c r="H643" s="442"/>
      <c r="P643" s="442"/>
    </row>
    <row r="644">
      <c r="H644" s="442"/>
      <c r="P644" s="442"/>
    </row>
    <row r="645">
      <c r="H645" s="442"/>
      <c r="P645" s="442"/>
    </row>
    <row r="646">
      <c r="H646" s="442"/>
      <c r="P646" s="442"/>
    </row>
    <row r="647">
      <c r="H647" s="442"/>
      <c r="P647" s="442"/>
    </row>
    <row r="648">
      <c r="H648" s="442"/>
      <c r="P648" s="442"/>
    </row>
    <row r="649">
      <c r="H649" s="442"/>
      <c r="P649" s="442"/>
    </row>
    <row r="650">
      <c r="H650" s="442"/>
      <c r="P650" s="442"/>
    </row>
    <row r="651">
      <c r="H651" s="442"/>
      <c r="P651" s="442"/>
    </row>
    <row r="652">
      <c r="H652" s="442"/>
      <c r="P652" s="442"/>
    </row>
    <row r="653">
      <c r="H653" s="442"/>
      <c r="P653" s="442"/>
    </row>
    <row r="654">
      <c r="H654" s="442"/>
      <c r="P654" s="442"/>
    </row>
    <row r="655">
      <c r="H655" s="442"/>
      <c r="P655" s="442"/>
    </row>
    <row r="656">
      <c r="H656" s="442"/>
      <c r="P656" s="442"/>
    </row>
    <row r="657">
      <c r="H657" s="442"/>
      <c r="P657" s="442"/>
    </row>
    <row r="658">
      <c r="H658" s="442"/>
      <c r="P658" s="442"/>
    </row>
    <row r="659">
      <c r="H659" s="442"/>
      <c r="P659" s="442"/>
    </row>
    <row r="660">
      <c r="H660" s="442"/>
      <c r="P660" s="442"/>
    </row>
    <row r="661">
      <c r="H661" s="442"/>
      <c r="P661" s="442"/>
    </row>
    <row r="662">
      <c r="H662" s="442"/>
      <c r="P662" s="442"/>
    </row>
    <row r="663">
      <c r="H663" s="442"/>
      <c r="P663" s="442"/>
    </row>
    <row r="664">
      <c r="H664" s="442"/>
      <c r="P664" s="442"/>
    </row>
    <row r="665">
      <c r="H665" s="442"/>
      <c r="P665" s="442"/>
    </row>
    <row r="666">
      <c r="H666" s="442"/>
      <c r="P666" s="442"/>
    </row>
    <row r="667">
      <c r="H667" s="442"/>
      <c r="P667" s="442"/>
    </row>
    <row r="668">
      <c r="H668" s="442"/>
      <c r="P668" s="442"/>
    </row>
    <row r="669">
      <c r="H669" s="442"/>
      <c r="P669" s="442"/>
    </row>
    <row r="670">
      <c r="H670" s="442"/>
      <c r="P670" s="442"/>
    </row>
    <row r="671">
      <c r="H671" s="442"/>
      <c r="P671" s="442"/>
    </row>
    <row r="672">
      <c r="H672" s="442"/>
      <c r="P672" s="442"/>
    </row>
    <row r="673">
      <c r="H673" s="442"/>
      <c r="P673" s="442"/>
    </row>
    <row r="674">
      <c r="H674" s="442"/>
      <c r="P674" s="442"/>
    </row>
    <row r="675">
      <c r="H675" s="442"/>
      <c r="P675" s="442"/>
    </row>
    <row r="676">
      <c r="H676" s="442"/>
      <c r="P676" s="442"/>
    </row>
    <row r="677">
      <c r="H677" s="442"/>
      <c r="P677" s="442"/>
    </row>
    <row r="678">
      <c r="H678" s="442"/>
      <c r="P678" s="442"/>
    </row>
    <row r="679">
      <c r="H679" s="442"/>
      <c r="P679" s="442"/>
    </row>
    <row r="680">
      <c r="H680" s="442"/>
      <c r="P680" s="442"/>
    </row>
    <row r="681">
      <c r="H681" s="442"/>
      <c r="P681" s="442"/>
    </row>
    <row r="682">
      <c r="H682" s="442"/>
      <c r="P682" s="442"/>
    </row>
    <row r="683">
      <c r="H683" s="442"/>
      <c r="P683" s="442"/>
    </row>
    <row r="684">
      <c r="H684" s="442"/>
      <c r="P684" s="442"/>
    </row>
    <row r="685">
      <c r="H685" s="442"/>
      <c r="P685" s="442"/>
    </row>
    <row r="686">
      <c r="H686" s="442"/>
      <c r="P686" s="442"/>
    </row>
    <row r="687">
      <c r="H687" s="442"/>
      <c r="P687" s="442"/>
    </row>
    <row r="688">
      <c r="H688" s="442"/>
      <c r="P688" s="442"/>
    </row>
    <row r="689">
      <c r="H689" s="442"/>
      <c r="P689" s="442"/>
    </row>
    <row r="690">
      <c r="H690" s="442"/>
      <c r="P690" s="442"/>
    </row>
    <row r="691">
      <c r="H691" s="442"/>
      <c r="P691" s="442"/>
    </row>
    <row r="692">
      <c r="H692" s="442"/>
      <c r="P692" s="442"/>
    </row>
    <row r="693">
      <c r="H693" s="442"/>
      <c r="P693" s="442"/>
    </row>
    <row r="694">
      <c r="H694" s="442"/>
      <c r="P694" s="442"/>
    </row>
    <row r="695">
      <c r="H695" s="442"/>
      <c r="P695" s="442"/>
    </row>
    <row r="696">
      <c r="H696" s="442"/>
      <c r="P696" s="442"/>
    </row>
    <row r="697">
      <c r="H697" s="442"/>
      <c r="P697" s="442"/>
    </row>
    <row r="698">
      <c r="H698" s="442"/>
      <c r="P698" s="442"/>
    </row>
    <row r="699">
      <c r="H699" s="442"/>
      <c r="P699" s="442"/>
    </row>
    <row r="700">
      <c r="H700" s="442"/>
      <c r="P700" s="442"/>
    </row>
    <row r="701">
      <c r="H701" s="442"/>
      <c r="P701" s="442"/>
    </row>
    <row r="702">
      <c r="H702" s="442"/>
      <c r="P702" s="442"/>
    </row>
    <row r="703">
      <c r="H703" s="442"/>
      <c r="P703" s="442"/>
    </row>
    <row r="704">
      <c r="H704" s="442"/>
      <c r="P704" s="442"/>
    </row>
    <row r="705">
      <c r="H705" s="442"/>
      <c r="P705" s="442"/>
    </row>
    <row r="706">
      <c r="H706" s="442"/>
      <c r="P706" s="442"/>
    </row>
    <row r="707">
      <c r="H707" s="442"/>
      <c r="P707" s="442"/>
    </row>
    <row r="708">
      <c r="H708" s="442"/>
      <c r="P708" s="442"/>
    </row>
    <row r="709">
      <c r="H709" s="442"/>
      <c r="P709" s="442"/>
    </row>
    <row r="710">
      <c r="H710" s="442"/>
      <c r="P710" s="442"/>
    </row>
    <row r="711">
      <c r="H711" s="442"/>
      <c r="P711" s="442"/>
    </row>
    <row r="712">
      <c r="H712" s="442"/>
      <c r="P712" s="442"/>
    </row>
    <row r="713">
      <c r="H713" s="442"/>
      <c r="P713" s="442"/>
    </row>
    <row r="714">
      <c r="H714" s="442"/>
      <c r="P714" s="442"/>
    </row>
    <row r="715">
      <c r="H715" s="442"/>
      <c r="P715" s="442"/>
    </row>
    <row r="716">
      <c r="H716" s="442"/>
      <c r="P716" s="442"/>
    </row>
    <row r="717">
      <c r="H717" s="442"/>
      <c r="P717" s="442"/>
    </row>
    <row r="718">
      <c r="H718" s="442"/>
      <c r="P718" s="442"/>
    </row>
    <row r="719">
      <c r="H719" s="442"/>
      <c r="P719" s="442"/>
    </row>
    <row r="720">
      <c r="H720" s="442"/>
      <c r="P720" s="442"/>
    </row>
    <row r="721">
      <c r="H721" s="442"/>
      <c r="P721" s="442"/>
    </row>
    <row r="722">
      <c r="H722" s="442"/>
      <c r="P722" s="442"/>
    </row>
    <row r="723">
      <c r="H723" s="442"/>
      <c r="P723" s="442"/>
    </row>
    <row r="724">
      <c r="H724" s="442"/>
      <c r="P724" s="442"/>
    </row>
    <row r="725">
      <c r="H725" s="442"/>
      <c r="P725" s="442"/>
    </row>
    <row r="726">
      <c r="H726" s="442"/>
      <c r="P726" s="442"/>
    </row>
    <row r="727">
      <c r="H727" s="442"/>
      <c r="P727" s="442"/>
    </row>
    <row r="728">
      <c r="H728" s="442"/>
      <c r="P728" s="442"/>
    </row>
    <row r="729">
      <c r="H729" s="442"/>
      <c r="P729" s="442"/>
    </row>
    <row r="730">
      <c r="H730" s="442"/>
      <c r="P730" s="442"/>
    </row>
    <row r="731">
      <c r="H731" s="442"/>
      <c r="P731" s="442"/>
    </row>
    <row r="732">
      <c r="H732" s="442"/>
      <c r="P732" s="442"/>
    </row>
    <row r="733">
      <c r="H733" s="442"/>
      <c r="P733" s="442"/>
    </row>
    <row r="734">
      <c r="H734" s="442"/>
      <c r="P734" s="442"/>
    </row>
    <row r="735">
      <c r="H735" s="442"/>
      <c r="P735" s="442"/>
    </row>
    <row r="736">
      <c r="H736" s="442"/>
      <c r="P736" s="442"/>
    </row>
    <row r="737">
      <c r="H737" s="442"/>
      <c r="P737" s="442"/>
    </row>
    <row r="738">
      <c r="H738" s="442"/>
      <c r="P738" s="442"/>
    </row>
    <row r="739">
      <c r="H739" s="442"/>
      <c r="P739" s="442"/>
    </row>
    <row r="740">
      <c r="H740" s="442"/>
      <c r="P740" s="442"/>
    </row>
    <row r="741">
      <c r="H741" s="442"/>
      <c r="P741" s="442"/>
    </row>
    <row r="742">
      <c r="H742" s="442"/>
      <c r="P742" s="442"/>
    </row>
    <row r="743">
      <c r="H743" s="442"/>
      <c r="P743" s="442"/>
    </row>
    <row r="744">
      <c r="H744" s="442"/>
      <c r="P744" s="442"/>
    </row>
    <row r="745">
      <c r="H745" s="442"/>
      <c r="P745" s="442"/>
    </row>
    <row r="746">
      <c r="H746" s="442"/>
      <c r="P746" s="442"/>
    </row>
    <row r="747">
      <c r="H747" s="442"/>
      <c r="P747" s="442"/>
    </row>
    <row r="748">
      <c r="H748" s="442"/>
      <c r="P748" s="442"/>
    </row>
    <row r="749">
      <c r="H749" s="442"/>
      <c r="P749" s="442"/>
    </row>
    <row r="750">
      <c r="H750" s="442"/>
      <c r="P750" s="442"/>
    </row>
    <row r="751">
      <c r="H751" s="442"/>
      <c r="P751" s="442"/>
    </row>
    <row r="752">
      <c r="H752" s="442"/>
      <c r="P752" s="442"/>
    </row>
    <row r="753">
      <c r="H753" s="442"/>
      <c r="P753" s="442"/>
    </row>
    <row r="754">
      <c r="H754" s="442"/>
      <c r="P754" s="442"/>
    </row>
    <row r="755">
      <c r="H755" s="442"/>
      <c r="P755" s="442"/>
    </row>
    <row r="756">
      <c r="H756" s="442"/>
      <c r="P756" s="442"/>
    </row>
    <row r="757">
      <c r="H757" s="442"/>
      <c r="P757" s="442"/>
    </row>
    <row r="758">
      <c r="H758" s="442"/>
      <c r="P758" s="442"/>
    </row>
    <row r="759">
      <c r="H759" s="442"/>
      <c r="P759" s="442"/>
    </row>
    <row r="760">
      <c r="H760" s="442"/>
      <c r="P760" s="442"/>
    </row>
    <row r="761">
      <c r="H761" s="442"/>
      <c r="P761" s="442"/>
    </row>
    <row r="762">
      <c r="H762" s="442"/>
      <c r="P762" s="442"/>
    </row>
    <row r="763">
      <c r="H763" s="442"/>
      <c r="P763" s="442"/>
    </row>
    <row r="764">
      <c r="H764" s="442"/>
      <c r="P764" s="442"/>
    </row>
    <row r="765">
      <c r="H765" s="442"/>
      <c r="P765" s="442"/>
    </row>
    <row r="766">
      <c r="H766" s="442"/>
      <c r="P766" s="442"/>
    </row>
    <row r="767">
      <c r="H767" s="442"/>
      <c r="P767" s="442"/>
    </row>
    <row r="768">
      <c r="H768" s="442"/>
      <c r="P768" s="442"/>
    </row>
    <row r="769">
      <c r="H769" s="442"/>
      <c r="P769" s="442"/>
    </row>
    <row r="770">
      <c r="H770" s="442"/>
      <c r="P770" s="442"/>
    </row>
    <row r="771">
      <c r="H771" s="442"/>
      <c r="P771" s="442"/>
    </row>
    <row r="772">
      <c r="H772" s="442"/>
      <c r="P772" s="442"/>
    </row>
    <row r="773">
      <c r="H773" s="442"/>
      <c r="P773" s="442"/>
    </row>
    <row r="774">
      <c r="H774" s="442"/>
      <c r="P774" s="442"/>
    </row>
    <row r="775">
      <c r="H775" s="442"/>
      <c r="P775" s="442"/>
    </row>
    <row r="776">
      <c r="H776" s="442"/>
      <c r="P776" s="442"/>
    </row>
    <row r="777">
      <c r="H777" s="442"/>
      <c r="P777" s="442"/>
    </row>
    <row r="778">
      <c r="H778" s="442"/>
      <c r="P778" s="442"/>
    </row>
    <row r="779">
      <c r="H779" s="442"/>
      <c r="P779" s="442"/>
    </row>
    <row r="780">
      <c r="H780" s="442"/>
      <c r="P780" s="442"/>
    </row>
    <row r="781">
      <c r="H781" s="442"/>
      <c r="P781" s="442"/>
    </row>
    <row r="782">
      <c r="H782" s="442"/>
      <c r="P782" s="442"/>
    </row>
    <row r="783">
      <c r="H783" s="442"/>
      <c r="P783" s="442"/>
    </row>
    <row r="784">
      <c r="H784" s="442"/>
      <c r="P784" s="442"/>
    </row>
    <row r="785">
      <c r="H785" s="442"/>
      <c r="P785" s="442"/>
    </row>
    <row r="786">
      <c r="H786" s="442"/>
      <c r="P786" s="442"/>
    </row>
    <row r="787">
      <c r="H787" s="442"/>
      <c r="P787" s="442"/>
    </row>
    <row r="788">
      <c r="H788" s="442"/>
      <c r="P788" s="442"/>
    </row>
    <row r="789">
      <c r="H789" s="442"/>
      <c r="P789" s="442"/>
    </row>
    <row r="790">
      <c r="H790" s="442"/>
      <c r="P790" s="442"/>
    </row>
    <row r="791">
      <c r="H791" s="442"/>
      <c r="P791" s="442"/>
    </row>
    <row r="792">
      <c r="H792" s="442"/>
      <c r="P792" s="442"/>
    </row>
    <row r="793">
      <c r="H793" s="442"/>
      <c r="P793" s="442"/>
    </row>
    <row r="794">
      <c r="H794" s="442"/>
      <c r="P794" s="442"/>
    </row>
    <row r="795">
      <c r="H795" s="442"/>
      <c r="P795" s="442"/>
    </row>
    <row r="796">
      <c r="H796" s="442"/>
      <c r="P796" s="442"/>
    </row>
    <row r="797">
      <c r="H797" s="442"/>
      <c r="P797" s="442"/>
    </row>
    <row r="798">
      <c r="H798" s="442"/>
      <c r="P798" s="442"/>
    </row>
    <row r="799">
      <c r="H799" s="442"/>
      <c r="P799" s="442"/>
    </row>
    <row r="800">
      <c r="H800" s="442"/>
      <c r="P800" s="442"/>
    </row>
    <row r="801">
      <c r="H801" s="442"/>
      <c r="P801" s="442"/>
    </row>
    <row r="802">
      <c r="H802" s="442"/>
      <c r="P802" s="442"/>
    </row>
    <row r="803">
      <c r="H803" s="442"/>
      <c r="P803" s="442"/>
    </row>
    <row r="804">
      <c r="H804" s="442"/>
      <c r="P804" s="442"/>
    </row>
    <row r="805">
      <c r="H805" s="442"/>
      <c r="P805" s="442"/>
    </row>
    <row r="806">
      <c r="H806" s="442"/>
      <c r="P806" s="442"/>
    </row>
    <row r="807">
      <c r="H807" s="442"/>
      <c r="P807" s="442"/>
    </row>
    <row r="808">
      <c r="H808" s="442"/>
      <c r="P808" s="442"/>
    </row>
    <row r="809">
      <c r="H809" s="442"/>
      <c r="P809" s="442"/>
    </row>
    <row r="810">
      <c r="H810" s="442"/>
      <c r="P810" s="442"/>
    </row>
    <row r="811">
      <c r="H811" s="442"/>
      <c r="P811" s="442"/>
    </row>
    <row r="812">
      <c r="H812" s="442"/>
      <c r="P812" s="442"/>
    </row>
    <row r="813">
      <c r="H813" s="442"/>
      <c r="P813" s="442"/>
    </row>
    <row r="814">
      <c r="H814" s="442"/>
      <c r="P814" s="442"/>
    </row>
    <row r="815">
      <c r="H815" s="442"/>
      <c r="P815" s="442"/>
    </row>
    <row r="816">
      <c r="H816" s="442"/>
      <c r="P816" s="442"/>
    </row>
    <row r="817">
      <c r="H817" s="442"/>
      <c r="P817" s="442"/>
    </row>
    <row r="818">
      <c r="H818" s="442"/>
      <c r="P818" s="442"/>
    </row>
    <row r="819">
      <c r="H819" s="442"/>
      <c r="P819" s="442"/>
    </row>
    <row r="820">
      <c r="H820" s="442"/>
      <c r="P820" s="442"/>
    </row>
    <row r="821">
      <c r="H821" s="442"/>
      <c r="P821" s="442"/>
    </row>
    <row r="822">
      <c r="H822" s="442"/>
      <c r="P822" s="442"/>
    </row>
    <row r="823">
      <c r="H823" s="442"/>
      <c r="P823" s="442"/>
    </row>
    <row r="824">
      <c r="H824" s="442"/>
      <c r="P824" s="442"/>
    </row>
    <row r="825">
      <c r="H825" s="442"/>
      <c r="P825" s="442"/>
    </row>
    <row r="826">
      <c r="H826" s="442"/>
      <c r="P826" s="442"/>
    </row>
    <row r="827">
      <c r="H827" s="442"/>
      <c r="P827" s="442"/>
    </row>
    <row r="828">
      <c r="H828" s="442"/>
      <c r="P828" s="442"/>
    </row>
    <row r="829">
      <c r="H829" s="442"/>
      <c r="P829" s="442"/>
    </row>
    <row r="830">
      <c r="H830" s="442"/>
      <c r="P830" s="442"/>
    </row>
    <row r="831">
      <c r="H831" s="442"/>
      <c r="P831" s="442"/>
    </row>
    <row r="832">
      <c r="H832" s="442"/>
      <c r="P832" s="442"/>
    </row>
    <row r="833">
      <c r="H833" s="442"/>
      <c r="P833" s="442"/>
    </row>
    <row r="834">
      <c r="H834" s="442"/>
      <c r="P834" s="442"/>
    </row>
    <row r="835">
      <c r="H835" s="442"/>
      <c r="P835" s="442"/>
    </row>
    <row r="836">
      <c r="H836" s="442"/>
      <c r="P836" s="442"/>
    </row>
    <row r="837">
      <c r="H837" s="442"/>
      <c r="P837" s="442"/>
    </row>
    <row r="838">
      <c r="H838" s="442"/>
      <c r="P838" s="442"/>
    </row>
    <row r="839">
      <c r="H839" s="442"/>
      <c r="P839" s="442"/>
    </row>
    <row r="840">
      <c r="H840" s="442"/>
      <c r="P840" s="442"/>
    </row>
    <row r="841">
      <c r="H841" s="442"/>
      <c r="P841" s="442"/>
    </row>
    <row r="842">
      <c r="H842" s="442"/>
      <c r="P842" s="442"/>
    </row>
    <row r="843">
      <c r="H843" s="442"/>
      <c r="P843" s="442"/>
    </row>
    <row r="844">
      <c r="H844" s="442"/>
      <c r="P844" s="442"/>
    </row>
    <row r="845">
      <c r="H845" s="442"/>
      <c r="P845" s="442"/>
    </row>
    <row r="846">
      <c r="H846" s="442"/>
      <c r="P846" s="442"/>
    </row>
    <row r="847">
      <c r="H847" s="442"/>
      <c r="P847" s="442"/>
    </row>
    <row r="848">
      <c r="H848" s="442"/>
      <c r="P848" s="442"/>
    </row>
    <row r="849">
      <c r="H849" s="442"/>
      <c r="P849" s="442"/>
    </row>
    <row r="850">
      <c r="H850" s="442"/>
      <c r="P850" s="442"/>
    </row>
    <row r="851">
      <c r="H851" s="442"/>
      <c r="P851" s="442"/>
    </row>
    <row r="852">
      <c r="H852" s="442"/>
      <c r="P852" s="442"/>
    </row>
    <row r="853">
      <c r="H853" s="442"/>
      <c r="P853" s="442"/>
    </row>
    <row r="854">
      <c r="H854" s="442"/>
      <c r="P854" s="442"/>
    </row>
    <row r="855">
      <c r="H855" s="442"/>
      <c r="P855" s="442"/>
    </row>
    <row r="856">
      <c r="H856" s="442"/>
      <c r="P856" s="442"/>
    </row>
    <row r="857">
      <c r="H857" s="442"/>
      <c r="P857" s="442"/>
    </row>
    <row r="858">
      <c r="H858" s="442"/>
      <c r="P858" s="442"/>
    </row>
    <row r="859">
      <c r="H859" s="442"/>
      <c r="P859" s="442"/>
    </row>
    <row r="860">
      <c r="H860" s="442"/>
      <c r="P860" s="442"/>
    </row>
    <row r="861">
      <c r="H861" s="442"/>
      <c r="P861" s="442"/>
    </row>
    <row r="862">
      <c r="H862" s="442"/>
      <c r="P862" s="442"/>
    </row>
    <row r="863">
      <c r="H863" s="442"/>
      <c r="P863" s="442"/>
    </row>
    <row r="864">
      <c r="H864" s="442"/>
      <c r="P864" s="442"/>
    </row>
    <row r="865">
      <c r="H865" s="442"/>
      <c r="P865" s="442"/>
    </row>
    <row r="866">
      <c r="H866" s="442"/>
      <c r="P866" s="442"/>
    </row>
    <row r="867">
      <c r="H867" s="442"/>
      <c r="P867" s="442"/>
    </row>
    <row r="868">
      <c r="H868" s="442"/>
      <c r="P868" s="442"/>
    </row>
    <row r="869">
      <c r="H869" s="442"/>
      <c r="P869" s="442"/>
    </row>
    <row r="870">
      <c r="H870" s="442"/>
      <c r="P870" s="442"/>
    </row>
    <row r="871">
      <c r="H871" s="442"/>
      <c r="P871" s="442"/>
    </row>
    <row r="872">
      <c r="H872" s="442"/>
      <c r="P872" s="442"/>
    </row>
    <row r="873">
      <c r="H873" s="442"/>
      <c r="P873" s="442"/>
    </row>
    <row r="874">
      <c r="H874" s="442"/>
      <c r="P874" s="442"/>
    </row>
    <row r="875">
      <c r="H875" s="442"/>
      <c r="P875" s="442"/>
    </row>
    <row r="876">
      <c r="H876" s="442"/>
      <c r="P876" s="442"/>
    </row>
    <row r="877">
      <c r="H877" s="442"/>
      <c r="P877" s="442"/>
    </row>
    <row r="878">
      <c r="H878" s="442"/>
      <c r="P878" s="442"/>
    </row>
    <row r="879">
      <c r="H879" s="442"/>
      <c r="P879" s="442"/>
    </row>
    <row r="880">
      <c r="H880" s="442"/>
      <c r="P880" s="442"/>
    </row>
    <row r="881">
      <c r="H881" s="442"/>
      <c r="P881" s="442"/>
    </row>
    <row r="882">
      <c r="H882" s="442"/>
      <c r="P882" s="442"/>
    </row>
    <row r="883">
      <c r="H883" s="442"/>
      <c r="P883" s="442"/>
    </row>
    <row r="884">
      <c r="H884" s="442"/>
      <c r="P884" s="442"/>
    </row>
    <row r="885">
      <c r="H885" s="442"/>
      <c r="P885" s="442"/>
    </row>
    <row r="886">
      <c r="H886" s="442"/>
      <c r="P886" s="442"/>
    </row>
    <row r="887">
      <c r="H887" s="442"/>
      <c r="P887" s="442"/>
    </row>
    <row r="888">
      <c r="H888" s="442"/>
      <c r="P888" s="442"/>
    </row>
    <row r="889">
      <c r="H889" s="442"/>
      <c r="P889" s="442"/>
    </row>
    <row r="890">
      <c r="H890" s="442"/>
      <c r="P890" s="442"/>
    </row>
    <row r="891">
      <c r="H891" s="442"/>
      <c r="P891" s="442"/>
    </row>
    <row r="892">
      <c r="H892" s="442"/>
      <c r="P892" s="442"/>
    </row>
    <row r="893">
      <c r="H893" s="442"/>
      <c r="P893" s="442"/>
    </row>
    <row r="894">
      <c r="H894" s="442"/>
      <c r="P894" s="442"/>
    </row>
    <row r="895">
      <c r="H895" s="442"/>
      <c r="P895" s="442"/>
    </row>
    <row r="896">
      <c r="H896" s="442"/>
      <c r="P896" s="442"/>
    </row>
    <row r="897">
      <c r="H897" s="442"/>
      <c r="P897" s="442"/>
    </row>
    <row r="898">
      <c r="H898" s="442"/>
      <c r="P898" s="442"/>
    </row>
    <row r="899">
      <c r="H899" s="442"/>
      <c r="P899" s="442"/>
    </row>
    <row r="900">
      <c r="H900" s="442"/>
      <c r="P900" s="442"/>
    </row>
    <row r="901">
      <c r="H901" s="442"/>
      <c r="P901" s="442"/>
    </row>
    <row r="902">
      <c r="H902" s="442"/>
      <c r="P902" s="442"/>
    </row>
    <row r="903">
      <c r="H903" s="442"/>
      <c r="P903" s="442"/>
    </row>
    <row r="904">
      <c r="H904" s="442"/>
      <c r="P904" s="442"/>
    </row>
    <row r="905">
      <c r="H905" s="442"/>
      <c r="P905" s="442"/>
    </row>
    <row r="906">
      <c r="H906" s="442"/>
      <c r="P906" s="442"/>
    </row>
    <row r="907">
      <c r="H907" s="442"/>
      <c r="P907" s="442"/>
    </row>
    <row r="908">
      <c r="H908" s="442"/>
      <c r="P908" s="442"/>
    </row>
    <row r="909">
      <c r="H909" s="442"/>
      <c r="P909" s="442"/>
    </row>
    <row r="910">
      <c r="H910" s="442"/>
      <c r="P910" s="442"/>
    </row>
    <row r="911">
      <c r="H911" s="442"/>
      <c r="P911" s="442"/>
    </row>
    <row r="912">
      <c r="H912" s="442"/>
      <c r="P912" s="442"/>
    </row>
    <row r="913">
      <c r="H913" s="442"/>
      <c r="P913" s="442"/>
    </row>
    <row r="914">
      <c r="H914" s="442"/>
      <c r="P914" s="442"/>
    </row>
    <row r="915">
      <c r="H915" s="442"/>
      <c r="P915" s="442"/>
    </row>
    <row r="916">
      <c r="H916" s="442"/>
      <c r="P916" s="442"/>
    </row>
    <row r="917">
      <c r="H917" s="442"/>
      <c r="P917" s="442"/>
    </row>
    <row r="918">
      <c r="H918" s="442"/>
      <c r="P918" s="442"/>
    </row>
    <row r="919">
      <c r="H919" s="442"/>
      <c r="P919" s="442"/>
    </row>
    <row r="920">
      <c r="H920" s="442"/>
      <c r="P920" s="442"/>
    </row>
    <row r="921">
      <c r="H921" s="442"/>
      <c r="P921" s="442"/>
    </row>
    <row r="922">
      <c r="H922" s="442"/>
      <c r="P922" s="442"/>
    </row>
    <row r="923">
      <c r="H923" s="442"/>
      <c r="P923" s="442"/>
    </row>
    <row r="924">
      <c r="H924" s="442"/>
      <c r="P924" s="442"/>
    </row>
    <row r="925">
      <c r="H925" s="442"/>
      <c r="P925" s="442"/>
    </row>
    <row r="926">
      <c r="H926" s="442"/>
      <c r="P926" s="442"/>
    </row>
    <row r="927">
      <c r="H927" s="442"/>
      <c r="P927" s="442"/>
    </row>
    <row r="928">
      <c r="H928" s="442"/>
      <c r="P928" s="442"/>
    </row>
    <row r="929">
      <c r="H929" s="442"/>
      <c r="P929" s="442"/>
    </row>
    <row r="930">
      <c r="H930" s="442"/>
      <c r="P930" s="442"/>
    </row>
    <row r="931">
      <c r="H931" s="442"/>
      <c r="P931" s="442"/>
    </row>
    <row r="932">
      <c r="H932" s="442"/>
      <c r="P932" s="442"/>
    </row>
    <row r="933">
      <c r="H933" s="442"/>
      <c r="P933" s="442"/>
    </row>
    <row r="934">
      <c r="H934" s="442"/>
      <c r="P934" s="442"/>
    </row>
    <row r="935">
      <c r="H935" s="442"/>
      <c r="P935" s="442"/>
    </row>
    <row r="936">
      <c r="H936" s="442"/>
      <c r="P936" s="442"/>
    </row>
    <row r="937">
      <c r="H937" s="442"/>
      <c r="P937" s="442"/>
    </row>
    <row r="938">
      <c r="H938" s="442"/>
      <c r="P938" s="442"/>
    </row>
    <row r="939">
      <c r="H939" s="442"/>
      <c r="P939" s="442"/>
    </row>
    <row r="940">
      <c r="H940" s="442"/>
      <c r="P940" s="442"/>
    </row>
    <row r="941">
      <c r="H941" s="442"/>
      <c r="P941" s="442"/>
    </row>
    <row r="942">
      <c r="H942" s="442"/>
      <c r="P942" s="442"/>
    </row>
    <row r="943">
      <c r="H943" s="442"/>
      <c r="P943" s="442"/>
    </row>
    <row r="944">
      <c r="H944" s="442"/>
      <c r="P944" s="442"/>
    </row>
    <row r="945">
      <c r="H945" s="442"/>
      <c r="P945" s="442"/>
    </row>
    <row r="946">
      <c r="H946" s="442"/>
      <c r="P946" s="442"/>
    </row>
    <row r="947">
      <c r="H947" s="442"/>
      <c r="P947" s="442"/>
    </row>
    <row r="948">
      <c r="H948" s="442"/>
      <c r="P948" s="442"/>
    </row>
    <row r="949">
      <c r="H949" s="442"/>
      <c r="P949" s="442"/>
    </row>
    <row r="950">
      <c r="H950" s="442"/>
      <c r="P950" s="442"/>
    </row>
    <row r="951">
      <c r="H951" s="442"/>
      <c r="P951" s="442"/>
    </row>
    <row r="952">
      <c r="H952" s="442"/>
      <c r="P952" s="442"/>
    </row>
    <row r="953">
      <c r="H953" s="442"/>
      <c r="P953" s="442"/>
    </row>
    <row r="954">
      <c r="H954" s="442"/>
      <c r="P954" s="442"/>
    </row>
    <row r="955">
      <c r="H955" s="442"/>
      <c r="P955" s="442"/>
    </row>
    <row r="956">
      <c r="H956" s="442"/>
      <c r="P956" s="442"/>
    </row>
    <row r="957">
      <c r="H957" s="442"/>
      <c r="P957" s="442"/>
    </row>
    <row r="958">
      <c r="H958" s="442"/>
      <c r="P958" s="442"/>
    </row>
    <row r="959">
      <c r="H959" s="442"/>
      <c r="P959" s="442"/>
    </row>
    <row r="960">
      <c r="H960" s="442"/>
      <c r="P960" s="442"/>
    </row>
    <row r="961">
      <c r="H961" s="442"/>
      <c r="P961" s="442"/>
    </row>
    <row r="962">
      <c r="H962" s="442"/>
      <c r="P962" s="442"/>
    </row>
    <row r="963">
      <c r="H963" s="442"/>
      <c r="P963" s="442"/>
    </row>
    <row r="964">
      <c r="H964" s="442"/>
      <c r="P964" s="442"/>
    </row>
    <row r="965">
      <c r="H965" s="442"/>
      <c r="P965" s="442"/>
    </row>
    <row r="966">
      <c r="H966" s="442"/>
      <c r="P966" s="442"/>
    </row>
    <row r="967">
      <c r="H967" s="442"/>
      <c r="P967" s="442"/>
    </row>
    <row r="968">
      <c r="H968" s="442"/>
      <c r="P968" s="442"/>
    </row>
    <row r="969">
      <c r="H969" s="442"/>
      <c r="P969" s="442"/>
    </row>
    <row r="970">
      <c r="H970" s="442"/>
      <c r="P970" s="442"/>
    </row>
    <row r="971">
      <c r="H971" s="442"/>
      <c r="P971" s="442"/>
    </row>
    <row r="972">
      <c r="H972" s="442"/>
      <c r="P972" s="442"/>
    </row>
    <row r="973">
      <c r="H973" s="442"/>
      <c r="P973" s="442"/>
    </row>
    <row r="974">
      <c r="H974" s="442"/>
      <c r="P974" s="442"/>
    </row>
    <row r="975">
      <c r="H975" s="442"/>
      <c r="P975" s="442"/>
    </row>
    <row r="976">
      <c r="H976" s="442"/>
      <c r="P976" s="442"/>
    </row>
    <row r="977">
      <c r="H977" s="442"/>
      <c r="P977" s="442"/>
    </row>
    <row r="978">
      <c r="H978" s="442"/>
      <c r="P978" s="442"/>
    </row>
    <row r="979">
      <c r="H979" s="442"/>
      <c r="P979" s="442"/>
    </row>
    <row r="980">
      <c r="H980" s="442"/>
      <c r="P980" s="442"/>
    </row>
    <row r="981">
      <c r="H981" s="442"/>
      <c r="P981" s="442"/>
    </row>
    <row r="982">
      <c r="H982" s="442"/>
      <c r="P982" s="442"/>
    </row>
    <row r="983">
      <c r="H983" s="442"/>
      <c r="P983" s="442"/>
    </row>
    <row r="984">
      <c r="H984" s="442"/>
      <c r="P984" s="442"/>
    </row>
    <row r="985">
      <c r="H985" s="442"/>
      <c r="P985" s="442"/>
    </row>
    <row r="986">
      <c r="H986" s="442"/>
      <c r="P986" s="442"/>
    </row>
    <row r="987">
      <c r="H987" s="442"/>
      <c r="P987" s="442"/>
    </row>
    <row r="988">
      <c r="H988" s="442"/>
      <c r="P988" s="442"/>
    </row>
    <row r="989">
      <c r="H989" s="442"/>
      <c r="P989" s="442"/>
    </row>
    <row r="990">
      <c r="H990" s="442"/>
      <c r="P990" s="442"/>
    </row>
    <row r="991">
      <c r="H991" s="442"/>
      <c r="P991" s="442"/>
    </row>
    <row r="992">
      <c r="H992" s="442"/>
      <c r="P992" s="442"/>
    </row>
    <row r="993">
      <c r="H993" s="442"/>
      <c r="P993" s="442"/>
    </row>
    <row r="994">
      <c r="H994" s="442"/>
      <c r="P994" s="442"/>
    </row>
    <row r="995">
      <c r="H995" s="442"/>
      <c r="P995" s="442"/>
    </row>
    <row r="996">
      <c r="H996" s="442"/>
      <c r="P996" s="442"/>
    </row>
    <row r="997">
      <c r="H997" s="442"/>
      <c r="P997" s="442"/>
    </row>
    <row r="998">
      <c r="H998" s="442"/>
      <c r="P998" s="442"/>
    </row>
    <row r="999">
      <c r="H999" s="442"/>
      <c r="P999" s="442"/>
    </row>
    <row r="1000">
      <c r="H1000" s="442"/>
      <c r="P1000" s="442"/>
    </row>
  </sheetData>
  <dataValidations>
    <dataValidation type="list" allowBlank="1" showErrorMessage="1" sqref="AE84:AE87 AE89:AE133 AE135:AE141 AE145 AE147:AE174 AE176 AE178:AE184 AE186 AE188 AE196 AE200:AE204 AE206:AE236 AE350:AE355 AE357:AE405 AE407:AE413 AE417:AE420 AE422:AE476">
      <formula1>"Angie Serrano ,Fernando Zamora,Jairo Jaramillo,Julian Scarpetta,Katherine Galindo,Maicol Quiroga,Santiago Fontanilla,Luz Marina Fino,Leidy Diana Soler G,Milena Migues,Jenny Saavedra,N/A,Diego Silva,Jeferson Vanegas,Juan Esteban Bossa"</formula1>
    </dataValidation>
    <dataValidation type="list" allowBlank="1" showErrorMessage="1" sqref="W2:W236 W242:W476">
      <formula1>"Libertad religiosa,Movilidad,Niñez,Servicios públicos,Tramites"</formula1>
    </dataValidation>
    <dataValidation type="list" allowBlank="1" showErrorMessage="1" sqref="G81:G83 G108:G109 G113 G140 G163 G346:G348 G379:G380 G384">
      <formula1>" venta  de estupefacientes,Abigeato,Abuso Sexual,Accidentalidad,Acueducto,Adulto Mayor,Agresiones,Albergue,Alcantarillado,Alivios Tributarios,Alumbrado,Ambiente,Andenes,Animales,Apoyo Económico,Apoyo Empresarial,Arreglo Parque,Arreglo vías,Aseo,Asesoría L"&amp;"egal,Autorizaciones,Auxilio Funerario,Basuras,Becas,Bono Adulto Mayor,Bullyng,Calle Inundada,Cámaras,Canaletas,Capacitación,Centro Noche,Cierre de Vías,Cifras,Cirugía,Cita,Cita especialista,Citas médicas,Cobro de factura,Comedor comunitario,Comparendos Co"&amp;"nvivencia,Compra de predio,Comunales,Concepto Técnico,Contador de Energía,Contenedores de Basura,Cupo Estudiantil,Curaduria Social,Debate,Desayuno,Desbordamiento de lluvias,Devolución papeles,Discapacidad,Discapacidad - Subsidio de transporte,Dispocisión "&amp;"de Basuras,Domicilio,Educación,Educación superior,Ejecución presupuestal,Embellecimiento,embellecimiento de espacio público,Emprendimiento,Entrega de Equipos médicos,Espacio Público,Espacio,Estafa ,Facturación,Feminicidio,Feria de servicios,Ferias campesi"&amp;"nas,Fiscalia,Frente de Seguridad,Habitantes de calle,Hospital de Bosa,Humedad,Hurtos,Impuesto predial,Indemnización,Inestabilidad estructural por vibraciones,información,Infraestructura,Infraestructura vial ,inseguridad,Inseguridad en colegios,Inseguridad"&amp;" en parques,Inseguridad lugar de culto,Inseguridad y amenazas,Internet,Intervención de árboles,invitación,JAC,Legalización de Barrios,Libreta militar,limpieza de lotes,Lotes Trasnmilenio y URI FISCALIA,Luminarias,Malla Vial,Manejo de residuos ,Manejo de r"&amp;"onda,Mascotas,Matricula 0,Medicamentos,Mesa de trabajo,Metro,Movilidad escolar,Muro de Contención,Obras,oferta institucional,oferta pública,Otros,Pañales,parque vecinal,Parques,Pavimentación vías,PDD,Pensión por Invalidez,Persona Mayor,Personalización de "&amp;"tarjetas SITP,Pico y Placa,Planeación,planos,Plazas de Mercado,Poda,poste en riesgo,Postes de eléctricidad ,Predios ,Presión del agua,Problemáticas varias,Procedimientos y exámenes,Programa,Programación de cirugías,Proyecto Impulso Local,Puente,puntos com"&amp;"erciales,Puntos críticos,quebrada,Recicladores,Recolección de basuras,reconocimiento como victima,Redes de acueducto,Reductores de Velocidad,Refugio,regulación sanitaria,Respuesta JAL,Reunión,Ruta escolar,Ruta Nueva,Ruta SITP,Rutas escolares,Segmento vial"&amp;" en mal estado y problemáticas ambientales,Seguimiento compromisos,Seguridad,Semáforo,Señalización,Servicios funerarios,Siembra de arboles,Sisben,Sistema de alertas,Solicitud de cifras y datos,Solicitud de información cifras,Subsidios,Sumideros ,Talento t"&amp;"ech,Talleres,Tapar Hueco,Tarjeta Tu llave Transmilenio-SITP,Telecomunicaciones,Titulación,Tramites,Transporte escolar,Traslado,Tratamientos,Vectores,Vendedores informales,Vía arterial,Via publica,Violencia Intrafamiliar ,Visita domiciliaria,Vivienda,Zona "&amp;"de Cesión,Zona Insegura"</formula1>
    </dataValidation>
    <dataValidation type="list" allowBlank="1" showErrorMessage="1" sqref="F2:F236 F242:F476">
      <formula1>"Agradecimiento y Rendición de Cuentas,Ambiente,Arreglo de vía,ASI,Cementerios,Cultura, recreación, turismo y deporte,Educación,Ejecución presupuestal,Emprendimiento y empleo,ESCNNA,Gobierno,Habitante de calle,Hábitat,Hacienda,Libertad Religiosa,Mascotas,M"&amp;"ovilidad,Mujer,Niñez,Participación,Pensión,Planeación,Predios,POT,Región Metropolitana,Salud,Seguridad,Servicio militar,Servicios públicos,Subsidios,Victimas del Conflicto Armado,Propiedad Horizontal,Parques,Integración Social,Adulto Mayor,Espacio publico"&amp;",Arreglo andenes,Basuras,Infancia y Adolescencia,Arreglo de zonas verdes,Animales,ASESORIA,Impuestos,Tapa de alcantarilla"</formula1>
    </dataValidation>
    <dataValidation type="list" allowBlank="1" showErrorMessage="1" sqref="B84:B174 B176 B178:B184 B186 B188 B195:B196 B200:B204 B206:B222 B230:B236 B350:B436 B444:B476">
      <formula1>"1,2,3,4,5,6,7,8,9,10,11,12"</formula1>
    </dataValidation>
    <dataValidation type="list" allowBlank="1" showErrorMessage="1" sqref="AF2:AF206 AF215 AF242:AF365 AF369:AF417 AF421 AF427 AF435:AF436 AF444:AF462 AF470:AF476">
      <formula1>"Bogotá,Funza,Soacha,Tunja"</formula1>
    </dataValidation>
    <dataValidation type="list" allowBlank="1" showErrorMessage="1" sqref="C2:C83 C175 C177 C185 C187 C189:C194 C197:C199 C205 C223:C229 C242:C349 C437:C443">
      <formula1>"Abril,Agosto,Diciembre,Enero,Febrero,Julio,Junio,Marzo,Mayo,Noviembre ,Octubre,Septiembre"</formula1>
    </dataValidation>
    <dataValidation type="list" allowBlank="1" showErrorMessage="1" sqref="O68 O205 O327">
      <formula1>"Compromisos de campaña 2023,Gestión 2024,N/A"</formula1>
    </dataValidation>
    <dataValidation type="list" allowBlank="1" showErrorMessage="1" sqref="O2:O67 O69:O204 O206:O236 O242:O326 O328:O476">
      <formula1>"Compromisos de campaña 2023,Gestión 2024,Gestión 2025,N/A,Gestion 2026"</formula1>
    </dataValidation>
    <dataValidation type="list" allowBlank="1" showErrorMessage="1" sqref="AJ2:AJ236 AJ242:AJ476">
      <formula1>"NO,SI,DUPLICADO"</formula1>
    </dataValidation>
    <dataValidation type="list" allowBlank="1" showErrorMessage="1" sqref="Q85 Q87:Q107 Q110:Q133 Q135:Q145 Q147:Q174 Q176 Q178:Q184 Q186 Q188 Q195:Q196 Q200:Q204 Q207:Q236 Q351:Q353 Q355:Q378 Q381:Q405 Q407:Q416 Q418:Q420 Q422:Q476">
      <formula1>"Hombre ,Mujer,N/A"</formula1>
    </dataValidation>
    <dataValidation type="list" allowBlank="1" showErrorMessage="1" sqref="E2:E236 E242:E476">
      <formula1>"Apoyo Bancada,Apoyo Ciudadano,Derecho de petición,Gestión Comunidades,Invitaciones Institucionales,Mesas técnicas,Mesas de trabajo,Relacionamiento Público"</formula1>
    </dataValidation>
    <dataValidation type="list" allowBlank="1" showErrorMessage="1" sqref="M2:M236 M242:M476">
      <formula1>"01.Lijacá,01.Orquídeas,02.Chapinero,04.La Victoria,04.Sosiego,05.Santa Librada,05.Usme,06.San Vicente Ferrer,07.Bosa Estación ,07.Bosa Recreo,08.Kennedy Central ,08.Carvajal,08.Class,08.Patio Bonito,09.Fontibón,10.Ferias,10.La Granja,10.Villa Gladys,11.La"&amp;" Colina,11.Prado Veraniego,11.Suba Flóres,11.Suba Las Mercedes,11.Suba Lisboa,11.Suba Pinar,11.Suba  Rincón,11. Fontanar,15.Santander,16.Galán,18.Santa Lucia,19.Candelaria la nueva,20. Alquería ,N/A"</formula1>
    </dataValidation>
    <dataValidation type="list" allowBlank="1" showErrorMessage="1" sqref="X2:X83 X134 X146 X175 X177 X185 X187 X189:X194 X197:X199 X205 X242:X349 X406 X421">
      <formula1>"Externos,Interno,N/A"</formula1>
    </dataValidation>
    <dataValidation type="list" allowBlank="1" showErrorMessage="1" sqref="A84:A174 A176 A178:A184 A186 A188 A195:A196 A200:A204 A206:A222 A230:A236 A350:A436 A444:A476">
      <formula1>"2024,2025,2026,2027"</formula1>
    </dataValidation>
    <dataValidation type="list" allowBlank="1" showErrorMessage="1" sqref="A2:A83 A175 A177 A185 A187 A189:A194 A197:A199 A205 A223:A229 A242:A349 A437:A443">
      <formula1>"2024,2025"</formula1>
    </dataValidation>
    <dataValidation type="list" allowBlank="1" showErrorMessage="1" sqref="Y2:Y83 Y134 Y146 Y175 Y177 Y185 Y187 Y189:Y194 Y197:Y199 Y205 Y242:Y349 Y406 Y421">
      <formula1>"En Proceso,Finalizado,N/A,Pendiente"</formula1>
    </dataValidation>
    <dataValidation type="list" allowBlank="1" showErrorMessage="1" sqref="C84:C174 C176 C178:C184 C186 C188 C195:C196 C200:C204 C206:C222 C230:C236 C350:C436 C444:C476">
      <formula1>"Enero,Febrero,Marzo,Abril,Mayo,Junio,Julio,Agosto,N/A,Septiembre,Octubre,Noviembre ,Diciembre"</formula1>
    </dataValidation>
    <dataValidation type="list" allowBlank="1" showErrorMessage="1" sqref="AE2:AE83 AE88 AE134 AE142:AE144 AE146 AE175 AE177 AE185 AE187 AE189:AE195 AE197:AE199 AE205 AE242:AE349 AE356 AE406 AE414:AE416 AE421">
      <formula1>"Alexandra García  ,Angie Benitez,Angie Serrano ,Fernando Zamora,Jairo Jaramillo,Julian Scarpetta,Katherine Galindo,Leidy Diana Soler G,Luz Marina Fino,Maicol Quiroga,Santiago Fontanilla,Diego Silva"</formula1>
    </dataValidation>
    <dataValidation type="list" allowBlank="1" showErrorMessage="1" sqref="I2:I236 I242:I476">
      <formula1>"Secretaría General,Departamento Administrativo del Servicio Civil Distrital - Dascd,Secretaría Distrital de Gobierno,Departamento Administrativo de la Defensoría del Espacio Público - Dadep,Instituto Distrital de la Participación y Acción Comunal - IDPAC,"&amp;"Secretaría Distrital de Hacienda,Fondo de Prestaciones Económicas, Cesantías y Pensiones - FONCEP,Unidad Administrativa Especial de Catastro Distrital - UAECD,Lotería de Bogotá,Secretaría Distrital de Planeación,Secretaría Distrital de Desarrollo Económic"&amp;"o,Instituto Para la Economía Social - IPES,Instituto Distrital de Turismo,Corporación para el Desarrollo y la Productividad -BOGOTÁ REGIÓN,Secretaría de Educación del Distrito,Instituto Distrital para la Investigacion Educativa y el Desarrollo Pedagógico "&amp;"- IDEP,Secretaría Distrital de Salud,Fondo Financiero Distrital de Salud - FFDS,Subredes Integradas de Servicios de Salud E.S.E.s,Capital Salud EPS-S SAS,Entidad Asesora de Gestión Administrativa y Técnica,Instituto Distrital deCiencia, Biotecnología Inno"&amp;"vación en Salud-IDCBIS,Secretaría Distrital de Integración Social,Instituto Distrital para la Protección de la Niñez y la Juventud - IDIPRON,Secretaría Distrital de Cultura, Recreación y Deporte,Inst. Dist. de Recreación y Deporte - IDRD,Inst. Dist. de Pa"&amp;"trimonio Cultural - IDPC,Instituto Distrital de las Artes - IDARTES,Secretaría Distrital de Ambiente,Instituto Distrital de Protección y Bienestar Animal - IDPYBA,Instituto Distrital de Gestión de Riesgos y Cambio Climático - IDIGER,Secretaría Distrital d"&amp;"e Movilidad,UAE de Rehabilitación y Mantenimiento Vial - UAERMV,Instituto de Desarrollo Urbano - IDU,Empresa de Transporte del Tercer Milenio Transmilenio S.A.,Empresa Metro de Bogotá S.A.,Secretaría Distrital del Hábitat,Unidad Administrativa Especial de"&amp;" Servicios Públicos - UAESP,Caja de Vivienda Popular - CVP,Empresa de Renovación y Desarrollo Urbano de Bogotá D.C.,Empresa de Energía de Bogotá S.A. - EEB - ESP,Empresa de Acueducto y Alcantarillado de Bogotá -ESP,Empresa de Telecomunicaciones de Bogotá "&amp;"S.A. ESP - ETB,Secretaría Distrital de la Mujer,Secretaría Distrital de Seguridad, Convivencia y Justicia,UAE Cuerpo Oficial de Bomberos de Bogota,Enel - Codensa,Secretaría Jurídica Distrital,Alcaldía Mayor de Bogotá,Alcaldias Locales,Contraloría Distrita"&amp;"l,Personería Distrital,Policía Nacional,Registraduría,Veeduría Distrital,Superintendencia de Salud,Superintendencia de servicios públicos,Area Metropolitana,Concejo Distrital,Congreso,Camara de Comercio,Concejo Como Vamos,Fiscalía General de la Nación ,De"&amp;"fensoria del Pueblo,Alta Consejeria TIC,Agencia de Analitica de Datos,Cámara de comercio de Bogotá,Aguas de Bogotá,Terminal de Transporte de Bogotá,Canal Capital,Orquesta Filarmónica,Fundación Gilberto Alzate Avendaño,Instituto Nacional de Medicina Legal,"&amp;"Sin entidad,Agencia Atenea,Junta Administradora Local,Superintendencia de Industria y Comercio,OPAM,COLFONDOS S.A. Pensiones y Cesantías,Jardín Botánico José Celestino Mutis  JBB,Vanti,Superintendencia de Notariado y Registro,Ministerio Interior"</formula1>
    </dataValidation>
    <dataValidation type="list" allowBlank="1" showErrorMessage="1" sqref="L60:L145 L147:L174 L176 L178:L184 L186 L188 L195:L196 L200:L236 L317:L342 L344:L420 L422:L476">
      <formula1>"01.Usaquén,02.Chapinero,03.Santa Fe,04.San Cristóbal,05.Usme,06.Tunjuelito,07.Bosa,08.Kennedy,09.Fontibón,10.Engativá,11.Suba,12.Barrios Unidos,13.Teusaquillo,14.Los Mártires,15.Antonio Nariño,16.Puente Aranda,17.La Candelaria,18.Rafael Uribe Uribe,19.Ciu"&amp;"dad Bolívar,20.Sumapaz,Municipios,N/A"</formula1>
    </dataValidation>
    <dataValidation type="list" allowBlank="1" showErrorMessage="1" sqref="AD84:AD133 AD135:AD141 AD145 AD147:AD174 AD176 AD178:AD184 AD186 AD188 AD195:AD196 AD200:AD204 AD206:AD236 AD350:AD405 AD407:AD413 AD417:AD420 AD422:AD476">
      <formula1>"Asesor,Edil,No se indiqua quien es el encargado"</formula1>
    </dataValidation>
    <dataValidation type="list" allowBlank="1" showErrorMessage="1" sqref="K2:K84 K86 K134 K146 K175 K177 K185 K187 K189:K194 K197:K199 K205 K242:K350 K354 K406 K421">
      <formula1>"Bogotá,N/A,Norte,Sur"</formula1>
    </dataValidation>
    <dataValidation type="list" allowBlank="1" showErrorMessage="1" sqref="L2:L59 L146 L175 L177 L185 L187 L189:L194 L197:L199 L242:L316 L343 L421">
      <formula1>"01.Usaquén,02.Chapinero,03.Santa Fe,04.San Cristóbal,05.Usme,06.Tunjuelito,07.Bosa,08.Kennedy,09.Fontibón,10.Engativá,11.Suba,12.Barrios Unidos,13.Teusaquillo,14.Los Mártires,15.Antonio Nariño,16.Puente Aranda,17.La Candelaria,18.Rafael Uribe Uribe,19.Ciu"&amp;"dad Bolívar,20.Sumapaz,Municipios,N/A"</formula1>
    </dataValidation>
    <dataValidation type="list" allowBlank="1" showErrorMessage="1" sqref="G3:G80 G84:G85 G87:G88 G92 G94:G95 G97:G100 G105 G110 G112 G116:G122 G124:G129 G131:G132 G134:G139 G141:G143 G145:G150 G153 G160 G162 G165:G168 G171 G174:G175 G177 G185 G189:G194 G197:G199 G205:G206 G210:G215 G244:G345 G351:G353 G355 G406 G417 G421:G427">
      <formula1>" venta  de estupefacientes, Venta de alucinógenos,abigeato,Abuso Sexual,Acceso,Accidentalidad,Acueducto,adulto mayor,Adulto Mayor,Agresiones,Aguas residuales,Albergue,alcantarilla,Alcantarillado,alivios tributarios,Alumbrado,Alumbrado publico,alumbrado pú"&amp;"blico,Ambiente,Andenes,Animales,Apoyo económico,Apoyo Empresarial,Arreglo parque,Arreglo vías,Aseo,asesoría,Asesoría legal,Autorizaciones,Auxilio funerario,ayuda económica,Basuras,Becas,bono adulto mayor,Bono Adulto Mayor,bullyng,Calle inundada,Cámaras,Ca"&amp;"naletas,capacitación,centro noche,Cierre de vías,cifras,Cifras,Cirugía,Cita,Cita especialista,Citas médicas,Cobro de factura,Comedor comunitario,comedor comunitario,Comparendos Convivencia,Compra de predio,Comunales,concepto,Concepto técnico IDIGER,contad"&amp;"or de energía,Contenedores de basura,Cupo,cupo escolar,Cupo escolar,cupo estudiantil,Cupo Estudiantil,Cupos escolares,Curaduria Social,Debate,desayuno,Desbordamiento de lluvias,Devolución papeles,discapacidad,Discapacidad - Subsidio de transporte,Dispocis"&amp;"ión de basuras,Domicilio,Educación,Educación superior,Ejecución presupuestal,Embellecimiento,embellecimiento de espacio público,Emprendimiento,Entrega de equipos médicos,Espacio publico,Espacio Público,Espacios,estafa ,f,Facturación,feminicidio,Feria de s"&amp;"ervicios,ferias campesinas,Fiscalia,Frente de Seguridad,Frente de seguridad,Frentes de seguridad,habitante de calle,Habitantes de calle,Hospital de Bosa,Humedad,hurto,Hurtos,impuesto predial,Impuesto predial,Indemnización,Inestabilidad estructural por vib"&amp;"raciones,información,Infraestructura,Infraestructura vial ,inseguridad,Inseguridad en colegios,Inseguridad en parques,Inseguridad lugar de culto,Inseguridad y amenazas,Internet,Intervención de árboles,invitación,JAC,Legalización Barrio,Legalización de bar"&amp;"rios,Legalización de Barrios,Libreta militar,limpieza de lotes,Lotes Trasnmilenio y URI FISCALIA,Luminarias,luminarias,Malla vial,Malla Vial,malla vial,Manejo de residuos ,Manejo de ronda,Mascotas,Matricula,matricula 0,Medicamentos,Mesa de trabajo,Metro,M"&amp;"ovilidad escolar,Muro de Contención,Obra Metro,Obras,oferta institucional,oferta pública,Otros,Pañales,parque vecinal,Parques,Pavimentación vías,PDD,Pensión por Invalidez,Persona Mayor,Personalización de tarjetas SITP,Pico y Placa,Planeación,planos,Plazas"&amp;" de Mercado,Poda,poste de luz,poste en riesgo,Postes de eléctricidad ,Predios ,Presión del agua,Problemáticas varias,Procedimientos,Procedimientos y exámenes,Programa,Programación de cirugías,Proyecto Impulso Local,Puente,Punto Crícos,Punto Critico,Punto "&amp;"crítico por mala disposición de escombros y residuos,puntos comerciales,Puntos Criticos,Puntos críticos,Puntos Críticos,quebrada,Recicladores,Recolección de basuras,reconocimiento como victima,Redes de acueducto,Redes de alcantarillado,Reductores de veloc"&amp;"idad,Reductores de Velocidad,reductores de Velocidad,Refugio,regulación sanitaria,Respuesta JAL,Reunión,reunión,Roedores,Ruta,ruta escolar,Ruta Nueva,Ruta SITP,Rutas escolares,Rutas SITP,Segmento vial en mal estado y problemáticas ambientales,Seguimiento "&amp;"compromisos,Seguridad,seguridad,Semaforización,Semáforo,Señalización,servicios funerarios,Siembra de arboles,sisben,Sisben,SISBEN,Sistema de alertas,Solicitud de cifras y datos,Solicitud de información cifras,subsidio universitario,Subsidios,Sumideros ,ta"&amp;"lento tech,Talleres,Tapar Hueco,tarjeta tu llave,Tarjeta Tu llave Transmilenio-SITP,Telecomunicaciones,Titulación,Tramites,transporte escolar,Transporte escolar,traslado,Tratamientos,tu llave,tubería,unificación colegio,Unificación de hermanos,Urgencias,V"&amp;"aloración Medica,vectores,Vendedores informales,Vendedores Informales,Vendedores informales ,vía arterial,Via publica,vias,violencia contra la mujer,Violencia Intrafamiliar ,Visita domiciliaria,vivienda,Zona de Cesión,Zona Insegura,Afiliación ,Cobro exces"&amp;"ivo,Urbanismo,Respuesta"</formula1>
    </dataValidation>
    <dataValidation type="list" allowBlank="1" showErrorMessage="1" sqref="K85 K87:K133 K135:K145 K147:K174 K176 K178:K184 K186 K188 K195:K196 K200:K204 K206:K236 K351:K353 K355:K405 K407:K420 K422:K476">
      <formula1>"Bogotá,Norte,Sur,N/A"</formula1>
    </dataValidation>
    <dataValidation type="list" allowBlank="1" showErrorMessage="1" sqref="Z84:Z133 Z135:Z145 Z147:Z174 Z176 Z178:Z184 Z186 Z188 Z195:Z196 Z200:Z204 Z206:Z236 Z350:Z405 Z407:Z420 Z422:Z476">
      <formula1>"Pendiente,Positivo,Negativo,N/A"</formula1>
    </dataValidation>
    <dataValidation type="list" allowBlank="1" showErrorMessage="1" sqref="Q2:Q84 Q86 Q108:Q109 Q134 Q146 Q175 Q177 Q185 Q187 Q189:Q194 Q197:Q199 Q205 Q242:Q350 Q354 Q379:Q380 Q406 Q421">
      <formula1>"Hombre ,Mujer,N/A"</formula1>
    </dataValidation>
    <dataValidation type="list" allowBlank="1" showErrorMessage="1" sqref="B2:B83 B175 B177 B185 B187 B189:B194 B197:B199 B205 B223:B229 B242:B349 B437:B443">
      <formula1>"1,10,11,12,2,3,4,5,6,7,8,9"</formula1>
    </dataValidation>
    <dataValidation type="list" allowBlank="1" showErrorMessage="1" sqref="G2 G96 G187 G242:G243">
      <formula1>"Medicamentos,Citas médicas,Procedimientos y exámenes,Programación de cirugías,Urgencias,Autorizaciones,Tratamientos,Solicitud de cifras y datos,Entrega de equipos médicos,Ambulancia ,Asesoría legal,Plazas de Mercado,Otros,Auxilio funerario"</formula1>
    </dataValidation>
    <dataValidation type="list" allowBlank="1" showErrorMessage="1" sqref="X84:X133 X135:X145 X147:X174 X176 X178:X184 X186 X188 X195:X196 X200:X204 X206:X236 X350:X405 X407:X420 X422:X476">
      <formula1>"Interno,Externos,N/A"</formula1>
    </dataValidation>
    <dataValidation type="list" allowBlank="1" showErrorMessage="1" sqref="AD2:AD83 AD134 AD142:AD144 AD146 AD175 AD177 AD185 AD187 AD189:AD194 AD197:AD199 AD205 AD242:AD349 AD406 AD414:AD416 AD421">
      <formula1>"Asesor,Edil"</formula1>
    </dataValidation>
    <dataValidation type="list" allowBlank="1" showErrorMessage="1" sqref="Y84:Y133 Y135:Y145 Y147:Y174 Y176 Y178:Y184 Y186 Y188 Y195:Y196 Y200:Y204 Y206:Y227 Y229:Y236 Y350:Y405 Y407:Y420 Y422:Y441 Y443:Y476">
      <formula1>"En Proceso,Pendiente,Finalizado,N/A"</formula1>
    </dataValidation>
    <dataValidation type="list" allowBlank="1" showErrorMessage="1" sqref="Z2:Z83 Z134 Z146 Z175 Z177 Z185 Z187 Z189:Z194 Z197:Z199 Z205 Z242:Z349 Z406 Z421">
      <formula1>"N/A,Negativo,Pendiente,Positivo"</formula1>
    </dataValidation>
  </dataValidations>
  <hyperlinks>
    <hyperlink r:id="rId1" ref="AH2"/>
    <hyperlink r:id="rId2" ref="AH3"/>
    <hyperlink r:id="rId3" ref="AH4"/>
    <hyperlink r:id="rId4" ref="AH5"/>
    <hyperlink r:id="rId5" ref="AH6"/>
    <hyperlink r:id="rId6" ref="AH7"/>
    <hyperlink r:id="rId7" ref="AH8"/>
    <hyperlink r:id="rId8" ref="AH9"/>
    <hyperlink r:id="rId9" ref="AH10"/>
    <hyperlink r:id="rId10" ref="AH11"/>
    <hyperlink r:id="rId11" ref="AH16"/>
    <hyperlink r:id="rId12" ref="AH26"/>
    <hyperlink r:id="rId13" ref="AH27"/>
    <hyperlink r:id="rId14" ref="AH29"/>
    <hyperlink r:id="rId15" ref="AH30"/>
    <hyperlink r:id="rId16" ref="AH31"/>
    <hyperlink r:id="rId17" ref="AH32"/>
    <hyperlink r:id="rId18" ref="AH35"/>
    <hyperlink r:id="rId19" ref="AH36"/>
    <hyperlink r:id="rId20" ref="AH37"/>
    <hyperlink r:id="rId21" ref="AH38"/>
    <hyperlink r:id="rId22" ref="AH39"/>
    <hyperlink r:id="rId23" ref="AH40"/>
    <hyperlink r:id="rId24" ref="AH41"/>
    <hyperlink r:id="rId25" ref="AH48"/>
    <hyperlink r:id="rId26" ref="AH49"/>
    <hyperlink r:id="rId27" ref="AH50"/>
    <hyperlink r:id="rId28" ref="AH52"/>
    <hyperlink r:id="rId29" ref="AH53"/>
    <hyperlink r:id="rId30" ref="AH55"/>
    <hyperlink r:id="rId31" ref="AH57"/>
    <hyperlink r:id="rId32" ref="AH58"/>
    <hyperlink r:id="rId33" ref="AH59"/>
    <hyperlink r:id="rId34" ref="AH60"/>
    <hyperlink r:id="rId35" ref="AH61"/>
    <hyperlink r:id="rId36" ref="AH62"/>
    <hyperlink r:id="rId37" ref="AH63"/>
    <hyperlink r:id="rId38" ref="AH64"/>
    <hyperlink r:id="rId39" ref="AH66"/>
    <hyperlink r:id="rId40" ref="AH67"/>
    <hyperlink r:id="rId41" ref="AH68"/>
    <hyperlink r:id="rId42" ref="AH69"/>
    <hyperlink r:id="rId43" ref="AH70"/>
    <hyperlink r:id="rId44" ref="AH71"/>
    <hyperlink r:id="rId45" ref="AH73"/>
    <hyperlink r:id="rId46" ref="AH75"/>
    <hyperlink r:id="rId47" ref="U76"/>
    <hyperlink r:id="rId48" ref="AH77"/>
    <hyperlink r:id="rId49" ref="AH79"/>
    <hyperlink r:id="rId50" ref="AH81"/>
    <hyperlink r:id="rId51" ref="AH82"/>
    <hyperlink r:id="rId52" ref="AH83"/>
    <hyperlink r:id="rId53" ref="AH88"/>
    <hyperlink r:id="rId54" ref="AH107"/>
    <hyperlink r:id="rId55" ref="AH115"/>
    <hyperlink r:id="rId56" ref="AH116"/>
    <hyperlink r:id="rId57" ref="AH137"/>
    <hyperlink r:id="rId58" ref="AH138"/>
    <hyperlink r:id="rId59" ref="AH139"/>
    <hyperlink r:id="rId60" ref="AH140"/>
    <hyperlink r:id="rId61" ref="AH141"/>
    <hyperlink r:id="rId62" ref="AH142"/>
    <hyperlink r:id="rId63" ref="AH143"/>
    <hyperlink r:id="rId64" ref="AH144"/>
    <hyperlink r:id="rId65" ref="AA147"/>
    <hyperlink r:id="rId66" ref="AH148"/>
    <hyperlink r:id="rId67" ref="AH149"/>
    <hyperlink r:id="rId68" ref="AH150"/>
    <hyperlink r:id="rId69" ref="AH151"/>
    <hyperlink r:id="rId70" ref="AH152"/>
    <hyperlink r:id="rId71" ref="AH153"/>
    <hyperlink r:id="rId72" ref="AH154"/>
    <hyperlink r:id="rId73" ref="AH155"/>
    <hyperlink r:id="rId74" ref="AH156"/>
    <hyperlink r:id="rId75" ref="AH157"/>
    <hyperlink r:id="rId76" ref="AH159"/>
    <hyperlink r:id="rId77" ref="AH160"/>
    <hyperlink r:id="rId78" ref="AH161"/>
    <hyperlink r:id="rId79" ref="AH162"/>
    <hyperlink r:id="rId80" ref="AH163"/>
    <hyperlink r:id="rId81" ref="AH165"/>
    <hyperlink r:id="rId82" ref="AH166"/>
    <hyperlink r:id="rId83" ref="AH167"/>
    <hyperlink r:id="rId84" ref="AH168"/>
    <hyperlink r:id="rId85" ref="AH169"/>
    <hyperlink r:id="rId86" ref="AH170"/>
    <hyperlink r:id="rId87" ref="AH171"/>
    <hyperlink r:id="rId88" ref="AH172"/>
    <hyperlink r:id="rId89" ref="AH173"/>
    <hyperlink r:id="rId90" ref="AH174"/>
  </hyperlinks>
  <drawing r:id="rId9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54.63"/>
  </cols>
  <sheetData>
    <row r="1">
      <c r="A1" s="444" t="s">
        <v>1652</v>
      </c>
      <c r="B1" s="444" t="s">
        <v>1653</v>
      </c>
      <c r="C1" s="444" t="s">
        <v>1654</v>
      </c>
      <c r="D1" s="444" t="s">
        <v>1655</v>
      </c>
      <c r="E1" s="444" t="s">
        <v>1656</v>
      </c>
      <c r="F1" s="444" t="s">
        <v>1657</v>
      </c>
      <c r="G1" s="445" t="s">
        <v>1658</v>
      </c>
      <c r="H1" s="444" t="s">
        <v>1659</v>
      </c>
      <c r="I1" s="444" t="s">
        <v>1660</v>
      </c>
      <c r="J1" s="444" t="s">
        <v>1661</v>
      </c>
      <c r="K1" s="444" t="s">
        <v>1662</v>
      </c>
      <c r="L1" s="444" t="s">
        <v>1663</v>
      </c>
      <c r="M1" s="444" t="s">
        <v>1664</v>
      </c>
      <c r="N1" s="444" t="s">
        <v>1665</v>
      </c>
      <c r="O1" s="446"/>
    </row>
    <row r="2">
      <c r="A2" s="447">
        <v>1.0</v>
      </c>
      <c r="B2" s="447" t="s">
        <v>1666</v>
      </c>
      <c r="C2" s="447" t="s">
        <v>1667</v>
      </c>
      <c r="D2" s="447" t="s">
        <v>1668</v>
      </c>
      <c r="E2" s="447" t="s">
        <v>1669</v>
      </c>
      <c r="F2" s="447" t="s">
        <v>1670</v>
      </c>
      <c r="G2" s="448">
        <v>46077.0</v>
      </c>
      <c r="H2" s="447" t="s">
        <v>1671</v>
      </c>
      <c r="I2" s="447" t="s">
        <v>1672</v>
      </c>
      <c r="J2" s="447" t="s">
        <v>1672</v>
      </c>
      <c r="K2" s="447">
        <v>0.0</v>
      </c>
      <c r="L2" s="447" t="s">
        <v>1673</v>
      </c>
      <c r="M2" s="447">
        <v>1602.0</v>
      </c>
      <c r="N2" s="447">
        <v>1.0</v>
      </c>
      <c r="O2" s="449"/>
    </row>
    <row r="3">
      <c r="A3" s="447">
        <v>2.0</v>
      </c>
      <c r="B3" s="447" t="s">
        <v>1674</v>
      </c>
      <c r="C3" s="447" t="s">
        <v>1675</v>
      </c>
      <c r="D3" s="447" t="s">
        <v>1669</v>
      </c>
      <c r="E3" s="447" t="s">
        <v>1669</v>
      </c>
      <c r="F3" s="447" t="s">
        <v>1676</v>
      </c>
      <c r="G3" s="448">
        <v>45986.0</v>
      </c>
      <c r="H3" s="447" t="s">
        <v>1671</v>
      </c>
      <c r="I3" s="447" t="s">
        <v>1672</v>
      </c>
      <c r="J3" s="447" t="s">
        <v>1193</v>
      </c>
      <c r="K3" s="447">
        <v>0.0</v>
      </c>
      <c r="L3" s="447" t="s">
        <v>1677</v>
      </c>
      <c r="M3" s="447">
        <v>46.0</v>
      </c>
      <c r="N3" s="447">
        <v>0.0</v>
      </c>
      <c r="O3" s="449"/>
    </row>
    <row r="4">
      <c r="A4" s="447">
        <v>3.0</v>
      </c>
      <c r="B4" s="447" t="s">
        <v>1678</v>
      </c>
      <c r="C4" s="447" t="s">
        <v>1675</v>
      </c>
      <c r="D4" s="447" t="s">
        <v>1668</v>
      </c>
      <c r="E4" s="447" t="s">
        <v>1669</v>
      </c>
      <c r="F4" s="447" t="s">
        <v>1679</v>
      </c>
      <c r="G4" s="448">
        <v>45988.0</v>
      </c>
      <c r="H4" s="447" t="s">
        <v>1671</v>
      </c>
      <c r="I4" s="447" t="s">
        <v>1193</v>
      </c>
      <c r="J4" s="447" t="s">
        <v>1193</v>
      </c>
      <c r="K4" s="447">
        <v>1.0</v>
      </c>
      <c r="L4" s="447" t="s">
        <v>1673</v>
      </c>
      <c r="M4" s="447">
        <v>6.0</v>
      </c>
      <c r="N4" s="447">
        <v>0.0</v>
      </c>
      <c r="O4" s="449"/>
    </row>
    <row r="5">
      <c r="A5" s="447">
        <v>4.0</v>
      </c>
      <c r="B5" s="447" t="s">
        <v>1680</v>
      </c>
      <c r="C5" s="447" t="s">
        <v>1675</v>
      </c>
      <c r="D5" s="447" t="s">
        <v>1681</v>
      </c>
      <c r="E5" s="447" t="s">
        <v>1669</v>
      </c>
      <c r="F5" s="447" t="s">
        <v>1682</v>
      </c>
      <c r="G5" s="448">
        <v>45974.0</v>
      </c>
      <c r="H5" s="447" t="s">
        <v>1671</v>
      </c>
      <c r="I5" s="447" t="s">
        <v>1672</v>
      </c>
      <c r="J5" s="447" t="s">
        <v>1193</v>
      </c>
      <c r="K5" s="447">
        <v>1.0</v>
      </c>
      <c r="L5" s="447" t="s">
        <v>1683</v>
      </c>
      <c r="M5" s="447">
        <v>1.0</v>
      </c>
      <c r="N5" s="447">
        <v>0.0</v>
      </c>
      <c r="O5" s="449"/>
    </row>
    <row r="6">
      <c r="A6" s="447">
        <v>5.0</v>
      </c>
      <c r="B6" s="447" t="s">
        <v>1684</v>
      </c>
      <c r="C6" s="447" t="s">
        <v>1675</v>
      </c>
      <c r="D6" s="447" t="s">
        <v>1685</v>
      </c>
      <c r="E6" s="447" t="s">
        <v>1669</v>
      </c>
      <c r="F6" s="447" t="s">
        <v>1679</v>
      </c>
      <c r="G6" s="448">
        <v>45965.0</v>
      </c>
      <c r="H6" s="447" t="s">
        <v>1671</v>
      </c>
      <c r="I6" s="447" t="s">
        <v>1672</v>
      </c>
      <c r="J6" s="447" t="s">
        <v>1193</v>
      </c>
      <c r="K6" s="447">
        <v>1.0</v>
      </c>
      <c r="L6" s="447" t="s">
        <v>1686</v>
      </c>
      <c r="M6" s="447">
        <v>1.0</v>
      </c>
      <c r="N6" s="447">
        <v>0.0</v>
      </c>
      <c r="O6" s="449"/>
    </row>
    <row r="7">
      <c r="A7" s="447">
        <v>6.0</v>
      </c>
      <c r="B7" s="447" t="s">
        <v>1687</v>
      </c>
      <c r="C7" s="447" t="s">
        <v>1675</v>
      </c>
      <c r="D7" s="447" t="s">
        <v>1688</v>
      </c>
      <c r="E7" s="447" t="s">
        <v>1669</v>
      </c>
      <c r="F7" s="447" t="s">
        <v>1689</v>
      </c>
      <c r="G7" s="448">
        <v>45955.0</v>
      </c>
      <c r="H7" s="447" t="s">
        <v>1671</v>
      </c>
      <c r="I7" s="447" t="s">
        <v>1193</v>
      </c>
      <c r="J7" s="447" t="s">
        <v>1193</v>
      </c>
      <c r="K7" s="447">
        <v>1.0</v>
      </c>
      <c r="L7" s="447" t="s">
        <v>1690</v>
      </c>
      <c r="M7" s="447">
        <v>111.0</v>
      </c>
      <c r="N7" s="447">
        <v>1.0</v>
      </c>
      <c r="O7" s="449"/>
    </row>
    <row r="8">
      <c r="A8" s="447">
        <v>7.0</v>
      </c>
      <c r="B8" s="447" t="s">
        <v>1691</v>
      </c>
      <c r="C8" s="447" t="s">
        <v>1675</v>
      </c>
      <c r="D8" s="447" t="s">
        <v>256</v>
      </c>
      <c r="E8" s="447" t="s">
        <v>1669</v>
      </c>
      <c r="F8" s="447" t="s">
        <v>1692</v>
      </c>
      <c r="G8" s="448">
        <v>45952.0</v>
      </c>
      <c r="H8" s="447" t="s">
        <v>1671</v>
      </c>
      <c r="I8" s="447" t="s">
        <v>1672</v>
      </c>
      <c r="J8" s="447" t="s">
        <v>1193</v>
      </c>
      <c r="K8" s="447">
        <v>1.0</v>
      </c>
      <c r="L8" s="447" t="s">
        <v>1693</v>
      </c>
      <c r="M8" s="447">
        <v>1.0</v>
      </c>
      <c r="N8" s="447">
        <v>0.0</v>
      </c>
      <c r="O8" s="449"/>
    </row>
    <row r="9">
      <c r="A9" s="447">
        <v>8.0</v>
      </c>
      <c r="B9" s="447" t="s">
        <v>1694</v>
      </c>
      <c r="C9" s="447" t="s">
        <v>1675</v>
      </c>
      <c r="D9" s="449"/>
      <c r="E9" s="447" t="s">
        <v>1669</v>
      </c>
      <c r="F9" s="447" t="s">
        <v>1695</v>
      </c>
      <c r="G9" s="448">
        <v>45951.0</v>
      </c>
      <c r="H9" s="447" t="s">
        <v>1671</v>
      </c>
      <c r="I9" s="447" t="s">
        <v>1193</v>
      </c>
      <c r="J9" s="447" t="s">
        <v>1193</v>
      </c>
      <c r="K9" s="447">
        <v>2.0</v>
      </c>
      <c r="L9" s="447" t="s">
        <v>1696</v>
      </c>
      <c r="M9" s="447">
        <v>20.0</v>
      </c>
      <c r="N9" s="447">
        <v>1.0</v>
      </c>
      <c r="O9" s="449"/>
    </row>
    <row r="10">
      <c r="A10" s="447">
        <v>9.0</v>
      </c>
      <c r="B10" s="447" t="s">
        <v>1697</v>
      </c>
      <c r="C10" s="447" t="s">
        <v>1675</v>
      </c>
      <c r="D10" s="447" t="s">
        <v>1698</v>
      </c>
      <c r="E10" s="447" t="s">
        <v>1669</v>
      </c>
      <c r="F10" s="447" t="s">
        <v>1699</v>
      </c>
      <c r="G10" s="448">
        <v>45951.0</v>
      </c>
      <c r="H10" s="447" t="s">
        <v>1671</v>
      </c>
      <c r="I10" s="447" t="s">
        <v>1193</v>
      </c>
      <c r="J10" s="447" t="s">
        <v>1193</v>
      </c>
      <c r="K10" s="447">
        <v>3.0</v>
      </c>
      <c r="L10" s="447" t="s">
        <v>1700</v>
      </c>
      <c r="M10" s="447">
        <v>24.0</v>
      </c>
      <c r="N10" s="447">
        <v>1.0</v>
      </c>
      <c r="O10" s="449"/>
    </row>
    <row r="11">
      <c r="A11" s="447">
        <v>10.0</v>
      </c>
      <c r="B11" s="447" t="s">
        <v>225</v>
      </c>
      <c r="C11" s="447" t="s">
        <v>1675</v>
      </c>
      <c r="D11" s="447" t="s">
        <v>1701</v>
      </c>
      <c r="E11" s="447" t="s">
        <v>1669</v>
      </c>
      <c r="F11" s="447" t="s">
        <v>1702</v>
      </c>
      <c r="G11" s="448">
        <v>45921.0</v>
      </c>
      <c r="H11" s="447" t="s">
        <v>1671</v>
      </c>
      <c r="I11" s="447" t="s">
        <v>1193</v>
      </c>
      <c r="J11" s="447" t="s">
        <v>1193</v>
      </c>
      <c r="K11" s="447">
        <v>1.0</v>
      </c>
      <c r="L11" s="447" t="s">
        <v>1703</v>
      </c>
      <c r="M11" s="447">
        <v>18.0</v>
      </c>
      <c r="N11" s="447">
        <v>1.0</v>
      </c>
      <c r="O11" s="449"/>
    </row>
    <row r="12">
      <c r="A12" s="447">
        <v>11.0</v>
      </c>
      <c r="B12" s="447" t="s">
        <v>1704</v>
      </c>
      <c r="C12" s="447" t="s">
        <v>1675</v>
      </c>
      <c r="D12" s="447" t="s">
        <v>1668</v>
      </c>
      <c r="E12" s="447" t="s">
        <v>1669</v>
      </c>
      <c r="F12" s="447" t="s">
        <v>1705</v>
      </c>
      <c r="G12" s="448">
        <v>45931.0</v>
      </c>
      <c r="H12" s="447" t="s">
        <v>1671</v>
      </c>
      <c r="I12" s="447" t="s">
        <v>1672</v>
      </c>
      <c r="J12" s="447" t="s">
        <v>1193</v>
      </c>
      <c r="K12" s="447">
        <v>1.0</v>
      </c>
      <c r="L12" s="447" t="s">
        <v>1673</v>
      </c>
      <c r="M12" s="447">
        <v>0.0</v>
      </c>
      <c r="N12" s="447">
        <v>0.0</v>
      </c>
      <c r="O12" s="449"/>
    </row>
    <row r="13">
      <c r="A13" s="447">
        <v>12.0</v>
      </c>
      <c r="B13" s="447" t="s">
        <v>1706</v>
      </c>
      <c r="C13" s="447" t="s">
        <v>1675</v>
      </c>
      <c r="D13" s="447" t="s">
        <v>1707</v>
      </c>
      <c r="E13" s="447" t="s">
        <v>1669</v>
      </c>
      <c r="F13" s="447" t="s">
        <v>1676</v>
      </c>
      <c r="G13" s="448">
        <v>45922.0</v>
      </c>
      <c r="H13" s="447" t="s">
        <v>1671</v>
      </c>
      <c r="I13" s="447" t="s">
        <v>1193</v>
      </c>
      <c r="J13" s="447" t="s">
        <v>1193</v>
      </c>
      <c r="K13" s="447">
        <v>2.0</v>
      </c>
      <c r="L13" s="447" t="s">
        <v>1708</v>
      </c>
      <c r="M13" s="447">
        <v>23.0</v>
      </c>
      <c r="N13" s="447">
        <v>2.0</v>
      </c>
      <c r="O13" s="449"/>
    </row>
    <row r="14">
      <c r="A14" s="447">
        <v>13.0</v>
      </c>
      <c r="B14" s="447" t="s">
        <v>1709</v>
      </c>
      <c r="C14" s="447" t="s">
        <v>1675</v>
      </c>
      <c r="D14" s="447" t="s">
        <v>1710</v>
      </c>
      <c r="E14" s="447" t="s">
        <v>1669</v>
      </c>
      <c r="F14" s="447" t="s">
        <v>1702</v>
      </c>
      <c r="G14" s="448">
        <v>45910.0</v>
      </c>
      <c r="H14" s="447" t="s">
        <v>1671</v>
      </c>
      <c r="I14" s="447" t="s">
        <v>1193</v>
      </c>
      <c r="J14" s="447" t="s">
        <v>1193</v>
      </c>
      <c r="K14" s="447">
        <v>0.0</v>
      </c>
      <c r="L14" s="447" t="s">
        <v>1711</v>
      </c>
      <c r="M14" s="447">
        <v>41.0</v>
      </c>
      <c r="N14" s="447">
        <v>2.0</v>
      </c>
      <c r="O14" s="449"/>
    </row>
    <row r="15">
      <c r="A15" s="447">
        <v>14.0</v>
      </c>
      <c r="B15" s="447" t="s">
        <v>1712</v>
      </c>
      <c r="C15" s="447" t="s">
        <v>1675</v>
      </c>
      <c r="D15" s="447" t="s">
        <v>1713</v>
      </c>
      <c r="E15" s="447" t="s">
        <v>1669</v>
      </c>
      <c r="F15" s="447" t="s">
        <v>1714</v>
      </c>
      <c r="G15" s="448">
        <v>45909.0</v>
      </c>
      <c r="H15" s="447" t="s">
        <v>1671</v>
      </c>
      <c r="I15" s="447" t="s">
        <v>1672</v>
      </c>
      <c r="J15" s="447" t="s">
        <v>1193</v>
      </c>
      <c r="K15" s="447">
        <v>1.0</v>
      </c>
      <c r="L15" s="447" t="s">
        <v>1715</v>
      </c>
      <c r="M15" s="447">
        <v>1.0</v>
      </c>
      <c r="N15" s="447">
        <v>0.0</v>
      </c>
      <c r="O15" s="449"/>
    </row>
    <row r="16">
      <c r="A16" s="447">
        <v>15.0</v>
      </c>
      <c r="B16" s="447" t="s">
        <v>1716</v>
      </c>
      <c r="C16" s="447" t="s">
        <v>1675</v>
      </c>
      <c r="D16" s="447" t="s">
        <v>1717</v>
      </c>
      <c r="E16" s="447" t="s">
        <v>1669</v>
      </c>
      <c r="F16" s="447" t="s">
        <v>1718</v>
      </c>
      <c r="G16" s="448">
        <v>45883.0</v>
      </c>
      <c r="H16" s="447" t="s">
        <v>1671</v>
      </c>
      <c r="I16" s="447" t="s">
        <v>1672</v>
      </c>
      <c r="J16" s="447" t="s">
        <v>1193</v>
      </c>
      <c r="K16" s="447">
        <v>1.0</v>
      </c>
      <c r="L16" s="447" t="s">
        <v>1719</v>
      </c>
      <c r="M16" s="447">
        <v>8.0</v>
      </c>
      <c r="N16" s="447">
        <v>0.0</v>
      </c>
      <c r="O16" s="449"/>
    </row>
    <row r="17">
      <c r="A17" s="447">
        <v>16.0</v>
      </c>
      <c r="B17" s="450" t="s">
        <v>209</v>
      </c>
      <c r="C17" s="450" t="s">
        <v>1675</v>
      </c>
      <c r="D17" s="450" t="s">
        <v>1720</v>
      </c>
      <c r="E17" s="450" t="s">
        <v>1669</v>
      </c>
      <c r="F17" s="450" t="s">
        <v>1714</v>
      </c>
      <c r="G17" s="451">
        <v>45883.0</v>
      </c>
      <c r="H17" s="450" t="s">
        <v>1671</v>
      </c>
      <c r="I17" s="450" t="s">
        <v>1193</v>
      </c>
      <c r="J17" s="450" t="s">
        <v>1193</v>
      </c>
      <c r="K17" s="450">
        <v>1.0</v>
      </c>
      <c r="L17" s="450" t="s">
        <v>1721</v>
      </c>
      <c r="M17" s="450">
        <v>5.0</v>
      </c>
      <c r="N17" s="450">
        <v>1.0</v>
      </c>
      <c r="O17" s="452"/>
    </row>
    <row r="18">
      <c r="A18" s="447">
        <v>17.0</v>
      </c>
      <c r="B18" s="450" t="s">
        <v>1722</v>
      </c>
      <c r="C18" s="450" t="s">
        <v>1675</v>
      </c>
      <c r="D18" s="450" t="s">
        <v>1713</v>
      </c>
      <c r="E18" s="450" t="s">
        <v>1669</v>
      </c>
      <c r="F18" s="450" t="s">
        <v>1723</v>
      </c>
      <c r="G18" s="451">
        <v>45873.0</v>
      </c>
      <c r="H18" s="450" t="s">
        <v>1671</v>
      </c>
      <c r="I18" s="450" t="s">
        <v>1193</v>
      </c>
      <c r="J18" s="450" t="s">
        <v>1193</v>
      </c>
      <c r="K18" s="450">
        <v>3.0</v>
      </c>
      <c r="L18" s="450" t="s">
        <v>1715</v>
      </c>
      <c r="M18" s="450">
        <v>86.0</v>
      </c>
      <c r="N18" s="450">
        <v>4.0</v>
      </c>
      <c r="O18" s="452"/>
    </row>
    <row r="19">
      <c r="A19" s="447">
        <v>18.0</v>
      </c>
      <c r="B19" s="450" t="s">
        <v>355</v>
      </c>
      <c r="C19" s="450" t="s">
        <v>1675</v>
      </c>
      <c r="D19" s="450" t="s">
        <v>1710</v>
      </c>
      <c r="E19" s="450" t="s">
        <v>1669</v>
      </c>
      <c r="F19" s="450" t="s">
        <v>1724</v>
      </c>
      <c r="G19" s="451">
        <v>45860.0</v>
      </c>
      <c r="H19" s="450" t="s">
        <v>1671</v>
      </c>
      <c r="I19" s="450" t="s">
        <v>1193</v>
      </c>
      <c r="J19" s="450" t="s">
        <v>1193</v>
      </c>
      <c r="K19" s="450">
        <v>4.0</v>
      </c>
      <c r="L19" s="450" t="s">
        <v>1711</v>
      </c>
      <c r="M19" s="450">
        <v>31.0</v>
      </c>
      <c r="N19" s="450">
        <v>4.0</v>
      </c>
      <c r="O19" s="452"/>
    </row>
    <row r="20">
      <c r="A20" s="447">
        <v>19.0</v>
      </c>
      <c r="B20" s="450" t="s">
        <v>95</v>
      </c>
      <c r="C20" s="450" t="s">
        <v>1675</v>
      </c>
      <c r="D20" s="452"/>
      <c r="E20" s="450" t="s">
        <v>1669</v>
      </c>
      <c r="F20" s="450" t="s">
        <v>1682</v>
      </c>
      <c r="G20" s="451">
        <v>45846.0</v>
      </c>
      <c r="H20" s="450" t="s">
        <v>1671</v>
      </c>
      <c r="I20" s="450" t="s">
        <v>1193</v>
      </c>
      <c r="J20" s="450" t="s">
        <v>1193</v>
      </c>
      <c r="K20" s="450">
        <v>6.0</v>
      </c>
      <c r="L20" s="450" t="s">
        <v>1725</v>
      </c>
      <c r="M20" s="450">
        <v>23.0</v>
      </c>
      <c r="N20" s="450">
        <v>1.0</v>
      </c>
      <c r="O20" s="452"/>
    </row>
    <row r="21">
      <c r="A21" s="447">
        <v>20.0</v>
      </c>
      <c r="B21" s="450" t="s">
        <v>1726</v>
      </c>
      <c r="C21" s="450" t="s">
        <v>1675</v>
      </c>
      <c r="D21" s="450" t="s">
        <v>1727</v>
      </c>
      <c r="E21" s="450" t="s">
        <v>1669</v>
      </c>
      <c r="F21" s="450" t="s">
        <v>1728</v>
      </c>
      <c r="G21" s="451">
        <v>45840.0</v>
      </c>
      <c r="H21" s="450" t="s">
        <v>1671</v>
      </c>
      <c r="I21" s="450" t="s">
        <v>1672</v>
      </c>
      <c r="J21" s="450" t="s">
        <v>1193</v>
      </c>
      <c r="K21" s="450">
        <v>1.0</v>
      </c>
      <c r="L21" s="450" t="s">
        <v>1729</v>
      </c>
      <c r="M21" s="450">
        <v>3.0</v>
      </c>
      <c r="N21" s="450">
        <v>0.0</v>
      </c>
      <c r="O21" s="452"/>
    </row>
    <row r="22">
      <c r="A22" s="447">
        <v>21.0</v>
      </c>
      <c r="B22" s="450" t="s">
        <v>1730</v>
      </c>
      <c r="C22" s="450" t="s">
        <v>1675</v>
      </c>
      <c r="D22" s="450" t="s">
        <v>1668</v>
      </c>
      <c r="E22" s="450" t="s">
        <v>1669</v>
      </c>
      <c r="F22" s="450" t="s">
        <v>1682</v>
      </c>
      <c r="G22" s="451">
        <v>45656.0</v>
      </c>
      <c r="H22" s="450" t="s">
        <v>1671</v>
      </c>
      <c r="I22" s="450" t="s">
        <v>1672</v>
      </c>
      <c r="J22" s="450" t="s">
        <v>1193</v>
      </c>
      <c r="K22" s="450">
        <v>1.0</v>
      </c>
      <c r="L22" s="450" t="s">
        <v>1673</v>
      </c>
      <c r="M22" s="450">
        <v>68.0</v>
      </c>
      <c r="N22" s="450">
        <v>1.0</v>
      </c>
      <c r="O22" s="452"/>
    </row>
    <row r="23">
      <c r="A23" s="447">
        <v>22.0</v>
      </c>
      <c r="B23" s="450" t="s">
        <v>1731</v>
      </c>
      <c r="C23" s="450" t="s">
        <v>1675</v>
      </c>
      <c r="D23" s="450" t="s">
        <v>1668</v>
      </c>
      <c r="E23" s="450" t="s">
        <v>1669</v>
      </c>
      <c r="F23" s="450" t="s">
        <v>1714</v>
      </c>
      <c r="G23" s="451">
        <v>45365.0</v>
      </c>
      <c r="H23" s="450" t="s">
        <v>1671</v>
      </c>
      <c r="I23" s="450" t="s">
        <v>1672</v>
      </c>
      <c r="J23" s="450" t="s">
        <v>1193</v>
      </c>
      <c r="K23" s="450">
        <v>2.0</v>
      </c>
      <c r="L23" s="450" t="s">
        <v>1673</v>
      </c>
      <c r="M23" s="450">
        <v>193.0</v>
      </c>
      <c r="N23" s="450">
        <v>1.0</v>
      </c>
      <c r="O23" s="452"/>
    </row>
    <row r="24">
      <c r="A24" s="447">
        <v>23.0</v>
      </c>
      <c r="B24" s="450" t="s">
        <v>1732</v>
      </c>
      <c r="C24" s="450" t="s">
        <v>1675</v>
      </c>
      <c r="D24" s="450" t="s">
        <v>1668</v>
      </c>
      <c r="E24" s="450" t="s">
        <v>1669</v>
      </c>
      <c r="F24" s="450" t="s">
        <v>1714</v>
      </c>
      <c r="G24" s="451">
        <v>45771.0</v>
      </c>
      <c r="H24" s="450" t="s">
        <v>1671</v>
      </c>
      <c r="I24" s="450" t="s">
        <v>1193</v>
      </c>
      <c r="J24" s="450" t="s">
        <v>1193</v>
      </c>
      <c r="K24" s="450">
        <v>2.0</v>
      </c>
      <c r="L24" s="450" t="s">
        <v>1673</v>
      </c>
      <c r="M24" s="450">
        <v>6.0</v>
      </c>
      <c r="N24" s="450">
        <v>2.0</v>
      </c>
      <c r="O24" s="452"/>
    </row>
    <row r="25">
      <c r="A25" s="447">
        <v>24.0</v>
      </c>
      <c r="B25" s="450" t="s">
        <v>1733</v>
      </c>
      <c r="C25" s="450" t="s">
        <v>1675</v>
      </c>
      <c r="D25" s="450" t="s">
        <v>1668</v>
      </c>
      <c r="E25" s="450" t="s">
        <v>1669</v>
      </c>
      <c r="F25" s="450" t="s">
        <v>1734</v>
      </c>
      <c r="G25" s="451">
        <v>45806.0</v>
      </c>
      <c r="H25" s="450" t="s">
        <v>1671</v>
      </c>
      <c r="I25" s="450" t="s">
        <v>1193</v>
      </c>
      <c r="J25" s="450" t="s">
        <v>1193</v>
      </c>
      <c r="K25" s="450">
        <v>8.0</v>
      </c>
      <c r="L25" s="450" t="s">
        <v>1673</v>
      </c>
      <c r="M25" s="450">
        <v>10.0</v>
      </c>
      <c r="N25" s="450">
        <v>4.0</v>
      </c>
      <c r="O25" s="452"/>
    </row>
    <row r="26">
      <c r="A26" s="447">
        <v>25.0</v>
      </c>
      <c r="B26" s="450" t="s">
        <v>1735</v>
      </c>
      <c r="C26" s="450" t="s">
        <v>1675</v>
      </c>
      <c r="D26" s="450" t="s">
        <v>1736</v>
      </c>
      <c r="E26" s="450" t="s">
        <v>1669</v>
      </c>
      <c r="F26" s="450" t="s">
        <v>1676</v>
      </c>
      <c r="G26" s="451">
        <v>45787.0</v>
      </c>
      <c r="H26" s="450" t="s">
        <v>1671</v>
      </c>
      <c r="I26" s="450" t="s">
        <v>1672</v>
      </c>
      <c r="J26" s="450" t="s">
        <v>1193</v>
      </c>
      <c r="K26" s="450">
        <v>1.0</v>
      </c>
      <c r="L26" s="450" t="s">
        <v>1737</v>
      </c>
      <c r="M26" s="450">
        <v>6.0</v>
      </c>
      <c r="N26" s="450">
        <v>0.0</v>
      </c>
      <c r="O26" s="452"/>
    </row>
    <row r="27">
      <c r="A27" s="447">
        <v>26.0</v>
      </c>
      <c r="B27" s="450" t="s">
        <v>1738</v>
      </c>
      <c r="C27" s="450" t="s">
        <v>1675</v>
      </c>
      <c r="D27" s="450" t="s">
        <v>1668</v>
      </c>
      <c r="E27" s="450" t="s">
        <v>1669</v>
      </c>
      <c r="F27" s="450" t="s">
        <v>1676</v>
      </c>
      <c r="G27" s="451">
        <v>45785.0</v>
      </c>
      <c r="H27" s="450" t="s">
        <v>1671</v>
      </c>
      <c r="I27" s="450" t="s">
        <v>1193</v>
      </c>
      <c r="J27" s="450" t="s">
        <v>1193</v>
      </c>
      <c r="K27" s="450">
        <v>3.0</v>
      </c>
      <c r="L27" s="450" t="s">
        <v>1673</v>
      </c>
      <c r="M27" s="450">
        <v>6.0</v>
      </c>
      <c r="N27" s="450">
        <v>5.0</v>
      </c>
      <c r="O27" s="452"/>
    </row>
    <row r="28">
      <c r="A28" s="447">
        <v>27.0</v>
      </c>
      <c r="B28" s="450" t="s">
        <v>1739</v>
      </c>
      <c r="C28" s="450" t="s">
        <v>1675</v>
      </c>
      <c r="D28" s="450" t="s">
        <v>1668</v>
      </c>
      <c r="E28" s="450" t="s">
        <v>1669</v>
      </c>
      <c r="F28" s="450" t="s">
        <v>1714</v>
      </c>
      <c r="G28" s="451">
        <v>45706.0</v>
      </c>
      <c r="H28" s="450" t="s">
        <v>1671</v>
      </c>
      <c r="I28" s="450" t="s">
        <v>1672</v>
      </c>
      <c r="J28" s="450" t="s">
        <v>1193</v>
      </c>
      <c r="K28" s="450">
        <v>3.0</v>
      </c>
      <c r="L28" s="450" t="s">
        <v>1673</v>
      </c>
      <c r="M28" s="450">
        <v>21.0</v>
      </c>
      <c r="N28" s="450">
        <v>0.0</v>
      </c>
      <c r="O28" s="452"/>
    </row>
    <row r="29">
      <c r="A29" s="447">
        <v>28.0</v>
      </c>
      <c r="B29" s="450" t="s">
        <v>1740</v>
      </c>
      <c r="C29" s="450" t="s">
        <v>1675</v>
      </c>
      <c r="D29" s="450" t="s">
        <v>1668</v>
      </c>
      <c r="E29" s="450" t="s">
        <v>1669</v>
      </c>
      <c r="F29" s="450" t="s">
        <v>1714</v>
      </c>
      <c r="G29" s="451">
        <v>45770.0</v>
      </c>
      <c r="H29" s="450" t="s">
        <v>1671</v>
      </c>
      <c r="I29" s="450" t="s">
        <v>1193</v>
      </c>
      <c r="J29" s="450" t="s">
        <v>1193</v>
      </c>
      <c r="K29" s="450">
        <v>3.0</v>
      </c>
      <c r="L29" s="450" t="s">
        <v>1673</v>
      </c>
      <c r="M29" s="450">
        <v>8.0</v>
      </c>
      <c r="N29" s="450">
        <v>2.0</v>
      </c>
      <c r="O29" s="452"/>
    </row>
    <row r="30">
      <c r="A30" s="447">
        <v>29.0</v>
      </c>
      <c r="B30" s="450" t="s">
        <v>1741</v>
      </c>
      <c r="C30" s="450" t="s">
        <v>1675</v>
      </c>
      <c r="D30" s="450" t="s">
        <v>1668</v>
      </c>
      <c r="E30" s="450" t="s">
        <v>1669</v>
      </c>
      <c r="F30" s="450" t="s">
        <v>1742</v>
      </c>
      <c r="G30" s="451">
        <v>45775.0</v>
      </c>
      <c r="H30" s="450" t="s">
        <v>1671</v>
      </c>
      <c r="I30" s="450" t="s">
        <v>1193</v>
      </c>
      <c r="J30" s="450" t="s">
        <v>1193</v>
      </c>
      <c r="K30" s="450">
        <v>4.0</v>
      </c>
      <c r="L30" s="450" t="s">
        <v>1673</v>
      </c>
      <c r="M30" s="450">
        <v>36.0</v>
      </c>
      <c r="N30" s="450">
        <v>2.0</v>
      </c>
      <c r="O30" s="452"/>
    </row>
    <row r="31">
      <c r="A31" s="447">
        <v>30.0</v>
      </c>
      <c r="B31" s="450" t="s">
        <v>1743</v>
      </c>
      <c r="C31" s="450" t="s">
        <v>1675</v>
      </c>
      <c r="D31" s="450" t="s">
        <v>1744</v>
      </c>
      <c r="E31" s="450" t="s">
        <v>1669</v>
      </c>
      <c r="F31" s="450" t="s">
        <v>1714</v>
      </c>
      <c r="G31" s="451">
        <v>45743.0</v>
      </c>
      <c r="H31" s="450" t="s">
        <v>1671</v>
      </c>
      <c r="I31" s="450" t="s">
        <v>1193</v>
      </c>
      <c r="J31" s="450" t="s">
        <v>1193</v>
      </c>
      <c r="K31" s="450">
        <v>1.0</v>
      </c>
      <c r="L31" s="450" t="s">
        <v>1745</v>
      </c>
      <c r="M31" s="450">
        <v>2.0</v>
      </c>
      <c r="N31" s="450">
        <v>1.0</v>
      </c>
      <c r="O31" s="452"/>
    </row>
    <row r="32">
      <c r="A32" s="447">
        <v>31.0</v>
      </c>
      <c r="B32" s="450" t="s">
        <v>1746</v>
      </c>
      <c r="C32" s="450" t="s">
        <v>1675</v>
      </c>
      <c r="D32" s="450" t="s">
        <v>256</v>
      </c>
      <c r="E32" s="450" t="s">
        <v>1669</v>
      </c>
      <c r="F32" s="450" t="s">
        <v>1714</v>
      </c>
      <c r="G32" s="451">
        <v>45728.0</v>
      </c>
      <c r="H32" s="450" t="s">
        <v>1671</v>
      </c>
      <c r="I32" s="450" t="s">
        <v>1193</v>
      </c>
      <c r="J32" s="450" t="s">
        <v>1193</v>
      </c>
      <c r="K32" s="450">
        <v>3.0</v>
      </c>
      <c r="L32" s="450" t="s">
        <v>1745</v>
      </c>
      <c r="M32" s="450">
        <v>39.0</v>
      </c>
      <c r="N32" s="450">
        <v>3.0</v>
      </c>
      <c r="O32" s="452"/>
    </row>
    <row r="33">
      <c r="A33" s="447">
        <v>32.0</v>
      </c>
      <c r="B33" s="450" t="s">
        <v>1747</v>
      </c>
      <c r="C33" s="450" t="s">
        <v>1675</v>
      </c>
      <c r="D33" s="450" t="s">
        <v>1748</v>
      </c>
      <c r="E33" s="450" t="s">
        <v>1669</v>
      </c>
      <c r="F33" s="450" t="s">
        <v>1749</v>
      </c>
      <c r="G33" s="451">
        <v>45729.0</v>
      </c>
      <c r="H33" s="450" t="s">
        <v>1671</v>
      </c>
      <c r="I33" s="450" t="s">
        <v>1193</v>
      </c>
      <c r="J33" s="450" t="s">
        <v>1193</v>
      </c>
      <c r="K33" s="450">
        <v>5.0</v>
      </c>
      <c r="L33" s="450" t="s">
        <v>1745</v>
      </c>
      <c r="M33" s="450">
        <v>35.0</v>
      </c>
      <c r="N33" s="450">
        <v>5.0</v>
      </c>
      <c r="O33" s="452"/>
    </row>
    <row r="34">
      <c r="A34" s="447">
        <v>33.0</v>
      </c>
      <c r="B34" s="450" t="s">
        <v>1750</v>
      </c>
      <c r="C34" s="450" t="s">
        <v>1675</v>
      </c>
      <c r="D34" s="450" t="s">
        <v>1751</v>
      </c>
      <c r="E34" s="450" t="s">
        <v>1669</v>
      </c>
      <c r="F34" s="450" t="s">
        <v>1752</v>
      </c>
      <c r="G34" s="451">
        <v>45538.0</v>
      </c>
      <c r="H34" s="450" t="s">
        <v>1671</v>
      </c>
      <c r="I34" s="450" t="s">
        <v>1193</v>
      </c>
      <c r="J34" s="450" t="s">
        <v>1193</v>
      </c>
      <c r="K34" s="450">
        <v>4.0</v>
      </c>
      <c r="L34" s="450" t="s">
        <v>1745</v>
      </c>
      <c r="M34" s="450">
        <v>29.0</v>
      </c>
      <c r="N34" s="450">
        <v>2.0</v>
      </c>
      <c r="O34" s="452"/>
    </row>
    <row r="35">
      <c r="A35" s="447">
        <v>34.0</v>
      </c>
      <c r="B35" s="450" t="s">
        <v>1753</v>
      </c>
      <c r="C35" s="450" t="s">
        <v>1675</v>
      </c>
      <c r="D35" s="450" t="s">
        <v>1701</v>
      </c>
      <c r="E35" s="450" t="s">
        <v>1669</v>
      </c>
      <c r="F35" s="450" t="s">
        <v>1754</v>
      </c>
      <c r="G35" s="451">
        <v>45412.0</v>
      </c>
      <c r="H35" s="450" t="s">
        <v>1671</v>
      </c>
      <c r="I35" s="450" t="s">
        <v>1672</v>
      </c>
      <c r="J35" s="450" t="s">
        <v>1193</v>
      </c>
      <c r="K35" s="450">
        <v>1.0</v>
      </c>
      <c r="L35" s="450" t="s">
        <v>1745</v>
      </c>
      <c r="M35" s="450">
        <v>7.0</v>
      </c>
      <c r="N35" s="450">
        <v>0.0</v>
      </c>
      <c r="O35" s="452"/>
    </row>
    <row r="36">
      <c r="A36" s="447">
        <v>35.0</v>
      </c>
      <c r="B36" s="450" t="s">
        <v>1755</v>
      </c>
      <c r="C36" s="450" t="s">
        <v>1675</v>
      </c>
      <c r="D36" s="450" t="s">
        <v>1751</v>
      </c>
      <c r="E36" s="450" t="s">
        <v>1669</v>
      </c>
      <c r="F36" s="450" t="s">
        <v>1756</v>
      </c>
      <c r="G36" s="451">
        <v>45734.0</v>
      </c>
      <c r="H36" s="450" t="s">
        <v>1671</v>
      </c>
      <c r="I36" s="450" t="s">
        <v>1193</v>
      </c>
      <c r="J36" s="450" t="s">
        <v>1193</v>
      </c>
      <c r="K36" s="450">
        <v>2.0</v>
      </c>
      <c r="L36" s="450" t="s">
        <v>1745</v>
      </c>
      <c r="M36" s="450">
        <v>51.0</v>
      </c>
      <c r="N36" s="450">
        <v>2.0</v>
      </c>
      <c r="O36" s="452"/>
    </row>
    <row r="37">
      <c r="A37" s="447">
        <v>36.0</v>
      </c>
      <c r="B37" s="450" t="s">
        <v>1757</v>
      </c>
      <c r="C37" s="450" t="s">
        <v>1675</v>
      </c>
      <c r="D37" s="452"/>
      <c r="E37" s="450" t="s">
        <v>1669</v>
      </c>
      <c r="F37" s="450" t="s">
        <v>1758</v>
      </c>
      <c r="G37" s="451">
        <v>45702.0</v>
      </c>
      <c r="H37" s="450" t="s">
        <v>1671</v>
      </c>
      <c r="I37" s="450" t="s">
        <v>1193</v>
      </c>
      <c r="J37" s="450" t="s">
        <v>1193</v>
      </c>
      <c r="K37" s="450">
        <v>2.0</v>
      </c>
      <c r="L37" s="450" t="s">
        <v>1745</v>
      </c>
      <c r="M37" s="450">
        <v>7.0</v>
      </c>
      <c r="N37" s="450">
        <v>1.0</v>
      </c>
      <c r="O37" s="452"/>
    </row>
  </sheetData>
  <autoFilter ref="$A$1:$N$37"/>
  <hyperlinks>
    <hyperlink r:id="rId1" ref="G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1.0"/>
    <col customWidth="1" min="5" max="5" width="21.13"/>
    <col customWidth="1" min="6" max="6" width="21.38"/>
    <col customWidth="1" min="10" max="10" width="33.75"/>
    <col customWidth="1" min="11" max="11" width="32.88"/>
    <col customWidth="1" min="15" max="15" width="23.25"/>
  </cols>
  <sheetData>
    <row r="1">
      <c r="A1" s="453" t="s">
        <v>0</v>
      </c>
      <c r="B1" s="453" t="s">
        <v>1</v>
      </c>
      <c r="C1" s="454" t="s">
        <v>2</v>
      </c>
      <c r="D1" s="454" t="s">
        <v>3</v>
      </c>
      <c r="E1" s="454" t="s">
        <v>4</v>
      </c>
      <c r="F1" s="454" t="s">
        <v>5</v>
      </c>
      <c r="G1" s="453" t="s">
        <v>6</v>
      </c>
      <c r="H1" s="453" t="s">
        <v>7</v>
      </c>
      <c r="I1" s="453" t="s">
        <v>8</v>
      </c>
      <c r="J1" s="455" t="s">
        <v>9</v>
      </c>
      <c r="K1" s="453" t="s">
        <v>10</v>
      </c>
      <c r="L1" s="456" t="s">
        <v>11</v>
      </c>
      <c r="M1" s="453" t="s">
        <v>12</v>
      </c>
      <c r="N1" s="453" t="s">
        <v>13</v>
      </c>
      <c r="O1" s="453" t="s">
        <v>14</v>
      </c>
      <c r="P1" s="453" t="s">
        <v>1759</v>
      </c>
      <c r="Q1" s="454" t="s">
        <v>16</v>
      </c>
      <c r="R1" s="454" t="s">
        <v>17</v>
      </c>
    </row>
    <row r="2" hidden="1">
      <c r="A2" s="53" t="s">
        <v>18</v>
      </c>
      <c r="B2" s="54" t="s">
        <v>1669</v>
      </c>
      <c r="C2" s="53" t="s">
        <v>20</v>
      </c>
      <c r="D2" s="161" t="s">
        <v>224</v>
      </c>
      <c r="E2" s="161" t="s">
        <v>1760</v>
      </c>
      <c r="F2" s="356" t="s">
        <v>23</v>
      </c>
      <c r="G2" s="53" t="str">
        <f t="shared" ref="G2:G5" si="1">TEXT(I2,"Mmmm")</f>
        <v>diciembre</v>
      </c>
      <c r="H2" s="457" t="str">
        <f t="shared" ref="H2:H81" si="2">TEXT(I2,"dddd")</f>
        <v>viernes</v>
      </c>
      <c r="I2" s="457">
        <v>46010.0</v>
      </c>
      <c r="J2" s="356"/>
      <c r="K2" s="354"/>
      <c r="L2" s="354"/>
      <c r="M2" s="458"/>
      <c r="N2" s="459"/>
      <c r="O2" s="165" t="s">
        <v>1761</v>
      </c>
      <c r="P2" s="460"/>
      <c r="Q2" s="355"/>
      <c r="R2" s="352"/>
    </row>
    <row r="3" hidden="1">
      <c r="A3" s="53" t="s">
        <v>18</v>
      </c>
      <c r="B3" s="54" t="s">
        <v>1669</v>
      </c>
      <c r="C3" s="53" t="s">
        <v>39</v>
      </c>
      <c r="D3" s="161" t="s">
        <v>43</v>
      </c>
      <c r="E3" s="161" t="s">
        <v>1760</v>
      </c>
      <c r="F3" s="356" t="s">
        <v>23</v>
      </c>
      <c r="G3" s="53" t="str">
        <f t="shared" si="1"/>
        <v>diciembre</v>
      </c>
      <c r="H3" s="457" t="str">
        <f t="shared" si="2"/>
        <v>viernes</v>
      </c>
      <c r="I3" s="461">
        <v>46003.0</v>
      </c>
      <c r="J3" s="354"/>
      <c r="K3" s="354"/>
      <c r="L3" s="354"/>
      <c r="M3" s="458"/>
      <c r="N3" s="459"/>
      <c r="O3" s="165" t="s">
        <v>1762</v>
      </c>
      <c r="P3" s="460"/>
      <c r="Q3" s="355"/>
      <c r="R3" s="352"/>
    </row>
    <row r="4" hidden="1">
      <c r="A4" s="53" t="s">
        <v>18</v>
      </c>
      <c r="B4" s="54" t="s">
        <v>1669</v>
      </c>
      <c r="C4" s="53" t="s">
        <v>29</v>
      </c>
      <c r="D4" s="161" t="s">
        <v>119</v>
      </c>
      <c r="E4" s="161" t="s">
        <v>1760</v>
      </c>
      <c r="F4" s="356" t="s">
        <v>23</v>
      </c>
      <c r="G4" s="53" t="str">
        <f t="shared" si="1"/>
        <v>diciembre</v>
      </c>
      <c r="H4" s="457" t="str">
        <f t="shared" si="2"/>
        <v>viernes</v>
      </c>
      <c r="I4" s="461">
        <v>46003.0</v>
      </c>
      <c r="J4" s="354"/>
      <c r="K4" s="354"/>
      <c r="L4" s="354"/>
      <c r="M4" s="458"/>
      <c r="N4" s="459"/>
      <c r="O4" s="165" t="s">
        <v>63</v>
      </c>
      <c r="P4" s="460"/>
      <c r="Q4" s="355"/>
      <c r="R4" s="352"/>
    </row>
    <row r="5" hidden="1">
      <c r="A5" s="53" t="s">
        <v>18</v>
      </c>
      <c r="B5" s="54" t="s">
        <v>1669</v>
      </c>
      <c r="C5" s="53" t="s">
        <v>27</v>
      </c>
      <c r="D5" s="161" t="s">
        <v>88</v>
      </c>
      <c r="E5" s="161" t="s">
        <v>1760</v>
      </c>
      <c r="F5" s="356" t="s">
        <v>23</v>
      </c>
      <c r="G5" s="53" t="str">
        <f t="shared" si="1"/>
        <v>diciembre</v>
      </c>
      <c r="H5" s="457" t="str">
        <f t="shared" si="2"/>
        <v>viernes</v>
      </c>
      <c r="I5" s="461">
        <v>46003.0</v>
      </c>
      <c r="J5" s="354"/>
      <c r="K5" s="354"/>
      <c r="L5" s="354"/>
      <c r="M5" s="458"/>
      <c r="N5" s="459"/>
      <c r="O5" s="165" t="s">
        <v>1763</v>
      </c>
      <c r="P5" s="460"/>
      <c r="Q5" s="355"/>
      <c r="R5" s="352"/>
    </row>
    <row r="6" hidden="1">
      <c r="A6" s="53" t="s">
        <v>18</v>
      </c>
      <c r="B6" s="54" t="s">
        <v>1669</v>
      </c>
      <c r="C6" s="53" t="s">
        <v>20</v>
      </c>
      <c r="D6" s="161" t="s">
        <v>449</v>
      </c>
      <c r="E6" s="161" t="s">
        <v>1764</v>
      </c>
      <c r="F6" s="356" t="s">
        <v>75</v>
      </c>
      <c r="G6" s="53" t="s">
        <v>1765</v>
      </c>
      <c r="H6" s="457" t="str">
        <f t="shared" si="2"/>
        <v>lunes</v>
      </c>
      <c r="I6" s="457">
        <v>46013.0</v>
      </c>
      <c r="J6" s="356" t="s">
        <v>1766</v>
      </c>
      <c r="K6" s="356" t="s">
        <v>1767</v>
      </c>
      <c r="L6" s="462" t="s">
        <v>78</v>
      </c>
      <c r="M6" s="463" t="s">
        <v>80</v>
      </c>
      <c r="N6" s="464" t="s">
        <v>79</v>
      </c>
      <c r="O6" s="465" t="s">
        <v>20</v>
      </c>
      <c r="P6" s="466"/>
      <c r="Q6" s="467" t="s">
        <v>1768</v>
      </c>
      <c r="R6" s="352"/>
    </row>
    <row r="7" hidden="1">
      <c r="A7" s="53" t="s">
        <v>18</v>
      </c>
      <c r="B7" s="54" t="s">
        <v>1669</v>
      </c>
      <c r="C7" s="53" t="s">
        <v>39</v>
      </c>
      <c r="D7" s="161" t="s">
        <v>449</v>
      </c>
      <c r="E7" s="161" t="s">
        <v>1764</v>
      </c>
      <c r="F7" s="356" t="s">
        <v>75</v>
      </c>
      <c r="G7" s="53" t="s">
        <v>1765</v>
      </c>
      <c r="H7" s="457" t="str">
        <f t="shared" si="2"/>
        <v>miércoles</v>
      </c>
      <c r="I7" s="457">
        <v>46015.0</v>
      </c>
      <c r="J7" s="356" t="s">
        <v>1767</v>
      </c>
      <c r="K7" s="356" t="s">
        <v>1767</v>
      </c>
      <c r="L7" s="468" t="s">
        <v>107</v>
      </c>
      <c r="M7" s="469" t="s">
        <v>109</v>
      </c>
      <c r="N7" s="177" t="s">
        <v>108</v>
      </c>
      <c r="O7" s="465" t="s">
        <v>39</v>
      </c>
      <c r="P7" s="466"/>
      <c r="Q7" s="467" t="s">
        <v>1769</v>
      </c>
      <c r="R7" s="352"/>
    </row>
    <row r="8" hidden="1">
      <c r="A8" s="470" t="s">
        <v>18</v>
      </c>
      <c r="B8" s="471" t="s">
        <v>1669</v>
      </c>
      <c r="C8" s="470" t="s">
        <v>20</v>
      </c>
      <c r="D8" s="470" t="s">
        <v>149</v>
      </c>
      <c r="E8" s="470" t="s">
        <v>1764</v>
      </c>
      <c r="F8" s="472" t="s">
        <v>75</v>
      </c>
      <c r="G8" s="470" t="s">
        <v>1765</v>
      </c>
      <c r="H8" s="473" t="str">
        <f t="shared" si="2"/>
        <v>viernes</v>
      </c>
      <c r="I8" s="473">
        <v>46017.0</v>
      </c>
      <c r="J8" s="356" t="s">
        <v>1767</v>
      </c>
      <c r="K8" s="356" t="s">
        <v>1767</v>
      </c>
      <c r="L8" s="462" t="s">
        <v>78</v>
      </c>
      <c r="M8" s="463" t="s">
        <v>80</v>
      </c>
      <c r="N8" s="464" t="s">
        <v>79</v>
      </c>
      <c r="O8" s="465" t="s">
        <v>20</v>
      </c>
      <c r="P8" s="466"/>
      <c r="Q8" s="467"/>
      <c r="R8" s="352"/>
    </row>
    <row r="9" hidden="1">
      <c r="A9" s="53" t="s">
        <v>18</v>
      </c>
      <c r="B9" s="54" t="s">
        <v>1669</v>
      </c>
      <c r="C9" s="53" t="s">
        <v>39</v>
      </c>
      <c r="D9" s="161" t="s">
        <v>1770</v>
      </c>
      <c r="E9" s="161" t="s">
        <v>1764</v>
      </c>
      <c r="F9" s="356" t="s">
        <v>75</v>
      </c>
      <c r="G9" s="53" t="s">
        <v>1765</v>
      </c>
      <c r="H9" s="457" t="str">
        <f t="shared" si="2"/>
        <v>lunes</v>
      </c>
      <c r="I9" s="457">
        <v>46020.0</v>
      </c>
      <c r="J9" s="356" t="s">
        <v>1767</v>
      </c>
      <c r="K9" s="356" t="s">
        <v>1767</v>
      </c>
      <c r="L9" s="170" t="s">
        <v>107</v>
      </c>
      <c r="M9" s="469" t="s">
        <v>109</v>
      </c>
      <c r="N9" s="177" t="s">
        <v>108</v>
      </c>
      <c r="O9" s="465" t="s">
        <v>39</v>
      </c>
      <c r="P9" s="466"/>
      <c r="Q9" s="467" t="s">
        <v>1769</v>
      </c>
      <c r="R9" s="352"/>
    </row>
    <row r="10" hidden="1">
      <c r="A10" s="53" t="s">
        <v>18</v>
      </c>
      <c r="B10" s="54" t="s">
        <v>1669</v>
      </c>
      <c r="C10" s="53" t="s">
        <v>29</v>
      </c>
      <c r="D10" s="161" t="s">
        <v>449</v>
      </c>
      <c r="E10" s="161" t="s">
        <v>1764</v>
      </c>
      <c r="F10" s="356" t="s">
        <v>75</v>
      </c>
      <c r="G10" s="53" t="s">
        <v>1765</v>
      </c>
      <c r="H10" s="457" t="str">
        <f t="shared" si="2"/>
        <v>martes</v>
      </c>
      <c r="I10" s="457">
        <v>46021.0</v>
      </c>
      <c r="J10" s="356" t="s">
        <v>1767</v>
      </c>
      <c r="K10" s="356" t="s">
        <v>1767</v>
      </c>
      <c r="L10" s="54" t="s">
        <v>157</v>
      </c>
      <c r="M10" s="54" t="s">
        <v>159</v>
      </c>
      <c r="N10" s="474" t="s">
        <v>1771</v>
      </c>
      <c r="O10" s="465" t="s">
        <v>29</v>
      </c>
      <c r="P10" s="466"/>
      <c r="Q10" s="467" t="s">
        <v>1772</v>
      </c>
      <c r="R10" s="352"/>
    </row>
    <row r="11" hidden="1">
      <c r="A11" s="53" t="s">
        <v>18</v>
      </c>
      <c r="B11" s="54" t="s">
        <v>1669</v>
      </c>
      <c r="C11" s="53" t="s">
        <v>20</v>
      </c>
      <c r="D11" s="161" t="s">
        <v>149</v>
      </c>
      <c r="E11" s="161" t="s">
        <v>1764</v>
      </c>
      <c r="F11" s="356" t="s">
        <v>75</v>
      </c>
      <c r="G11" s="53" t="s">
        <v>1773</v>
      </c>
      <c r="H11" s="457" t="str">
        <f t="shared" si="2"/>
        <v>lunes</v>
      </c>
      <c r="I11" s="475">
        <v>46027.0</v>
      </c>
      <c r="J11" s="356" t="s">
        <v>1767</v>
      </c>
      <c r="K11" s="356" t="s">
        <v>1767</v>
      </c>
      <c r="L11" s="462" t="s">
        <v>78</v>
      </c>
      <c r="M11" s="463" t="s">
        <v>80</v>
      </c>
      <c r="N11" s="464" t="s">
        <v>79</v>
      </c>
      <c r="O11" s="465" t="s">
        <v>20</v>
      </c>
      <c r="P11" s="466"/>
      <c r="Q11" s="467" t="s">
        <v>1768</v>
      </c>
      <c r="R11" s="352"/>
    </row>
    <row r="12">
      <c r="A12" s="53" t="s">
        <v>18</v>
      </c>
      <c r="B12" s="54" t="s">
        <v>1669</v>
      </c>
      <c r="C12" s="53" t="s">
        <v>39</v>
      </c>
      <c r="D12" s="161" t="s">
        <v>449</v>
      </c>
      <c r="E12" s="161" t="s">
        <v>1764</v>
      </c>
      <c r="F12" s="356" t="s">
        <v>75</v>
      </c>
      <c r="G12" s="53" t="s">
        <v>1773</v>
      </c>
      <c r="H12" s="457" t="str">
        <f t="shared" si="2"/>
        <v>jueves</v>
      </c>
      <c r="I12" s="475">
        <v>46044.0</v>
      </c>
      <c r="J12" s="356" t="s">
        <v>1767</v>
      </c>
      <c r="K12" s="356" t="s">
        <v>1767</v>
      </c>
      <c r="L12" s="170" t="s">
        <v>107</v>
      </c>
      <c r="M12" s="469" t="s">
        <v>109</v>
      </c>
      <c r="N12" s="177" t="s">
        <v>108</v>
      </c>
      <c r="O12" s="465"/>
      <c r="P12" s="466"/>
      <c r="Q12" s="467"/>
      <c r="R12" s="352"/>
    </row>
    <row r="13">
      <c r="A13" s="53" t="s">
        <v>18</v>
      </c>
      <c r="B13" s="54" t="s">
        <v>1669</v>
      </c>
      <c r="C13" s="53" t="s">
        <v>29</v>
      </c>
      <c r="D13" s="161" t="s">
        <v>102</v>
      </c>
      <c r="E13" s="161" t="s">
        <v>1764</v>
      </c>
      <c r="F13" s="356" t="s">
        <v>75</v>
      </c>
      <c r="G13" s="53" t="str">
        <f t="shared" ref="G13:G16" si="3">TEXT(I13,"Mmmm")</f>
        <v>enero</v>
      </c>
      <c r="H13" s="457" t="str">
        <f t="shared" si="2"/>
        <v>martes</v>
      </c>
      <c r="I13" s="475">
        <v>46042.0</v>
      </c>
      <c r="J13" s="356" t="s">
        <v>1767</v>
      </c>
      <c r="K13" s="356" t="s">
        <v>1767</v>
      </c>
      <c r="L13" s="354"/>
      <c r="M13" s="458"/>
      <c r="N13" s="459"/>
      <c r="O13" s="162"/>
      <c r="P13" s="460"/>
      <c r="Q13" s="355"/>
      <c r="R13" s="352"/>
    </row>
    <row r="14">
      <c r="A14" s="53" t="s">
        <v>18</v>
      </c>
      <c r="B14" s="54" t="s">
        <v>1669</v>
      </c>
      <c r="C14" s="53" t="s">
        <v>39</v>
      </c>
      <c r="D14" s="161" t="s">
        <v>135</v>
      </c>
      <c r="E14" s="161" t="s">
        <v>1764</v>
      </c>
      <c r="F14" s="356" t="s">
        <v>75</v>
      </c>
      <c r="G14" s="53" t="str">
        <f t="shared" si="3"/>
        <v>enero</v>
      </c>
      <c r="H14" s="457" t="str">
        <f t="shared" si="2"/>
        <v>martes</v>
      </c>
      <c r="I14" s="475">
        <v>46042.0</v>
      </c>
      <c r="J14" s="356" t="s">
        <v>1767</v>
      </c>
      <c r="K14" s="356" t="s">
        <v>1767</v>
      </c>
      <c r="L14" s="354"/>
      <c r="M14" s="458"/>
      <c r="N14" s="459"/>
      <c r="O14" s="162"/>
      <c r="P14" s="460"/>
      <c r="Q14" s="355"/>
      <c r="R14" s="352"/>
    </row>
    <row r="15">
      <c r="A15" s="53" t="s">
        <v>18</v>
      </c>
      <c r="B15" s="54" t="s">
        <v>1669</v>
      </c>
      <c r="C15" s="53" t="s">
        <v>39</v>
      </c>
      <c r="D15" s="161" t="s">
        <v>102</v>
      </c>
      <c r="E15" s="161" t="s">
        <v>1764</v>
      </c>
      <c r="F15" s="356" t="s">
        <v>75</v>
      </c>
      <c r="G15" s="53" t="str">
        <f t="shared" si="3"/>
        <v>enero</v>
      </c>
      <c r="H15" s="457" t="str">
        <f t="shared" si="2"/>
        <v>miércoles</v>
      </c>
      <c r="I15" s="475">
        <v>46043.0</v>
      </c>
      <c r="J15" s="356" t="s">
        <v>1767</v>
      </c>
      <c r="K15" s="356" t="s">
        <v>1767</v>
      </c>
      <c r="L15" s="476"/>
      <c r="M15" s="476"/>
      <c r="N15" s="477"/>
      <c r="O15" s="477"/>
      <c r="P15" s="476"/>
      <c r="Q15" s="478"/>
      <c r="R15" s="352"/>
    </row>
    <row r="16">
      <c r="A16" s="53" t="s">
        <v>18</v>
      </c>
      <c r="B16" s="54" t="s">
        <v>1669</v>
      </c>
      <c r="C16" s="53" t="s">
        <v>27</v>
      </c>
      <c r="D16" s="161" t="s">
        <v>149</v>
      </c>
      <c r="E16" s="161" t="s">
        <v>1764</v>
      </c>
      <c r="F16" s="356" t="s">
        <v>75</v>
      </c>
      <c r="G16" s="53" t="str">
        <f t="shared" si="3"/>
        <v>enero</v>
      </c>
      <c r="H16" s="457" t="str">
        <f t="shared" si="2"/>
        <v>jueves</v>
      </c>
      <c r="I16" s="475">
        <v>46044.0</v>
      </c>
      <c r="J16" s="356" t="s">
        <v>1767</v>
      </c>
      <c r="K16" s="356" t="s">
        <v>1767</v>
      </c>
      <c r="L16" s="476"/>
      <c r="M16" s="476"/>
      <c r="N16" s="477"/>
      <c r="O16" s="477"/>
      <c r="P16" s="476"/>
      <c r="Q16" s="478"/>
      <c r="R16" s="352"/>
    </row>
    <row r="17">
      <c r="A17" s="470" t="s">
        <v>18</v>
      </c>
      <c r="B17" s="471" t="s">
        <v>1669</v>
      </c>
      <c r="C17" s="381" t="s">
        <v>29</v>
      </c>
      <c r="D17" s="381" t="s">
        <v>102</v>
      </c>
      <c r="E17" s="470" t="s">
        <v>1764</v>
      </c>
      <c r="F17" s="472" t="s">
        <v>75</v>
      </c>
      <c r="G17" s="470" t="s">
        <v>1773</v>
      </c>
      <c r="H17" s="473" t="str">
        <f t="shared" si="2"/>
        <v>martes</v>
      </c>
      <c r="I17" s="382">
        <v>46049.0</v>
      </c>
      <c r="J17" s="472" t="s">
        <v>1767</v>
      </c>
      <c r="K17" s="472" t="s">
        <v>1767</v>
      </c>
      <c r="L17" s="462" t="s">
        <v>78</v>
      </c>
      <c r="M17" s="479" t="s">
        <v>80</v>
      </c>
      <c r="N17" s="480" t="s">
        <v>79</v>
      </c>
      <c r="O17" s="462" t="s">
        <v>20</v>
      </c>
      <c r="P17" s="481"/>
      <c r="Q17" s="393"/>
      <c r="R17" s="392"/>
    </row>
    <row r="18">
      <c r="A18" s="470" t="s">
        <v>18</v>
      </c>
      <c r="B18" s="471" t="s">
        <v>1669</v>
      </c>
      <c r="C18" s="381" t="s">
        <v>39</v>
      </c>
      <c r="D18" s="381" t="s">
        <v>135</v>
      </c>
      <c r="E18" s="470" t="s">
        <v>1764</v>
      </c>
      <c r="F18" s="472" t="s">
        <v>75</v>
      </c>
      <c r="G18" s="470" t="s">
        <v>1773</v>
      </c>
      <c r="H18" s="473" t="str">
        <f t="shared" si="2"/>
        <v>martes</v>
      </c>
      <c r="I18" s="382">
        <v>46049.0</v>
      </c>
      <c r="J18" s="472" t="s">
        <v>1767</v>
      </c>
      <c r="K18" s="472" t="s">
        <v>1767</v>
      </c>
      <c r="L18" s="462"/>
      <c r="M18" s="482"/>
      <c r="N18" s="483"/>
      <c r="O18" s="462"/>
      <c r="P18" s="481"/>
      <c r="Q18" s="393"/>
      <c r="R18" s="392"/>
    </row>
    <row r="19">
      <c r="A19" s="53" t="s">
        <v>18</v>
      </c>
      <c r="B19" s="54" t="s">
        <v>1669</v>
      </c>
      <c r="C19" s="53" t="s">
        <v>29</v>
      </c>
      <c r="D19" s="161" t="s">
        <v>1774</v>
      </c>
      <c r="E19" s="161" t="s">
        <v>1760</v>
      </c>
      <c r="F19" s="356" t="s">
        <v>23</v>
      </c>
      <c r="G19" s="53" t="str">
        <f t="shared" ref="G19:G81" si="4">TEXT(I19,"Mmmm")</f>
        <v>enero</v>
      </c>
      <c r="H19" s="457" t="str">
        <f t="shared" si="2"/>
        <v>sábado</v>
      </c>
      <c r="I19" s="475">
        <v>46046.0</v>
      </c>
      <c r="J19" s="161" t="s">
        <v>1775</v>
      </c>
      <c r="K19" s="161" t="s">
        <v>1776</v>
      </c>
      <c r="L19" s="54" t="s">
        <v>1777</v>
      </c>
      <c r="M19" s="484" t="s">
        <v>1778</v>
      </c>
      <c r="N19" s="54" t="s">
        <v>1779</v>
      </c>
      <c r="O19" s="485" t="s">
        <v>63</v>
      </c>
      <c r="P19" s="161">
        <v>30.0</v>
      </c>
      <c r="Q19" s="486" t="s">
        <v>1780</v>
      </c>
      <c r="R19" s="352"/>
    </row>
    <row r="20">
      <c r="A20" s="53" t="s">
        <v>18</v>
      </c>
      <c r="B20" s="54" t="s">
        <v>1669</v>
      </c>
      <c r="C20" s="53" t="s">
        <v>27</v>
      </c>
      <c r="D20" s="161" t="s">
        <v>43</v>
      </c>
      <c r="E20" s="161" t="s">
        <v>1760</v>
      </c>
      <c r="F20" s="356" t="s">
        <v>23</v>
      </c>
      <c r="G20" s="53" t="str">
        <f t="shared" si="4"/>
        <v>enero</v>
      </c>
      <c r="H20" s="457" t="str">
        <f t="shared" si="2"/>
        <v>sábado</v>
      </c>
      <c r="I20" s="475">
        <v>46046.0</v>
      </c>
      <c r="J20" s="161" t="s">
        <v>1781</v>
      </c>
      <c r="K20" s="161" t="s">
        <v>1782</v>
      </c>
      <c r="L20" s="54" t="s">
        <v>1783</v>
      </c>
      <c r="M20" s="484" t="s">
        <v>1784</v>
      </c>
      <c r="N20" s="54" t="s">
        <v>1785</v>
      </c>
      <c r="O20" s="485" t="s">
        <v>93</v>
      </c>
      <c r="P20" s="161">
        <v>30.0</v>
      </c>
      <c r="Q20" s="486" t="s">
        <v>1786</v>
      </c>
      <c r="R20" s="352"/>
    </row>
    <row r="21">
      <c r="A21" s="53" t="s">
        <v>18</v>
      </c>
      <c r="B21" s="54" t="s">
        <v>1669</v>
      </c>
      <c r="C21" s="53" t="s">
        <v>39</v>
      </c>
      <c r="D21" s="161" t="s">
        <v>1774</v>
      </c>
      <c r="E21" s="161" t="s">
        <v>1760</v>
      </c>
      <c r="F21" s="356" t="s">
        <v>23</v>
      </c>
      <c r="G21" s="53" t="str">
        <f t="shared" si="4"/>
        <v>enero</v>
      </c>
      <c r="H21" s="457" t="str">
        <f t="shared" si="2"/>
        <v>sábado</v>
      </c>
      <c r="I21" s="475">
        <v>46046.0</v>
      </c>
      <c r="J21" s="161" t="s">
        <v>1787</v>
      </c>
      <c r="K21" s="161" t="s">
        <v>1788</v>
      </c>
      <c r="L21" s="54" t="s">
        <v>1789</v>
      </c>
      <c r="M21" s="484" t="s">
        <v>1790</v>
      </c>
      <c r="N21" s="54" t="s">
        <v>1791</v>
      </c>
      <c r="O21" s="485" t="s">
        <v>39</v>
      </c>
      <c r="P21" s="161">
        <v>30.0</v>
      </c>
      <c r="Q21" s="487" t="s">
        <v>1792</v>
      </c>
      <c r="R21" s="352"/>
    </row>
    <row r="22">
      <c r="A22" s="53" t="s">
        <v>18</v>
      </c>
      <c r="B22" s="54" t="s">
        <v>1669</v>
      </c>
      <c r="C22" s="53" t="s">
        <v>20</v>
      </c>
      <c r="D22" s="161" t="s">
        <v>43</v>
      </c>
      <c r="E22" s="161" t="s">
        <v>1760</v>
      </c>
      <c r="F22" s="356" t="s">
        <v>23</v>
      </c>
      <c r="G22" s="53" t="str">
        <f t="shared" si="4"/>
        <v>enero</v>
      </c>
      <c r="H22" s="457" t="str">
        <f t="shared" si="2"/>
        <v>sábado</v>
      </c>
      <c r="I22" s="475">
        <v>46046.0</v>
      </c>
      <c r="J22" s="161" t="s">
        <v>1793</v>
      </c>
      <c r="K22" s="161" t="s">
        <v>1794</v>
      </c>
      <c r="L22" s="161" t="s">
        <v>1795</v>
      </c>
      <c r="M22" s="484" t="s">
        <v>1796</v>
      </c>
      <c r="N22" s="54" t="s">
        <v>1797</v>
      </c>
      <c r="O22" s="485" t="s">
        <v>85</v>
      </c>
      <c r="P22" s="161">
        <v>30.0</v>
      </c>
      <c r="Q22" s="487" t="s">
        <v>1798</v>
      </c>
      <c r="R22" s="352"/>
    </row>
    <row r="23">
      <c r="A23" s="57" t="s">
        <v>18</v>
      </c>
      <c r="B23" s="57" t="s">
        <v>1669</v>
      </c>
      <c r="C23" s="57" t="s">
        <v>20</v>
      </c>
      <c r="D23" s="57" t="s">
        <v>119</v>
      </c>
      <c r="E23" s="57" t="s">
        <v>1760</v>
      </c>
      <c r="F23" s="58" t="s">
        <v>23</v>
      </c>
      <c r="G23" s="57" t="str">
        <f t="shared" si="4"/>
        <v>enero</v>
      </c>
      <c r="H23" s="488" t="str">
        <f t="shared" si="2"/>
        <v>sábado</v>
      </c>
      <c r="I23" s="489">
        <v>46046.0</v>
      </c>
      <c r="J23" s="57" t="s">
        <v>1799</v>
      </c>
      <c r="K23" s="57" t="s">
        <v>1800</v>
      </c>
      <c r="L23" s="57" t="s">
        <v>1801</v>
      </c>
      <c r="M23" s="271" t="s">
        <v>1802</v>
      </c>
      <c r="N23" s="57" t="s">
        <v>1803</v>
      </c>
      <c r="O23" s="57" t="s">
        <v>360</v>
      </c>
      <c r="P23" s="57">
        <v>30.0</v>
      </c>
      <c r="Q23" s="58" t="s">
        <v>1804</v>
      </c>
      <c r="R23" s="286"/>
      <c r="S23" s="490"/>
      <c r="T23" s="490"/>
      <c r="U23" s="490"/>
      <c r="V23" s="490"/>
      <c r="W23" s="490"/>
      <c r="X23" s="490"/>
      <c r="Y23" s="490"/>
      <c r="Z23" s="490"/>
    </row>
    <row r="24">
      <c r="A24" s="57" t="s">
        <v>18</v>
      </c>
      <c r="B24" s="57" t="s">
        <v>1669</v>
      </c>
      <c r="C24" s="57" t="s">
        <v>29</v>
      </c>
      <c r="D24" s="57" t="s">
        <v>88</v>
      </c>
      <c r="E24" s="57" t="s">
        <v>1760</v>
      </c>
      <c r="F24" s="58" t="s">
        <v>23</v>
      </c>
      <c r="G24" s="57" t="str">
        <f t="shared" si="4"/>
        <v>enero</v>
      </c>
      <c r="H24" s="488" t="str">
        <f t="shared" si="2"/>
        <v>sábado</v>
      </c>
      <c r="I24" s="489">
        <v>46046.0</v>
      </c>
      <c r="J24" s="57" t="s">
        <v>1805</v>
      </c>
      <c r="K24" s="57" t="s">
        <v>1806</v>
      </c>
      <c r="L24" s="57" t="s">
        <v>157</v>
      </c>
      <c r="M24" s="178" t="s">
        <v>1807</v>
      </c>
      <c r="N24" s="57" t="s">
        <v>1808</v>
      </c>
      <c r="O24" s="57" t="s">
        <v>1809</v>
      </c>
      <c r="P24" s="57">
        <v>30.0</v>
      </c>
      <c r="Q24" s="58" t="s">
        <v>1810</v>
      </c>
      <c r="R24" s="286"/>
      <c r="S24" s="490"/>
      <c r="T24" s="490"/>
      <c r="U24" s="490"/>
      <c r="V24" s="490"/>
      <c r="W24" s="490"/>
      <c r="X24" s="490"/>
      <c r="Y24" s="490"/>
      <c r="Z24" s="490"/>
    </row>
    <row r="25">
      <c r="A25" s="57" t="s">
        <v>18</v>
      </c>
      <c r="B25" s="57" t="s">
        <v>1669</v>
      </c>
      <c r="C25" s="57" t="s">
        <v>27</v>
      </c>
      <c r="D25" s="57" t="s">
        <v>119</v>
      </c>
      <c r="E25" s="57" t="s">
        <v>1760</v>
      </c>
      <c r="F25" s="58" t="s">
        <v>23</v>
      </c>
      <c r="G25" s="57" t="str">
        <f t="shared" si="4"/>
        <v>enero</v>
      </c>
      <c r="H25" s="488" t="str">
        <f t="shared" si="2"/>
        <v>sábado</v>
      </c>
      <c r="I25" s="489">
        <v>46046.0</v>
      </c>
      <c r="J25" s="57" t="s">
        <v>1811</v>
      </c>
      <c r="K25" s="57" t="s">
        <v>1812</v>
      </c>
      <c r="L25" s="57" t="s">
        <v>1813</v>
      </c>
      <c r="M25" s="271" t="s">
        <v>1814</v>
      </c>
      <c r="N25" s="57" t="s">
        <v>1815</v>
      </c>
      <c r="O25" s="57" t="s">
        <v>1816</v>
      </c>
      <c r="P25" s="57">
        <v>30.0</v>
      </c>
      <c r="Q25" s="58" t="s">
        <v>1817</v>
      </c>
      <c r="R25" s="286"/>
      <c r="S25" s="490"/>
      <c r="T25" s="490"/>
      <c r="U25" s="490"/>
      <c r="V25" s="490"/>
      <c r="W25" s="490"/>
      <c r="X25" s="490"/>
      <c r="Y25" s="490"/>
      <c r="Z25" s="490"/>
    </row>
    <row r="26">
      <c r="A26" s="57" t="s">
        <v>18</v>
      </c>
      <c r="B26" s="57" t="s">
        <v>1669</v>
      </c>
      <c r="C26" s="57" t="s">
        <v>39</v>
      </c>
      <c r="D26" s="57" t="s">
        <v>88</v>
      </c>
      <c r="E26" s="57" t="s">
        <v>1760</v>
      </c>
      <c r="F26" s="58" t="s">
        <v>23</v>
      </c>
      <c r="G26" s="57" t="str">
        <f t="shared" si="4"/>
        <v>enero</v>
      </c>
      <c r="H26" s="488" t="str">
        <f t="shared" si="2"/>
        <v>sábado</v>
      </c>
      <c r="I26" s="489">
        <v>46046.0</v>
      </c>
      <c r="J26" s="57" t="s">
        <v>1818</v>
      </c>
      <c r="K26" s="57" t="s">
        <v>1819</v>
      </c>
      <c r="L26" s="57" t="s">
        <v>1820</v>
      </c>
      <c r="M26" s="271" t="s">
        <v>1821</v>
      </c>
      <c r="N26" s="57" t="s">
        <v>1822</v>
      </c>
      <c r="O26" s="57" t="s">
        <v>1823</v>
      </c>
      <c r="P26" s="57">
        <v>30.0</v>
      </c>
      <c r="Q26" s="57" t="s">
        <v>1824</v>
      </c>
      <c r="R26" s="286"/>
      <c r="S26" s="490"/>
      <c r="T26" s="490"/>
      <c r="U26" s="490"/>
      <c r="V26" s="490"/>
      <c r="W26" s="490"/>
      <c r="X26" s="490"/>
      <c r="Y26" s="490"/>
      <c r="Z26" s="490"/>
    </row>
    <row r="27">
      <c r="A27" s="53" t="s">
        <v>18</v>
      </c>
      <c r="B27" s="54" t="s">
        <v>1669</v>
      </c>
      <c r="C27" s="53"/>
      <c r="D27" s="476"/>
      <c r="E27" s="161"/>
      <c r="F27" s="356" t="s">
        <v>23</v>
      </c>
      <c r="G27" s="53" t="str">
        <f t="shared" si="4"/>
        <v>enero</v>
      </c>
      <c r="H27" s="457" t="str">
        <f t="shared" si="2"/>
        <v>domingo</v>
      </c>
      <c r="I27" s="475">
        <v>46047.0</v>
      </c>
      <c r="J27" s="476"/>
      <c r="K27" s="476"/>
      <c r="L27" s="476"/>
      <c r="M27" s="476"/>
      <c r="N27" s="477"/>
      <c r="O27" s="477"/>
      <c r="P27" s="476"/>
      <c r="Q27" s="478"/>
      <c r="R27" s="352"/>
    </row>
    <row r="28">
      <c r="A28" s="53" t="s">
        <v>18</v>
      </c>
      <c r="B28" s="54" t="s">
        <v>1669</v>
      </c>
      <c r="C28" s="53"/>
      <c r="D28" s="476"/>
      <c r="E28" s="161"/>
      <c r="F28" s="356" t="s">
        <v>23</v>
      </c>
      <c r="G28" s="53" t="str">
        <f t="shared" si="4"/>
        <v>enero</v>
      </c>
      <c r="H28" s="457" t="str">
        <f t="shared" si="2"/>
        <v>martes</v>
      </c>
      <c r="I28" s="475">
        <v>46049.0</v>
      </c>
      <c r="J28" s="476"/>
      <c r="K28" s="476"/>
      <c r="L28" s="476"/>
      <c r="M28" s="476"/>
      <c r="N28" s="477"/>
      <c r="O28" s="477"/>
      <c r="P28" s="476"/>
      <c r="Q28" s="478"/>
      <c r="R28" s="352"/>
    </row>
    <row r="29">
      <c r="A29" s="53" t="s">
        <v>18</v>
      </c>
      <c r="B29" s="54" t="s">
        <v>1669</v>
      </c>
      <c r="C29" s="267" t="s">
        <v>20</v>
      </c>
      <c r="D29" s="267" t="s">
        <v>119</v>
      </c>
      <c r="E29" s="267" t="s">
        <v>1760</v>
      </c>
      <c r="F29" s="267" t="s">
        <v>23</v>
      </c>
      <c r="G29" s="267" t="str">
        <f t="shared" si="4"/>
        <v>enero</v>
      </c>
      <c r="H29" s="491" t="str">
        <f t="shared" si="2"/>
        <v>miércoles</v>
      </c>
      <c r="I29" s="492">
        <v>46050.0</v>
      </c>
      <c r="J29" s="267" t="s">
        <v>1825</v>
      </c>
      <c r="K29" s="57" t="s">
        <v>1826</v>
      </c>
      <c r="L29" s="57" t="s">
        <v>205</v>
      </c>
      <c r="M29" s="271" t="s">
        <v>1827</v>
      </c>
      <c r="N29" s="57" t="s">
        <v>1828</v>
      </c>
      <c r="O29" s="267" t="s">
        <v>1829</v>
      </c>
      <c r="P29" s="60"/>
      <c r="Q29" s="63" t="s">
        <v>1830</v>
      </c>
      <c r="R29" s="352"/>
    </row>
    <row r="30">
      <c r="A30" s="53" t="s">
        <v>18</v>
      </c>
      <c r="B30" s="54" t="s">
        <v>1669</v>
      </c>
      <c r="C30" s="53" t="s">
        <v>29</v>
      </c>
      <c r="D30" s="161" t="s">
        <v>119</v>
      </c>
      <c r="E30" s="161" t="s">
        <v>1760</v>
      </c>
      <c r="F30" s="356" t="s">
        <v>23</v>
      </c>
      <c r="G30" s="53" t="str">
        <f t="shared" si="4"/>
        <v>enero</v>
      </c>
      <c r="H30" s="457" t="str">
        <f t="shared" si="2"/>
        <v>miércoles</v>
      </c>
      <c r="I30" s="475">
        <v>46050.0</v>
      </c>
      <c r="J30" s="267" t="s">
        <v>1831</v>
      </c>
      <c r="K30" s="57" t="s">
        <v>1832</v>
      </c>
      <c r="L30" s="57" t="s">
        <v>46</v>
      </c>
      <c r="M30" s="271" t="s">
        <v>1833</v>
      </c>
      <c r="N30" s="57" t="s">
        <v>1834</v>
      </c>
      <c r="O30" s="267" t="s">
        <v>49</v>
      </c>
      <c r="P30" s="60"/>
      <c r="Q30" s="63" t="s">
        <v>1835</v>
      </c>
      <c r="R30" s="352"/>
    </row>
    <row r="31">
      <c r="A31" s="53" t="s">
        <v>18</v>
      </c>
      <c r="B31" s="54" t="s">
        <v>1669</v>
      </c>
      <c r="C31" s="53" t="s">
        <v>27</v>
      </c>
      <c r="D31" s="161" t="s">
        <v>119</v>
      </c>
      <c r="E31" s="161" t="s">
        <v>1760</v>
      </c>
      <c r="F31" s="356" t="s">
        <v>23</v>
      </c>
      <c r="G31" s="53" t="str">
        <f t="shared" si="4"/>
        <v>enero</v>
      </c>
      <c r="H31" s="457" t="str">
        <f t="shared" si="2"/>
        <v>miércoles</v>
      </c>
      <c r="I31" s="475">
        <v>46050.0</v>
      </c>
      <c r="J31" s="272"/>
      <c r="K31" s="286"/>
      <c r="L31" s="286"/>
      <c r="M31" s="286"/>
      <c r="N31" s="286"/>
      <c r="O31" s="272"/>
      <c r="P31" s="60"/>
      <c r="Q31" s="60"/>
      <c r="R31" s="352"/>
    </row>
    <row r="32">
      <c r="A32" s="53" t="s">
        <v>18</v>
      </c>
      <c r="B32" s="54" t="s">
        <v>1669</v>
      </c>
      <c r="C32" s="53" t="s">
        <v>39</v>
      </c>
      <c r="D32" s="161" t="s">
        <v>119</v>
      </c>
      <c r="E32" s="161" t="s">
        <v>1760</v>
      </c>
      <c r="F32" s="356" t="s">
        <v>23</v>
      </c>
      <c r="G32" s="53" t="str">
        <f t="shared" si="4"/>
        <v>enero</v>
      </c>
      <c r="H32" s="457" t="str">
        <f t="shared" si="2"/>
        <v>miércoles</v>
      </c>
      <c r="I32" s="475">
        <v>46050.0</v>
      </c>
      <c r="J32" s="267" t="s">
        <v>1836</v>
      </c>
      <c r="K32" s="57" t="s">
        <v>1837</v>
      </c>
      <c r="L32" s="57" t="s">
        <v>1838</v>
      </c>
      <c r="M32" s="271" t="s">
        <v>1839</v>
      </c>
      <c r="N32" s="57" t="s">
        <v>1840</v>
      </c>
      <c r="O32" s="267" t="s">
        <v>1841</v>
      </c>
      <c r="P32" s="60"/>
      <c r="Q32" s="63" t="s">
        <v>1842</v>
      </c>
      <c r="R32" s="352"/>
    </row>
    <row r="33">
      <c r="A33" s="53" t="s">
        <v>18</v>
      </c>
      <c r="B33" s="54" t="s">
        <v>1669</v>
      </c>
      <c r="C33" s="53"/>
      <c r="D33" s="476"/>
      <c r="E33" s="161"/>
      <c r="F33" s="356" t="s">
        <v>23</v>
      </c>
      <c r="G33" s="53" t="str">
        <f t="shared" si="4"/>
        <v>febrero</v>
      </c>
      <c r="H33" s="457" t="str">
        <f t="shared" si="2"/>
        <v>domingo</v>
      </c>
      <c r="I33" s="475">
        <v>46054.0</v>
      </c>
      <c r="J33" s="354"/>
      <c r="K33" s="353"/>
      <c r="L33" s="354"/>
      <c r="M33" s="354"/>
      <c r="N33" s="354"/>
      <c r="O33" s="354"/>
      <c r="P33" s="355"/>
      <c r="Q33" s="355"/>
      <c r="R33" s="352"/>
    </row>
    <row r="34">
      <c r="A34" s="53" t="s">
        <v>18</v>
      </c>
      <c r="B34" s="54" t="s">
        <v>1669</v>
      </c>
      <c r="C34" s="53"/>
      <c r="D34" s="476"/>
      <c r="E34" s="161"/>
      <c r="F34" s="356" t="s">
        <v>23</v>
      </c>
      <c r="G34" s="53" t="str">
        <f t="shared" si="4"/>
        <v>febrero</v>
      </c>
      <c r="H34" s="457" t="str">
        <f t="shared" si="2"/>
        <v>martes</v>
      </c>
      <c r="I34" s="475">
        <v>46056.0</v>
      </c>
      <c r="J34" s="354"/>
      <c r="K34" s="354"/>
      <c r="L34" s="354"/>
      <c r="M34" s="354"/>
      <c r="N34" s="354"/>
      <c r="O34" s="354"/>
      <c r="P34" s="355"/>
      <c r="Q34" s="355"/>
      <c r="R34" s="352"/>
    </row>
    <row r="35">
      <c r="A35" s="53" t="s">
        <v>18</v>
      </c>
      <c r="B35" s="54" t="s">
        <v>1669</v>
      </c>
      <c r="C35" s="53"/>
      <c r="D35" s="476"/>
      <c r="E35" s="161"/>
      <c r="F35" s="356" t="s">
        <v>23</v>
      </c>
      <c r="G35" s="53" t="str">
        <f t="shared" si="4"/>
        <v>febrero</v>
      </c>
      <c r="H35" s="457" t="str">
        <f t="shared" si="2"/>
        <v>miércoles</v>
      </c>
      <c r="I35" s="475">
        <v>46057.0</v>
      </c>
      <c r="J35" s="354"/>
      <c r="K35" s="354"/>
      <c r="L35" s="354"/>
      <c r="M35" s="354"/>
      <c r="N35" s="354"/>
      <c r="O35" s="354"/>
      <c r="P35" s="355"/>
      <c r="Q35" s="355"/>
      <c r="R35" s="352"/>
    </row>
    <row r="36">
      <c r="A36" s="53" t="s">
        <v>18</v>
      </c>
      <c r="B36" s="54" t="s">
        <v>1669</v>
      </c>
      <c r="C36" s="53"/>
      <c r="D36" s="476"/>
      <c r="E36" s="161"/>
      <c r="F36" s="356" t="s">
        <v>23</v>
      </c>
      <c r="G36" s="53" t="str">
        <f t="shared" si="4"/>
        <v>febrero</v>
      </c>
      <c r="H36" s="457" t="str">
        <f t="shared" si="2"/>
        <v>jueves</v>
      </c>
      <c r="I36" s="475">
        <v>46058.0</v>
      </c>
      <c r="J36" s="354"/>
      <c r="K36" s="354"/>
      <c r="L36" s="354"/>
      <c r="M36" s="354"/>
      <c r="N36" s="354"/>
      <c r="O36" s="354"/>
      <c r="P36" s="355"/>
      <c r="Q36" s="355"/>
      <c r="R36" s="352"/>
    </row>
    <row r="37">
      <c r="A37" s="53" t="s">
        <v>18</v>
      </c>
      <c r="B37" s="54" t="s">
        <v>1669</v>
      </c>
      <c r="C37" s="53"/>
      <c r="D37" s="476"/>
      <c r="E37" s="161"/>
      <c r="F37" s="356" t="s">
        <v>23</v>
      </c>
      <c r="G37" s="53" t="str">
        <f t="shared" si="4"/>
        <v>febrero</v>
      </c>
      <c r="H37" s="457" t="str">
        <f t="shared" si="2"/>
        <v>viernes</v>
      </c>
      <c r="I37" s="475">
        <v>46059.0</v>
      </c>
      <c r="J37" s="354"/>
      <c r="K37" s="354"/>
      <c r="L37" s="354"/>
      <c r="M37" s="354"/>
      <c r="N37" s="354"/>
      <c r="O37" s="354"/>
      <c r="P37" s="355"/>
      <c r="Q37" s="355"/>
      <c r="R37" s="352"/>
    </row>
    <row r="38">
      <c r="A38" s="53" t="s">
        <v>18</v>
      </c>
      <c r="B38" s="54" t="s">
        <v>1669</v>
      </c>
      <c r="C38" s="53"/>
      <c r="D38" s="476"/>
      <c r="E38" s="161"/>
      <c r="F38" s="356" t="s">
        <v>23</v>
      </c>
      <c r="G38" s="53" t="str">
        <f t="shared" si="4"/>
        <v>febrero</v>
      </c>
      <c r="H38" s="457" t="str">
        <f t="shared" si="2"/>
        <v>sábado</v>
      </c>
      <c r="I38" s="475">
        <v>46060.0</v>
      </c>
      <c r="J38" s="354"/>
      <c r="K38" s="354"/>
      <c r="L38" s="354"/>
      <c r="M38" s="354"/>
      <c r="N38" s="354"/>
      <c r="O38" s="354"/>
      <c r="P38" s="355"/>
      <c r="Q38" s="355"/>
      <c r="R38" s="352"/>
    </row>
    <row r="39">
      <c r="A39" s="53" t="s">
        <v>18</v>
      </c>
      <c r="B39" s="54" t="s">
        <v>1669</v>
      </c>
      <c r="C39" s="53"/>
      <c r="D39" s="476"/>
      <c r="E39" s="161"/>
      <c r="F39" s="356" t="s">
        <v>23</v>
      </c>
      <c r="G39" s="53" t="str">
        <f t="shared" si="4"/>
        <v>febrero</v>
      </c>
      <c r="H39" s="457" t="str">
        <f t="shared" si="2"/>
        <v>domingo</v>
      </c>
      <c r="I39" s="475">
        <v>46061.0</v>
      </c>
      <c r="J39" s="354"/>
      <c r="K39" s="354"/>
      <c r="L39" s="354"/>
      <c r="M39" s="354"/>
      <c r="N39" s="354"/>
      <c r="O39" s="354"/>
      <c r="P39" s="355"/>
      <c r="Q39" s="355"/>
      <c r="R39" s="352"/>
    </row>
    <row r="40">
      <c r="A40" s="53" t="s">
        <v>18</v>
      </c>
      <c r="B40" s="54" t="s">
        <v>1669</v>
      </c>
      <c r="C40" s="53"/>
      <c r="D40" s="476"/>
      <c r="E40" s="161"/>
      <c r="F40" s="356" t="s">
        <v>23</v>
      </c>
      <c r="G40" s="53" t="str">
        <f t="shared" si="4"/>
        <v>febrero</v>
      </c>
      <c r="H40" s="457" t="str">
        <f t="shared" si="2"/>
        <v>jueves</v>
      </c>
      <c r="I40" s="475">
        <v>46065.0</v>
      </c>
      <c r="J40" s="354"/>
      <c r="K40" s="354"/>
      <c r="L40" s="354"/>
      <c r="M40" s="354"/>
      <c r="N40" s="354"/>
      <c r="O40" s="354"/>
      <c r="P40" s="355"/>
      <c r="Q40" s="355"/>
      <c r="R40" s="352"/>
    </row>
    <row r="41">
      <c r="A41" s="53" t="s">
        <v>18</v>
      </c>
      <c r="B41" s="54" t="s">
        <v>1669</v>
      </c>
      <c r="C41" s="53"/>
      <c r="D41" s="476"/>
      <c r="E41" s="161"/>
      <c r="F41" s="356" t="s">
        <v>23</v>
      </c>
      <c r="G41" s="53" t="str">
        <f t="shared" si="4"/>
        <v>febrero</v>
      </c>
      <c r="H41" s="457" t="str">
        <f t="shared" si="2"/>
        <v>viernes</v>
      </c>
      <c r="I41" s="475">
        <v>46066.0</v>
      </c>
      <c r="J41" s="354"/>
      <c r="K41" s="354"/>
      <c r="L41" s="354"/>
      <c r="M41" s="354"/>
      <c r="N41" s="354"/>
      <c r="O41" s="354"/>
      <c r="P41" s="355"/>
      <c r="Q41" s="355"/>
      <c r="R41" s="352"/>
    </row>
    <row r="42">
      <c r="A42" s="53" t="s">
        <v>18</v>
      </c>
      <c r="B42" s="54" t="s">
        <v>1669</v>
      </c>
      <c r="C42" s="53" t="s">
        <v>20</v>
      </c>
      <c r="D42" s="161" t="s">
        <v>267</v>
      </c>
      <c r="E42" s="161" t="s">
        <v>1760</v>
      </c>
      <c r="F42" s="356" t="s">
        <v>23</v>
      </c>
      <c r="G42" s="53" t="str">
        <f t="shared" si="4"/>
        <v>febrero</v>
      </c>
      <c r="H42" s="457" t="str">
        <f t="shared" si="2"/>
        <v>sábado</v>
      </c>
      <c r="I42" s="475">
        <v>46067.0</v>
      </c>
      <c r="J42" s="493" t="s">
        <v>1843</v>
      </c>
      <c r="K42" s="176" t="s">
        <v>1844</v>
      </c>
      <c r="L42" s="354"/>
      <c r="M42" s="354"/>
      <c r="N42" s="354"/>
      <c r="O42" s="354"/>
      <c r="P42" s="355"/>
      <c r="Q42" s="355"/>
      <c r="R42" s="352"/>
    </row>
    <row r="43">
      <c r="A43" s="53" t="s">
        <v>18</v>
      </c>
      <c r="B43" s="54" t="s">
        <v>1669</v>
      </c>
      <c r="C43" s="53" t="s">
        <v>39</v>
      </c>
      <c r="D43" s="161" t="s">
        <v>267</v>
      </c>
      <c r="E43" s="161" t="s">
        <v>1760</v>
      </c>
      <c r="F43" s="356" t="s">
        <v>23</v>
      </c>
      <c r="G43" s="53" t="str">
        <f t="shared" si="4"/>
        <v>febrero</v>
      </c>
      <c r="H43" s="457" t="str">
        <f t="shared" si="2"/>
        <v>sábado</v>
      </c>
      <c r="I43" s="475">
        <v>46067.0</v>
      </c>
      <c r="J43" s="494" t="s">
        <v>1845</v>
      </c>
      <c r="K43" s="495" t="s">
        <v>1846</v>
      </c>
      <c r="L43" s="326" t="s">
        <v>389</v>
      </c>
      <c r="M43" s="327" t="s">
        <v>390</v>
      </c>
      <c r="N43" s="286" t="s">
        <v>391</v>
      </c>
      <c r="O43" s="326" t="s">
        <v>392</v>
      </c>
      <c r="P43" s="359">
        <v>30.0</v>
      </c>
      <c r="Q43" s="359" t="s">
        <v>1847</v>
      </c>
      <c r="R43" s="272"/>
    </row>
    <row r="44">
      <c r="A44" s="53" t="s">
        <v>18</v>
      </c>
      <c r="B44" s="54" t="s">
        <v>1669</v>
      </c>
      <c r="C44" s="53" t="s">
        <v>39</v>
      </c>
      <c r="D44" s="161" t="s">
        <v>224</v>
      </c>
      <c r="E44" s="161" t="s">
        <v>1760</v>
      </c>
      <c r="F44" s="356" t="s">
        <v>23</v>
      </c>
      <c r="G44" s="53" t="str">
        <f t="shared" si="4"/>
        <v>febrero</v>
      </c>
      <c r="H44" s="457" t="str">
        <f t="shared" si="2"/>
        <v>sábado</v>
      </c>
      <c r="I44" s="475">
        <v>46067.0</v>
      </c>
      <c r="J44" s="493" t="s">
        <v>1848</v>
      </c>
      <c r="K44" s="176" t="s">
        <v>1849</v>
      </c>
      <c r="L44" s="176" t="s">
        <v>239</v>
      </c>
      <c r="M44" s="496" t="s">
        <v>240</v>
      </c>
      <c r="N44" s="176" t="s">
        <v>241</v>
      </c>
      <c r="O44" s="176" t="s">
        <v>1841</v>
      </c>
      <c r="P44" s="355"/>
      <c r="Q44" s="497" t="s">
        <v>1850</v>
      </c>
      <c r="R44" s="352"/>
    </row>
    <row r="45">
      <c r="A45" s="53" t="s">
        <v>18</v>
      </c>
      <c r="B45" s="54" t="s">
        <v>1669</v>
      </c>
      <c r="C45" s="53" t="s">
        <v>27</v>
      </c>
      <c r="D45" s="161" t="s">
        <v>1774</v>
      </c>
      <c r="E45" s="161" t="s">
        <v>1760</v>
      </c>
      <c r="F45" s="356" t="s">
        <v>23</v>
      </c>
      <c r="G45" s="53" t="str">
        <f t="shared" si="4"/>
        <v>febrero</v>
      </c>
      <c r="H45" s="457" t="str">
        <f t="shared" si="2"/>
        <v>sábado</v>
      </c>
      <c r="I45" s="475">
        <v>46067.0</v>
      </c>
      <c r="J45" s="498" t="s">
        <v>1851</v>
      </c>
      <c r="K45" s="356" t="s">
        <v>1852</v>
      </c>
      <c r="L45" s="354"/>
      <c r="M45" s="354"/>
      <c r="N45" s="354"/>
      <c r="O45" s="354"/>
      <c r="P45" s="355"/>
      <c r="Q45" s="355"/>
      <c r="R45" s="352"/>
    </row>
    <row r="46">
      <c r="A46" s="53" t="s">
        <v>18</v>
      </c>
      <c r="B46" s="54" t="s">
        <v>1669</v>
      </c>
      <c r="C46" s="53" t="s">
        <v>27</v>
      </c>
      <c r="D46" s="161" t="s">
        <v>119</v>
      </c>
      <c r="E46" s="161" t="s">
        <v>1760</v>
      </c>
      <c r="F46" s="356" t="s">
        <v>23</v>
      </c>
      <c r="G46" s="53" t="str">
        <f t="shared" si="4"/>
        <v>febrero</v>
      </c>
      <c r="H46" s="457" t="str">
        <f t="shared" si="2"/>
        <v>sábado</v>
      </c>
      <c r="I46" s="475">
        <v>46067.0</v>
      </c>
      <c r="J46" s="498" t="s">
        <v>1851</v>
      </c>
      <c r="K46" s="356" t="s">
        <v>1852</v>
      </c>
      <c r="L46" s="354"/>
      <c r="M46" s="354"/>
      <c r="N46" s="354"/>
      <c r="O46" s="354"/>
      <c r="P46" s="355"/>
      <c r="Q46" s="355"/>
      <c r="R46" s="352"/>
    </row>
    <row r="47">
      <c r="A47" s="53" t="s">
        <v>18</v>
      </c>
      <c r="B47" s="54" t="s">
        <v>1669</v>
      </c>
      <c r="C47" s="53" t="s">
        <v>29</v>
      </c>
      <c r="D47" s="161" t="s">
        <v>1774</v>
      </c>
      <c r="E47" s="161" t="s">
        <v>1760</v>
      </c>
      <c r="F47" s="356" t="s">
        <v>23</v>
      </c>
      <c r="G47" s="53" t="str">
        <f t="shared" si="4"/>
        <v>febrero</v>
      </c>
      <c r="H47" s="457" t="str">
        <f t="shared" si="2"/>
        <v>sábado</v>
      </c>
      <c r="I47" s="475">
        <v>46067.0</v>
      </c>
      <c r="J47" s="498" t="s">
        <v>1853</v>
      </c>
      <c r="K47" s="176" t="s">
        <v>1854</v>
      </c>
      <c r="L47" s="499" t="s">
        <v>1855</v>
      </c>
      <c r="M47" s="500" t="s">
        <v>398</v>
      </c>
      <c r="N47" s="322" t="s">
        <v>399</v>
      </c>
      <c r="O47" s="356" t="s">
        <v>400</v>
      </c>
      <c r="P47" s="497">
        <v>50.0</v>
      </c>
      <c r="Q47" s="497" t="s">
        <v>1856</v>
      </c>
      <c r="R47" s="352"/>
    </row>
    <row r="48">
      <c r="A48" s="53" t="s">
        <v>18</v>
      </c>
      <c r="B48" s="54" t="s">
        <v>1669</v>
      </c>
      <c r="C48" s="53" t="s">
        <v>29</v>
      </c>
      <c r="D48" s="161" t="s">
        <v>119</v>
      </c>
      <c r="E48" s="161" t="s">
        <v>1760</v>
      </c>
      <c r="F48" s="356" t="s">
        <v>23</v>
      </c>
      <c r="G48" s="53" t="str">
        <f t="shared" si="4"/>
        <v>febrero</v>
      </c>
      <c r="H48" s="457" t="str">
        <f t="shared" si="2"/>
        <v>sábado</v>
      </c>
      <c r="I48" s="475">
        <v>46067.0</v>
      </c>
      <c r="J48" s="498" t="s">
        <v>1857</v>
      </c>
      <c r="K48" s="176" t="s">
        <v>1858</v>
      </c>
      <c r="L48" s="356" t="s">
        <v>1859</v>
      </c>
      <c r="M48" s="501" t="s">
        <v>1860</v>
      </c>
      <c r="N48" s="356" t="s">
        <v>1861</v>
      </c>
      <c r="O48" s="356" t="s">
        <v>71</v>
      </c>
      <c r="P48" s="497">
        <v>50.0</v>
      </c>
      <c r="Q48" s="497" t="s">
        <v>1862</v>
      </c>
      <c r="R48" s="352"/>
    </row>
    <row r="49">
      <c r="A49" s="53" t="s">
        <v>18</v>
      </c>
      <c r="B49" s="54" t="s">
        <v>1669</v>
      </c>
      <c r="C49" s="53" t="s">
        <v>20</v>
      </c>
      <c r="D49" s="161" t="s">
        <v>119</v>
      </c>
      <c r="E49" s="161" t="s">
        <v>1760</v>
      </c>
      <c r="F49" s="356" t="s">
        <v>23</v>
      </c>
      <c r="G49" s="53" t="str">
        <f t="shared" si="4"/>
        <v>febrero</v>
      </c>
      <c r="H49" s="457" t="str">
        <f t="shared" si="2"/>
        <v>domingo</v>
      </c>
      <c r="I49" s="475">
        <v>46068.0</v>
      </c>
      <c r="J49" s="498" t="s">
        <v>1863</v>
      </c>
      <c r="K49" s="354"/>
      <c r="L49" s="354"/>
      <c r="M49" s="354"/>
      <c r="N49" s="354"/>
      <c r="O49" s="354"/>
      <c r="P49" s="355"/>
      <c r="Q49" s="355"/>
      <c r="R49" s="352"/>
    </row>
    <row r="50">
      <c r="A50" s="53" t="s">
        <v>18</v>
      </c>
      <c r="B50" s="54" t="s">
        <v>1669</v>
      </c>
      <c r="C50" s="53" t="s">
        <v>20</v>
      </c>
      <c r="D50" s="161" t="s">
        <v>119</v>
      </c>
      <c r="E50" s="161" t="s">
        <v>1760</v>
      </c>
      <c r="F50" s="356" t="s">
        <v>23</v>
      </c>
      <c r="G50" s="53" t="str">
        <f t="shared" si="4"/>
        <v>diciembre</v>
      </c>
      <c r="H50" s="457" t="str">
        <f t="shared" si="2"/>
        <v>sábado</v>
      </c>
      <c r="I50" s="475"/>
      <c r="J50" s="502" t="s">
        <v>1864</v>
      </c>
      <c r="K50" s="503" t="s">
        <v>1865</v>
      </c>
      <c r="L50" s="504"/>
      <c r="M50" s="504"/>
      <c r="N50" s="504"/>
      <c r="O50" s="504"/>
      <c r="P50" s="504"/>
      <c r="Q50" s="504"/>
      <c r="R50" s="504"/>
    </row>
    <row r="51">
      <c r="A51" s="53" t="s">
        <v>18</v>
      </c>
      <c r="B51" s="54" t="s">
        <v>1669</v>
      </c>
      <c r="C51" s="53" t="s">
        <v>29</v>
      </c>
      <c r="D51" s="161" t="s">
        <v>119</v>
      </c>
      <c r="E51" s="161" t="s">
        <v>1760</v>
      </c>
      <c r="F51" s="356" t="s">
        <v>23</v>
      </c>
      <c r="G51" s="53" t="str">
        <f t="shared" si="4"/>
        <v>febrero</v>
      </c>
      <c r="H51" s="457" t="str">
        <f t="shared" si="2"/>
        <v>domingo</v>
      </c>
      <c r="I51" s="475">
        <v>46068.0</v>
      </c>
      <c r="J51" s="502" t="s">
        <v>1851</v>
      </c>
      <c r="K51" s="505"/>
      <c r="L51" s="504"/>
      <c r="M51" s="504"/>
      <c r="N51" s="504"/>
      <c r="O51" s="504"/>
      <c r="P51" s="504"/>
      <c r="Q51" s="504"/>
      <c r="R51" s="504"/>
    </row>
    <row r="52">
      <c r="A52" s="53" t="s">
        <v>18</v>
      </c>
      <c r="B52" s="54" t="s">
        <v>1669</v>
      </c>
      <c r="C52" s="53" t="s">
        <v>27</v>
      </c>
      <c r="D52" s="161" t="s">
        <v>119</v>
      </c>
      <c r="E52" s="161" t="s">
        <v>1760</v>
      </c>
      <c r="F52" s="356" t="s">
        <v>23</v>
      </c>
      <c r="G52" s="53" t="str">
        <f t="shared" si="4"/>
        <v>febrero</v>
      </c>
      <c r="H52" s="457" t="str">
        <f t="shared" si="2"/>
        <v>domingo</v>
      </c>
      <c r="I52" s="475">
        <v>46068.0</v>
      </c>
      <c r="J52" s="502" t="s">
        <v>1851</v>
      </c>
      <c r="K52" s="505"/>
      <c r="L52" s="504"/>
      <c r="M52" s="504"/>
      <c r="N52" s="504"/>
      <c r="O52" s="504"/>
      <c r="P52" s="504"/>
      <c r="Q52" s="504"/>
      <c r="R52" s="504"/>
    </row>
    <row r="53">
      <c r="A53" s="53" t="s">
        <v>18</v>
      </c>
      <c r="B53" s="54" t="s">
        <v>1669</v>
      </c>
      <c r="C53" s="53" t="s">
        <v>39</v>
      </c>
      <c r="D53" s="161" t="s">
        <v>119</v>
      </c>
      <c r="E53" s="161" t="s">
        <v>1760</v>
      </c>
      <c r="F53" s="356" t="s">
        <v>23</v>
      </c>
      <c r="G53" s="53" t="str">
        <f t="shared" si="4"/>
        <v>febrero</v>
      </c>
      <c r="H53" s="457" t="str">
        <f t="shared" si="2"/>
        <v>domingo</v>
      </c>
      <c r="I53" s="475">
        <v>46068.0</v>
      </c>
      <c r="J53" s="502" t="s">
        <v>1851</v>
      </c>
      <c r="K53" s="503"/>
      <c r="L53" s="506"/>
      <c r="M53" s="506"/>
      <c r="N53" s="506"/>
      <c r="O53" s="506"/>
      <c r="P53" s="506"/>
      <c r="Q53" s="506"/>
      <c r="R53" s="504"/>
    </row>
    <row r="54">
      <c r="A54" s="53" t="s">
        <v>18</v>
      </c>
      <c r="B54" s="54" t="s">
        <v>1669</v>
      </c>
      <c r="C54" s="53" t="s">
        <v>20</v>
      </c>
      <c r="D54" s="161" t="s">
        <v>267</v>
      </c>
      <c r="E54" s="161" t="s">
        <v>1760</v>
      </c>
      <c r="F54" s="356" t="s">
        <v>23</v>
      </c>
      <c r="G54" s="53" t="str">
        <f t="shared" si="4"/>
        <v>febrero</v>
      </c>
      <c r="H54" s="457" t="str">
        <f t="shared" si="2"/>
        <v>jueves</v>
      </c>
      <c r="I54" s="475">
        <v>46072.0</v>
      </c>
      <c r="J54" s="502" t="s">
        <v>1864</v>
      </c>
      <c r="K54" s="503" t="s">
        <v>1865</v>
      </c>
      <c r="L54" s="504"/>
      <c r="M54" s="504"/>
      <c r="N54" s="504"/>
      <c r="O54" s="504"/>
      <c r="P54" s="504"/>
      <c r="Q54" s="504"/>
      <c r="R54" s="504"/>
    </row>
    <row r="55">
      <c r="A55" s="53" t="s">
        <v>18</v>
      </c>
      <c r="B55" s="54" t="s">
        <v>1669</v>
      </c>
      <c r="C55" s="53" t="s">
        <v>39</v>
      </c>
      <c r="D55" s="161" t="s">
        <v>267</v>
      </c>
      <c r="E55" s="161" t="s">
        <v>1760</v>
      </c>
      <c r="F55" s="356" t="s">
        <v>23</v>
      </c>
      <c r="G55" s="53" t="str">
        <f t="shared" si="4"/>
        <v>febrero</v>
      </c>
      <c r="H55" s="457" t="str">
        <f t="shared" si="2"/>
        <v>jueves</v>
      </c>
      <c r="I55" s="475">
        <v>46072.0</v>
      </c>
      <c r="J55" s="507" t="s">
        <v>1866</v>
      </c>
      <c r="K55" s="392" t="s">
        <v>1867</v>
      </c>
      <c r="L55" s="392" t="s">
        <v>1868</v>
      </c>
      <c r="M55" s="440" t="s">
        <v>1869</v>
      </c>
      <c r="N55" s="392" t="s">
        <v>1870</v>
      </c>
      <c r="O55" s="392" t="s">
        <v>39</v>
      </c>
      <c r="P55" s="508">
        <v>50.0</v>
      </c>
      <c r="Q55" s="392" t="s">
        <v>1871</v>
      </c>
      <c r="R55" s="504"/>
    </row>
    <row r="56">
      <c r="A56" s="53" t="s">
        <v>18</v>
      </c>
      <c r="B56" s="54" t="s">
        <v>1669</v>
      </c>
      <c r="C56" s="53" t="s">
        <v>29</v>
      </c>
      <c r="D56" s="161" t="s">
        <v>1774</v>
      </c>
      <c r="E56" s="161" t="s">
        <v>1760</v>
      </c>
      <c r="F56" s="356" t="s">
        <v>23</v>
      </c>
      <c r="G56" s="53" t="str">
        <f t="shared" si="4"/>
        <v>febrero</v>
      </c>
      <c r="H56" s="457" t="str">
        <f t="shared" si="2"/>
        <v>jueves</v>
      </c>
      <c r="I56" s="475">
        <v>46072.0</v>
      </c>
      <c r="J56" s="509"/>
      <c r="K56" s="504"/>
      <c r="L56" s="504"/>
      <c r="M56" s="504"/>
      <c r="N56" s="504"/>
      <c r="O56" s="504"/>
      <c r="P56" s="504"/>
      <c r="Q56" s="504"/>
      <c r="R56" s="504"/>
    </row>
    <row r="57">
      <c r="A57" s="53" t="s">
        <v>18</v>
      </c>
      <c r="B57" s="54" t="s">
        <v>1669</v>
      </c>
      <c r="C57" s="53" t="s">
        <v>27</v>
      </c>
      <c r="D57" s="161" t="s">
        <v>1774</v>
      </c>
      <c r="E57" s="161" t="s">
        <v>1760</v>
      </c>
      <c r="F57" s="356" t="s">
        <v>23</v>
      </c>
      <c r="G57" s="53" t="str">
        <f t="shared" si="4"/>
        <v>febrero</v>
      </c>
      <c r="H57" s="457" t="str">
        <f t="shared" si="2"/>
        <v>jueves</v>
      </c>
      <c r="I57" s="475">
        <v>46072.0</v>
      </c>
      <c r="J57" s="509"/>
      <c r="K57" s="504"/>
      <c r="L57" s="504"/>
      <c r="M57" s="504"/>
      <c r="N57" s="504"/>
      <c r="O57" s="504"/>
      <c r="P57" s="504"/>
      <c r="Q57" s="504"/>
      <c r="R57" s="504"/>
    </row>
    <row r="58">
      <c r="A58" s="53" t="s">
        <v>18</v>
      </c>
      <c r="B58" s="54" t="s">
        <v>1669</v>
      </c>
      <c r="C58" s="53" t="s">
        <v>20</v>
      </c>
      <c r="D58" s="161" t="s">
        <v>224</v>
      </c>
      <c r="E58" s="161" t="s">
        <v>1760</v>
      </c>
      <c r="F58" s="356" t="s">
        <v>23</v>
      </c>
      <c r="G58" s="53" t="str">
        <f t="shared" si="4"/>
        <v>febrero</v>
      </c>
      <c r="H58" s="457" t="str">
        <f t="shared" si="2"/>
        <v>jueves</v>
      </c>
      <c r="I58" s="475">
        <v>46072.0</v>
      </c>
      <c r="J58" s="509"/>
      <c r="K58" s="504"/>
      <c r="L58" s="504"/>
      <c r="M58" s="504"/>
      <c r="N58" s="504"/>
      <c r="O58" s="504"/>
      <c r="P58" s="504"/>
      <c r="Q58" s="504"/>
      <c r="R58" s="504"/>
    </row>
    <row r="59">
      <c r="A59" s="53" t="s">
        <v>18</v>
      </c>
      <c r="B59" s="54" t="s">
        <v>1669</v>
      </c>
      <c r="C59" s="53" t="s">
        <v>39</v>
      </c>
      <c r="D59" s="161" t="s">
        <v>224</v>
      </c>
      <c r="E59" s="161" t="s">
        <v>1760</v>
      </c>
      <c r="F59" s="356" t="s">
        <v>23</v>
      </c>
      <c r="G59" s="53" t="str">
        <f t="shared" si="4"/>
        <v>febrero</v>
      </c>
      <c r="H59" s="457" t="str">
        <f t="shared" si="2"/>
        <v>jueves</v>
      </c>
      <c r="I59" s="475">
        <v>46072.0</v>
      </c>
      <c r="J59" s="509"/>
      <c r="K59" s="504"/>
      <c r="L59" s="504"/>
      <c r="M59" s="504"/>
      <c r="N59" s="504"/>
      <c r="O59" s="504"/>
      <c r="P59" s="504"/>
      <c r="Q59" s="504"/>
      <c r="R59" s="504"/>
    </row>
    <row r="60">
      <c r="A60" s="53" t="s">
        <v>18</v>
      </c>
      <c r="B60" s="54" t="s">
        <v>1669</v>
      </c>
      <c r="C60" s="53" t="s">
        <v>29</v>
      </c>
      <c r="D60" s="161" t="s">
        <v>119</v>
      </c>
      <c r="E60" s="161" t="s">
        <v>1760</v>
      </c>
      <c r="F60" s="356" t="s">
        <v>23</v>
      </c>
      <c r="G60" s="53" t="str">
        <f t="shared" si="4"/>
        <v>febrero</v>
      </c>
      <c r="H60" s="457" t="str">
        <f t="shared" si="2"/>
        <v>jueves</v>
      </c>
      <c r="I60" s="475">
        <v>46072.0</v>
      </c>
      <c r="J60" s="504"/>
      <c r="K60" s="504"/>
      <c r="L60" s="504"/>
      <c r="M60" s="504"/>
      <c r="N60" s="504"/>
      <c r="O60" s="504"/>
      <c r="P60" s="504"/>
      <c r="Q60" s="504"/>
      <c r="R60" s="504"/>
    </row>
    <row r="61">
      <c r="A61" s="53" t="s">
        <v>18</v>
      </c>
      <c r="B61" s="54" t="s">
        <v>1669</v>
      </c>
      <c r="C61" s="53" t="s">
        <v>27</v>
      </c>
      <c r="D61" s="161" t="s">
        <v>119</v>
      </c>
      <c r="E61" s="161" t="s">
        <v>1760</v>
      </c>
      <c r="F61" s="356" t="s">
        <v>23</v>
      </c>
      <c r="G61" s="53" t="str">
        <f t="shared" si="4"/>
        <v>febrero</v>
      </c>
      <c r="H61" s="457" t="str">
        <f t="shared" si="2"/>
        <v>jueves</v>
      </c>
      <c r="I61" s="475">
        <v>46072.0</v>
      </c>
      <c r="J61" s="504"/>
      <c r="K61" s="504"/>
      <c r="L61" s="504"/>
      <c r="M61" s="504"/>
      <c r="N61" s="504"/>
      <c r="O61" s="504"/>
      <c r="P61" s="504"/>
      <c r="Q61" s="504"/>
      <c r="R61" s="504"/>
    </row>
    <row r="62">
      <c r="A62" s="53" t="s">
        <v>18</v>
      </c>
      <c r="B62" s="54" t="s">
        <v>1669</v>
      </c>
      <c r="C62" s="53"/>
      <c r="D62" s="476"/>
      <c r="E62" s="161"/>
      <c r="F62" s="356" t="s">
        <v>23</v>
      </c>
      <c r="G62" s="53" t="str">
        <f t="shared" si="4"/>
        <v>febrero</v>
      </c>
      <c r="H62" s="457" t="str">
        <f t="shared" si="2"/>
        <v>viernes</v>
      </c>
      <c r="I62" s="475">
        <v>46073.0</v>
      </c>
      <c r="J62" s="504"/>
      <c r="K62" s="504"/>
      <c r="L62" s="504"/>
      <c r="M62" s="504"/>
      <c r="N62" s="504"/>
      <c r="O62" s="504"/>
      <c r="P62" s="504"/>
      <c r="Q62" s="504"/>
      <c r="R62" s="504"/>
    </row>
    <row r="63">
      <c r="A63" s="53" t="s">
        <v>18</v>
      </c>
      <c r="B63" s="54" t="s">
        <v>1669</v>
      </c>
      <c r="C63" s="53" t="s">
        <v>20</v>
      </c>
      <c r="D63" s="161" t="s">
        <v>267</v>
      </c>
      <c r="E63" s="161" t="s">
        <v>1760</v>
      </c>
      <c r="F63" s="356" t="s">
        <v>23</v>
      </c>
      <c r="G63" s="53" t="str">
        <f t="shared" si="4"/>
        <v>febrero</v>
      </c>
      <c r="H63" s="457" t="str">
        <f t="shared" si="2"/>
        <v>sábado</v>
      </c>
      <c r="I63" s="475">
        <v>46074.0</v>
      </c>
      <c r="J63" s="504"/>
      <c r="K63" s="504"/>
      <c r="L63" s="504"/>
      <c r="M63" s="504"/>
      <c r="N63" s="504"/>
      <c r="O63" s="504"/>
      <c r="P63" s="504"/>
      <c r="Q63" s="504"/>
      <c r="R63" s="504"/>
    </row>
    <row r="64">
      <c r="A64" s="53" t="s">
        <v>18</v>
      </c>
      <c r="B64" s="54" t="s">
        <v>1669</v>
      </c>
      <c r="C64" s="53" t="s">
        <v>20</v>
      </c>
      <c r="D64" s="161" t="s">
        <v>224</v>
      </c>
      <c r="E64" s="161" t="s">
        <v>1760</v>
      </c>
      <c r="F64" s="356" t="s">
        <v>23</v>
      </c>
      <c r="G64" s="53" t="str">
        <f t="shared" si="4"/>
        <v>febrero</v>
      </c>
      <c r="H64" s="457" t="str">
        <f t="shared" si="2"/>
        <v>sábado</v>
      </c>
      <c r="I64" s="475">
        <v>46074.0</v>
      </c>
      <c r="J64" s="504"/>
      <c r="K64" s="504"/>
      <c r="L64" s="504"/>
      <c r="M64" s="504"/>
      <c r="N64" s="504"/>
      <c r="O64" s="504"/>
      <c r="P64" s="504"/>
      <c r="Q64" s="504"/>
      <c r="R64" s="504"/>
    </row>
    <row r="65">
      <c r="A65" s="53" t="s">
        <v>18</v>
      </c>
      <c r="B65" s="54" t="s">
        <v>1669</v>
      </c>
      <c r="C65" s="53" t="s">
        <v>27</v>
      </c>
      <c r="D65" s="161" t="s">
        <v>267</v>
      </c>
      <c r="E65" s="161" t="s">
        <v>1760</v>
      </c>
      <c r="F65" s="356" t="s">
        <v>23</v>
      </c>
      <c r="G65" s="53" t="str">
        <f t="shared" si="4"/>
        <v>febrero</v>
      </c>
      <c r="H65" s="457" t="str">
        <f t="shared" si="2"/>
        <v>sábado</v>
      </c>
      <c r="I65" s="475">
        <v>46074.0</v>
      </c>
      <c r="J65" s="504"/>
      <c r="K65" s="504"/>
      <c r="L65" s="504"/>
      <c r="M65" s="504"/>
      <c r="N65" s="504"/>
      <c r="O65" s="504"/>
      <c r="P65" s="504"/>
      <c r="Q65" s="504"/>
      <c r="R65" s="504"/>
    </row>
    <row r="66">
      <c r="A66" s="53" t="s">
        <v>18</v>
      </c>
      <c r="B66" s="54" t="s">
        <v>1669</v>
      </c>
      <c r="C66" s="53" t="s">
        <v>27</v>
      </c>
      <c r="D66" s="161" t="s">
        <v>224</v>
      </c>
      <c r="E66" s="161" t="s">
        <v>1760</v>
      </c>
      <c r="F66" s="356" t="s">
        <v>23</v>
      </c>
      <c r="G66" s="53" t="str">
        <f t="shared" si="4"/>
        <v>febrero</v>
      </c>
      <c r="H66" s="457" t="str">
        <f t="shared" si="2"/>
        <v>sábado</v>
      </c>
      <c r="I66" s="475">
        <v>46074.0</v>
      </c>
      <c r="J66" s="504"/>
      <c r="K66" s="504"/>
      <c r="L66" s="504"/>
      <c r="M66" s="504"/>
      <c r="N66" s="504"/>
      <c r="O66" s="504"/>
      <c r="P66" s="504"/>
      <c r="Q66" s="504"/>
      <c r="R66" s="504"/>
    </row>
    <row r="67">
      <c r="A67" s="53" t="s">
        <v>18</v>
      </c>
      <c r="B67" s="54" t="s">
        <v>1669</v>
      </c>
      <c r="C67" s="53" t="s">
        <v>39</v>
      </c>
      <c r="D67" s="161" t="s">
        <v>1774</v>
      </c>
      <c r="E67" s="161" t="s">
        <v>1760</v>
      </c>
      <c r="F67" s="356" t="s">
        <v>23</v>
      </c>
      <c r="G67" s="53" t="str">
        <f t="shared" si="4"/>
        <v>febrero</v>
      </c>
      <c r="H67" s="457" t="str">
        <f t="shared" si="2"/>
        <v>sábado</v>
      </c>
      <c r="I67" s="475">
        <v>46074.0</v>
      </c>
      <c r="J67" s="504"/>
      <c r="K67" s="504"/>
      <c r="L67" s="504"/>
      <c r="M67" s="504"/>
      <c r="N67" s="504"/>
      <c r="O67" s="504"/>
      <c r="P67" s="504"/>
      <c r="Q67" s="504"/>
      <c r="R67" s="504"/>
    </row>
    <row r="68">
      <c r="A68" s="53" t="s">
        <v>18</v>
      </c>
      <c r="B68" s="54" t="s">
        <v>1669</v>
      </c>
      <c r="C68" s="53" t="s">
        <v>39</v>
      </c>
      <c r="D68" s="161" t="s">
        <v>119</v>
      </c>
      <c r="E68" s="161" t="s">
        <v>1760</v>
      </c>
      <c r="F68" s="356" t="s">
        <v>23</v>
      </c>
      <c r="G68" s="53" t="str">
        <f t="shared" si="4"/>
        <v>febrero</v>
      </c>
      <c r="H68" s="457" t="str">
        <f t="shared" si="2"/>
        <v>sábado</v>
      </c>
      <c r="I68" s="475">
        <v>46074.0</v>
      </c>
      <c r="J68" s="504"/>
      <c r="K68" s="504"/>
      <c r="L68" s="504"/>
      <c r="M68" s="504"/>
      <c r="N68" s="504"/>
      <c r="O68" s="504"/>
      <c r="P68" s="504"/>
      <c r="Q68" s="504"/>
      <c r="R68" s="504"/>
    </row>
    <row r="69">
      <c r="A69" s="53" t="s">
        <v>18</v>
      </c>
      <c r="B69" s="54" t="s">
        <v>1669</v>
      </c>
      <c r="C69" s="53" t="s">
        <v>29</v>
      </c>
      <c r="D69" s="161" t="s">
        <v>1774</v>
      </c>
      <c r="E69" s="161" t="s">
        <v>1760</v>
      </c>
      <c r="F69" s="356" t="s">
        <v>23</v>
      </c>
      <c r="G69" s="53" t="str">
        <f t="shared" si="4"/>
        <v>febrero</v>
      </c>
      <c r="H69" s="457" t="str">
        <f t="shared" si="2"/>
        <v>sábado</v>
      </c>
      <c r="I69" s="475">
        <v>46074.0</v>
      </c>
      <c r="J69" s="504"/>
      <c r="K69" s="504"/>
      <c r="L69" s="504"/>
      <c r="M69" s="504"/>
      <c r="N69" s="504"/>
      <c r="O69" s="504"/>
      <c r="P69" s="504"/>
      <c r="Q69" s="504"/>
      <c r="R69" s="504"/>
    </row>
    <row r="70">
      <c r="A70" s="53" t="s">
        <v>18</v>
      </c>
      <c r="B70" s="54" t="s">
        <v>1669</v>
      </c>
      <c r="C70" s="53" t="s">
        <v>29</v>
      </c>
      <c r="D70" s="161" t="s">
        <v>119</v>
      </c>
      <c r="E70" s="161" t="s">
        <v>1760</v>
      </c>
      <c r="F70" s="356" t="s">
        <v>23</v>
      </c>
      <c r="G70" s="53" t="str">
        <f t="shared" si="4"/>
        <v>febrero</v>
      </c>
      <c r="H70" s="457" t="str">
        <f t="shared" si="2"/>
        <v>sábado</v>
      </c>
      <c r="I70" s="475">
        <v>46074.0</v>
      </c>
      <c r="J70" s="504"/>
      <c r="K70" s="504"/>
      <c r="L70" s="504"/>
      <c r="M70" s="504"/>
      <c r="N70" s="504"/>
      <c r="O70" s="504"/>
      <c r="P70" s="504"/>
      <c r="Q70" s="504"/>
      <c r="R70" s="504"/>
    </row>
    <row r="71">
      <c r="A71" s="53" t="s">
        <v>18</v>
      </c>
      <c r="B71" s="54" t="s">
        <v>1669</v>
      </c>
      <c r="C71" s="53"/>
      <c r="D71" s="476"/>
      <c r="E71" s="161"/>
      <c r="F71" s="356" t="s">
        <v>23</v>
      </c>
      <c r="G71" s="53" t="str">
        <f t="shared" si="4"/>
        <v>febrero</v>
      </c>
      <c r="H71" s="457" t="str">
        <f t="shared" si="2"/>
        <v>domingo</v>
      </c>
      <c r="I71" s="475">
        <v>46075.0</v>
      </c>
      <c r="J71" s="504"/>
      <c r="K71" s="504"/>
      <c r="L71" s="504"/>
      <c r="M71" s="504"/>
      <c r="N71" s="504"/>
      <c r="O71" s="504"/>
      <c r="P71" s="504"/>
      <c r="Q71" s="504"/>
      <c r="R71" s="504"/>
    </row>
    <row r="72">
      <c r="A72" s="53" t="s">
        <v>18</v>
      </c>
      <c r="B72" s="54" t="s">
        <v>1669</v>
      </c>
      <c r="C72" s="53" t="s">
        <v>20</v>
      </c>
      <c r="D72" s="161" t="s">
        <v>43</v>
      </c>
      <c r="E72" s="161" t="s">
        <v>1760</v>
      </c>
      <c r="F72" s="356" t="s">
        <v>23</v>
      </c>
      <c r="G72" s="53" t="str">
        <f t="shared" si="4"/>
        <v>febrero</v>
      </c>
      <c r="H72" s="457" t="str">
        <f t="shared" si="2"/>
        <v>martes</v>
      </c>
      <c r="I72" s="475">
        <v>46077.0</v>
      </c>
      <c r="J72" s="504"/>
      <c r="K72" s="504"/>
      <c r="L72" s="504"/>
      <c r="M72" s="504"/>
      <c r="N72" s="504"/>
      <c r="O72" s="504"/>
      <c r="P72" s="504"/>
      <c r="Q72" s="504"/>
      <c r="R72" s="504"/>
    </row>
    <row r="73">
      <c r="A73" s="53" t="s">
        <v>18</v>
      </c>
      <c r="B73" s="54" t="s">
        <v>1669</v>
      </c>
      <c r="C73" s="53" t="s">
        <v>29</v>
      </c>
      <c r="D73" s="161" t="s">
        <v>43</v>
      </c>
      <c r="E73" s="161" t="s">
        <v>1760</v>
      </c>
      <c r="F73" s="356" t="s">
        <v>23</v>
      </c>
      <c r="G73" s="53" t="str">
        <f t="shared" si="4"/>
        <v>febrero</v>
      </c>
      <c r="H73" s="457" t="str">
        <f t="shared" si="2"/>
        <v>martes</v>
      </c>
      <c r="I73" s="475">
        <v>46077.0</v>
      </c>
      <c r="J73" s="504"/>
      <c r="K73" s="504"/>
      <c r="L73" s="504"/>
      <c r="M73" s="504"/>
      <c r="N73" s="504"/>
      <c r="O73" s="504"/>
      <c r="P73" s="504"/>
      <c r="Q73" s="504"/>
      <c r="R73" s="504"/>
    </row>
    <row r="74">
      <c r="A74" s="53" t="s">
        <v>18</v>
      </c>
      <c r="B74" s="54" t="s">
        <v>1669</v>
      </c>
      <c r="C74" s="53" t="s">
        <v>27</v>
      </c>
      <c r="D74" s="161" t="s">
        <v>119</v>
      </c>
      <c r="E74" s="161" t="s">
        <v>1760</v>
      </c>
      <c r="F74" s="356" t="s">
        <v>23</v>
      </c>
      <c r="G74" s="53" t="str">
        <f t="shared" si="4"/>
        <v>febrero</v>
      </c>
      <c r="H74" s="457" t="str">
        <f t="shared" si="2"/>
        <v>martes</v>
      </c>
      <c r="I74" s="475">
        <v>46077.0</v>
      </c>
      <c r="J74" s="504"/>
      <c r="K74" s="504"/>
      <c r="L74" s="504"/>
      <c r="M74" s="504"/>
      <c r="N74" s="504"/>
      <c r="O74" s="504"/>
      <c r="P74" s="504"/>
      <c r="Q74" s="504"/>
      <c r="R74" s="504"/>
    </row>
    <row r="75">
      <c r="A75" s="53" t="s">
        <v>18</v>
      </c>
      <c r="B75" s="54" t="s">
        <v>1669</v>
      </c>
      <c r="C75" s="53" t="s">
        <v>39</v>
      </c>
      <c r="D75" s="161" t="s">
        <v>119</v>
      </c>
      <c r="E75" s="161" t="s">
        <v>1760</v>
      </c>
      <c r="F75" s="356" t="s">
        <v>23</v>
      </c>
      <c r="G75" s="53" t="str">
        <f t="shared" si="4"/>
        <v>febrero</v>
      </c>
      <c r="H75" s="457" t="str">
        <f t="shared" si="2"/>
        <v>martes</v>
      </c>
      <c r="I75" s="475">
        <v>46077.0</v>
      </c>
      <c r="J75" s="504"/>
      <c r="K75" s="504"/>
      <c r="L75" s="504"/>
      <c r="M75" s="504"/>
      <c r="N75" s="504"/>
      <c r="O75" s="504"/>
      <c r="P75" s="504"/>
      <c r="Q75" s="504"/>
      <c r="R75" s="504"/>
    </row>
    <row r="76">
      <c r="A76" s="53" t="s">
        <v>18</v>
      </c>
      <c r="B76" s="54" t="s">
        <v>1669</v>
      </c>
      <c r="C76" s="53"/>
      <c r="D76" s="476"/>
      <c r="E76" s="161"/>
      <c r="F76" s="356" t="s">
        <v>23</v>
      </c>
      <c r="G76" s="53" t="str">
        <f t="shared" si="4"/>
        <v>febrero</v>
      </c>
      <c r="H76" s="457" t="str">
        <f t="shared" si="2"/>
        <v>miércoles</v>
      </c>
      <c r="I76" s="475">
        <v>46078.0</v>
      </c>
      <c r="J76" s="504"/>
      <c r="K76" s="504"/>
      <c r="L76" s="504"/>
      <c r="M76" s="504"/>
      <c r="N76" s="504"/>
      <c r="O76" s="504"/>
      <c r="P76" s="504"/>
      <c r="Q76" s="504"/>
      <c r="R76" s="504"/>
    </row>
    <row r="77">
      <c r="A77" s="53" t="s">
        <v>18</v>
      </c>
      <c r="B77" s="54" t="s">
        <v>1669</v>
      </c>
      <c r="C77" s="53"/>
      <c r="D77" s="476"/>
      <c r="E77" s="161"/>
      <c r="F77" s="356" t="s">
        <v>23</v>
      </c>
      <c r="G77" s="53" t="str">
        <f t="shared" si="4"/>
        <v>febrero</v>
      </c>
      <c r="H77" s="457" t="str">
        <f t="shared" si="2"/>
        <v>jueves</v>
      </c>
      <c r="I77" s="475">
        <v>46079.0</v>
      </c>
      <c r="J77" s="504"/>
      <c r="K77" s="504"/>
      <c r="L77" s="504"/>
      <c r="M77" s="504"/>
      <c r="N77" s="504"/>
      <c r="O77" s="504"/>
      <c r="P77" s="504"/>
      <c r="Q77" s="504"/>
      <c r="R77" s="504"/>
    </row>
    <row r="78">
      <c r="A78" s="53" t="s">
        <v>18</v>
      </c>
      <c r="B78" s="54" t="s">
        <v>1669</v>
      </c>
      <c r="C78" s="53"/>
      <c r="D78" s="476"/>
      <c r="E78" s="161"/>
      <c r="F78" s="356" t="s">
        <v>23</v>
      </c>
      <c r="G78" s="53" t="str">
        <f t="shared" si="4"/>
        <v>marzo</v>
      </c>
      <c r="H78" s="457" t="str">
        <f t="shared" si="2"/>
        <v>domingo</v>
      </c>
      <c r="I78" s="510">
        <v>46082.0</v>
      </c>
      <c r="J78" s="504"/>
      <c r="K78" s="504"/>
      <c r="L78" s="504"/>
      <c r="M78" s="504"/>
      <c r="N78" s="504"/>
      <c r="O78" s="504"/>
      <c r="P78" s="504"/>
      <c r="Q78" s="504"/>
      <c r="R78" s="504"/>
    </row>
    <row r="79">
      <c r="A79" s="53" t="s">
        <v>18</v>
      </c>
      <c r="B79" s="54" t="s">
        <v>1669</v>
      </c>
      <c r="C79" s="53"/>
      <c r="D79" s="476"/>
      <c r="E79" s="161"/>
      <c r="F79" s="356" t="s">
        <v>23</v>
      </c>
      <c r="G79" s="53" t="str">
        <f t="shared" si="4"/>
        <v>marzo</v>
      </c>
      <c r="H79" s="457" t="str">
        <f t="shared" si="2"/>
        <v>martes</v>
      </c>
      <c r="I79" s="510">
        <v>46084.0</v>
      </c>
      <c r="J79" s="504"/>
      <c r="K79" s="504"/>
      <c r="L79" s="504"/>
      <c r="M79" s="504"/>
      <c r="N79" s="504"/>
      <c r="O79" s="504"/>
      <c r="P79" s="504"/>
      <c r="Q79" s="504"/>
      <c r="R79" s="504"/>
    </row>
    <row r="80">
      <c r="A80" s="53" t="s">
        <v>18</v>
      </c>
      <c r="B80" s="54" t="s">
        <v>1669</v>
      </c>
      <c r="C80" s="53"/>
      <c r="D80" s="476"/>
      <c r="E80" s="161"/>
      <c r="F80" s="356" t="s">
        <v>23</v>
      </c>
      <c r="G80" s="53" t="str">
        <f t="shared" si="4"/>
        <v>marzo</v>
      </c>
      <c r="H80" s="457" t="str">
        <f t="shared" si="2"/>
        <v>miércoles</v>
      </c>
      <c r="I80" s="510">
        <v>46085.0</v>
      </c>
      <c r="J80" s="504"/>
      <c r="K80" s="504"/>
      <c r="L80" s="504"/>
      <c r="M80" s="504"/>
      <c r="N80" s="504"/>
      <c r="O80" s="504"/>
      <c r="P80" s="504"/>
      <c r="Q80" s="504"/>
      <c r="R80" s="504"/>
    </row>
    <row r="81">
      <c r="A81" s="53" t="s">
        <v>18</v>
      </c>
      <c r="B81" s="54" t="s">
        <v>1669</v>
      </c>
      <c r="C81" s="53"/>
      <c r="D81" s="476"/>
      <c r="E81" s="161"/>
      <c r="F81" s="356" t="s">
        <v>23</v>
      </c>
      <c r="G81" s="53" t="str">
        <f t="shared" si="4"/>
        <v>marzo</v>
      </c>
      <c r="H81" s="457" t="str">
        <f t="shared" si="2"/>
        <v>jueves</v>
      </c>
      <c r="I81" s="510">
        <v>46086.0</v>
      </c>
      <c r="J81" s="504"/>
      <c r="K81" s="504"/>
      <c r="L81" s="504"/>
      <c r="M81" s="504"/>
      <c r="N81" s="504"/>
      <c r="O81" s="504"/>
      <c r="P81" s="504"/>
      <c r="Q81" s="504"/>
      <c r="R81" s="504"/>
    </row>
    <row r="98">
      <c r="H98" s="511"/>
    </row>
  </sheetData>
  <dataValidations>
    <dataValidation type="list" allowBlank="1" showErrorMessage="1" sqref="A2:A81">
      <formula1>"NORTE,SUR"</formula1>
    </dataValidation>
    <dataValidation type="list" allowBlank="1" showErrorMessage="1" sqref="F2:F81">
      <formula1>"AFINIDAD,POLITICO COMUNITARIA,LIBERTAD RELIGIOSA"</formula1>
    </dataValidation>
    <dataValidation type="list" allowBlank="1" showErrorMessage="1" sqref="D2:D41 D62 D71 D76:D81">
      <formula1>"11:00AM,2:00 PM,3:00 PM,9:00 AM,10:00 AM,8:30 AM,3:30 PM,7:30 PM,12:30 M,6:30 PM,9:30 AM,5:00 PM,7:00 AM,6:00 PM"</formula1>
    </dataValidation>
    <dataValidation type="list" allowBlank="1" showErrorMessage="1" sqref="D42:D61 D63:D70 D72:D75">
      <formula1>"11:00AM,2:00 PM,3:00 PM,9:00 AM,10:00 AM,8:30 AM,3:30 PM,7:30 PM,12:30 M,6:30 PM,9:30 AM,5:00 PM,7:00 AM,6:00 PM,11:30 AM"</formula1>
    </dataValidation>
    <dataValidation type="list" allowBlank="1" showErrorMessage="1" sqref="C2:C81">
      <formula1>"Kennedy Central,Carvajal,Class,Patio Bonito,N/A"</formula1>
    </dataValidation>
    <dataValidation type="list" allowBlank="1" showErrorMessage="1" sqref="E2:E81">
      <formula1>"ALABANZA,ESTUDIO BIBLICO,ALABANNZA,ENSEÑANZA,TERRITORIO,VOLANTEO,MICROREUNIÓN"</formula1>
    </dataValidation>
  </dataValidations>
  <hyperlinks>
    <hyperlink r:id="rId1" ref="M6"/>
    <hyperlink r:id="rId2" ref="N6"/>
    <hyperlink r:id="rId3" ref="M8"/>
    <hyperlink r:id="rId4" ref="N8"/>
    <hyperlink r:id="rId5" ref="N10"/>
    <hyperlink r:id="rId6" ref="M11"/>
    <hyperlink r:id="rId7" ref="N11"/>
    <hyperlink r:id="rId8" ref="M17"/>
    <hyperlink r:id="rId9" ref="N17"/>
    <hyperlink r:id="rId10" ref="M19"/>
    <hyperlink r:id="rId11" ref="M20"/>
    <hyperlink r:id="rId12" ref="M21"/>
    <hyperlink r:id="rId13" ref="M22"/>
    <hyperlink r:id="rId14" ref="M23"/>
    <hyperlink r:id="rId15" ref="M24"/>
    <hyperlink r:id="rId16" ref="M25"/>
    <hyperlink r:id="rId17" ref="M26"/>
    <hyperlink r:id="rId18" ref="M29"/>
    <hyperlink r:id="rId19" ref="M30"/>
    <hyperlink r:id="rId20" ref="M32"/>
    <hyperlink r:id="rId21" ref="M43"/>
    <hyperlink r:id="rId22" ref="M44"/>
    <hyperlink r:id="rId23" ref="M47"/>
    <hyperlink r:id="rId24" ref="M48"/>
    <hyperlink r:id="rId25" ref="M55"/>
  </hyperlinks>
  <drawing r:id="rId2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5.0"/>
    <col customWidth="1" min="20" max="20" width="37.75"/>
    <col customWidth="1" min="21" max="40" width="3.63"/>
    <col customWidth="1" min="41" max="41" width="5.88"/>
    <col customWidth="1" min="42" max="47" width="5.25"/>
  </cols>
  <sheetData>
    <row r="1">
      <c r="A1" s="512"/>
      <c r="B1" s="512" t="s">
        <v>1872</v>
      </c>
      <c r="C1" s="512" t="s">
        <v>1873</v>
      </c>
      <c r="D1" s="512" t="s">
        <v>1874</v>
      </c>
      <c r="E1" s="512" t="s">
        <v>1875</v>
      </c>
      <c r="F1" s="512" t="s">
        <v>1876</v>
      </c>
      <c r="G1" s="512" t="s">
        <v>1877</v>
      </c>
    </row>
    <row r="2">
      <c r="A2" s="513"/>
      <c r="B2" s="513" t="s">
        <v>20</v>
      </c>
      <c r="C2" s="513">
        <v>960.0</v>
      </c>
      <c r="D2" s="513">
        <v>417.0</v>
      </c>
      <c r="E2" s="513">
        <v>293.0</v>
      </c>
      <c r="F2" s="513">
        <v>134.0</v>
      </c>
      <c r="G2" s="513">
        <v>75.0</v>
      </c>
      <c r="H2" s="514">
        <f t="shared" ref="H2:H7" si="1">G2+F2+E2</f>
        <v>502</v>
      </c>
      <c r="I2" s="515">
        <f t="shared" ref="I2:I7" si="2">H2*60%</f>
        <v>301.2</v>
      </c>
      <c r="J2" s="515">
        <f t="shared" ref="J2:J7" si="3">I2+H2</f>
        <v>803.2</v>
      </c>
      <c r="K2" s="515">
        <f t="shared" ref="K2:K8" si="4">C2*75%</f>
        <v>720</v>
      </c>
      <c r="T2" s="504"/>
      <c r="U2" s="516" t="s">
        <v>363</v>
      </c>
      <c r="V2" s="517"/>
      <c r="W2" s="517"/>
      <c r="X2" s="517"/>
      <c r="Y2" s="517"/>
      <c r="Z2" s="517"/>
      <c r="AA2" s="517"/>
      <c r="AB2" s="517"/>
      <c r="AC2" s="517"/>
      <c r="AD2" s="517"/>
      <c r="AE2" s="517"/>
      <c r="AF2" s="517"/>
      <c r="AG2" s="517"/>
      <c r="AH2" s="517"/>
      <c r="AI2" s="517"/>
      <c r="AJ2" s="517"/>
      <c r="AK2" s="517"/>
      <c r="AL2" s="517"/>
      <c r="AM2" s="517"/>
      <c r="AN2" s="518"/>
      <c r="AO2" s="519" t="s">
        <v>450</v>
      </c>
    </row>
    <row r="3">
      <c r="A3" s="513"/>
      <c r="B3" s="513" t="s">
        <v>39</v>
      </c>
      <c r="C3" s="513">
        <v>492.0</v>
      </c>
      <c r="D3" s="513">
        <v>192.0</v>
      </c>
      <c r="E3" s="513">
        <v>149.0</v>
      </c>
      <c r="F3" s="513">
        <v>56.0</v>
      </c>
      <c r="G3" s="513">
        <v>48.0</v>
      </c>
      <c r="H3" s="514">
        <f t="shared" si="1"/>
        <v>253</v>
      </c>
      <c r="I3" s="515">
        <f t="shared" si="2"/>
        <v>151.8</v>
      </c>
      <c r="J3" s="515">
        <f t="shared" si="3"/>
        <v>404.8</v>
      </c>
      <c r="K3" s="515">
        <f t="shared" si="4"/>
        <v>369</v>
      </c>
      <c r="T3" s="520" t="s">
        <v>1878</v>
      </c>
      <c r="U3" s="521">
        <v>9.0</v>
      </c>
      <c r="V3" s="521">
        <v>10.0</v>
      </c>
      <c r="W3" s="521">
        <v>11.0</v>
      </c>
      <c r="X3" s="521">
        <v>12.0</v>
      </c>
      <c r="Y3" s="521">
        <v>13.0</v>
      </c>
      <c r="Z3" s="521">
        <v>14.0</v>
      </c>
      <c r="AA3" s="521">
        <v>15.0</v>
      </c>
      <c r="AB3" s="521">
        <v>16.0</v>
      </c>
      <c r="AC3" s="521">
        <v>17.0</v>
      </c>
      <c r="AD3" s="521">
        <v>18.0</v>
      </c>
      <c r="AE3" s="521">
        <v>19.0</v>
      </c>
      <c r="AF3" s="521">
        <v>20.0</v>
      </c>
      <c r="AG3" s="521">
        <v>21.0</v>
      </c>
      <c r="AH3" s="521">
        <v>22.0</v>
      </c>
      <c r="AI3" s="521">
        <v>23.0</v>
      </c>
      <c r="AJ3" s="521">
        <v>24.0</v>
      </c>
      <c r="AK3" s="521">
        <v>25.0</v>
      </c>
      <c r="AL3" s="521">
        <v>26.0</v>
      </c>
      <c r="AM3" s="521">
        <v>27.0</v>
      </c>
      <c r="AN3" s="521">
        <v>28.0</v>
      </c>
      <c r="AO3" s="522">
        <v>1.0</v>
      </c>
    </row>
    <row r="4">
      <c r="A4" s="513"/>
      <c r="B4" s="513" t="s">
        <v>1879</v>
      </c>
      <c r="C4" s="513">
        <v>235.0</v>
      </c>
      <c r="D4" s="513">
        <v>79.0</v>
      </c>
      <c r="E4" s="513">
        <v>53.0</v>
      </c>
      <c r="F4" s="513">
        <v>42.0</v>
      </c>
      <c r="G4" s="513">
        <v>55.0</v>
      </c>
      <c r="H4" s="514">
        <f t="shared" si="1"/>
        <v>150</v>
      </c>
      <c r="I4" s="515">
        <f t="shared" si="2"/>
        <v>90</v>
      </c>
      <c r="J4" s="515">
        <f t="shared" si="3"/>
        <v>240</v>
      </c>
      <c r="K4" s="515">
        <f t="shared" si="4"/>
        <v>176.25</v>
      </c>
      <c r="T4" s="506" t="s">
        <v>1880</v>
      </c>
      <c r="U4" s="523"/>
      <c r="V4" s="523"/>
      <c r="W4" s="523"/>
      <c r="X4" s="523"/>
      <c r="Y4" s="523"/>
      <c r="Z4" s="523"/>
      <c r="AA4" s="523"/>
      <c r="AB4" s="523"/>
      <c r="AC4" s="523"/>
      <c r="AD4" s="523"/>
      <c r="AE4" s="523"/>
      <c r="AF4" s="523"/>
      <c r="AG4" s="523"/>
      <c r="AH4" s="523"/>
      <c r="AI4" s="504"/>
      <c r="AJ4" s="504"/>
      <c r="AK4" s="504"/>
      <c r="AL4" s="504"/>
      <c r="AM4" s="504"/>
      <c r="AN4" s="504"/>
      <c r="AO4" s="504"/>
    </row>
    <row r="5">
      <c r="A5" s="513"/>
      <c r="B5" s="513" t="s">
        <v>29</v>
      </c>
      <c r="C5" s="513">
        <v>511.0</v>
      </c>
      <c r="D5" s="513">
        <v>272.0</v>
      </c>
      <c r="E5" s="513">
        <v>104.0</v>
      </c>
      <c r="F5" s="513">
        <v>48.0</v>
      </c>
      <c r="G5" s="513">
        <v>51.0</v>
      </c>
      <c r="H5" s="514">
        <f t="shared" si="1"/>
        <v>203</v>
      </c>
      <c r="I5" s="515">
        <f t="shared" si="2"/>
        <v>121.8</v>
      </c>
      <c r="J5" s="515">
        <f t="shared" si="3"/>
        <v>324.8</v>
      </c>
      <c r="K5" s="515">
        <f t="shared" si="4"/>
        <v>383.25</v>
      </c>
      <c r="T5" s="506" t="s">
        <v>1881</v>
      </c>
      <c r="U5" s="504"/>
      <c r="V5" s="504"/>
      <c r="W5" s="504"/>
      <c r="X5" s="504"/>
      <c r="Y5" s="504"/>
      <c r="Z5" s="504"/>
      <c r="AA5" s="504"/>
      <c r="AB5" s="524"/>
      <c r="AC5" s="504"/>
      <c r="AD5" s="504"/>
      <c r="AE5" s="504"/>
      <c r="AF5" s="504"/>
      <c r="AG5" s="504"/>
      <c r="AH5" s="504"/>
      <c r="AI5" s="504"/>
      <c r="AJ5" s="504"/>
      <c r="AK5" s="504"/>
      <c r="AL5" s="504"/>
      <c r="AM5" s="504"/>
      <c r="AN5" s="524"/>
      <c r="AO5" s="524"/>
    </row>
    <row r="6">
      <c r="A6" s="513"/>
      <c r="B6" s="513" t="s">
        <v>1882</v>
      </c>
      <c r="C6" s="396">
        <v>1080.0</v>
      </c>
      <c r="D6" s="513">
        <v>594.0</v>
      </c>
      <c r="E6" s="513">
        <v>225.0</v>
      </c>
      <c r="F6" s="513">
        <v>115.0</v>
      </c>
      <c r="G6" s="513">
        <v>97.0</v>
      </c>
      <c r="H6" s="514">
        <f t="shared" si="1"/>
        <v>437</v>
      </c>
      <c r="I6" s="515">
        <f t="shared" si="2"/>
        <v>262.2</v>
      </c>
      <c r="J6" s="515">
        <f t="shared" si="3"/>
        <v>699.2</v>
      </c>
      <c r="K6" s="515">
        <f t="shared" si="4"/>
        <v>810</v>
      </c>
      <c r="T6" s="506" t="s">
        <v>1883</v>
      </c>
      <c r="U6" s="504"/>
      <c r="V6" s="504"/>
      <c r="W6" s="504"/>
      <c r="X6" s="504"/>
      <c r="Y6" s="504"/>
      <c r="Z6" s="504"/>
      <c r="AA6" s="504"/>
      <c r="AB6" s="504"/>
      <c r="AC6" s="504"/>
      <c r="AD6" s="504"/>
      <c r="AE6" s="504"/>
      <c r="AF6" s="504"/>
      <c r="AG6" s="504"/>
      <c r="AH6" s="504"/>
      <c r="AI6" s="504"/>
      <c r="AJ6" s="504"/>
      <c r="AK6" s="504"/>
      <c r="AL6" s="504"/>
      <c r="AM6" s="524"/>
      <c r="AN6" s="504"/>
      <c r="AO6" s="504"/>
    </row>
    <row r="7">
      <c r="A7" s="513"/>
      <c r="B7" s="513" t="s">
        <v>1884</v>
      </c>
      <c r="C7" s="396">
        <v>849.0</v>
      </c>
      <c r="D7" s="513">
        <v>323.0</v>
      </c>
      <c r="E7" s="513">
        <v>228.0</v>
      </c>
      <c r="F7" s="513">
        <v>104.0</v>
      </c>
      <c r="G7" s="513">
        <v>105.0</v>
      </c>
      <c r="H7" s="514">
        <f t="shared" si="1"/>
        <v>437</v>
      </c>
      <c r="I7" s="515">
        <f t="shared" si="2"/>
        <v>262.2</v>
      </c>
      <c r="J7" s="515">
        <f t="shared" si="3"/>
        <v>699.2</v>
      </c>
      <c r="K7" s="515">
        <f t="shared" si="4"/>
        <v>636.75</v>
      </c>
      <c r="T7" s="506" t="s">
        <v>1885</v>
      </c>
      <c r="U7" s="504"/>
      <c r="V7" s="504"/>
      <c r="W7" s="504"/>
      <c r="X7" s="504"/>
      <c r="Y7" s="504"/>
      <c r="Z7" s="504"/>
      <c r="AA7" s="504"/>
      <c r="AB7" s="504"/>
      <c r="AC7" s="504"/>
      <c r="AD7" s="504"/>
      <c r="AE7" s="504"/>
      <c r="AF7" s="504"/>
      <c r="AG7" s="504"/>
      <c r="AH7" s="504"/>
      <c r="AI7" s="504"/>
      <c r="AJ7" s="504"/>
      <c r="AK7" s="504"/>
      <c r="AL7" s="504"/>
      <c r="AM7" s="524"/>
      <c r="AN7" s="504"/>
      <c r="AO7" s="504"/>
    </row>
    <row r="8">
      <c r="A8" s="525"/>
      <c r="B8" s="525" t="s">
        <v>1886</v>
      </c>
      <c r="C8" s="526">
        <f>SUM(C2:C7)</f>
        <v>4127</v>
      </c>
      <c r="D8" s="526">
        <v>1877.0</v>
      </c>
      <c r="E8" s="526">
        <v>1052.0</v>
      </c>
      <c r="F8" s="525">
        <v>499.0</v>
      </c>
      <c r="G8" s="525">
        <v>431.0</v>
      </c>
      <c r="H8" s="514">
        <f t="shared" ref="H8:J8" si="5">SUM(H2:H7)</f>
        <v>1982</v>
      </c>
      <c r="I8" s="515">
        <f t="shared" si="5"/>
        <v>1189.2</v>
      </c>
      <c r="J8" s="515">
        <f t="shared" si="5"/>
        <v>3171.2</v>
      </c>
      <c r="K8" s="515">
        <f t="shared" si="4"/>
        <v>3095.25</v>
      </c>
      <c r="T8" s="506" t="s">
        <v>1887</v>
      </c>
      <c r="U8" s="504"/>
      <c r="V8" s="504"/>
      <c r="W8" s="504"/>
      <c r="X8" s="504"/>
      <c r="Y8" s="504"/>
      <c r="Z8" s="504"/>
      <c r="AA8" s="504"/>
      <c r="AB8" s="504"/>
      <c r="AC8" s="504"/>
      <c r="AD8" s="504"/>
      <c r="AE8" s="504"/>
      <c r="AF8" s="504"/>
      <c r="AG8" s="504"/>
      <c r="AH8" s="504"/>
      <c r="AI8" s="504"/>
      <c r="AJ8" s="504"/>
      <c r="AK8" s="504"/>
      <c r="AL8" s="504"/>
      <c r="AM8" s="524"/>
      <c r="AN8" s="504"/>
      <c r="AO8" s="504"/>
    </row>
    <row r="9">
      <c r="T9" s="506" t="s">
        <v>1888</v>
      </c>
      <c r="U9" s="504"/>
      <c r="V9" s="504"/>
      <c r="W9" s="504"/>
      <c r="X9" s="504"/>
      <c r="Y9" s="504"/>
      <c r="Z9" s="504"/>
      <c r="AA9" s="504"/>
      <c r="AB9" s="504"/>
      <c r="AC9" s="504"/>
      <c r="AD9" s="504"/>
      <c r="AE9" s="504"/>
      <c r="AF9" s="504"/>
      <c r="AG9" s="504"/>
      <c r="AH9" s="504"/>
      <c r="AI9" s="504"/>
      <c r="AJ9" s="504"/>
      <c r="AK9" s="504"/>
      <c r="AL9" s="524"/>
      <c r="AM9" s="504"/>
      <c r="AN9" s="504"/>
      <c r="AO9" s="504"/>
    </row>
    <row r="10">
      <c r="T10" s="506" t="s">
        <v>1889</v>
      </c>
      <c r="U10" s="504"/>
      <c r="V10" s="504"/>
      <c r="W10" s="504"/>
      <c r="X10" s="504"/>
      <c r="Y10" s="504"/>
      <c r="Z10" s="504"/>
      <c r="AA10" s="504"/>
      <c r="AB10" s="504"/>
      <c r="AC10" s="504"/>
      <c r="AD10" s="504"/>
      <c r="AE10" s="504"/>
      <c r="AF10" s="504"/>
      <c r="AG10" s="504"/>
      <c r="AH10" s="504"/>
      <c r="AI10" s="504"/>
      <c r="AJ10" s="504"/>
      <c r="AK10" s="504"/>
      <c r="AL10" s="504"/>
      <c r="AM10" s="504"/>
      <c r="AN10" s="504"/>
      <c r="AO10" s="524"/>
    </row>
    <row r="12">
      <c r="A12" s="527"/>
      <c r="B12" s="527"/>
      <c r="C12" s="527"/>
      <c r="D12" s="527"/>
      <c r="E12" s="527"/>
      <c r="F12" s="527"/>
      <c r="G12" s="527"/>
      <c r="H12" s="527"/>
      <c r="I12" s="527"/>
      <c r="J12" s="527"/>
      <c r="K12" s="527"/>
    </row>
    <row r="13">
      <c r="A13" s="527"/>
      <c r="B13" s="527"/>
      <c r="C13" s="527"/>
      <c r="D13" s="527"/>
      <c r="E13" s="527"/>
      <c r="F13" s="527"/>
      <c r="G13" s="527"/>
      <c r="H13" s="527"/>
      <c r="I13" s="527"/>
      <c r="J13" s="527"/>
      <c r="K13" s="527"/>
    </row>
    <row r="14">
      <c r="A14" s="527"/>
      <c r="B14" s="528"/>
      <c r="C14" s="528"/>
      <c r="D14" s="528"/>
      <c r="E14" s="529" t="s">
        <v>1890</v>
      </c>
      <c r="F14" s="530"/>
      <c r="G14" s="530"/>
      <c r="H14" s="530"/>
      <c r="I14" s="531"/>
      <c r="J14" s="527"/>
      <c r="K14" s="527"/>
    </row>
    <row r="15">
      <c r="A15" s="532"/>
      <c r="B15" s="533" t="s">
        <v>1872</v>
      </c>
      <c r="C15" s="533" t="s">
        <v>1891</v>
      </c>
      <c r="D15" s="533" t="s">
        <v>1892</v>
      </c>
      <c r="E15" s="534" t="s">
        <v>1893</v>
      </c>
      <c r="F15" s="534" t="s">
        <v>1894</v>
      </c>
      <c r="G15" s="534" t="s">
        <v>1895</v>
      </c>
      <c r="H15" s="534" t="s">
        <v>1896</v>
      </c>
      <c r="I15" s="534" t="s">
        <v>1897</v>
      </c>
      <c r="J15" s="534" t="s">
        <v>1898</v>
      </c>
      <c r="K15" s="535" t="s">
        <v>1899</v>
      </c>
    </row>
    <row r="16">
      <c r="A16" s="536"/>
      <c r="B16" s="537" t="s">
        <v>20</v>
      </c>
      <c r="C16" s="537">
        <v>960.0</v>
      </c>
      <c r="D16" s="538">
        <v>700.0</v>
      </c>
      <c r="E16" s="538">
        <v>10.0</v>
      </c>
      <c r="F16" s="539">
        <v>6.978434698328083</v>
      </c>
      <c r="G16" s="539">
        <v>6.978434698328083</v>
      </c>
      <c r="H16" s="539">
        <v>3.4892173491640417</v>
      </c>
      <c r="I16" s="537">
        <v>2.0</v>
      </c>
      <c r="J16" s="538">
        <f t="shared" ref="J16:J21" si="6">I16+H16+G16+F16+E16</f>
        <v>29.44608675</v>
      </c>
      <c r="K16" s="538">
        <f t="shared" ref="K16:K21" si="7">J16+D16</f>
        <v>729.4460867</v>
      </c>
    </row>
    <row r="17">
      <c r="A17" s="536"/>
      <c r="B17" s="537" t="s">
        <v>39</v>
      </c>
      <c r="C17" s="537">
        <v>492.0</v>
      </c>
      <c r="D17" s="538">
        <v>330.0</v>
      </c>
      <c r="E17" s="539">
        <v>4.768597043857524</v>
      </c>
      <c r="F17" s="539">
        <v>3.5764477828931427</v>
      </c>
      <c r="G17" s="539">
        <v>3.5764477828931427</v>
      </c>
      <c r="H17" s="539">
        <v>1.7882238914465713</v>
      </c>
      <c r="I17" s="537">
        <v>1.0</v>
      </c>
      <c r="J17" s="538">
        <f t="shared" si="6"/>
        <v>14.7097165</v>
      </c>
      <c r="K17" s="538">
        <f t="shared" si="7"/>
        <v>344.7097165</v>
      </c>
    </row>
    <row r="18">
      <c r="A18" s="536"/>
      <c r="B18" s="537" t="s">
        <v>29</v>
      </c>
      <c r="C18" s="537">
        <v>511.0</v>
      </c>
      <c r="D18" s="538">
        <v>350.0</v>
      </c>
      <c r="E18" s="539">
        <v>4.95275018173007</v>
      </c>
      <c r="F18" s="539">
        <v>3.7145626362975523</v>
      </c>
      <c r="G18" s="539">
        <v>3.7145626362975523</v>
      </c>
      <c r="H18" s="539">
        <v>1.8572813181487762</v>
      </c>
      <c r="I18" s="537">
        <v>1.0</v>
      </c>
      <c r="J18" s="538">
        <f t="shared" si="6"/>
        <v>15.23915677</v>
      </c>
      <c r="K18" s="538">
        <f t="shared" si="7"/>
        <v>365.2391568</v>
      </c>
    </row>
    <row r="19">
      <c r="A19" s="536"/>
      <c r="B19" s="537" t="s">
        <v>1882</v>
      </c>
      <c r="C19" s="540">
        <v>1080.0</v>
      </c>
      <c r="D19" s="538">
        <v>700.0</v>
      </c>
      <c r="E19" s="539">
        <v>10.467652047492123</v>
      </c>
      <c r="F19" s="539">
        <v>7.850739035619093</v>
      </c>
      <c r="G19" s="539">
        <v>7.850739035619093</v>
      </c>
      <c r="H19" s="539">
        <v>3.9253695178095467</v>
      </c>
      <c r="I19" s="537">
        <v>2.0</v>
      </c>
      <c r="J19" s="538">
        <f t="shared" si="6"/>
        <v>32.09449964</v>
      </c>
      <c r="K19" s="538">
        <f t="shared" si="7"/>
        <v>732.0944996</v>
      </c>
      <c r="L19" s="515">
        <f>D19+D20</f>
        <v>1400</v>
      </c>
      <c r="M19" s="514">
        <f>L19/2</f>
        <v>700</v>
      </c>
    </row>
    <row r="20">
      <c r="A20" s="536"/>
      <c r="B20" s="537" t="s">
        <v>1884</v>
      </c>
      <c r="C20" s="540">
        <v>849.0</v>
      </c>
      <c r="D20" s="538">
        <v>700.0</v>
      </c>
      <c r="E20" s="538">
        <v>10.0</v>
      </c>
      <c r="F20" s="539">
        <v>6.171553186333899</v>
      </c>
      <c r="G20" s="539">
        <v>6.171553186333899</v>
      </c>
      <c r="H20" s="539">
        <v>3.0857765931669494</v>
      </c>
      <c r="I20" s="537">
        <v>2.0</v>
      </c>
      <c r="J20" s="538">
        <f t="shared" si="6"/>
        <v>27.42888297</v>
      </c>
      <c r="K20" s="538">
        <f t="shared" si="7"/>
        <v>727.428883</v>
      </c>
      <c r="L20" s="513">
        <v>700.0</v>
      </c>
    </row>
    <row r="21">
      <c r="A21" s="541"/>
      <c r="B21" s="521" t="s">
        <v>1900</v>
      </c>
      <c r="C21" s="542">
        <f t="shared" ref="C21:I21" si="8">SUM(C16:C20)</f>
        <v>3892</v>
      </c>
      <c r="D21" s="543">
        <f t="shared" si="8"/>
        <v>2780</v>
      </c>
      <c r="E21" s="544">
        <f t="shared" si="8"/>
        <v>40.18899927</v>
      </c>
      <c r="F21" s="544">
        <f t="shared" si="8"/>
        <v>28.29173734</v>
      </c>
      <c r="G21" s="544">
        <f t="shared" si="8"/>
        <v>28.29173734</v>
      </c>
      <c r="H21" s="544">
        <f t="shared" si="8"/>
        <v>14.14586867</v>
      </c>
      <c r="I21" s="544">
        <f t="shared" si="8"/>
        <v>8</v>
      </c>
      <c r="J21" s="544">
        <f t="shared" si="6"/>
        <v>118.9183426</v>
      </c>
      <c r="K21" s="545">
        <f t="shared" si="7"/>
        <v>2898.918343</v>
      </c>
      <c r="L21" s="515">
        <f>L19-L20</f>
        <v>700</v>
      </c>
    </row>
    <row r="22">
      <c r="A22" s="527"/>
      <c r="B22" s="546"/>
      <c r="C22" s="546"/>
      <c r="D22" s="546"/>
      <c r="E22" s="546"/>
      <c r="F22" s="546"/>
      <c r="G22" s="546"/>
      <c r="H22" s="546"/>
      <c r="I22" s="546"/>
      <c r="J22" s="527"/>
      <c r="K22" s="527"/>
    </row>
    <row r="23">
      <c r="A23" s="527"/>
      <c r="B23" s="527"/>
      <c r="C23" s="527"/>
      <c r="D23" s="527"/>
      <c r="E23" s="527"/>
      <c r="F23" s="527"/>
      <c r="G23" s="527"/>
      <c r="H23" s="527"/>
      <c r="I23" s="527"/>
      <c r="J23" s="527"/>
      <c r="K23" s="527"/>
    </row>
    <row r="24">
      <c r="A24" s="527"/>
      <c r="B24" s="527"/>
      <c r="C24" s="527"/>
      <c r="D24" s="527"/>
      <c r="E24" s="527"/>
      <c r="F24" s="527"/>
      <c r="G24" s="527"/>
      <c r="H24" s="527"/>
      <c r="I24" s="527"/>
      <c r="J24" s="527"/>
      <c r="K24" s="527"/>
    </row>
    <row r="25">
      <c r="A25" s="527"/>
      <c r="B25" s="527"/>
      <c r="C25" s="527"/>
      <c r="D25" s="527"/>
      <c r="E25" s="527"/>
      <c r="F25" s="527"/>
      <c r="G25" s="527"/>
      <c r="H25" s="527"/>
      <c r="I25" s="527"/>
      <c r="J25" s="527"/>
      <c r="K25" s="527"/>
    </row>
    <row r="26">
      <c r="C26" s="513" t="s">
        <v>1893</v>
      </c>
      <c r="D26" s="513">
        <v>40.0</v>
      </c>
    </row>
    <row r="27">
      <c r="C27" s="513" t="s">
        <v>1894</v>
      </c>
      <c r="D27" s="513">
        <v>30.0</v>
      </c>
      <c r="L27" s="515">
        <f>J21+D21</f>
        <v>2898.918343</v>
      </c>
    </row>
    <row r="28">
      <c r="C28" s="513" t="s">
        <v>1895</v>
      </c>
      <c r="D28" s="513">
        <v>30.0</v>
      </c>
      <c r="H28" s="514">
        <f>13-45</f>
        <v>-32</v>
      </c>
    </row>
    <row r="29">
      <c r="C29" s="513" t="s">
        <v>1896</v>
      </c>
      <c r="D29" s="513">
        <v>15.0</v>
      </c>
    </row>
    <row r="30">
      <c r="C30" s="513" t="s">
        <v>1901</v>
      </c>
      <c r="D30" s="513">
        <v>6.0</v>
      </c>
    </row>
    <row r="31">
      <c r="D31" s="514">
        <f>SUM(D26:D30)</f>
        <v>121</v>
      </c>
    </row>
    <row r="36">
      <c r="C36" s="513">
        <v>9.0</v>
      </c>
      <c r="D36" s="513">
        <v>10.0</v>
      </c>
      <c r="E36" s="513">
        <v>11.0</v>
      </c>
      <c r="F36" s="513">
        <v>12.0</v>
      </c>
      <c r="G36" s="513">
        <v>13.0</v>
      </c>
      <c r="H36" s="513">
        <v>14.0</v>
      </c>
      <c r="I36" s="513">
        <v>15.0</v>
      </c>
      <c r="J36" s="513">
        <v>16.0</v>
      </c>
      <c r="K36" s="513">
        <v>17.0</v>
      </c>
      <c r="L36" s="513">
        <v>18.0</v>
      </c>
      <c r="M36" s="513">
        <v>19.0</v>
      </c>
    </row>
    <row r="37">
      <c r="B37" s="513" t="s">
        <v>1880</v>
      </c>
    </row>
    <row r="38">
      <c r="B38" s="513" t="s">
        <v>1881</v>
      </c>
    </row>
    <row r="39">
      <c r="B39" s="513" t="s">
        <v>1883</v>
      </c>
    </row>
    <row r="40">
      <c r="B40" s="513" t="s">
        <v>1885</v>
      </c>
    </row>
    <row r="41">
      <c r="B41" s="513" t="s">
        <v>1887</v>
      </c>
    </row>
    <row r="42">
      <c r="B42" s="513" t="s">
        <v>1888</v>
      </c>
    </row>
  </sheetData>
  <mergeCells count="2">
    <mergeCell ref="U2:AN2"/>
    <mergeCell ref="E14:I1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16.75"/>
    <col customWidth="1" min="6" max="6" width="25.63"/>
    <col customWidth="1" min="10" max="10" width="57.88"/>
    <col customWidth="1" min="11" max="11" width="53.13"/>
  </cols>
  <sheetData>
    <row r="1">
      <c r="A1" s="1" t="s">
        <v>0</v>
      </c>
      <c r="B1" s="1" t="s">
        <v>1</v>
      </c>
      <c r="C1" s="2" t="s">
        <v>2</v>
      </c>
      <c r="D1" s="2" t="s">
        <v>3</v>
      </c>
      <c r="E1" s="2" t="s">
        <v>4</v>
      </c>
      <c r="F1" s="2" t="s">
        <v>5</v>
      </c>
      <c r="G1" s="1" t="s">
        <v>6</v>
      </c>
      <c r="H1" s="1" t="s">
        <v>7</v>
      </c>
      <c r="I1" s="1" t="s">
        <v>8</v>
      </c>
      <c r="J1" s="3" t="s">
        <v>9</v>
      </c>
      <c r="K1" s="4" t="s">
        <v>10</v>
      </c>
      <c r="L1" s="1" t="s">
        <v>11</v>
      </c>
      <c r="M1" s="1" t="s">
        <v>12</v>
      </c>
      <c r="N1" s="1" t="s">
        <v>13</v>
      </c>
      <c r="O1" s="1" t="s">
        <v>14</v>
      </c>
      <c r="P1" s="2" t="s">
        <v>15</v>
      </c>
      <c r="Q1" s="5" t="s">
        <v>16</v>
      </c>
      <c r="R1" s="5" t="s">
        <v>17</v>
      </c>
    </row>
    <row r="2">
      <c r="A2" s="547" t="s">
        <v>18</v>
      </c>
      <c r="B2" s="548" t="s">
        <v>19</v>
      </c>
      <c r="C2" s="548" t="s">
        <v>20</v>
      </c>
      <c r="D2" s="549" t="s">
        <v>73</v>
      </c>
      <c r="E2" s="549" t="s">
        <v>74</v>
      </c>
      <c r="F2" s="550" t="s">
        <v>75</v>
      </c>
      <c r="G2" s="549" t="s">
        <v>155</v>
      </c>
      <c r="H2" s="549" t="s">
        <v>76</v>
      </c>
      <c r="I2" s="551">
        <v>46033.0</v>
      </c>
      <c r="J2" s="550" t="s">
        <v>1902</v>
      </c>
      <c r="K2" s="550" t="s">
        <v>144</v>
      </c>
      <c r="L2" s="550" t="s">
        <v>205</v>
      </c>
      <c r="M2" s="552" t="s">
        <v>206</v>
      </c>
      <c r="N2" s="550" t="s">
        <v>207</v>
      </c>
      <c r="O2" s="550" t="s">
        <v>208</v>
      </c>
      <c r="P2" s="553"/>
      <c r="Q2" s="554"/>
      <c r="R2" s="548"/>
    </row>
    <row r="3">
      <c r="A3" s="547" t="s">
        <v>18</v>
      </c>
      <c r="B3" s="548" t="s">
        <v>19</v>
      </c>
      <c r="C3" s="548" t="s">
        <v>20</v>
      </c>
      <c r="D3" s="549" t="s">
        <v>82</v>
      </c>
      <c r="E3" s="549" t="s">
        <v>74</v>
      </c>
      <c r="F3" s="550" t="s">
        <v>75</v>
      </c>
      <c r="G3" s="549" t="s">
        <v>155</v>
      </c>
      <c r="H3" s="549" t="s">
        <v>76</v>
      </c>
      <c r="I3" s="551">
        <v>46033.0</v>
      </c>
      <c r="J3" s="550" t="s">
        <v>1902</v>
      </c>
      <c r="K3" s="550" t="s">
        <v>144</v>
      </c>
      <c r="L3" s="550" t="s">
        <v>205</v>
      </c>
      <c r="M3" s="552" t="s">
        <v>206</v>
      </c>
      <c r="N3" s="550" t="s">
        <v>207</v>
      </c>
      <c r="O3" s="550" t="s">
        <v>208</v>
      </c>
      <c r="P3" s="553"/>
      <c r="Q3" s="554"/>
      <c r="R3" s="548"/>
    </row>
    <row r="4">
      <c r="A4" s="547" t="s">
        <v>18</v>
      </c>
      <c r="B4" s="548" t="s">
        <v>19</v>
      </c>
      <c r="C4" s="548" t="s">
        <v>20</v>
      </c>
      <c r="D4" s="549" t="s">
        <v>82</v>
      </c>
      <c r="E4" s="549" t="s">
        <v>103</v>
      </c>
      <c r="F4" s="550" t="s">
        <v>75</v>
      </c>
      <c r="G4" s="549" t="s">
        <v>155</v>
      </c>
      <c r="H4" s="549" t="s">
        <v>1903</v>
      </c>
      <c r="I4" s="551">
        <v>46036.0</v>
      </c>
      <c r="J4" s="550" t="s">
        <v>1902</v>
      </c>
      <c r="K4" s="550" t="s">
        <v>144</v>
      </c>
      <c r="L4" s="550" t="s">
        <v>205</v>
      </c>
      <c r="M4" s="552" t="s">
        <v>206</v>
      </c>
      <c r="N4" s="550" t="s">
        <v>207</v>
      </c>
      <c r="O4" s="550" t="s">
        <v>208</v>
      </c>
      <c r="P4" s="553"/>
      <c r="Q4" s="554"/>
      <c r="R4" s="548"/>
    </row>
    <row r="5">
      <c r="A5" s="547" t="s">
        <v>18</v>
      </c>
      <c r="B5" s="548" t="s">
        <v>19</v>
      </c>
      <c r="C5" s="548" t="s">
        <v>20</v>
      </c>
      <c r="D5" s="549" t="s">
        <v>82</v>
      </c>
      <c r="E5" s="549" t="s">
        <v>103</v>
      </c>
      <c r="F5" s="550" t="s">
        <v>75</v>
      </c>
      <c r="G5" s="549" t="s">
        <v>155</v>
      </c>
      <c r="H5" s="549" t="s">
        <v>1903</v>
      </c>
      <c r="I5" s="551">
        <v>46036.0</v>
      </c>
      <c r="J5" s="550" t="s">
        <v>1902</v>
      </c>
      <c r="K5" s="550" t="s">
        <v>144</v>
      </c>
      <c r="L5" s="550" t="s">
        <v>205</v>
      </c>
      <c r="M5" s="552" t="s">
        <v>206</v>
      </c>
      <c r="N5" s="550" t="s">
        <v>207</v>
      </c>
      <c r="O5" s="550" t="s">
        <v>208</v>
      </c>
      <c r="P5" s="553"/>
      <c r="Q5" s="554"/>
      <c r="R5" s="548"/>
    </row>
    <row r="6">
      <c r="A6" s="547" t="s">
        <v>18</v>
      </c>
      <c r="B6" s="548" t="s">
        <v>19</v>
      </c>
      <c r="C6" s="548" t="s">
        <v>20</v>
      </c>
      <c r="D6" s="549" t="s">
        <v>82</v>
      </c>
      <c r="E6" s="549" t="s">
        <v>103</v>
      </c>
      <c r="F6" s="550" t="s">
        <v>75</v>
      </c>
      <c r="G6" s="549" t="s">
        <v>155</v>
      </c>
      <c r="H6" s="549" t="s">
        <v>1903</v>
      </c>
      <c r="I6" s="551">
        <v>46036.0</v>
      </c>
      <c r="J6" s="550" t="s">
        <v>1902</v>
      </c>
      <c r="K6" s="550" t="s">
        <v>144</v>
      </c>
      <c r="L6" s="550" t="s">
        <v>205</v>
      </c>
      <c r="M6" s="552" t="s">
        <v>206</v>
      </c>
      <c r="N6" s="550" t="s">
        <v>207</v>
      </c>
      <c r="O6" s="550" t="s">
        <v>208</v>
      </c>
      <c r="P6" s="553"/>
      <c r="Q6" s="554"/>
      <c r="R6" s="548"/>
    </row>
    <row r="7">
      <c r="A7" s="547" t="s">
        <v>18</v>
      </c>
      <c r="B7" s="548" t="s">
        <v>19</v>
      </c>
      <c r="C7" s="548" t="s">
        <v>20</v>
      </c>
      <c r="D7" s="549" t="s">
        <v>102</v>
      </c>
      <c r="E7" s="549" t="s">
        <v>74</v>
      </c>
      <c r="F7" s="550" t="s">
        <v>75</v>
      </c>
      <c r="G7" s="549" t="s">
        <v>155</v>
      </c>
      <c r="H7" s="547" t="s">
        <v>203</v>
      </c>
      <c r="I7" s="555">
        <v>46037.0</v>
      </c>
      <c r="J7" s="550" t="s">
        <v>1904</v>
      </c>
      <c r="K7" s="550" t="s">
        <v>144</v>
      </c>
      <c r="L7" s="550" t="s">
        <v>205</v>
      </c>
      <c r="M7" s="552" t="s">
        <v>206</v>
      </c>
      <c r="N7" s="550" t="s">
        <v>207</v>
      </c>
      <c r="O7" s="550" t="s">
        <v>208</v>
      </c>
      <c r="P7" s="553"/>
      <c r="Q7" s="554" t="s">
        <v>53</v>
      </c>
      <c r="R7" s="548"/>
    </row>
    <row r="8">
      <c r="A8" s="547" t="s">
        <v>18</v>
      </c>
      <c r="B8" s="548" t="s">
        <v>19</v>
      </c>
      <c r="C8" s="548" t="s">
        <v>20</v>
      </c>
      <c r="D8" s="549" t="s">
        <v>21</v>
      </c>
      <c r="E8" s="549" t="s">
        <v>22</v>
      </c>
      <c r="F8" s="550" t="s">
        <v>23</v>
      </c>
      <c r="G8" s="549" t="s">
        <v>155</v>
      </c>
      <c r="H8" s="547" t="s">
        <v>203</v>
      </c>
      <c r="I8" s="555">
        <v>46037.0</v>
      </c>
      <c r="J8" s="550" t="s">
        <v>209</v>
      </c>
      <c r="K8" s="550" t="s">
        <v>210</v>
      </c>
      <c r="L8" s="550" t="s">
        <v>211</v>
      </c>
      <c r="M8" s="556" t="s">
        <v>212</v>
      </c>
      <c r="N8" s="550" t="s">
        <v>213</v>
      </c>
      <c r="O8" s="550" t="s">
        <v>214</v>
      </c>
      <c r="P8" s="550">
        <v>25.0</v>
      </c>
      <c r="Q8" s="550" t="s">
        <v>215</v>
      </c>
      <c r="R8" s="550"/>
    </row>
    <row r="9">
      <c r="A9" s="547" t="s">
        <v>18</v>
      </c>
      <c r="B9" s="548" t="s">
        <v>19</v>
      </c>
      <c r="C9" s="548" t="s">
        <v>20</v>
      </c>
      <c r="D9" s="549" t="s">
        <v>117</v>
      </c>
      <c r="E9" s="549" t="s">
        <v>52</v>
      </c>
      <c r="F9" s="550" t="s">
        <v>53</v>
      </c>
      <c r="G9" s="549" t="s">
        <v>155</v>
      </c>
      <c r="H9" s="547" t="s">
        <v>203</v>
      </c>
      <c r="I9" s="555">
        <v>46037.0</v>
      </c>
      <c r="J9" s="550" t="s">
        <v>216</v>
      </c>
      <c r="K9" s="549" t="s">
        <v>216</v>
      </c>
      <c r="L9" s="548"/>
      <c r="M9" s="557"/>
      <c r="N9" s="557"/>
      <c r="O9" s="547"/>
      <c r="P9" s="558"/>
      <c r="Q9" s="558"/>
      <c r="R9" s="547"/>
    </row>
    <row r="10">
      <c r="A10" s="547" t="s">
        <v>18</v>
      </c>
      <c r="B10" s="548" t="s">
        <v>19</v>
      </c>
      <c r="C10" s="548" t="s">
        <v>20</v>
      </c>
      <c r="D10" s="549" t="s">
        <v>119</v>
      </c>
      <c r="E10" s="549" t="s">
        <v>22</v>
      </c>
      <c r="F10" s="550" t="s">
        <v>23</v>
      </c>
      <c r="G10" s="549" t="s">
        <v>155</v>
      </c>
      <c r="H10" s="547" t="s">
        <v>203</v>
      </c>
      <c r="I10" s="555">
        <v>46037.0</v>
      </c>
      <c r="J10" s="550" t="s">
        <v>217</v>
      </c>
      <c r="K10" s="550" t="s">
        <v>218</v>
      </c>
      <c r="L10" s="550" t="s">
        <v>219</v>
      </c>
      <c r="M10" s="559" t="s">
        <v>220</v>
      </c>
      <c r="N10" s="550" t="s">
        <v>221</v>
      </c>
      <c r="O10" s="550" t="s">
        <v>222</v>
      </c>
      <c r="P10" s="554">
        <v>20.0</v>
      </c>
      <c r="Q10" s="554" t="s">
        <v>223</v>
      </c>
      <c r="R10" s="547"/>
    </row>
    <row r="11">
      <c r="A11" s="547" t="s">
        <v>18</v>
      </c>
      <c r="B11" s="548" t="s">
        <v>19</v>
      </c>
      <c r="C11" s="548" t="s">
        <v>20</v>
      </c>
      <c r="D11" s="549" t="s">
        <v>224</v>
      </c>
      <c r="E11" s="549" t="s">
        <v>22</v>
      </c>
      <c r="F11" s="550" t="s">
        <v>23</v>
      </c>
      <c r="G11" s="549" t="s">
        <v>155</v>
      </c>
      <c r="H11" s="547" t="s">
        <v>203</v>
      </c>
      <c r="I11" s="555">
        <v>46037.0</v>
      </c>
      <c r="J11" s="550" t="s">
        <v>225</v>
      </c>
      <c r="K11" s="550" t="s">
        <v>226</v>
      </c>
      <c r="L11" s="550" t="s">
        <v>227</v>
      </c>
      <c r="M11" s="556" t="s">
        <v>154</v>
      </c>
      <c r="N11" s="550" t="s">
        <v>228</v>
      </c>
      <c r="O11" s="550" t="s">
        <v>229</v>
      </c>
      <c r="P11" s="554">
        <v>20.0</v>
      </c>
      <c r="Q11" s="554" t="s">
        <v>230</v>
      </c>
      <c r="R11" s="547"/>
    </row>
    <row r="12">
      <c r="A12" s="547" t="s">
        <v>18</v>
      </c>
      <c r="B12" s="548" t="s">
        <v>19</v>
      </c>
      <c r="C12" s="548" t="s">
        <v>20</v>
      </c>
      <c r="D12" s="549" t="s">
        <v>231</v>
      </c>
      <c r="E12" s="549" t="s">
        <v>74</v>
      </c>
      <c r="F12" s="550" t="s">
        <v>75</v>
      </c>
      <c r="G12" s="549" t="s">
        <v>155</v>
      </c>
      <c r="H12" s="547" t="s">
        <v>203</v>
      </c>
      <c r="I12" s="555">
        <v>46037.0</v>
      </c>
      <c r="J12" s="550" t="s">
        <v>1904</v>
      </c>
      <c r="K12" s="550" t="s">
        <v>144</v>
      </c>
      <c r="L12" s="550" t="s">
        <v>205</v>
      </c>
      <c r="M12" s="556" t="s">
        <v>206</v>
      </c>
      <c r="N12" s="550" t="s">
        <v>207</v>
      </c>
      <c r="O12" s="550" t="s">
        <v>208</v>
      </c>
      <c r="P12" s="553"/>
      <c r="Q12" s="554" t="s">
        <v>53</v>
      </c>
      <c r="R12" s="548"/>
    </row>
    <row r="13">
      <c r="A13" s="560" t="s">
        <v>18</v>
      </c>
      <c r="B13" s="561" t="s">
        <v>19</v>
      </c>
      <c r="C13" s="561" t="s">
        <v>20</v>
      </c>
      <c r="D13" s="562" t="s">
        <v>232</v>
      </c>
      <c r="E13" s="562" t="s">
        <v>74</v>
      </c>
      <c r="F13" s="563" t="s">
        <v>75</v>
      </c>
      <c r="G13" s="562" t="s">
        <v>155</v>
      </c>
      <c r="H13" s="560" t="s">
        <v>203</v>
      </c>
      <c r="I13" s="555">
        <v>46037.0</v>
      </c>
      <c r="J13" s="550" t="s">
        <v>1904</v>
      </c>
      <c r="K13" s="563" t="s">
        <v>144</v>
      </c>
      <c r="L13" s="563" t="s">
        <v>205</v>
      </c>
      <c r="M13" s="564" t="s">
        <v>206</v>
      </c>
      <c r="N13" s="563" t="s">
        <v>207</v>
      </c>
      <c r="O13" s="563" t="s">
        <v>208</v>
      </c>
      <c r="P13" s="565"/>
      <c r="Q13" s="565"/>
      <c r="R13" s="426"/>
      <c r="S13" s="409"/>
      <c r="T13" s="409"/>
      <c r="U13" s="409"/>
      <c r="V13" s="409"/>
      <c r="W13" s="409"/>
      <c r="X13" s="409"/>
      <c r="Y13" s="409"/>
      <c r="Z13" s="409"/>
    </row>
    <row r="14">
      <c r="A14" s="547" t="s">
        <v>18</v>
      </c>
      <c r="B14" s="548" t="s">
        <v>19</v>
      </c>
      <c r="C14" s="548" t="s">
        <v>20</v>
      </c>
      <c r="D14" s="549" t="s">
        <v>102</v>
      </c>
      <c r="E14" s="549" t="s">
        <v>74</v>
      </c>
      <c r="F14" s="550" t="s">
        <v>75</v>
      </c>
      <c r="G14" s="549" t="s">
        <v>155</v>
      </c>
      <c r="H14" s="549" t="s">
        <v>156</v>
      </c>
      <c r="I14" s="551">
        <v>46038.0</v>
      </c>
      <c r="J14" s="550" t="s">
        <v>1904</v>
      </c>
      <c r="K14" s="550" t="s">
        <v>144</v>
      </c>
      <c r="L14" s="550" t="s">
        <v>205</v>
      </c>
      <c r="M14" s="556" t="s">
        <v>206</v>
      </c>
      <c r="N14" s="550" t="s">
        <v>207</v>
      </c>
      <c r="O14" s="550" t="s">
        <v>208</v>
      </c>
      <c r="P14" s="553"/>
      <c r="Q14" s="554" t="s">
        <v>53</v>
      </c>
      <c r="R14" s="548"/>
    </row>
    <row r="15">
      <c r="A15" s="547" t="s">
        <v>18</v>
      </c>
      <c r="B15" s="548" t="s">
        <v>19</v>
      </c>
      <c r="C15" s="548" t="s">
        <v>20</v>
      </c>
      <c r="D15" s="549" t="s">
        <v>231</v>
      </c>
      <c r="E15" s="549" t="s">
        <v>74</v>
      </c>
      <c r="F15" s="550" t="s">
        <v>75</v>
      </c>
      <c r="G15" s="549" t="s">
        <v>155</v>
      </c>
      <c r="H15" s="549" t="s">
        <v>156</v>
      </c>
      <c r="I15" s="551">
        <v>46038.0</v>
      </c>
      <c r="J15" s="550" t="s">
        <v>1904</v>
      </c>
      <c r="K15" s="550" t="s">
        <v>144</v>
      </c>
      <c r="L15" s="550" t="s">
        <v>205</v>
      </c>
      <c r="M15" s="556" t="s">
        <v>206</v>
      </c>
      <c r="N15" s="550" t="s">
        <v>207</v>
      </c>
      <c r="O15" s="550" t="s">
        <v>208</v>
      </c>
      <c r="P15" s="553"/>
      <c r="Q15" s="554" t="s">
        <v>53</v>
      </c>
      <c r="R15" s="548"/>
    </row>
    <row r="16">
      <c r="A16" s="547" t="s">
        <v>18</v>
      </c>
      <c r="B16" s="548" t="s">
        <v>19</v>
      </c>
      <c r="C16" s="548" t="s">
        <v>20</v>
      </c>
      <c r="D16" s="549" t="s">
        <v>232</v>
      </c>
      <c r="E16" s="549" t="s">
        <v>74</v>
      </c>
      <c r="F16" s="550" t="s">
        <v>75</v>
      </c>
      <c r="G16" s="549" t="s">
        <v>155</v>
      </c>
      <c r="H16" s="549" t="s">
        <v>156</v>
      </c>
      <c r="I16" s="551">
        <v>46038.0</v>
      </c>
      <c r="J16" s="550" t="s">
        <v>1902</v>
      </c>
      <c r="K16" s="550" t="s">
        <v>144</v>
      </c>
      <c r="L16" s="550" t="s">
        <v>205</v>
      </c>
      <c r="M16" s="556" t="s">
        <v>206</v>
      </c>
      <c r="N16" s="550" t="s">
        <v>207</v>
      </c>
      <c r="O16" s="550" t="s">
        <v>208</v>
      </c>
      <c r="P16" s="553"/>
      <c r="Q16" s="554" t="s">
        <v>53</v>
      </c>
      <c r="R16" s="548"/>
    </row>
    <row r="17">
      <c r="A17" s="547" t="s">
        <v>18</v>
      </c>
      <c r="B17" s="548" t="s">
        <v>19</v>
      </c>
      <c r="C17" s="548" t="s">
        <v>20</v>
      </c>
      <c r="D17" s="549" t="s">
        <v>73</v>
      </c>
      <c r="E17" s="549" t="s">
        <v>74</v>
      </c>
      <c r="F17" s="550" t="s">
        <v>75</v>
      </c>
      <c r="G17" s="549" t="s">
        <v>155</v>
      </c>
      <c r="H17" s="549" t="s">
        <v>76</v>
      </c>
      <c r="I17" s="551">
        <v>46040.0</v>
      </c>
      <c r="J17" s="550" t="s">
        <v>1905</v>
      </c>
      <c r="K17" s="550" t="s">
        <v>144</v>
      </c>
      <c r="L17" s="550" t="s">
        <v>205</v>
      </c>
      <c r="M17" s="552" t="s">
        <v>206</v>
      </c>
      <c r="N17" s="550" t="s">
        <v>207</v>
      </c>
      <c r="O17" s="550" t="s">
        <v>208</v>
      </c>
      <c r="P17" s="553"/>
      <c r="Q17" s="554"/>
      <c r="R17" s="548"/>
    </row>
    <row r="18">
      <c r="A18" s="547" t="s">
        <v>18</v>
      </c>
      <c r="B18" s="548" t="s">
        <v>19</v>
      </c>
      <c r="C18" s="548" t="s">
        <v>20</v>
      </c>
      <c r="D18" s="549" t="s">
        <v>82</v>
      </c>
      <c r="E18" s="549" t="s">
        <v>74</v>
      </c>
      <c r="F18" s="550" t="s">
        <v>75</v>
      </c>
      <c r="G18" s="549" t="s">
        <v>155</v>
      </c>
      <c r="H18" s="549" t="s">
        <v>76</v>
      </c>
      <c r="I18" s="551">
        <v>46040.0</v>
      </c>
      <c r="J18" s="550" t="s">
        <v>1905</v>
      </c>
      <c r="K18" s="550" t="s">
        <v>144</v>
      </c>
      <c r="L18" s="550" t="s">
        <v>205</v>
      </c>
      <c r="M18" s="552" t="s">
        <v>206</v>
      </c>
      <c r="N18" s="550" t="s">
        <v>207</v>
      </c>
      <c r="O18" s="550" t="s">
        <v>208</v>
      </c>
      <c r="P18" s="553"/>
      <c r="Q18" s="554"/>
      <c r="R18" s="548"/>
    </row>
    <row r="19">
      <c r="A19" s="547" t="s">
        <v>18</v>
      </c>
      <c r="B19" s="548" t="s">
        <v>19</v>
      </c>
      <c r="C19" s="548" t="s">
        <v>20</v>
      </c>
      <c r="D19" s="549" t="s">
        <v>102</v>
      </c>
      <c r="E19" s="549" t="s">
        <v>74</v>
      </c>
      <c r="F19" s="550" t="s">
        <v>75</v>
      </c>
      <c r="G19" s="549" t="s">
        <v>155</v>
      </c>
      <c r="H19" s="549" t="s">
        <v>1906</v>
      </c>
      <c r="I19" s="551">
        <v>46041.0</v>
      </c>
      <c r="J19" s="550" t="s">
        <v>1902</v>
      </c>
      <c r="K19" s="550" t="s">
        <v>144</v>
      </c>
      <c r="L19" s="550" t="s">
        <v>205</v>
      </c>
      <c r="M19" s="552" t="s">
        <v>206</v>
      </c>
      <c r="N19" s="550" t="s">
        <v>207</v>
      </c>
      <c r="O19" s="550" t="s">
        <v>208</v>
      </c>
      <c r="P19" s="553"/>
      <c r="Q19" s="554"/>
      <c r="R19" s="548"/>
    </row>
    <row r="20">
      <c r="A20" s="547" t="s">
        <v>18</v>
      </c>
      <c r="B20" s="548" t="s">
        <v>19</v>
      </c>
      <c r="C20" s="548" t="s">
        <v>20</v>
      </c>
      <c r="D20" s="549" t="s">
        <v>231</v>
      </c>
      <c r="E20" s="549" t="s">
        <v>74</v>
      </c>
      <c r="F20" s="550" t="s">
        <v>75</v>
      </c>
      <c r="G20" s="549" t="s">
        <v>155</v>
      </c>
      <c r="H20" s="549" t="s">
        <v>1906</v>
      </c>
      <c r="I20" s="551">
        <v>46041.0</v>
      </c>
      <c r="J20" s="550" t="s">
        <v>1902</v>
      </c>
      <c r="K20" s="550" t="s">
        <v>144</v>
      </c>
      <c r="L20" s="550" t="s">
        <v>205</v>
      </c>
      <c r="M20" s="552" t="s">
        <v>206</v>
      </c>
      <c r="N20" s="550" t="s">
        <v>207</v>
      </c>
      <c r="O20" s="550" t="s">
        <v>208</v>
      </c>
      <c r="P20" s="553"/>
      <c r="Q20" s="554"/>
      <c r="R20" s="548"/>
    </row>
    <row r="21">
      <c r="A21" s="547" t="s">
        <v>18</v>
      </c>
      <c r="B21" s="548" t="s">
        <v>19</v>
      </c>
      <c r="C21" s="548" t="s">
        <v>20</v>
      </c>
      <c r="D21" s="549" t="s">
        <v>232</v>
      </c>
      <c r="E21" s="549" t="s">
        <v>74</v>
      </c>
      <c r="F21" s="550" t="s">
        <v>75</v>
      </c>
      <c r="G21" s="549" t="s">
        <v>155</v>
      </c>
      <c r="H21" s="549" t="s">
        <v>1906</v>
      </c>
      <c r="I21" s="551">
        <v>46041.0</v>
      </c>
      <c r="J21" s="550" t="s">
        <v>1902</v>
      </c>
      <c r="K21" s="550" t="s">
        <v>144</v>
      </c>
      <c r="L21" s="550" t="s">
        <v>205</v>
      </c>
      <c r="M21" s="552" t="s">
        <v>206</v>
      </c>
      <c r="N21" s="550" t="s">
        <v>207</v>
      </c>
      <c r="O21" s="550" t="s">
        <v>208</v>
      </c>
      <c r="P21" s="553"/>
      <c r="Q21" s="554"/>
      <c r="R21" s="548"/>
    </row>
    <row r="22">
      <c r="A22" s="547" t="s">
        <v>18</v>
      </c>
      <c r="B22" s="548" t="s">
        <v>19</v>
      </c>
      <c r="C22" s="548" t="s">
        <v>20</v>
      </c>
      <c r="D22" s="549" t="s">
        <v>102</v>
      </c>
      <c r="E22" s="549" t="s">
        <v>74</v>
      </c>
      <c r="F22" s="550" t="s">
        <v>75</v>
      </c>
      <c r="G22" s="549" t="s">
        <v>155</v>
      </c>
      <c r="H22" s="549" t="s">
        <v>1903</v>
      </c>
      <c r="I22" s="551">
        <v>46043.0</v>
      </c>
      <c r="J22" s="550" t="s">
        <v>1907</v>
      </c>
      <c r="K22" s="550" t="s">
        <v>144</v>
      </c>
      <c r="L22" s="550" t="s">
        <v>205</v>
      </c>
      <c r="M22" s="552" t="s">
        <v>206</v>
      </c>
      <c r="N22" s="550" t="s">
        <v>207</v>
      </c>
      <c r="O22" s="550" t="s">
        <v>208</v>
      </c>
      <c r="P22" s="553"/>
      <c r="Q22" s="554"/>
      <c r="R22" s="548"/>
    </row>
    <row r="23">
      <c r="A23" s="547" t="s">
        <v>18</v>
      </c>
      <c r="B23" s="548" t="s">
        <v>19</v>
      </c>
      <c r="C23" s="548" t="s">
        <v>20</v>
      </c>
      <c r="D23" s="549" t="s">
        <v>231</v>
      </c>
      <c r="E23" s="549" t="s">
        <v>74</v>
      </c>
      <c r="F23" s="550" t="s">
        <v>75</v>
      </c>
      <c r="G23" s="549" t="s">
        <v>155</v>
      </c>
      <c r="H23" s="549" t="s">
        <v>1903</v>
      </c>
      <c r="I23" s="551">
        <v>46043.0</v>
      </c>
      <c r="J23" s="550" t="s">
        <v>1907</v>
      </c>
      <c r="K23" s="550" t="s">
        <v>144</v>
      </c>
      <c r="L23" s="550" t="s">
        <v>205</v>
      </c>
      <c r="M23" s="552" t="s">
        <v>206</v>
      </c>
      <c r="N23" s="550" t="s">
        <v>207</v>
      </c>
      <c r="O23" s="550" t="s">
        <v>208</v>
      </c>
      <c r="P23" s="553"/>
      <c r="Q23" s="554"/>
      <c r="R23" s="548"/>
    </row>
    <row r="24">
      <c r="A24" s="547" t="s">
        <v>18</v>
      </c>
      <c r="B24" s="548" t="s">
        <v>19</v>
      </c>
      <c r="C24" s="548" t="s">
        <v>20</v>
      </c>
      <c r="D24" s="549" t="s">
        <v>232</v>
      </c>
      <c r="E24" s="549" t="s">
        <v>74</v>
      </c>
      <c r="F24" s="550" t="s">
        <v>75</v>
      </c>
      <c r="G24" s="549" t="s">
        <v>155</v>
      </c>
      <c r="H24" s="549" t="s">
        <v>1903</v>
      </c>
      <c r="I24" s="551">
        <v>46043.0</v>
      </c>
      <c r="J24" s="550" t="s">
        <v>1907</v>
      </c>
      <c r="K24" s="550" t="s">
        <v>144</v>
      </c>
      <c r="L24" s="550" t="s">
        <v>205</v>
      </c>
      <c r="M24" s="552" t="s">
        <v>206</v>
      </c>
      <c r="N24" s="550" t="s">
        <v>207</v>
      </c>
      <c r="O24" s="550" t="s">
        <v>208</v>
      </c>
      <c r="P24" s="553"/>
      <c r="Q24" s="554"/>
      <c r="R24" s="548"/>
    </row>
    <row r="25">
      <c r="A25" s="547" t="s">
        <v>18</v>
      </c>
      <c r="B25" s="548" t="s">
        <v>19</v>
      </c>
      <c r="C25" s="548" t="s">
        <v>20</v>
      </c>
      <c r="D25" s="549" t="s">
        <v>102</v>
      </c>
      <c r="E25" s="549" t="s">
        <v>74</v>
      </c>
      <c r="F25" s="550" t="s">
        <v>75</v>
      </c>
      <c r="G25" s="549" t="s">
        <v>155</v>
      </c>
      <c r="H25" s="549" t="s">
        <v>203</v>
      </c>
      <c r="I25" s="551">
        <v>46044.0</v>
      </c>
      <c r="J25" s="550" t="s">
        <v>1908</v>
      </c>
      <c r="K25" s="550" t="s">
        <v>144</v>
      </c>
      <c r="L25" s="550" t="s">
        <v>205</v>
      </c>
      <c r="M25" s="552" t="s">
        <v>206</v>
      </c>
      <c r="N25" s="550" t="s">
        <v>207</v>
      </c>
      <c r="O25" s="550" t="s">
        <v>208</v>
      </c>
      <c r="P25" s="553"/>
      <c r="Q25" s="554"/>
      <c r="R25" s="548"/>
    </row>
    <row r="26">
      <c r="A26" s="547" t="s">
        <v>18</v>
      </c>
      <c r="B26" s="548" t="s">
        <v>19</v>
      </c>
      <c r="C26" s="548" t="s">
        <v>20</v>
      </c>
      <c r="D26" s="549" t="s">
        <v>231</v>
      </c>
      <c r="E26" s="549" t="s">
        <v>74</v>
      </c>
      <c r="F26" s="550" t="s">
        <v>75</v>
      </c>
      <c r="G26" s="549" t="s">
        <v>155</v>
      </c>
      <c r="H26" s="549" t="s">
        <v>203</v>
      </c>
      <c r="I26" s="551">
        <v>46044.0</v>
      </c>
      <c r="J26" s="550" t="s">
        <v>1908</v>
      </c>
      <c r="K26" s="550" t="s">
        <v>144</v>
      </c>
      <c r="L26" s="550" t="s">
        <v>205</v>
      </c>
      <c r="M26" s="552" t="s">
        <v>206</v>
      </c>
      <c r="N26" s="550" t="s">
        <v>207</v>
      </c>
      <c r="O26" s="550" t="s">
        <v>208</v>
      </c>
      <c r="P26" s="553"/>
      <c r="Q26" s="554"/>
      <c r="R26" s="548"/>
    </row>
    <row r="27">
      <c r="A27" s="547" t="s">
        <v>18</v>
      </c>
      <c r="B27" s="548" t="s">
        <v>19</v>
      </c>
      <c r="C27" s="548" t="s">
        <v>20</v>
      </c>
      <c r="D27" s="549" t="s">
        <v>232</v>
      </c>
      <c r="E27" s="549" t="s">
        <v>74</v>
      </c>
      <c r="F27" s="550" t="s">
        <v>75</v>
      </c>
      <c r="G27" s="549" t="s">
        <v>155</v>
      </c>
      <c r="H27" s="549" t="s">
        <v>203</v>
      </c>
      <c r="I27" s="551">
        <v>46044.0</v>
      </c>
      <c r="J27" s="550" t="s">
        <v>1908</v>
      </c>
      <c r="K27" s="550" t="s">
        <v>144</v>
      </c>
      <c r="L27" s="550" t="s">
        <v>205</v>
      </c>
      <c r="M27" s="552" t="s">
        <v>206</v>
      </c>
      <c r="N27" s="550" t="s">
        <v>207</v>
      </c>
      <c r="O27" s="550" t="s">
        <v>208</v>
      </c>
      <c r="P27" s="553"/>
      <c r="Q27" s="554"/>
      <c r="R27" s="548"/>
    </row>
    <row r="28">
      <c r="A28" s="547" t="s">
        <v>18</v>
      </c>
      <c r="B28" s="548" t="s">
        <v>19</v>
      </c>
      <c r="C28" s="548" t="s">
        <v>20</v>
      </c>
      <c r="D28" s="549" t="s">
        <v>102</v>
      </c>
      <c r="E28" s="549" t="s">
        <v>74</v>
      </c>
      <c r="F28" s="550" t="s">
        <v>75</v>
      </c>
      <c r="G28" s="549" t="s">
        <v>155</v>
      </c>
      <c r="H28" s="549" t="s">
        <v>156</v>
      </c>
      <c r="I28" s="551">
        <v>46045.0</v>
      </c>
      <c r="J28" s="550" t="s">
        <v>1908</v>
      </c>
      <c r="K28" s="550" t="s">
        <v>144</v>
      </c>
      <c r="L28" s="550" t="s">
        <v>205</v>
      </c>
      <c r="M28" s="552" t="s">
        <v>206</v>
      </c>
      <c r="N28" s="550" t="s">
        <v>207</v>
      </c>
      <c r="O28" s="550" t="s">
        <v>208</v>
      </c>
      <c r="P28" s="553"/>
      <c r="Q28" s="554"/>
      <c r="R28" s="548"/>
    </row>
    <row r="29">
      <c r="A29" s="547" t="s">
        <v>18</v>
      </c>
      <c r="B29" s="548" t="s">
        <v>19</v>
      </c>
      <c r="C29" s="548" t="s">
        <v>20</v>
      </c>
      <c r="D29" s="549" t="s">
        <v>231</v>
      </c>
      <c r="E29" s="549" t="s">
        <v>74</v>
      </c>
      <c r="F29" s="550" t="s">
        <v>75</v>
      </c>
      <c r="G29" s="549" t="s">
        <v>155</v>
      </c>
      <c r="H29" s="549" t="s">
        <v>156</v>
      </c>
      <c r="I29" s="551">
        <v>46045.0</v>
      </c>
      <c r="J29" s="550" t="s">
        <v>1908</v>
      </c>
      <c r="K29" s="550" t="s">
        <v>144</v>
      </c>
      <c r="L29" s="550" t="s">
        <v>205</v>
      </c>
      <c r="M29" s="552" t="s">
        <v>206</v>
      </c>
      <c r="N29" s="550" t="s">
        <v>207</v>
      </c>
      <c r="O29" s="550" t="s">
        <v>208</v>
      </c>
      <c r="P29" s="553"/>
      <c r="Q29" s="554"/>
      <c r="R29" s="548"/>
    </row>
    <row r="30">
      <c r="A30" s="547" t="s">
        <v>18</v>
      </c>
      <c r="B30" s="548" t="s">
        <v>19</v>
      </c>
      <c r="C30" s="548" t="s">
        <v>20</v>
      </c>
      <c r="D30" s="549" t="s">
        <v>232</v>
      </c>
      <c r="E30" s="549" t="s">
        <v>74</v>
      </c>
      <c r="F30" s="550" t="s">
        <v>75</v>
      </c>
      <c r="G30" s="549" t="s">
        <v>155</v>
      </c>
      <c r="H30" s="549" t="s">
        <v>156</v>
      </c>
      <c r="I30" s="551">
        <v>46045.0</v>
      </c>
      <c r="J30" s="550" t="s">
        <v>1902</v>
      </c>
      <c r="K30" s="550" t="s">
        <v>144</v>
      </c>
      <c r="L30" s="550" t="s">
        <v>205</v>
      </c>
      <c r="M30" s="552" t="s">
        <v>206</v>
      </c>
      <c r="N30" s="550" t="s">
        <v>207</v>
      </c>
      <c r="O30" s="550" t="s">
        <v>208</v>
      </c>
      <c r="P30" s="553"/>
      <c r="Q30" s="554"/>
      <c r="R30" s="548"/>
    </row>
    <row r="31">
      <c r="A31" s="566" t="s">
        <v>18</v>
      </c>
      <c r="B31" s="567" t="s">
        <v>1669</v>
      </c>
      <c r="C31" s="566" t="s">
        <v>20</v>
      </c>
      <c r="D31" s="568" t="s">
        <v>43</v>
      </c>
      <c r="E31" s="568" t="s">
        <v>1760</v>
      </c>
      <c r="F31" s="569" t="s">
        <v>23</v>
      </c>
      <c r="G31" s="566" t="str">
        <f t="shared" ref="G31:G32" si="1">TEXT(I31,"Mmmm")</f>
        <v>enero</v>
      </c>
      <c r="H31" s="570" t="str">
        <f t="shared" ref="H31:H32" si="2">TEXT(I31,"dddd")</f>
        <v>sábado</v>
      </c>
      <c r="I31" s="571">
        <v>46046.0</v>
      </c>
      <c r="J31" s="568" t="s">
        <v>1793</v>
      </c>
      <c r="K31" s="568" t="s">
        <v>1794</v>
      </c>
      <c r="L31" s="568" t="s">
        <v>1795</v>
      </c>
      <c r="M31" s="572" t="s">
        <v>1796</v>
      </c>
      <c r="N31" s="567" t="s">
        <v>1797</v>
      </c>
      <c r="O31" s="573" t="s">
        <v>85</v>
      </c>
      <c r="P31" s="568">
        <v>30.0</v>
      </c>
      <c r="Q31" s="574"/>
      <c r="R31" s="575"/>
    </row>
    <row r="32">
      <c r="A32" s="550" t="s">
        <v>18</v>
      </c>
      <c r="B32" s="550" t="s">
        <v>1669</v>
      </c>
      <c r="C32" s="550" t="s">
        <v>20</v>
      </c>
      <c r="D32" s="550" t="s">
        <v>119</v>
      </c>
      <c r="E32" s="550" t="s">
        <v>1760</v>
      </c>
      <c r="F32" s="576" t="s">
        <v>23</v>
      </c>
      <c r="G32" s="550" t="str">
        <f t="shared" si="1"/>
        <v>enero</v>
      </c>
      <c r="H32" s="577" t="str">
        <f t="shared" si="2"/>
        <v>sábado</v>
      </c>
      <c r="I32" s="578">
        <v>46046.0</v>
      </c>
      <c r="J32" s="550" t="s">
        <v>1799</v>
      </c>
      <c r="K32" s="550" t="s">
        <v>1800</v>
      </c>
      <c r="L32" s="550" t="s">
        <v>1801</v>
      </c>
      <c r="M32" s="556" t="s">
        <v>1802</v>
      </c>
      <c r="N32" s="550" t="s">
        <v>1803</v>
      </c>
      <c r="O32" s="550" t="s">
        <v>360</v>
      </c>
      <c r="P32" s="550">
        <v>30.0</v>
      </c>
      <c r="Q32" s="576" t="s">
        <v>1804</v>
      </c>
      <c r="R32" s="548"/>
    </row>
    <row r="33">
      <c r="A33" s="547" t="s">
        <v>18</v>
      </c>
      <c r="B33" s="548" t="s">
        <v>19</v>
      </c>
      <c r="C33" s="548" t="s">
        <v>20</v>
      </c>
      <c r="D33" s="549" t="s">
        <v>73</v>
      </c>
      <c r="E33" s="549" t="s">
        <v>74</v>
      </c>
      <c r="F33" s="550" t="s">
        <v>75</v>
      </c>
      <c r="G33" s="549" t="s">
        <v>155</v>
      </c>
      <c r="H33" s="549" t="s">
        <v>76</v>
      </c>
      <c r="I33" s="551">
        <v>46047.0</v>
      </c>
      <c r="J33" s="550" t="s">
        <v>1909</v>
      </c>
      <c r="K33" s="550" t="s">
        <v>144</v>
      </c>
      <c r="L33" s="550" t="s">
        <v>205</v>
      </c>
      <c r="M33" s="552" t="s">
        <v>206</v>
      </c>
      <c r="N33" s="550" t="s">
        <v>207</v>
      </c>
      <c r="O33" s="550" t="s">
        <v>208</v>
      </c>
      <c r="P33" s="553"/>
      <c r="Q33" s="554"/>
      <c r="R33" s="548"/>
    </row>
    <row r="34">
      <c r="A34" s="547" t="s">
        <v>18</v>
      </c>
      <c r="B34" s="548" t="s">
        <v>19</v>
      </c>
      <c r="C34" s="548" t="s">
        <v>20</v>
      </c>
      <c r="D34" s="549" t="s">
        <v>82</v>
      </c>
      <c r="E34" s="549" t="s">
        <v>74</v>
      </c>
      <c r="F34" s="550" t="s">
        <v>75</v>
      </c>
      <c r="G34" s="549" t="s">
        <v>155</v>
      </c>
      <c r="H34" s="549" t="s">
        <v>76</v>
      </c>
      <c r="I34" s="551">
        <v>46047.0</v>
      </c>
      <c r="J34" s="550" t="s">
        <v>1909</v>
      </c>
      <c r="K34" s="550" t="s">
        <v>144</v>
      </c>
      <c r="L34" s="550" t="s">
        <v>205</v>
      </c>
      <c r="M34" s="552" t="s">
        <v>206</v>
      </c>
      <c r="N34" s="550" t="s">
        <v>207</v>
      </c>
      <c r="O34" s="550" t="s">
        <v>208</v>
      </c>
      <c r="P34" s="553"/>
      <c r="Q34" s="554"/>
      <c r="R34" s="548"/>
    </row>
    <row r="35">
      <c r="A35" s="547" t="s">
        <v>18</v>
      </c>
      <c r="B35" s="548" t="s">
        <v>19</v>
      </c>
      <c r="C35" s="548" t="s">
        <v>20</v>
      </c>
      <c r="D35" s="549" t="s">
        <v>102</v>
      </c>
      <c r="E35" s="549" t="s">
        <v>103</v>
      </c>
      <c r="F35" s="550" t="s">
        <v>75</v>
      </c>
      <c r="G35" s="549" t="s">
        <v>155</v>
      </c>
      <c r="H35" s="549" t="s">
        <v>1906</v>
      </c>
      <c r="I35" s="551">
        <v>46048.0</v>
      </c>
      <c r="J35" s="550" t="s">
        <v>1910</v>
      </c>
      <c r="K35" s="550" t="s">
        <v>144</v>
      </c>
      <c r="L35" s="550" t="s">
        <v>205</v>
      </c>
      <c r="M35" s="552" t="s">
        <v>206</v>
      </c>
      <c r="N35" s="550" t="s">
        <v>207</v>
      </c>
      <c r="O35" s="550" t="s">
        <v>208</v>
      </c>
      <c r="P35" s="553"/>
      <c r="Q35" s="554"/>
      <c r="R35" s="548"/>
    </row>
    <row r="36">
      <c r="A36" s="547" t="s">
        <v>18</v>
      </c>
      <c r="B36" s="548" t="s">
        <v>19</v>
      </c>
      <c r="C36" s="548" t="s">
        <v>20</v>
      </c>
      <c r="D36" s="549" t="s">
        <v>231</v>
      </c>
      <c r="E36" s="549" t="s">
        <v>103</v>
      </c>
      <c r="F36" s="550" t="s">
        <v>75</v>
      </c>
      <c r="G36" s="549" t="s">
        <v>155</v>
      </c>
      <c r="H36" s="549" t="s">
        <v>1906</v>
      </c>
      <c r="I36" s="551">
        <v>46048.0</v>
      </c>
      <c r="J36" s="550" t="s">
        <v>1910</v>
      </c>
      <c r="K36" s="550" t="s">
        <v>144</v>
      </c>
      <c r="L36" s="550" t="s">
        <v>205</v>
      </c>
      <c r="M36" s="552" t="s">
        <v>206</v>
      </c>
      <c r="N36" s="550" t="s">
        <v>207</v>
      </c>
      <c r="O36" s="550" t="s">
        <v>208</v>
      </c>
      <c r="P36" s="553"/>
      <c r="Q36" s="554"/>
      <c r="R36" s="548"/>
    </row>
    <row r="37">
      <c r="A37" s="547" t="s">
        <v>18</v>
      </c>
      <c r="B37" s="548" t="s">
        <v>19</v>
      </c>
      <c r="C37" s="548" t="s">
        <v>20</v>
      </c>
      <c r="D37" s="549" t="s">
        <v>232</v>
      </c>
      <c r="E37" s="549" t="s">
        <v>103</v>
      </c>
      <c r="F37" s="550" t="s">
        <v>75</v>
      </c>
      <c r="G37" s="549" t="s">
        <v>155</v>
      </c>
      <c r="H37" s="549" t="s">
        <v>1906</v>
      </c>
      <c r="I37" s="551">
        <v>46048.0</v>
      </c>
      <c r="J37" s="550" t="s">
        <v>1910</v>
      </c>
      <c r="K37" s="550" t="s">
        <v>144</v>
      </c>
      <c r="L37" s="550" t="s">
        <v>205</v>
      </c>
      <c r="M37" s="552" t="s">
        <v>206</v>
      </c>
      <c r="N37" s="550" t="s">
        <v>207</v>
      </c>
      <c r="O37" s="550" t="s">
        <v>208</v>
      </c>
      <c r="P37" s="553"/>
      <c r="Q37" s="554"/>
      <c r="R37" s="548"/>
    </row>
    <row r="38">
      <c r="A38" s="547" t="s">
        <v>18</v>
      </c>
      <c r="B38" s="548" t="s">
        <v>19</v>
      </c>
      <c r="C38" s="548" t="s">
        <v>20</v>
      </c>
      <c r="D38" s="549" t="s">
        <v>102</v>
      </c>
      <c r="E38" s="549" t="s">
        <v>103</v>
      </c>
      <c r="F38" s="550" t="s">
        <v>75</v>
      </c>
      <c r="G38" s="549" t="s">
        <v>155</v>
      </c>
      <c r="H38" s="549" t="s">
        <v>1903</v>
      </c>
      <c r="I38" s="551">
        <v>46050.0</v>
      </c>
      <c r="J38" s="550" t="s">
        <v>1910</v>
      </c>
      <c r="K38" s="550" t="s">
        <v>144</v>
      </c>
      <c r="L38" s="550" t="s">
        <v>205</v>
      </c>
      <c r="M38" s="552" t="s">
        <v>206</v>
      </c>
      <c r="N38" s="550" t="s">
        <v>207</v>
      </c>
      <c r="O38" s="550" t="s">
        <v>208</v>
      </c>
      <c r="P38" s="553"/>
      <c r="Q38" s="554"/>
      <c r="R38" s="548"/>
    </row>
    <row r="39">
      <c r="A39" s="547" t="s">
        <v>18</v>
      </c>
      <c r="B39" s="548" t="s">
        <v>19</v>
      </c>
      <c r="C39" s="548" t="s">
        <v>20</v>
      </c>
      <c r="D39" s="549" t="s">
        <v>231</v>
      </c>
      <c r="E39" s="549" t="s">
        <v>103</v>
      </c>
      <c r="F39" s="550" t="s">
        <v>75</v>
      </c>
      <c r="G39" s="549" t="s">
        <v>155</v>
      </c>
      <c r="H39" s="549" t="s">
        <v>1903</v>
      </c>
      <c r="I39" s="551">
        <v>46050.0</v>
      </c>
      <c r="J39" s="550" t="s">
        <v>1910</v>
      </c>
      <c r="K39" s="550" t="s">
        <v>144</v>
      </c>
      <c r="L39" s="550" t="s">
        <v>205</v>
      </c>
      <c r="M39" s="552" t="s">
        <v>206</v>
      </c>
      <c r="N39" s="550" t="s">
        <v>207</v>
      </c>
      <c r="O39" s="550" t="s">
        <v>208</v>
      </c>
      <c r="P39" s="553"/>
      <c r="Q39" s="554"/>
      <c r="R39" s="548"/>
    </row>
    <row r="40">
      <c r="A40" s="547" t="s">
        <v>18</v>
      </c>
      <c r="B40" s="548" t="s">
        <v>19</v>
      </c>
      <c r="C40" s="548" t="s">
        <v>20</v>
      </c>
      <c r="D40" s="549" t="s">
        <v>232</v>
      </c>
      <c r="E40" s="549" t="s">
        <v>103</v>
      </c>
      <c r="F40" s="550" t="s">
        <v>75</v>
      </c>
      <c r="G40" s="549" t="s">
        <v>155</v>
      </c>
      <c r="H40" s="549" t="s">
        <v>1903</v>
      </c>
      <c r="I40" s="551">
        <v>46050.0</v>
      </c>
      <c r="J40" s="550" t="s">
        <v>1910</v>
      </c>
      <c r="K40" s="550" t="s">
        <v>144</v>
      </c>
      <c r="L40" s="550" t="s">
        <v>205</v>
      </c>
      <c r="M40" s="552" t="s">
        <v>206</v>
      </c>
      <c r="N40" s="550" t="s">
        <v>207</v>
      </c>
      <c r="O40" s="550" t="s">
        <v>208</v>
      </c>
      <c r="P40" s="553"/>
      <c r="Q40" s="554"/>
      <c r="R40" s="548"/>
    </row>
    <row r="41">
      <c r="A41" s="566" t="s">
        <v>18</v>
      </c>
      <c r="B41" s="567" t="s">
        <v>1669</v>
      </c>
      <c r="C41" s="549" t="s">
        <v>20</v>
      </c>
      <c r="D41" s="549" t="s">
        <v>119</v>
      </c>
      <c r="E41" s="549" t="s">
        <v>1760</v>
      </c>
      <c r="F41" s="549" t="s">
        <v>23</v>
      </c>
      <c r="G41" s="549" t="str">
        <f>TEXT(I41,"Mmmm")</f>
        <v>enero</v>
      </c>
      <c r="H41" s="579" t="str">
        <f>TEXT(I41,"dddd")</f>
        <v>miércoles</v>
      </c>
      <c r="I41" s="580">
        <v>46050.0</v>
      </c>
      <c r="J41" s="549" t="s">
        <v>1825</v>
      </c>
      <c r="K41" s="550" t="s">
        <v>1826</v>
      </c>
      <c r="L41" s="550" t="s">
        <v>205</v>
      </c>
      <c r="M41" s="556" t="s">
        <v>1827</v>
      </c>
      <c r="N41" s="550" t="s">
        <v>1828</v>
      </c>
      <c r="O41" s="549" t="s">
        <v>1829</v>
      </c>
      <c r="P41" s="558"/>
      <c r="Q41" s="581" t="s">
        <v>1830</v>
      </c>
      <c r="R41" s="575"/>
    </row>
    <row r="42">
      <c r="A42" s="547" t="s">
        <v>18</v>
      </c>
      <c r="B42" s="548" t="s">
        <v>19</v>
      </c>
      <c r="C42" s="548" t="s">
        <v>20</v>
      </c>
      <c r="D42" s="549" t="s">
        <v>102</v>
      </c>
      <c r="E42" s="549" t="s">
        <v>74</v>
      </c>
      <c r="F42" s="550" t="s">
        <v>75</v>
      </c>
      <c r="G42" s="549" t="s">
        <v>155</v>
      </c>
      <c r="H42" s="549" t="s">
        <v>203</v>
      </c>
      <c r="I42" s="551">
        <v>46051.0</v>
      </c>
      <c r="J42" s="550" t="s">
        <v>1910</v>
      </c>
      <c r="K42" s="550" t="s">
        <v>144</v>
      </c>
      <c r="L42" s="550" t="s">
        <v>205</v>
      </c>
      <c r="M42" s="552" t="s">
        <v>206</v>
      </c>
      <c r="N42" s="550" t="s">
        <v>207</v>
      </c>
      <c r="O42" s="550" t="s">
        <v>208</v>
      </c>
      <c r="P42" s="553"/>
      <c r="Q42" s="554"/>
      <c r="R42" s="548"/>
    </row>
    <row r="43">
      <c r="A43" s="547" t="s">
        <v>18</v>
      </c>
      <c r="B43" s="548" t="s">
        <v>19</v>
      </c>
      <c r="C43" s="548" t="s">
        <v>20</v>
      </c>
      <c r="D43" s="549" t="s">
        <v>231</v>
      </c>
      <c r="E43" s="549" t="s">
        <v>74</v>
      </c>
      <c r="F43" s="550" t="s">
        <v>75</v>
      </c>
      <c r="G43" s="549" t="s">
        <v>155</v>
      </c>
      <c r="H43" s="549" t="s">
        <v>203</v>
      </c>
      <c r="I43" s="551">
        <v>46051.0</v>
      </c>
      <c r="J43" s="550" t="s">
        <v>1910</v>
      </c>
      <c r="K43" s="550" t="s">
        <v>144</v>
      </c>
      <c r="L43" s="550" t="s">
        <v>205</v>
      </c>
      <c r="M43" s="552" t="s">
        <v>206</v>
      </c>
      <c r="N43" s="550" t="s">
        <v>207</v>
      </c>
      <c r="O43" s="550" t="s">
        <v>208</v>
      </c>
      <c r="P43" s="553"/>
      <c r="Q43" s="554"/>
      <c r="R43" s="548"/>
    </row>
    <row r="44">
      <c r="A44" s="547" t="s">
        <v>18</v>
      </c>
      <c r="B44" s="548" t="s">
        <v>19</v>
      </c>
      <c r="C44" s="548" t="s">
        <v>20</v>
      </c>
      <c r="D44" s="549" t="s">
        <v>232</v>
      </c>
      <c r="E44" s="549" t="s">
        <v>74</v>
      </c>
      <c r="F44" s="550" t="s">
        <v>75</v>
      </c>
      <c r="G44" s="549" t="s">
        <v>155</v>
      </c>
      <c r="H44" s="549" t="s">
        <v>203</v>
      </c>
      <c r="I44" s="551">
        <v>46051.0</v>
      </c>
      <c r="J44" s="550" t="s">
        <v>1910</v>
      </c>
      <c r="K44" s="550" t="s">
        <v>144</v>
      </c>
      <c r="L44" s="550" t="s">
        <v>205</v>
      </c>
      <c r="M44" s="552" t="s">
        <v>206</v>
      </c>
      <c r="N44" s="550" t="s">
        <v>207</v>
      </c>
      <c r="O44" s="550" t="s">
        <v>208</v>
      </c>
      <c r="P44" s="553"/>
      <c r="Q44" s="554"/>
      <c r="R44" s="548"/>
    </row>
    <row r="45">
      <c r="A45" s="547" t="s">
        <v>18</v>
      </c>
      <c r="B45" s="548" t="s">
        <v>19</v>
      </c>
      <c r="C45" s="548" t="s">
        <v>20</v>
      </c>
      <c r="D45" s="549" t="s">
        <v>102</v>
      </c>
      <c r="E45" s="549" t="s">
        <v>74</v>
      </c>
      <c r="F45" s="550" t="s">
        <v>75</v>
      </c>
      <c r="G45" s="549" t="s">
        <v>155</v>
      </c>
      <c r="H45" s="549" t="s">
        <v>156</v>
      </c>
      <c r="I45" s="551">
        <v>46052.0</v>
      </c>
      <c r="J45" s="550" t="s">
        <v>1910</v>
      </c>
      <c r="K45" s="550" t="s">
        <v>144</v>
      </c>
      <c r="L45" s="550" t="s">
        <v>205</v>
      </c>
      <c r="M45" s="552" t="s">
        <v>206</v>
      </c>
      <c r="N45" s="550" t="s">
        <v>207</v>
      </c>
      <c r="O45" s="550" t="s">
        <v>208</v>
      </c>
      <c r="P45" s="553"/>
      <c r="Q45" s="554"/>
      <c r="R45" s="548"/>
    </row>
    <row r="46">
      <c r="A46" s="547" t="s">
        <v>18</v>
      </c>
      <c r="B46" s="548" t="s">
        <v>19</v>
      </c>
      <c r="C46" s="548" t="s">
        <v>20</v>
      </c>
      <c r="D46" s="549" t="s">
        <v>231</v>
      </c>
      <c r="E46" s="549" t="s">
        <v>74</v>
      </c>
      <c r="F46" s="550" t="s">
        <v>75</v>
      </c>
      <c r="G46" s="549" t="s">
        <v>155</v>
      </c>
      <c r="H46" s="549" t="s">
        <v>156</v>
      </c>
      <c r="I46" s="551">
        <v>46052.0</v>
      </c>
      <c r="J46" s="550" t="s">
        <v>1910</v>
      </c>
      <c r="K46" s="550" t="s">
        <v>144</v>
      </c>
      <c r="L46" s="550" t="s">
        <v>205</v>
      </c>
      <c r="M46" s="552" t="s">
        <v>206</v>
      </c>
      <c r="N46" s="550" t="s">
        <v>207</v>
      </c>
      <c r="O46" s="550" t="s">
        <v>208</v>
      </c>
      <c r="P46" s="553"/>
      <c r="Q46" s="554"/>
      <c r="R46" s="548"/>
    </row>
    <row r="47">
      <c r="A47" s="547" t="s">
        <v>18</v>
      </c>
      <c r="B47" s="548" t="s">
        <v>19</v>
      </c>
      <c r="C47" s="548" t="s">
        <v>20</v>
      </c>
      <c r="D47" s="549" t="s">
        <v>232</v>
      </c>
      <c r="E47" s="549" t="s">
        <v>74</v>
      </c>
      <c r="F47" s="550" t="s">
        <v>75</v>
      </c>
      <c r="G47" s="549" t="s">
        <v>155</v>
      </c>
      <c r="H47" s="549" t="s">
        <v>156</v>
      </c>
      <c r="I47" s="551">
        <v>46052.0</v>
      </c>
      <c r="J47" s="550" t="s">
        <v>1910</v>
      </c>
      <c r="K47" s="550" t="s">
        <v>144</v>
      </c>
      <c r="L47" s="550" t="s">
        <v>205</v>
      </c>
      <c r="M47" s="552" t="s">
        <v>206</v>
      </c>
      <c r="N47" s="550" t="s">
        <v>207</v>
      </c>
      <c r="O47" s="550" t="s">
        <v>208</v>
      </c>
      <c r="P47" s="553"/>
      <c r="Q47" s="554"/>
      <c r="R47" s="548"/>
    </row>
    <row r="48">
      <c r="A48" s="547" t="s">
        <v>18</v>
      </c>
      <c r="B48" s="548" t="s">
        <v>19</v>
      </c>
      <c r="C48" s="548" t="s">
        <v>20</v>
      </c>
      <c r="D48" s="549" t="s">
        <v>337</v>
      </c>
      <c r="E48" s="549" t="s">
        <v>22</v>
      </c>
      <c r="F48" s="550" t="s">
        <v>23</v>
      </c>
      <c r="G48" s="549" t="s">
        <v>155</v>
      </c>
      <c r="H48" s="549" t="s">
        <v>338</v>
      </c>
      <c r="I48" s="555">
        <v>46053.0</v>
      </c>
      <c r="J48" s="550" t="s">
        <v>339</v>
      </c>
      <c r="K48" s="550" t="s">
        <v>340</v>
      </c>
      <c r="L48" s="550" t="s">
        <v>1911</v>
      </c>
      <c r="M48" s="582" t="s">
        <v>342</v>
      </c>
      <c r="N48" s="550" t="s">
        <v>343</v>
      </c>
      <c r="O48" s="550" t="s">
        <v>344</v>
      </c>
      <c r="P48" s="554">
        <v>20.0</v>
      </c>
      <c r="Q48" s="554" t="s">
        <v>345</v>
      </c>
      <c r="R48" s="547"/>
    </row>
    <row r="49">
      <c r="A49" s="547" t="s">
        <v>18</v>
      </c>
      <c r="B49" s="548" t="s">
        <v>19</v>
      </c>
      <c r="C49" s="548" t="s">
        <v>20</v>
      </c>
      <c r="D49" s="549" t="s">
        <v>346</v>
      </c>
      <c r="E49" s="549" t="s">
        <v>22</v>
      </c>
      <c r="F49" s="550" t="s">
        <v>23</v>
      </c>
      <c r="G49" s="549" t="s">
        <v>155</v>
      </c>
      <c r="H49" s="549" t="s">
        <v>338</v>
      </c>
      <c r="I49" s="555">
        <v>46053.0</v>
      </c>
      <c r="J49" s="550" t="s">
        <v>1912</v>
      </c>
      <c r="K49" s="550" t="s">
        <v>424</v>
      </c>
      <c r="L49" s="550" t="s">
        <v>1913</v>
      </c>
      <c r="M49" s="556" t="s">
        <v>1914</v>
      </c>
      <c r="N49" s="550" t="s">
        <v>1915</v>
      </c>
      <c r="O49" s="550" t="s">
        <v>428</v>
      </c>
      <c r="P49" s="554">
        <v>30.0</v>
      </c>
      <c r="Q49" s="554" t="s">
        <v>429</v>
      </c>
      <c r="R49" s="547"/>
    </row>
    <row r="50">
      <c r="A50" s="547" t="s">
        <v>18</v>
      </c>
      <c r="B50" s="548" t="s">
        <v>19</v>
      </c>
      <c r="C50" s="548" t="s">
        <v>20</v>
      </c>
      <c r="D50" s="549" t="s">
        <v>117</v>
      </c>
      <c r="E50" s="549" t="s">
        <v>52</v>
      </c>
      <c r="F50" s="550" t="s">
        <v>53</v>
      </c>
      <c r="G50" s="549" t="s">
        <v>155</v>
      </c>
      <c r="H50" s="549" t="s">
        <v>338</v>
      </c>
      <c r="I50" s="555">
        <v>46053.0</v>
      </c>
      <c r="J50" s="549" t="s">
        <v>216</v>
      </c>
      <c r="K50" s="549" t="s">
        <v>216</v>
      </c>
      <c r="L50" s="548"/>
      <c r="M50" s="583"/>
      <c r="N50" s="557"/>
      <c r="O50" s="557"/>
      <c r="P50" s="558"/>
      <c r="Q50" s="558"/>
      <c r="R50" s="547" t="s">
        <v>20</v>
      </c>
    </row>
    <row r="51">
      <c r="A51" s="547" t="s">
        <v>18</v>
      </c>
      <c r="B51" s="548" t="s">
        <v>19</v>
      </c>
      <c r="C51" s="548" t="s">
        <v>20</v>
      </c>
      <c r="D51" s="549" t="s">
        <v>119</v>
      </c>
      <c r="E51" s="549" t="s">
        <v>22</v>
      </c>
      <c r="F51" s="550" t="s">
        <v>23</v>
      </c>
      <c r="G51" s="549" t="s">
        <v>155</v>
      </c>
      <c r="H51" s="549" t="s">
        <v>338</v>
      </c>
      <c r="I51" s="555">
        <v>46053.0</v>
      </c>
      <c r="J51" s="550" t="s">
        <v>355</v>
      </c>
      <c r="K51" s="550" t="s">
        <v>356</v>
      </c>
      <c r="L51" s="550" t="s">
        <v>1916</v>
      </c>
      <c r="M51" s="556" t="s">
        <v>358</v>
      </c>
      <c r="N51" s="550" t="s">
        <v>359</v>
      </c>
      <c r="O51" s="550" t="s">
        <v>360</v>
      </c>
      <c r="P51" s="554">
        <v>20.0</v>
      </c>
      <c r="Q51" s="554" t="s">
        <v>361</v>
      </c>
      <c r="R51" s="547"/>
    </row>
    <row r="52">
      <c r="A52" s="547" t="s">
        <v>18</v>
      </c>
      <c r="B52" s="548" t="s">
        <v>19</v>
      </c>
      <c r="C52" s="548" t="s">
        <v>20</v>
      </c>
      <c r="D52" s="549" t="s">
        <v>127</v>
      </c>
      <c r="E52" s="549" t="s">
        <v>22</v>
      </c>
      <c r="F52" s="550" t="s">
        <v>23</v>
      </c>
      <c r="G52" s="549" t="s">
        <v>155</v>
      </c>
      <c r="H52" s="549" t="s">
        <v>338</v>
      </c>
      <c r="I52" s="555">
        <v>46053.0</v>
      </c>
      <c r="J52" s="550" t="s">
        <v>312</v>
      </c>
      <c r="K52" s="550" t="s">
        <v>313</v>
      </c>
      <c r="L52" s="550" t="s">
        <v>347</v>
      </c>
      <c r="M52" s="552" t="s">
        <v>348</v>
      </c>
      <c r="N52" s="550" t="s">
        <v>349</v>
      </c>
      <c r="O52" s="550" t="s">
        <v>350</v>
      </c>
      <c r="P52" s="554">
        <v>15.0</v>
      </c>
      <c r="Q52" s="554" t="s">
        <v>351</v>
      </c>
      <c r="R52" s="547"/>
    </row>
  </sheetData>
  <autoFilter ref="$A$1:$R$52">
    <sortState ref="A1:R52">
      <sortCondition ref="I1:I52"/>
    </sortState>
  </autoFilter>
  <dataValidations>
    <dataValidation type="list" allowBlank="1" showErrorMessage="1" sqref="A2:A52">
      <formula1>"NORTE,SUR"</formula1>
    </dataValidation>
    <dataValidation type="list" allowBlank="1" showErrorMessage="1" sqref="D31:D32 D41">
      <formula1>"11:00AM,2:00 PM,3:00 PM,9:00 AM,10:00 AM,8:30 AM,3:30 PM,7:30 PM,12:30 M,6:30 PM,9:30 AM"</formula1>
    </dataValidation>
    <dataValidation type="list" allowBlank="1" showErrorMessage="1" sqref="F31:F32 F41">
      <formula1>"AFINIDAD,POLITICO COMUNITARIA,LIBERTAD RELIGIOSA"</formula1>
    </dataValidation>
    <dataValidation type="list" allowBlank="1" showErrorMessage="1" sqref="D2:D30 D33:D40 D42:D52">
      <formula1>"8:00 AM,11:00 AM,6:00 PM,6:30 PM,5:00 PM,7:00 PM,7:00 AM,2:00 PM,1:30 PM,1:00 PM,2:30 PM,3:00 PM,4:00 PM,5.30 PM,10:00 AM,11:30 AM,12:00 M,12:30 M,4:30 PM,3:30 PM,9:00 AM,10:30 AM"</formula1>
    </dataValidation>
    <dataValidation type="list" allowBlank="1" showErrorMessage="1" sqref="C31:C32 C41">
      <formula1>"Kennedy Central,Carvajal,Class,Patio Bonito,N/A"</formula1>
    </dataValidation>
    <dataValidation type="list" allowBlank="1" showErrorMessage="1" sqref="E31:E32 E41">
      <formula1>"ALABANZA,ESTUDIO BIBLICO,ALABANNZA,ENSEÑANZA,TERRITORIO,VOLANTEO,MICROREUNIÓN"</formula1>
    </dataValidation>
    <dataValidation type="list" allowBlank="1" showErrorMessage="1" sqref="E2:E30 E33:E40 E42:E52">
      <formula1>"ALABANZA,ESTUDIO BIBLICO,ENSEÑANZA,TERRITORIO,ALMUERZO,BINGO,SEGUIMIENTO"</formula1>
    </dataValidation>
    <dataValidation type="list" allowBlank="1" showErrorMessage="1" sqref="F2:F30 F33:F40 F42:F52">
      <formula1>"AFINIDAD,POLITICO COMUNITARIA,LIBERTAD RELIGIOSA,N/A"</formula1>
    </dataValidation>
    <dataValidation type="list" allowBlank="1" showErrorMessage="1" sqref="C2:C30 C33:C40 C42:C52">
      <formula1>"Kennedy Central,Carvajal,Class,Patio Bonito,N/A,Virtual,Localidad"</formula1>
    </dataValidation>
  </dataValidations>
  <hyperlinks>
    <hyperlink r:id="rId1" ref="M2"/>
    <hyperlink r:id="rId2" ref="M3"/>
    <hyperlink r:id="rId3" ref="M4"/>
    <hyperlink r:id="rId4" ref="M5"/>
    <hyperlink r:id="rId5" ref="M6"/>
    <hyperlink r:id="rId6" ref="M7"/>
    <hyperlink r:id="rId7" ref="M8"/>
    <hyperlink r:id="rId8" ref="M10"/>
    <hyperlink r:id="rId9" ref="M11"/>
    <hyperlink r:id="rId10" ref="M12"/>
    <hyperlink r:id="rId11" ref="M13"/>
    <hyperlink r:id="rId12" ref="M14"/>
    <hyperlink r:id="rId13" ref="M15"/>
    <hyperlink r:id="rId14" ref="M16"/>
    <hyperlink r:id="rId15" ref="M17"/>
    <hyperlink r:id="rId16" ref="M18"/>
    <hyperlink r:id="rId17" ref="M19"/>
    <hyperlink r:id="rId18" ref="M20"/>
    <hyperlink r:id="rId19" ref="M21"/>
    <hyperlink r:id="rId20" ref="M22"/>
    <hyperlink r:id="rId21" ref="M23"/>
    <hyperlink r:id="rId22" ref="M24"/>
    <hyperlink r:id="rId23" ref="M25"/>
    <hyperlink r:id="rId24" ref="M26"/>
    <hyperlink r:id="rId25" ref="M27"/>
    <hyperlink r:id="rId26" ref="M28"/>
    <hyperlink r:id="rId27" ref="M29"/>
    <hyperlink r:id="rId28" ref="M30"/>
    <hyperlink r:id="rId29" ref="M31"/>
    <hyperlink r:id="rId30" ref="M32"/>
    <hyperlink r:id="rId31" ref="M33"/>
    <hyperlink r:id="rId32" ref="M34"/>
    <hyperlink r:id="rId33" ref="M35"/>
    <hyperlink r:id="rId34" ref="M36"/>
    <hyperlink r:id="rId35" ref="M37"/>
    <hyperlink r:id="rId36" ref="M38"/>
    <hyperlink r:id="rId37" ref="M39"/>
    <hyperlink r:id="rId38" ref="M40"/>
    <hyperlink r:id="rId39" ref="M41"/>
    <hyperlink r:id="rId40" ref="M42"/>
    <hyperlink r:id="rId41" ref="M43"/>
    <hyperlink r:id="rId42" ref="M44"/>
    <hyperlink r:id="rId43" ref="M45"/>
    <hyperlink r:id="rId44" ref="M46"/>
    <hyperlink r:id="rId45" ref="M47"/>
    <hyperlink r:id="rId46" ref="M49"/>
    <hyperlink r:id="rId47" ref="M51"/>
  </hyperlinks>
  <drawing r:id="rId4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88"/>
    <col customWidth="1" min="4" max="4" width="27.13"/>
    <col customWidth="1" min="5" max="5" width="3.25"/>
    <col customWidth="1" min="6" max="6" width="57.38"/>
    <col customWidth="1" min="8" max="8" width="3.13"/>
    <col customWidth="1" min="11" max="11" width="13.38"/>
  </cols>
  <sheetData>
    <row r="1">
      <c r="A1" s="513" t="s">
        <v>1917</v>
      </c>
      <c r="B1" s="513" t="s">
        <v>1918</v>
      </c>
      <c r="C1" s="513" t="s">
        <v>1919</v>
      </c>
      <c r="D1" s="513" t="s">
        <v>1920</v>
      </c>
      <c r="E1" s="513" t="s">
        <v>1921</v>
      </c>
    </row>
    <row r="2">
      <c r="A2" s="513" t="s">
        <v>1922</v>
      </c>
      <c r="B2" s="513">
        <v>444.0</v>
      </c>
      <c r="C2" s="513">
        <v>2220.0</v>
      </c>
      <c r="D2" s="513">
        <v>3552.0</v>
      </c>
      <c r="E2" s="513">
        <v>4440.0</v>
      </c>
    </row>
    <row r="3">
      <c r="A3" s="513" t="s">
        <v>1923</v>
      </c>
      <c r="B3" s="513">
        <v>258.0</v>
      </c>
      <c r="C3" s="513">
        <v>1290.0</v>
      </c>
      <c r="D3" s="513">
        <v>2064.0</v>
      </c>
      <c r="E3" s="513">
        <v>2580.0</v>
      </c>
    </row>
    <row r="4">
      <c r="A4" s="513" t="s">
        <v>1924</v>
      </c>
      <c r="B4" s="513">
        <v>98.0</v>
      </c>
      <c r="C4" s="513">
        <v>490.0</v>
      </c>
      <c r="D4" s="513">
        <v>784.0</v>
      </c>
      <c r="E4" s="513">
        <v>980.0</v>
      </c>
    </row>
    <row r="5">
      <c r="A5" s="513" t="s">
        <v>1925</v>
      </c>
      <c r="B5" s="513">
        <v>59.0</v>
      </c>
      <c r="C5" s="513">
        <v>295.0</v>
      </c>
      <c r="D5" s="513">
        <v>472.0</v>
      </c>
      <c r="E5" s="513">
        <v>590.0</v>
      </c>
    </row>
    <row r="6">
      <c r="A6" s="513" t="s">
        <v>1926</v>
      </c>
      <c r="B6" s="513">
        <v>859.0</v>
      </c>
      <c r="C6" s="513">
        <v>4295.0</v>
      </c>
      <c r="D6" s="513">
        <v>6872.0</v>
      </c>
      <c r="E6" s="513">
        <v>8590.0</v>
      </c>
    </row>
    <row r="7">
      <c r="A7" s="513" t="s">
        <v>1927</v>
      </c>
      <c r="C7" s="513">
        <v>2355.0</v>
      </c>
      <c r="D7" s="513">
        <v>2355.0</v>
      </c>
      <c r="E7" s="513">
        <v>2355.0</v>
      </c>
    </row>
    <row r="8">
      <c r="A8" s="513" t="s">
        <v>1928</v>
      </c>
      <c r="B8" s="513">
        <v>263.0</v>
      </c>
      <c r="C8" s="513">
        <f>266*5</f>
        <v>1330</v>
      </c>
      <c r="D8" s="513">
        <f>266*8</f>
        <v>2128</v>
      </c>
      <c r="E8" s="513">
        <f>266*10</f>
        <v>2660</v>
      </c>
      <c r="K8" s="584" t="s">
        <v>1872</v>
      </c>
      <c r="L8" s="584" t="s">
        <v>1929</v>
      </c>
      <c r="M8" s="584" t="s">
        <v>1930</v>
      </c>
      <c r="N8" s="584" t="s">
        <v>1931</v>
      </c>
    </row>
    <row r="9">
      <c r="K9" s="585" t="s">
        <v>20</v>
      </c>
      <c r="L9" s="585">
        <v>6.0</v>
      </c>
      <c r="M9" s="586">
        <v>2.0</v>
      </c>
      <c r="N9" s="587">
        <f t="shared" ref="N9:N13" si="1">L9-M9</f>
        <v>4</v>
      </c>
    </row>
    <row r="10">
      <c r="B10" s="514">
        <f>B6+263</f>
        <v>1122</v>
      </c>
      <c r="C10" s="588">
        <f>B6/B11</f>
        <v>0.6229151559</v>
      </c>
      <c r="D10" s="514">
        <f>B10*5</f>
        <v>5610</v>
      </c>
      <c r="E10" s="514">
        <f>B10*8</f>
        <v>8976</v>
      </c>
      <c r="F10" s="514">
        <f>B10*10</f>
        <v>11220</v>
      </c>
      <c r="K10" s="585" t="s">
        <v>27</v>
      </c>
      <c r="L10" s="585">
        <v>4.0</v>
      </c>
      <c r="M10" s="586">
        <v>1.0</v>
      </c>
      <c r="N10" s="587">
        <f t="shared" si="1"/>
        <v>3</v>
      </c>
    </row>
    <row r="11">
      <c r="B11" s="513">
        <v>1379.0</v>
      </c>
      <c r="C11" s="588">
        <f>B10/B11</f>
        <v>0.8136330674</v>
      </c>
      <c r="D11" s="589">
        <f>B8/B11</f>
        <v>0.1907179115</v>
      </c>
      <c r="I11" s="515">
        <f>585*46%</f>
        <v>269.1</v>
      </c>
      <c r="K11" s="585" t="s">
        <v>39</v>
      </c>
      <c r="L11" s="585">
        <v>6.0</v>
      </c>
      <c r="M11" s="586">
        <v>3.0</v>
      </c>
      <c r="N11" s="587">
        <f t="shared" si="1"/>
        <v>3</v>
      </c>
    </row>
    <row r="12">
      <c r="K12" s="585" t="s">
        <v>29</v>
      </c>
      <c r="L12" s="585">
        <v>6.0</v>
      </c>
      <c r="M12" s="586">
        <v>2.0</v>
      </c>
      <c r="N12" s="587">
        <f t="shared" si="1"/>
        <v>4</v>
      </c>
    </row>
    <row r="13">
      <c r="B13" s="513" t="s">
        <v>1932</v>
      </c>
      <c r="C13" s="513" t="s">
        <v>1933</v>
      </c>
      <c r="D13" s="513" t="s">
        <v>1934</v>
      </c>
      <c r="K13" s="512" t="s">
        <v>1900</v>
      </c>
      <c r="L13" s="590">
        <f t="shared" ref="L13:M13" si="2">SUM(L9:L12)</f>
        <v>22</v>
      </c>
      <c r="M13" s="590">
        <f t="shared" si="2"/>
        <v>8</v>
      </c>
      <c r="N13" s="590">
        <f t="shared" si="1"/>
        <v>14</v>
      </c>
    </row>
    <row r="14">
      <c r="A14" s="513" t="s">
        <v>1935</v>
      </c>
      <c r="B14" s="513">
        <v>2383.0</v>
      </c>
      <c r="C14" s="513">
        <v>2383.0</v>
      </c>
      <c r="D14" s="513">
        <v>2383.0</v>
      </c>
      <c r="K14" s="525"/>
    </row>
    <row r="15">
      <c r="A15" s="513" t="s">
        <v>1936</v>
      </c>
      <c r="B15" s="514">
        <f t="shared" ref="B15:D15" si="3">C2+C3+C4+C5+C8</f>
        <v>5625</v>
      </c>
      <c r="C15" s="514">
        <f t="shared" si="3"/>
        <v>9000</v>
      </c>
      <c r="D15" s="514">
        <f t="shared" si="3"/>
        <v>11250</v>
      </c>
    </row>
    <row r="16">
      <c r="A16" s="513" t="s">
        <v>1937</v>
      </c>
      <c r="B16" s="514">
        <f t="shared" ref="B16:D16" si="4">B15+B14</f>
        <v>8008</v>
      </c>
      <c r="C16" s="514">
        <f t="shared" si="4"/>
        <v>11383</v>
      </c>
      <c r="D16" s="514">
        <f t="shared" si="4"/>
        <v>13633</v>
      </c>
    </row>
    <row r="17">
      <c r="A17" s="513">
        <v>13342.0</v>
      </c>
      <c r="B17" s="588">
        <f t="shared" ref="B17:D17" si="5">B16/$A$17</f>
        <v>0.6002098636</v>
      </c>
      <c r="C17" s="588">
        <f t="shared" si="5"/>
        <v>0.8531704392</v>
      </c>
      <c r="D17" s="588">
        <f t="shared" si="5"/>
        <v>1.021810823</v>
      </c>
    </row>
    <row r="18">
      <c r="B18" s="588">
        <f t="shared" ref="B18:D18" si="6">B15/$A$17</f>
        <v>0.4216009594</v>
      </c>
      <c r="C18" s="588">
        <f t="shared" si="6"/>
        <v>0.674561535</v>
      </c>
      <c r="D18" s="588">
        <f t="shared" si="6"/>
        <v>0.8432019188</v>
      </c>
      <c r="E18" s="588"/>
    </row>
    <row r="21">
      <c r="D21" s="514">
        <f>B14/B10</f>
        <v>2.123885918</v>
      </c>
    </row>
    <row r="22">
      <c r="D22" s="515">
        <f>B15/B23</f>
        <v>5.013368984</v>
      </c>
    </row>
    <row r="23">
      <c r="B23" s="514">
        <f>B10</f>
        <v>1122</v>
      </c>
      <c r="C23" s="588">
        <f>C10+D11</f>
        <v>0.8136330674</v>
      </c>
      <c r="D23" s="591">
        <f>B24/B23</f>
        <v>7.137254902</v>
      </c>
    </row>
    <row r="24">
      <c r="B24" s="514">
        <f>B16</f>
        <v>8008</v>
      </c>
      <c r="C24" s="588">
        <f>B24/A17</f>
        <v>0.6002098636</v>
      </c>
    </row>
    <row r="25">
      <c r="A25" s="514">
        <f>A17+B11</f>
        <v>14721</v>
      </c>
      <c r="B25" s="514">
        <f>SUM(B23:B24)</f>
        <v>9130</v>
      </c>
      <c r="C25" s="588">
        <f>B25/A25</f>
        <v>0.6202024319</v>
      </c>
    </row>
    <row r="29">
      <c r="D29" s="527"/>
      <c r="E29" s="527"/>
      <c r="F29" s="527"/>
      <c r="G29" s="527"/>
      <c r="H29" s="527"/>
      <c r="I29" s="527"/>
    </row>
    <row r="30">
      <c r="D30" s="527"/>
      <c r="E30" s="527"/>
      <c r="F30" s="527"/>
      <c r="G30" s="527"/>
      <c r="H30" s="527"/>
      <c r="I30" s="527"/>
    </row>
    <row r="31">
      <c r="D31" s="527"/>
      <c r="E31" s="592"/>
      <c r="F31" s="593" t="s">
        <v>1878</v>
      </c>
      <c r="G31" s="593" t="s">
        <v>1938</v>
      </c>
      <c r="H31" s="527"/>
      <c r="I31" s="527"/>
    </row>
    <row r="32">
      <c r="D32" s="527"/>
      <c r="E32" s="594" t="s">
        <v>1939</v>
      </c>
      <c r="F32" s="595" t="s">
        <v>1902</v>
      </c>
      <c r="G32" s="596">
        <v>48.0</v>
      </c>
      <c r="H32" s="527"/>
      <c r="I32" s="527"/>
    </row>
    <row r="33">
      <c r="D33" s="527"/>
      <c r="E33" s="597"/>
      <c r="F33" s="598" t="s">
        <v>1940</v>
      </c>
      <c r="G33" s="596">
        <v>3.0</v>
      </c>
      <c r="H33" s="599" t="s">
        <v>1941</v>
      </c>
      <c r="I33" s="527"/>
    </row>
    <row r="34">
      <c r="D34" s="527"/>
      <c r="E34" s="597"/>
      <c r="F34" s="598" t="s">
        <v>1942</v>
      </c>
      <c r="G34" s="600">
        <v>2.0</v>
      </c>
      <c r="H34" s="597"/>
      <c r="I34" s="527"/>
    </row>
    <row r="35">
      <c r="D35" s="527"/>
      <c r="E35" s="597"/>
      <c r="F35" s="598" t="s">
        <v>1943</v>
      </c>
      <c r="G35" s="596">
        <v>1.0</v>
      </c>
      <c r="H35" s="597"/>
      <c r="I35" s="527"/>
    </row>
    <row r="36">
      <c r="D36" s="527"/>
      <c r="E36" s="597"/>
      <c r="F36" s="598" t="s">
        <v>1944</v>
      </c>
      <c r="G36" s="596">
        <v>3.0</v>
      </c>
      <c r="H36" s="597"/>
      <c r="I36" s="527"/>
    </row>
    <row r="37">
      <c r="D37" s="527"/>
      <c r="E37" s="601"/>
      <c r="F37" s="598" t="s">
        <v>1945</v>
      </c>
      <c r="G37" s="600">
        <v>2.0</v>
      </c>
      <c r="H37" s="601"/>
      <c r="I37" s="527"/>
    </row>
    <row r="38">
      <c r="D38" s="527"/>
      <c r="E38" s="602"/>
      <c r="F38" s="603" t="s">
        <v>1946</v>
      </c>
      <c r="G38" s="593">
        <f>SUM(G32:G37)</f>
        <v>59</v>
      </c>
      <c r="H38" s="527"/>
      <c r="I38" s="527"/>
    </row>
    <row r="39">
      <c r="D39" s="527"/>
      <c r="E39" s="604" t="s">
        <v>1947</v>
      </c>
      <c r="F39" s="605" t="s">
        <v>1948</v>
      </c>
      <c r="G39" s="606">
        <v>7.0</v>
      </c>
      <c r="H39" s="527"/>
      <c r="I39" s="527"/>
    </row>
    <row r="40">
      <c r="D40" s="527"/>
      <c r="E40" s="597"/>
      <c r="F40" s="607" t="s">
        <v>1793</v>
      </c>
      <c r="G40" s="608">
        <v>1.0</v>
      </c>
      <c r="H40" s="527"/>
      <c r="I40" s="527"/>
    </row>
    <row r="41">
      <c r="D41" s="527"/>
      <c r="E41" s="601"/>
      <c r="F41" s="607" t="s">
        <v>1799</v>
      </c>
      <c r="G41" s="608">
        <v>1.0</v>
      </c>
      <c r="H41" s="527"/>
      <c r="I41" s="527"/>
    </row>
    <row r="42">
      <c r="D42" s="527"/>
      <c r="E42" s="592"/>
      <c r="F42" s="603" t="s">
        <v>1949</v>
      </c>
      <c r="G42" s="609">
        <f>SUM(G39:G41)</f>
        <v>9</v>
      </c>
      <c r="H42" s="527"/>
      <c r="I42" s="527"/>
    </row>
    <row r="43">
      <c r="D43" s="527"/>
      <c r="E43" s="592"/>
      <c r="F43" s="603" t="s">
        <v>1950</v>
      </c>
      <c r="G43" s="609">
        <f>SUM(G39:G41)+G38</f>
        <v>68</v>
      </c>
      <c r="H43" s="527"/>
      <c r="I43" s="527"/>
    </row>
    <row r="44">
      <c r="D44" s="527"/>
      <c r="E44" s="527"/>
      <c r="F44" s="527"/>
      <c r="G44" s="527"/>
      <c r="H44" s="527"/>
      <c r="I44" s="527"/>
    </row>
    <row r="45">
      <c r="D45" s="527"/>
      <c r="E45" s="527"/>
      <c r="F45" s="527"/>
      <c r="G45" s="527"/>
      <c r="H45" s="527"/>
      <c r="I45" s="527"/>
    </row>
    <row r="46">
      <c r="D46" s="527"/>
      <c r="E46" s="527"/>
      <c r="F46" s="527"/>
      <c r="G46" s="527"/>
      <c r="H46" s="527"/>
      <c r="I46" s="527"/>
    </row>
    <row r="47">
      <c r="D47" s="527"/>
      <c r="E47" s="527"/>
      <c r="F47" s="527"/>
      <c r="G47" s="527"/>
      <c r="H47" s="527"/>
      <c r="I47" s="527"/>
    </row>
  </sheetData>
  <mergeCells count="3">
    <mergeCell ref="E32:E37"/>
    <mergeCell ref="H33:H37"/>
    <mergeCell ref="E39:E4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28.13"/>
    <col customWidth="1" min="4" max="4" width="67.75"/>
  </cols>
  <sheetData>
    <row r="1">
      <c r="A1" s="610" t="s">
        <v>1951</v>
      </c>
      <c r="B1" s="611"/>
      <c r="C1" s="611"/>
      <c r="D1" s="612"/>
    </row>
    <row r="2" ht="79.5" customHeight="1">
      <c r="A2" s="613" t="s">
        <v>1952</v>
      </c>
      <c r="B2" s="614" t="s">
        <v>1953</v>
      </c>
      <c r="C2" s="517"/>
      <c r="D2" s="518"/>
    </row>
    <row r="3">
      <c r="A3" s="615" t="s">
        <v>1954</v>
      </c>
      <c r="B3" s="616" t="s">
        <v>1955</v>
      </c>
      <c r="C3" s="617"/>
      <c r="D3" s="618"/>
    </row>
    <row r="4">
      <c r="A4" s="615" t="s">
        <v>1956</v>
      </c>
      <c r="B4" s="619" t="s">
        <v>1957</v>
      </c>
      <c r="C4" s="617"/>
      <c r="D4" s="618"/>
    </row>
    <row r="5" ht="57.75" customHeight="1">
      <c r="A5" s="615" t="s">
        <v>1958</v>
      </c>
      <c r="B5" s="620" t="s">
        <v>1959</v>
      </c>
      <c r="C5" s="621"/>
      <c r="D5" s="622"/>
    </row>
    <row r="6">
      <c r="A6" s="615" t="s">
        <v>1960</v>
      </c>
      <c r="B6" s="623" t="s">
        <v>1961</v>
      </c>
      <c r="C6" s="621"/>
      <c r="D6" s="622"/>
    </row>
    <row r="7">
      <c r="A7" s="615" t="s">
        <v>1962</v>
      </c>
      <c r="B7" s="623" t="s">
        <v>1963</v>
      </c>
      <c r="C7" s="621"/>
      <c r="D7" s="622"/>
    </row>
    <row r="8">
      <c r="A8" s="615" t="s">
        <v>1964</v>
      </c>
      <c r="B8" s="623" t="s">
        <v>1965</v>
      </c>
      <c r="C8" s="621"/>
      <c r="D8" s="622"/>
    </row>
    <row r="9">
      <c r="A9" s="615" t="s">
        <v>1966</v>
      </c>
      <c r="B9" s="623" t="s">
        <v>1967</v>
      </c>
      <c r="C9" s="621"/>
      <c r="D9" s="622"/>
    </row>
    <row r="10">
      <c r="A10" s="624" t="s">
        <v>1968</v>
      </c>
      <c r="B10" s="625" t="s">
        <v>1969</v>
      </c>
      <c r="C10" s="622"/>
      <c r="D10" s="626" t="s">
        <v>1970</v>
      </c>
    </row>
    <row r="11">
      <c r="A11" s="627"/>
      <c r="B11" s="623" t="s">
        <v>1971</v>
      </c>
      <c r="C11" s="622"/>
      <c r="D11" s="628">
        <v>5.0</v>
      </c>
    </row>
    <row r="12">
      <c r="A12" s="627"/>
      <c r="B12" s="623" t="s">
        <v>1972</v>
      </c>
      <c r="C12" s="622"/>
      <c r="D12" s="628">
        <v>10.0</v>
      </c>
    </row>
    <row r="13">
      <c r="A13" s="627"/>
      <c r="B13" s="623" t="s">
        <v>1973</v>
      </c>
      <c r="C13" s="622"/>
      <c r="D13" s="628">
        <v>5.0</v>
      </c>
    </row>
    <row r="14">
      <c r="A14" s="627"/>
      <c r="B14" s="623" t="s">
        <v>1974</v>
      </c>
      <c r="C14" s="622"/>
      <c r="D14" s="628">
        <v>5.0</v>
      </c>
    </row>
    <row r="15">
      <c r="A15" s="627"/>
      <c r="B15" s="623" t="s">
        <v>1975</v>
      </c>
      <c r="C15" s="622"/>
      <c r="D15" s="628">
        <v>10.0</v>
      </c>
    </row>
    <row r="16">
      <c r="A16" s="627"/>
      <c r="B16" s="623" t="s">
        <v>1976</v>
      </c>
      <c r="C16" s="622"/>
      <c r="D16" s="628">
        <v>10.0</v>
      </c>
    </row>
    <row r="17">
      <c r="A17" s="627"/>
      <c r="B17" s="623" t="s">
        <v>1977</v>
      </c>
      <c r="C17" s="622"/>
      <c r="D17" s="628">
        <v>15.0</v>
      </c>
    </row>
    <row r="18">
      <c r="A18" s="629"/>
      <c r="B18" s="625" t="s">
        <v>1978</v>
      </c>
      <c r="C18" s="622"/>
      <c r="D18" s="626">
        <v>60.0</v>
      </c>
    </row>
    <row r="19">
      <c r="A19" s="615" t="s">
        <v>1979</v>
      </c>
      <c r="B19" s="630" t="s">
        <v>1980</v>
      </c>
      <c r="C19" s="621"/>
      <c r="D19" s="622"/>
    </row>
  </sheetData>
  <mergeCells count="20">
    <mergeCell ref="A1:D1"/>
    <mergeCell ref="B2:D2"/>
    <mergeCell ref="B3:D3"/>
    <mergeCell ref="B4:D4"/>
    <mergeCell ref="B5:D5"/>
    <mergeCell ref="B6:D6"/>
    <mergeCell ref="B7:D7"/>
    <mergeCell ref="B14:C14"/>
    <mergeCell ref="B15:C15"/>
    <mergeCell ref="B16:C16"/>
    <mergeCell ref="B17:C17"/>
    <mergeCell ref="B18:C18"/>
    <mergeCell ref="B19:D19"/>
    <mergeCell ref="B8:D8"/>
    <mergeCell ref="B9:D9"/>
    <mergeCell ref="A10:A18"/>
    <mergeCell ref="B10:C10"/>
    <mergeCell ref="B11:C11"/>
    <mergeCell ref="B12:C12"/>
    <mergeCell ref="B13:C1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44" t="s">
        <v>1652</v>
      </c>
      <c r="B1" s="444" t="s">
        <v>1653</v>
      </c>
      <c r="C1" s="444" t="s">
        <v>1654</v>
      </c>
      <c r="D1" s="444" t="s">
        <v>1655</v>
      </c>
      <c r="E1" s="444" t="s">
        <v>1656</v>
      </c>
      <c r="F1" s="444" t="s">
        <v>1657</v>
      </c>
      <c r="G1" s="445" t="s">
        <v>1981</v>
      </c>
      <c r="H1" s="444" t="s">
        <v>1659</v>
      </c>
      <c r="I1" s="444" t="s">
        <v>1660</v>
      </c>
      <c r="J1" s="444" t="s">
        <v>1661</v>
      </c>
      <c r="K1" s="444" t="s">
        <v>1662</v>
      </c>
      <c r="L1" s="444" t="s">
        <v>1663</v>
      </c>
      <c r="M1" s="444" t="s">
        <v>1664</v>
      </c>
      <c r="N1" s="444" t="s">
        <v>1665</v>
      </c>
    </row>
    <row r="2">
      <c r="A2" s="447">
        <v>1.0</v>
      </c>
      <c r="B2" s="447" t="s">
        <v>1982</v>
      </c>
      <c r="C2" s="447" t="s">
        <v>1675</v>
      </c>
      <c r="D2" s="447" t="s">
        <v>256</v>
      </c>
      <c r="E2" s="447" t="s">
        <v>1983</v>
      </c>
      <c r="F2" s="447" t="s">
        <v>1714</v>
      </c>
      <c r="G2" s="448">
        <v>45987.0</v>
      </c>
      <c r="H2" s="447" t="s">
        <v>1671</v>
      </c>
      <c r="I2" s="447" t="s">
        <v>1672</v>
      </c>
      <c r="J2" s="447" t="s">
        <v>1193</v>
      </c>
      <c r="K2" s="447">
        <v>1.0</v>
      </c>
      <c r="L2" s="447" t="s">
        <v>1984</v>
      </c>
      <c r="M2" s="447">
        <v>1.0</v>
      </c>
      <c r="N2" s="447">
        <v>0.0</v>
      </c>
    </row>
    <row r="3">
      <c r="A3" s="447">
        <v>2.0</v>
      </c>
      <c r="B3" s="447" t="s">
        <v>1985</v>
      </c>
      <c r="C3" s="447" t="s">
        <v>1675</v>
      </c>
      <c r="D3" s="447" t="s">
        <v>1986</v>
      </c>
      <c r="E3" s="447" t="s">
        <v>1983</v>
      </c>
      <c r="F3" s="447" t="s">
        <v>1702</v>
      </c>
      <c r="G3" s="448">
        <v>45983.0</v>
      </c>
      <c r="H3" s="447" t="s">
        <v>1671</v>
      </c>
      <c r="I3" s="447" t="s">
        <v>1193</v>
      </c>
      <c r="J3" s="447" t="s">
        <v>1193</v>
      </c>
      <c r="K3" s="447">
        <v>1.0</v>
      </c>
      <c r="L3" s="447" t="s">
        <v>1987</v>
      </c>
      <c r="M3" s="447">
        <v>16.0</v>
      </c>
      <c r="N3" s="447">
        <v>0.0</v>
      </c>
    </row>
    <row r="4">
      <c r="A4" s="447">
        <v>3.0</v>
      </c>
      <c r="B4" s="447" t="s">
        <v>1988</v>
      </c>
      <c r="C4" s="447" t="s">
        <v>1675</v>
      </c>
      <c r="D4" s="447" t="s">
        <v>1989</v>
      </c>
      <c r="E4" s="631"/>
      <c r="F4" s="447" t="s">
        <v>1702</v>
      </c>
      <c r="G4" s="448">
        <v>45983.0</v>
      </c>
      <c r="H4" s="447" t="s">
        <v>1671</v>
      </c>
      <c r="I4" s="447" t="s">
        <v>1672</v>
      </c>
      <c r="J4" s="447" t="s">
        <v>1193</v>
      </c>
      <c r="K4" s="447">
        <v>0.0</v>
      </c>
      <c r="L4" s="447" t="s">
        <v>1990</v>
      </c>
      <c r="M4" s="447">
        <v>0.0</v>
      </c>
      <c r="N4" s="447">
        <v>0.0</v>
      </c>
    </row>
    <row r="5">
      <c r="A5" s="447">
        <v>4.0</v>
      </c>
      <c r="B5" s="447" t="s">
        <v>1991</v>
      </c>
      <c r="C5" s="447" t="s">
        <v>1675</v>
      </c>
      <c r="D5" s="447" t="s">
        <v>415</v>
      </c>
      <c r="E5" s="447" t="s">
        <v>1983</v>
      </c>
      <c r="F5" s="447" t="s">
        <v>1714</v>
      </c>
      <c r="G5" s="448">
        <v>45985.0</v>
      </c>
      <c r="H5" s="447" t="s">
        <v>1671</v>
      </c>
      <c r="I5" s="447" t="s">
        <v>1672</v>
      </c>
      <c r="J5" s="447" t="s">
        <v>1193</v>
      </c>
      <c r="K5" s="447">
        <v>1.0</v>
      </c>
      <c r="L5" s="447" t="s">
        <v>1992</v>
      </c>
      <c r="M5" s="447">
        <v>1.0</v>
      </c>
      <c r="N5" s="447">
        <v>0.0</v>
      </c>
    </row>
    <row r="6">
      <c r="A6" s="447">
        <v>5.0</v>
      </c>
      <c r="B6" s="447" t="s">
        <v>1993</v>
      </c>
      <c r="C6" s="447" t="s">
        <v>1675</v>
      </c>
      <c r="D6" s="447" t="s">
        <v>1668</v>
      </c>
      <c r="E6" s="447" t="s">
        <v>1994</v>
      </c>
      <c r="F6" s="447" t="s">
        <v>1995</v>
      </c>
      <c r="G6" s="448">
        <v>45976.0</v>
      </c>
      <c r="H6" s="447" t="s">
        <v>1671</v>
      </c>
      <c r="I6" s="447" t="s">
        <v>1672</v>
      </c>
      <c r="J6" s="447" t="s">
        <v>1193</v>
      </c>
      <c r="K6" s="447">
        <v>0.0</v>
      </c>
      <c r="L6" s="447" t="s">
        <v>1673</v>
      </c>
      <c r="M6" s="447">
        <v>60.0</v>
      </c>
      <c r="N6" s="447">
        <v>0.0</v>
      </c>
    </row>
    <row r="7">
      <c r="A7" s="447">
        <v>6.0</v>
      </c>
      <c r="B7" s="447" t="s">
        <v>1996</v>
      </c>
      <c r="C7" s="447" t="s">
        <v>1675</v>
      </c>
      <c r="D7" s="447" t="s">
        <v>1997</v>
      </c>
      <c r="E7" s="447" t="s">
        <v>1998</v>
      </c>
      <c r="F7" s="447" t="s">
        <v>1999</v>
      </c>
      <c r="G7" s="448">
        <v>45975.0</v>
      </c>
      <c r="H7" s="447" t="s">
        <v>1671</v>
      </c>
      <c r="I7" s="447" t="s">
        <v>1672</v>
      </c>
      <c r="J7" s="447" t="s">
        <v>1193</v>
      </c>
      <c r="K7" s="447">
        <v>1.0</v>
      </c>
      <c r="L7" s="447" t="s">
        <v>2000</v>
      </c>
      <c r="M7" s="447">
        <v>1.0</v>
      </c>
      <c r="N7" s="447">
        <v>0.0</v>
      </c>
    </row>
    <row r="8">
      <c r="A8" s="447">
        <v>7.0</v>
      </c>
      <c r="B8" s="447" t="s">
        <v>2001</v>
      </c>
      <c r="C8" s="447" t="s">
        <v>1675</v>
      </c>
      <c r="D8" s="631"/>
      <c r="E8" s="447" t="s">
        <v>1994</v>
      </c>
      <c r="F8" s="447" t="s">
        <v>2002</v>
      </c>
      <c r="G8" s="448">
        <v>45975.0</v>
      </c>
      <c r="H8" s="447" t="s">
        <v>1671</v>
      </c>
      <c r="I8" s="447" t="s">
        <v>1672</v>
      </c>
      <c r="J8" s="447" t="s">
        <v>1193</v>
      </c>
      <c r="K8" s="447">
        <v>1.0</v>
      </c>
      <c r="L8" s="447" t="s">
        <v>2003</v>
      </c>
      <c r="M8" s="447">
        <v>2.0</v>
      </c>
      <c r="N8" s="447">
        <v>0.0</v>
      </c>
    </row>
    <row r="9">
      <c r="A9" s="447">
        <v>8.0</v>
      </c>
      <c r="B9" s="447" t="s">
        <v>1680</v>
      </c>
      <c r="C9" s="447" t="s">
        <v>1675</v>
      </c>
      <c r="D9" s="447" t="s">
        <v>1681</v>
      </c>
      <c r="E9" s="447" t="s">
        <v>1669</v>
      </c>
      <c r="F9" s="447" t="s">
        <v>1682</v>
      </c>
      <c r="G9" s="448">
        <v>45974.0</v>
      </c>
      <c r="H9" s="447" t="s">
        <v>1671</v>
      </c>
      <c r="I9" s="447" t="s">
        <v>1672</v>
      </c>
      <c r="J9" s="447" t="s">
        <v>1193</v>
      </c>
      <c r="K9" s="447">
        <v>1.0</v>
      </c>
      <c r="L9" s="447" t="s">
        <v>1683</v>
      </c>
      <c r="M9" s="447">
        <v>1.0</v>
      </c>
      <c r="N9" s="447">
        <v>0.0</v>
      </c>
    </row>
    <row r="10">
      <c r="A10" s="447">
        <v>9.0</v>
      </c>
      <c r="B10" s="447" t="s">
        <v>1684</v>
      </c>
      <c r="C10" s="447" t="s">
        <v>1675</v>
      </c>
      <c r="D10" s="447" t="s">
        <v>1685</v>
      </c>
      <c r="E10" s="447" t="s">
        <v>1669</v>
      </c>
      <c r="F10" s="447" t="s">
        <v>1679</v>
      </c>
      <c r="G10" s="448">
        <v>45965.0</v>
      </c>
      <c r="H10" s="447" t="s">
        <v>1671</v>
      </c>
      <c r="I10" s="447" t="s">
        <v>1672</v>
      </c>
      <c r="J10" s="447" t="s">
        <v>1193</v>
      </c>
      <c r="K10" s="447">
        <v>1.0</v>
      </c>
      <c r="L10" s="447" t="s">
        <v>1686</v>
      </c>
      <c r="M10" s="447">
        <v>1.0</v>
      </c>
      <c r="N10" s="447">
        <v>0.0</v>
      </c>
    </row>
    <row r="11">
      <c r="A11" s="447">
        <v>10.0</v>
      </c>
      <c r="B11" s="447" t="s">
        <v>1687</v>
      </c>
      <c r="C11" s="447" t="s">
        <v>1675</v>
      </c>
      <c r="D11" s="447" t="s">
        <v>1688</v>
      </c>
      <c r="E11" s="447" t="s">
        <v>1669</v>
      </c>
      <c r="F11" s="447" t="s">
        <v>1689</v>
      </c>
      <c r="G11" s="448">
        <v>45955.0</v>
      </c>
      <c r="H11" s="447" t="s">
        <v>1671</v>
      </c>
      <c r="I11" s="447" t="s">
        <v>1193</v>
      </c>
      <c r="J11" s="447" t="s">
        <v>1193</v>
      </c>
      <c r="K11" s="447">
        <v>1.0</v>
      </c>
      <c r="L11" s="447" t="s">
        <v>1690</v>
      </c>
      <c r="M11" s="447">
        <v>111.0</v>
      </c>
      <c r="N11" s="447">
        <v>1.0</v>
      </c>
    </row>
    <row r="12">
      <c r="A12" s="447">
        <v>11.0</v>
      </c>
      <c r="B12" s="447" t="s">
        <v>1691</v>
      </c>
      <c r="C12" s="447" t="s">
        <v>1675</v>
      </c>
      <c r="D12" s="447" t="s">
        <v>256</v>
      </c>
      <c r="E12" s="447" t="s">
        <v>1669</v>
      </c>
      <c r="F12" s="447" t="s">
        <v>1692</v>
      </c>
      <c r="G12" s="448">
        <v>45952.0</v>
      </c>
      <c r="H12" s="447" t="s">
        <v>1671</v>
      </c>
      <c r="I12" s="447" t="s">
        <v>1672</v>
      </c>
      <c r="J12" s="447" t="s">
        <v>1193</v>
      </c>
      <c r="K12" s="447">
        <v>1.0</v>
      </c>
      <c r="L12" s="447" t="s">
        <v>1693</v>
      </c>
      <c r="M12" s="447">
        <v>1.0</v>
      </c>
      <c r="N12" s="447">
        <v>0.0</v>
      </c>
    </row>
    <row r="13">
      <c r="A13" s="447">
        <v>12.0</v>
      </c>
      <c r="B13" s="447" t="s">
        <v>2004</v>
      </c>
      <c r="C13" s="447" t="s">
        <v>1675</v>
      </c>
      <c r="D13" s="447" t="s">
        <v>1998</v>
      </c>
      <c r="E13" s="447" t="s">
        <v>1998</v>
      </c>
      <c r="F13" s="447" t="s">
        <v>2005</v>
      </c>
      <c r="G13" s="448">
        <v>45952.0</v>
      </c>
      <c r="H13" s="447" t="s">
        <v>1671</v>
      </c>
      <c r="I13" s="447" t="s">
        <v>1672</v>
      </c>
      <c r="J13" s="447" t="s">
        <v>1193</v>
      </c>
      <c r="K13" s="447">
        <v>1.0</v>
      </c>
      <c r="L13" s="447" t="s">
        <v>2006</v>
      </c>
      <c r="M13" s="447">
        <v>2.0</v>
      </c>
      <c r="N13" s="447">
        <v>0.0</v>
      </c>
    </row>
    <row r="14">
      <c r="A14" s="447">
        <v>13.0</v>
      </c>
      <c r="B14" s="447" t="s">
        <v>2007</v>
      </c>
      <c r="C14" s="447" t="s">
        <v>1675</v>
      </c>
      <c r="D14" s="447" t="s">
        <v>2008</v>
      </c>
      <c r="E14" s="447" t="s">
        <v>1983</v>
      </c>
      <c r="F14" s="447" t="s">
        <v>2009</v>
      </c>
      <c r="G14" s="448">
        <v>45951.0</v>
      </c>
      <c r="H14" s="447" t="s">
        <v>1671</v>
      </c>
      <c r="I14" s="447" t="s">
        <v>1672</v>
      </c>
      <c r="J14" s="447" t="s">
        <v>1193</v>
      </c>
      <c r="K14" s="447">
        <v>1.0</v>
      </c>
      <c r="L14" s="447" t="s">
        <v>2010</v>
      </c>
      <c r="M14" s="447">
        <v>5.0</v>
      </c>
      <c r="N14" s="447">
        <v>1.0</v>
      </c>
    </row>
    <row r="15">
      <c r="A15" s="447">
        <v>14.0</v>
      </c>
      <c r="B15" s="447" t="s">
        <v>1694</v>
      </c>
      <c r="C15" s="447" t="s">
        <v>1675</v>
      </c>
      <c r="D15" s="631"/>
      <c r="E15" s="447" t="s">
        <v>1669</v>
      </c>
      <c r="F15" s="447" t="s">
        <v>1695</v>
      </c>
      <c r="G15" s="448">
        <v>45951.0</v>
      </c>
      <c r="H15" s="447" t="s">
        <v>1671</v>
      </c>
      <c r="I15" s="447" t="s">
        <v>1672</v>
      </c>
      <c r="J15" s="447" t="s">
        <v>1193</v>
      </c>
      <c r="K15" s="447">
        <v>2.0</v>
      </c>
      <c r="L15" s="447" t="s">
        <v>1696</v>
      </c>
      <c r="M15" s="447">
        <v>1.0</v>
      </c>
      <c r="N15" s="447">
        <v>0.0</v>
      </c>
    </row>
    <row r="16">
      <c r="A16" s="447">
        <v>15.0</v>
      </c>
      <c r="B16" s="447" t="s">
        <v>1697</v>
      </c>
      <c r="C16" s="447" t="s">
        <v>1675</v>
      </c>
      <c r="D16" s="447" t="s">
        <v>1698</v>
      </c>
      <c r="E16" s="447" t="s">
        <v>1669</v>
      </c>
      <c r="F16" s="447" t="s">
        <v>1699</v>
      </c>
      <c r="G16" s="448">
        <v>45951.0</v>
      </c>
      <c r="H16" s="447" t="s">
        <v>1671</v>
      </c>
      <c r="I16" s="447" t="s">
        <v>1193</v>
      </c>
      <c r="J16" s="447" t="s">
        <v>1193</v>
      </c>
      <c r="K16" s="447">
        <v>3.0</v>
      </c>
      <c r="L16" s="447" t="s">
        <v>1700</v>
      </c>
      <c r="M16" s="447">
        <v>24.0</v>
      </c>
      <c r="N16" s="447">
        <v>1.0</v>
      </c>
    </row>
    <row r="17">
      <c r="A17" s="447">
        <v>16.0</v>
      </c>
      <c r="B17" s="447" t="s">
        <v>225</v>
      </c>
      <c r="C17" s="447" t="s">
        <v>1675</v>
      </c>
      <c r="D17" s="447" t="s">
        <v>1701</v>
      </c>
      <c r="E17" s="447" t="s">
        <v>1669</v>
      </c>
      <c r="F17" s="447" t="s">
        <v>1702</v>
      </c>
      <c r="G17" s="448">
        <v>45921.0</v>
      </c>
      <c r="H17" s="447" t="s">
        <v>1671</v>
      </c>
      <c r="I17" s="447" t="s">
        <v>1193</v>
      </c>
      <c r="J17" s="447" t="s">
        <v>1193</v>
      </c>
      <c r="K17" s="447">
        <v>1.0</v>
      </c>
      <c r="L17" s="447" t="s">
        <v>1703</v>
      </c>
      <c r="M17" s="447">
        <v>18.0</v>
      </c>
      <c r="N17" s="447">
        <v>1.0</v>
      </c>
    </row>
    <row r="18">
      <c r="A18" s="447">
        <v>17.0</v>
      </c>
      <c r="B18" s="447" t="s">
        <v>2011</v>
      </c>
      <c r="C18" s="447" t="s">
        <v>1675</v>
      </c>
      <c r="D18" s="631"/>
      <c r="E18" s="447" t="s">
        <v>1998</v>
      </c>
      <c r="F18" s="447" t="s">
        <v>1692</v>
      </c>
      <c r="G18" s="448">
        <v>45945.0</v>
      </c>
      <c r="H18" s="447" t="s">
        <v>1671</v>
      </c>
      <c r="I18" s="447" t="s">
        <v>1672</v>
      </c>
      <c r="J18" s="447" t="s">
        <v>1193</v>
      </c>
      <c r="K18" s="447">
        <v>2.0</v>
      </c>
      <c r="L18" s="447" t="s">
        <v>2012</v>
      </c>
      <c r="M18" s="447">
        <v>2.0</v>
      </c>
      <c r="N18" s="447">
        <v>0.0</v>
      </c>
    </row>
    <row r="19">
      <c r="A19" s="447">
        <v>18.0</v>
      </c>
      <c r="B19" s="447" t="s">
        <v>2013</v>
      </c>
      <c r="C19" s="447" t="s">
        <v>1675</v>
      </c>
      <c r="D19" s="449"/>
      <c r="E19" s="447" t="s">
        <v>1998</v>
      </c>
      <c r="F19" s="447" t="s">
        <v>2014</v>
      </c>
      <c r="G19" s="448">
        <v>45940.0</v>
      </c>
      <c r="H19" s="447" t="s">
        <v>1671</v>
      </c>
      <c r="I19" s="447" t="s">
        <v>1672</v>
      </c>
      <c r="J19" s="447" t="s">
        <v>1193</v>
      </c>
      <c r="K19" s="447">
        <v>1.0</v>
      </c>
      <c r="L19" s="447" t="s">
        <v>2015</v>
      </c>
      <c r="M19" s="447">
        <v>3.0</v>
      </c>
      <c r="N19" s="447">
        <v>0.0</v>
      </c>
    </row>
    <row r="20">
      <c r="A20" s="447">
        <v>19.0</v>
      </c>
      <c r="B20" s="447" t="s">
        <v>2016</v>
      </c>
      <c r="C20" s="447" t="s">
        <v>1675</v>
      </c>
      <c r="D20" s="449"/>
      <c r="E20" s="447" t="s">
        <v>1983</v>
      </c>
      <c r="F20" s="447" t="s">
        <v>2017</v>
      </c>
      <c r="G20" s="448">
        <v>45936.0</v>
      </c>
      <c r="H20" s="447" t="s">
        <v>1671</v>
      </c>
      <c r="I20" s="447" t="s">
        <v>1672</v>
      </c>
      <c r="J20" s="447" t="s">
        <v>1193</v>
      </c>
      <c r="K20" s="447">
        <v>0.0</v>
      </c>
      <c r="L20" s="447" t="s">
        <v>2018</v>
      </c>
      <c r="M20" s="447">
        <v>2.0</v>
      </c>
      <c r="N20" s="447">
        <v>0.0</v>
      </c>
    </row>
    <row r="21">
      <c r="A21" s="447">
        <v>20.0</v>
      </c>
      <c r="B21" s="447" t="s">
        <v>2019</v>
      </c>
      <c r="C21" s="447" t="s">
        <v>1675</v>
      </c>
      <c r="D21" s="447" t="s">
        <v>1986</v>
      </c>
      <c r="E21" s="447" t="s">
        <v>1983</v>
      </c>
      <c r="F21" s="447" t="s">
        <v>1714</v>
      </c>
      <c r="G21" s="448">
        <v>45933.0</v>
      </c>
      <c r="H21" s="447" t="s">
        <v>1671</v>
      </c>
      <c r="I21" s="447" t="s">
        <v>1193</v>
      </c>
      <c r="J21" s="447" t="s">
        <v>1193</v>
      </c>
      <c r="K21" s="447">
        <v>2.0</v>
      </c>
      <c r="L21" s="447" t="s">
        <v>2020</v>
      </c>
      <c r="M21" s="447">
        <v>43.0</v>
      </c>
      <c r="N21" s="447">
        <v>1.0</v>
      </c>
    </row>
    <row r="22">
      <c r="A22" s="447">
        <v>21.0</v>
      </c>
      <c r="B22" s="447" t="s">
        <v>1704</v>
      </c>
      <c r="C22" s="447" t="s">
        <v>1675</v>
      </c>
      <c r="D22" s="447" t="s">
        <v>1668</v>
      </c>
      <c r="E22" s="447" t="s">
        <v>1669</v>
      </c>
      <c r="F22" s="447" t="s">
        <v>1705</v>
      </c>
      <c r="G22" s="448">
        <v>45931.0</v>
      </c>
      <c r="H22" s="447" t="s">
        <v>1671</v>
      </c>
      <c r="I22" s="447" t="s">
        <v>1672</v>
      </c>
      <c r="J22" s="447" t="s">
        <v>1193</v>
      </c>
      <c r="K22" s="447">
        <v>1.0</v>
      </c>
      <c r="L22" s="447" t="s">
        <v>1673</v>
      </c>
      <c r="M22" s="447">
        <v>0.0</v>
      </c>
      <c r="N22" s="447">
        <v>0.0</v>
      </c>
    </row>
    <row r="23">
      <c r="A23" s="447">
        <v>22.0</v>
      </c>
      <c r="B23" s="447" t="s">
        <v>2021</v>
      </c>
      <c r="C23" s="447" t="s">
        <v>1675</v>
      </c>
      <c r="D23" s="447" t="s">
        <v>2022</v>
      </c>
      <c r="E23" s="447" t="s">
        <v>1994</v>
      </c>
      <c r="F23" s="447" t="s">
        <v>1714</v>
      </c>
      <c r="G23" s="448">
        <v>45926.0</v>
      </c>
      <c r="H23" s="447" t="s">
        <v>1671</v>
      </c>
      <c r="I23" s="447" t="s">
        <v>1672</v>
      </c>
      <c r="J23" s="447" t="s">
        <v>1193</v>
      </c>
      <c r="K23" s="447">
        <v>1.0</v>
      </c>
      <c r="L23" s="447" t="s">
        <v>2023</v>
      </c>
      <c r="M23" s="447">
        <v>45.0</v>
      </c>
      <c r="N23" s="447">
        <v>1.0</v>
      </c>
    </row>
    <row r="24">
      <c r="A24" s="447">
        <v>23.0</v>
      </c>
      <c r="B24" s="447" t="s">
        <v>2024</v>
      </c>
      <c r="C24" s="447" t="s">
        <v>1675</v>
      </c>
      <c r="D24" s="449"/>
      <c r="E24" s="447" t="s">
        <v>1983</v>
      </c>
      <c r="F24" s="447" t="s">
        <v>1676</v>
      </c>
      <c r="G24" s="448">
        <v>45891.0</v>
      </c>
      <c r="H24" s="447" t="s">
        <v>1671</v>
      </c>
      <c r="I24" s="447" t="s">
        <v>1672</v>
      </c>
      <c r="J24" s="447" t="s">
        <v>1193</v>
      </c>
      <c r="K24" s="447">
        <v>1.0</v>
      </c>
      <c r="L24" s="447" t="s">
        <v>2025</v>
      </c>
      <c r="M24" s="447">
        <v>12.0</v>
      </c>
      <c r="N24" s="447">
        <v>1.0</v>
      </c>
    </row>
    <row r="25">
      <c r="A25" s="447">
        <v>24.0</v>
      </c>
      <c r="B25" s="447" t="s">
        <v>1706</v>
      </c>
      <c r="C25" s="447" t="s">
        <v>1675</v>
      </c>
      <c r="D25" s="447" t="s">
        <v>1707</v>
      </c>
      <c r="E25" s="447" t="s">
        <v>1669</v>
      </c>
      <c r="F25" s="447" t="s">
        <v>1676</v>
      </c>
      <c r="G25" s="448">
        <v>45922.0</v>
      </c>
      <c r="H25" s="447" t="s">
        <v>1671</v>
      </c>
      <c r="I25" s="447" t="s">
        <v>1193</v>
      </c>
      <c r="J25" s="447" t="s">
        <v>1193</v>
      </c>
      <c r="K25" s="447">
        <v>2.0</v>
      </c>
      <c r="L25" s="447" t="s">
        <v>1708</v>
      </c>
      <c r="M25" s="447">
        <v>23.0</v>
      </c>
      <c r="N25" s="447">
        <v>2.0</v>
      </c>
    </row>
    <row r="26">
      <c r="A26" s="447">
        <v>25.0</v>
      </c>
      <c r="B26" s="447" t="s">
        <v>1709</v>
      </c>
      <c r="C26" s="447" t="s">
        <v>1675</v>
      </c>
      <c r="D26" s="447" t="s">
        <v>1710</v>
      </c>
      <c r="E26" s="447" t="s">
        <v>1669</v>
      </c>
      <c r="F26" s="447" t="s">
        <v>1702</v>
      </c>
      <c r="G26" s="448">
        <v>45910.0</v>
      </c>
      <c r="H26" s="447" t="s">
        <v>1671</v>
      </c>
      <c r="I26" s="447" t="s">
        <v>1193</v>
      </c>
      <c r="J26" s="447" t="s">
        <v>1193</v>
      </c>
      <c r="K26" s="447">
        <v>0.0</v>
      </c>
      <c r="L26" s="447" t="s">
        <v>1711</v>
      </c>
      <c r="M26" s="447">
        <v>41.0</v>
      </c>
      <c r="N26" s="447">
        <v>2.0</v>
      </c>
    </row>
    <row r="27">
      <c r="A27" s="447">
        <v>26.0</v>
      </c>
      <c r="B27" s="447" t="s">
        <v>2026</v>
      </c>
      <c r="C27" s="447" t="s">
        <v>1675</v>
      </c>
      <c r="D27" s="447" t="s">
        <v>2027</v>
      </c>
      <c r="E27" s="447" t="s">
        <v>1983</v>
      </c>
      <c r="F27" s="447" t="s">
        <v>2028</v>
      </c>
      <c r="G27" s="448">
        <v>45909.0</v>
      </c>
      <c r="H27" s="447" t="s">
        <v>1671</v>
      </c>
      <c r="I27" s="447" t="s">
        <v>1672</v>
      </c>
      <c r="J27" s="447" t="s">
        <v>1193</v>
      </c>
      <c r="K27" s="447">
        <v>1.0</v>
      </c>
      <c r="L27" s="447" t="s">
        <v>2029</v>
      </c>
      <c r="M27" s="447">
        <v>18.0</v>
      </c>
      <c r="N27" s="447">
        <v>0.0</v>
      </c>
    </row>
    <row r="28">
      <c r="A28" s="447">
        <v>27.0</v>
      </c>
      <c r="B28" s="447" t="s">
        <v>1712</v>
      </c>
      <c r="C28" s="447" t="s">
        <v>1675</v>
      </c>
      <c r="D28" s="447" t="s">
        <v>1713</v>
      </c>
      <c r="E28" s="447" t="s">
        <v>1669</v>
      </c>
      <c r="F28" s="447" t="s">
        <v>1714</v>
      </c>
      <c r="G28" s="448">
        <v>45909.0</v>
      </c>
      <c r="H28" s="447" t="s">
        <v>1671</v>
      </c>
      <c r="I28" s="447" t="s">
        <v>1672</v>
      </c>
      <c r="J28" s="447" t="s">
        <v>1193</v>
      </c>
      <c r="K28" s="447">
        <v>1.0</v>
      </c>
      <c r="L28" s="447" t="s">
        <v>1715</v>
      </c>
      <c r="M28" s="447">
        <v>1.0</v>
      </c>
      <c r="N28" s="447">
        <v>0.0</v>
      </c>
    </row>
    <row r="29">
      <c r="A29" s="447">
        <v>28.0</v>
      </c>
      <c r="B29" s="447" t="s">
        <v>2030</v>
      </c>
      <c r="C29" s="447" t="s">
        <v>1675</v>
      </c>
      <c r="D29" s="447" t="s">
        <v>1668</v>
      </c>
      <c r="E29" s="447" t="s">
        <v>1994</v>
      </c>
      <c r="F29" s="447" t="s">
        <v>2031</v>
      </c>
      <c r="G29" s="448">
        <v>45901.0</v>
      </c>
      <c r="H29" s="447" t="s">
        <v>1671</v>
      </c>
      <c r="I29" s="447" t="s">
        <v>1672</v>
      </c>
      <c r="J29" s="447" t="s">
        <v>1193</v>
      </c>
      <c r="K29" s="447">
        <v>2.0</v>
      </c>
      <c r="L29" s="447" t="s">
        <v>1673</v>
      </c>
      <c r="M29" s="447">
        <v>8.0</v>
      </c>
      <c r="N29" s="447">
        <v>2.0</v>
      </c>
    </row>
    <row r="30">
      <c r="A30" s="447">
        <v>29.0</v>
      </c>
      <c r="B30" s="447" t="s">
        <v>2032</v>
      </c>
      <c r="C30" s="447" t="s">
        <v>1675</v>
      </c>
      <c r="D30" s="447" t="s">
        <v>2033</v>
      </c>
      <c r="E30" s="447" t="s">
        <v>1998</v>
      </c>
      <c r="F30" s="447" t="s">
        <v>1723</v>
      </c>
      <c r="G30" s="448">
        <v>45895.0</v>
      </c>
      <c r="H30" s="447" t="s">
        <v>1671</v>
      </c>
      <c r="I30" s="447" t="s">
        <v>1672</v>
      </c>
      <c r="J30" s="447" t="s">
        <v>1193</v>
      </c>
      <c r="K30" s="447">
        <v>1.0</v>
      </c>
      <c r="L30" s="447" t="s">
        <v>2034</v>
      </c>
      <c r="M30" s="447">
        <v>19.0</v>
      </c>
      <c r="N30" s="447">
        <v>2.0</v>
      </c>
    </row>
    <row r="31">
      <c r="A31" s="447">
        <v>30.0</v>
      </c>
      <c r="B31" s="447" t="s">
        <v>2035</v>
      </c>
      <c r="C31" s="447" t="s">
        <v>1675</v>
      </c>
      <c r="D31" s="449"/>
      <c r="E31" s="447" t="s">
        <v>1983</v>
      </c>
      <c r="F31" s="447" t="s">
        <v>2036</v>
      </c>
      <c r="G31" s="448">
        <v>45891.0</v>
      </c>
      <c r="H31" s="447" t="s">
        <v>1671</v>
      </c>
      <c r="I31" s="447" t="s">
        <v>1193</v>
      </c>
      <c r="J31" s="447" t="s">
        <v>1193</v>
      </c>
      <c r="K31" s="447">
        <v>1.0</v>
      </c>
      <c r="L31" s="447" t="s">
        <v>2037</v>
      </c>
      <c r="M31" s="447">
        <v>7.0</v>
      </c>
      <c r="N31" s="447">
        <v>1.0</v>
      </c>
    </row>
    <row r="32">
      <c r="A32" s="447">
        <v>31.0</v>
      </c>
      <c r="B32" s="447" t="s">
        <v>2038</v>
      </c>
      <c r="C32" s="447" t="s">
        <v>1675</v>
      </c>
      <c r="D32" s="447" t="s">
        <v>2039</v>
      </c>
      <c r="E32" s="447" t="s">
        <v>1983</v>
      </c>
      <c r="F32" s="447" t="s">
        <v>2009</v>
      </c>
      <c r="G32" s="448">
        <v>45889.0</v>
      </c>
      <c r="H32" s="447" t="s">
        <v>1671</v>
      </c>
      <c r="I32" s="447" t="s">
        <v>1193</v>
      </c>
      <c r="J32" s="447" t="s">
        <v>1193</v>
      </c>
      <c r="K32" s="447">
        <v>0.0</v>
      </c>
      <c r="L32" s="447" t="s">
        <v>2040</v>
      </c>
      <c r="M32" s="447">
        <v>7.0</v>
      </c>
      <c r="N32" s="447">
        <v>1.0</v>
      </c>
    </row>
    <row r="33">
      <c r="A33" s="447">
        <v>32.0</v>
      </c>
      <c r="B33" s="447" t="s">
        <v>2041</v>
      </c>
      <c r="C33" s="447" t="s">
        <v>1675</v>
      </c>
      <c r="D33" s="447" t="s">
        <v>1983</v>
      </c>
      <c r="E33" s="447" t="s">
        <v>1983</v>
      </c>
      <c r="F33" s="447" t="s">
        <v>1676</v>
      </c>
      <c r="G33" s="448">
        <v>45889.0</v>
      </c>
      <c r="H33" s="447" t="s">
        <v>1671</v>
      </c>
      <c r="I33" s="447" t="s">
        <v>1672</v>
      </c>
      <c r="J33" s="447" t="s">
        <v>1193</v>
      </c>
      <c r="K33" s="447">
        <v>0.0</v>
      </c>
      <c r="L33" s="447" t="s">
        <v>2042</v>
      </c>
      <c r="M33" s="447">
        <v>1.0</v>
      </c>
      <c r="N33" s="447">
        <v>0.0</v>
      </c>
    </row>
    <row r="34">
      <c r="A34" s="447">
        <v>33.0</v>
      </c>
      <c r="B34" s="447" t="s">
        <v>2043</v>
      </c>
      <c r="C34" s="447" t="s">
        <v>1675</v>
      </c>
      <c r="D34" s="449"/>
      <c r="E34" s="447" t="s">
        <v>1994</v>
      </c>
      <c r="F34" s="447" t="s">
        <v>2044</v>
      </c>
      <c r="G34" s="448">
        <v>45873.0</v>
      </c>
      <c r="H34" s="447" t="s">
        <v>1671</v>
      </c>
      <c r="I34" s="447" t="s">
        <v>1672</v>
      </c>
      <c r="J34" s="447" t="s">
        <v>1193</v>
      </c>
      <c r="K34" s="447">
        <v>1.0</v>
      </c>
      <c r="L34" s="447" t="s">
        <v>2003</v>
      </c>
      <c r="M34" s="447">
        <v>2.0</v>
      </c>
      <c r="N34" s="447">
        <v>0.0</v>
      </c>
    </row>
    <row r="35">
      <c r="A35" s="447">
        <v>34.0</v>
      </c>
      <c r="B35" s="447" t="s">
        <v>2045</v>
      </c>
      <c r="C35" s="447" t="s">
        <v>1675</v>
      </c>
      <c r="D35" s="447" t="s">
        <v>2046</v>
      </c>
      <c r="E35" s="447" t="s">
        <v>1983</v>
      </c>
      <c r="F35" s="447" t="s">
        <v>1714</v>
      </c>
      <c r="G35" s="448">
        <v>45884.0</v>
      </c>
      <c r="H35" s="447" t="s">
        <v>1671</v>
      </c>
      <c r="I35" s="447" t="s">
        <v>1672</v>
      </c>
      <c r="J35" s="447" t="s">
        <v>1193</v>
      </c>
      <c r="K35" s="447">
        <v>1.0</v>
      </c>
      <c r="L35" s="447" t="s">
        <v>2047</v>
      </c>
      <c r="M35" s="447">
        <v>17.0</v>
      </c>
      <c r="N35" s="447">
        <v>1.0</v>
      </c>
    </row>
    <row r="36">
      <c r="A36" s="447">
        <v>35.0</v>
      </c>
      <c r="B36" s="447" t="s">
        <v>2048</v>
      </c>
      <c r="C36" s="447" t="s">
        <v>1675</v>
      </c>
      <c r="D36" s="447" t="s">
        <v>2049</v>
      </c>
      <c r="E36" s="447" t="s">
        <v>1983</v>
      </c>
      <c r="F36" s="447" t="s">
        <v>2009</v>
      </c>
      <c r="G36" s="448">
        <v>45883.0</v>
      </c>
      <c r="H36" s="447" t="s">
        <v>1671</v>
      </c>
      <c r="I36" s="447" t="s">
        <v>1672</v>
      </c>
      <c r="J36" s="447" t="s">
        <v>1193</v>
      </c>
      <c r="K36" s="447">
        <v>2.0</v>
      </c>
      <c r="L36" s="447" t="s">
        <v>2050</v>
      </c>
      <c r="M36" s="447">
        <v>9.0</v>
      </c>
      <c r="N36" s="447">
        <v>0.0</v>
      </c>
    </row>
    <row r="37">
      <c r="A37" s="447">
        <v>36.0</v>
      </c>
      <c r="B37" s="447" t="s">
        <v>1716</v>
      </c>
      <c r="C37" s="447" t="s">
        <v>1675</v>
      </c>
      <c r="D37" s="447" t="s">
        <v>1717</v>
      </c>
      <c r="E37" s="447" t="s">
        <v>1669</v>
      </c>
      <c r="F37" s="447" t="s">
        <v>1718</v>
      </c>
      <c r="G37" s="448">
        <v>45883.0</v>
      </c>
      <c r="H37" s="447" t="s">
        <v>1671</v>
      </c>
      <c r="I37" s="447" t="s">
        <v>1672</v>
      </c>
      <c r="J37" s="447" t="s">
        <v>1193</v>
      </c>
      <c r="K37" s="447">
        <v>1.0</v>
      </c>
      <c r="L37" s="447" t="s">
        <v>1719</v>
      </c>
      <c r="M37" s="447">
        <v>8.0</v>
      </c>
      <c r="N37" s="447">
        <v>0.0</v>
      </c>
    </row>
    <row r="38">
      <c r="A38" s="447">
        <v>37.0</v>
      </c>
      <c r="B38" s="447" t="s">
        <v>209</v>
      </c>
      <c r="C38" s="447" t="s">
        <v>1675</v>
      </c>
      <c r="D38" s="447" t="s">
        <v>1720</v>
      </c>
      <c r="E38" s="447" t="s">
        <v>1669</v>
      </c>
      <c r="F38" s="447" t="s">
        <v>1714</v>
      </c>
      <c r="G38" s="448">
        <v>45883.0</v>
      </c>
      <c r="H38" s="447" t="s">
        <v>1671</v>
      </c>
      <c r="I38" s="447" t="s">
        <v>1193</v>
      </c>
      <c r="J38" s="447" t="s">
        <v>1193</v>
      </c>
      <c r="K38" s="447">
        <v>1.0</v>
      </c>
      <c r="L38" s="447" t="s">
        <v>1721</v>
      </c>
      <c r="M38" s="447">
        <v>5.0</v>
      </c>
      <c r="N38" s="447">
        <v>1.0</v>
      </c>
    </row>
    <row r="39">
      <c r="A39" s="447">
        <v>38.0</v>
      </c>
      <c r="B39" s="447" t="s">
        <v>2051</v>
      </c>
      <c r="C39" s="447" t="s">
        <v>1675</v>
      </c>
      <c r="D39" s="447" t="s">
        <v>1668</v>
      </c>
      <c r="E39" s="447" t="s">
        <v>1998</v>
      </c>
      <c r="F39" s="447" t="s">
        <v>2052</v>
      </c>
      <c r="G39" s="448">
        <v>45874.0</v>
      </c>
      <c r="H39" s="447" t="s">
        <v>1671</v>
      </c>
      <c r="I39" s="447" t="s">
        <v>1672</v>
      </c>
      <c r="J39" s="447" t="s">
        <v>1193</v>
      </c>
      <c r="K39" s="447">
        <v>2.0</v>
      </c>
      <c r="L39" s="447" t="s">
        <v>1673</v>
      </c>
      <c r="M39" s="447">
        <v>19.0</v>
      </c>
      <c r="N39" s="447">
        <v>0.0</v>
      </c>
    </row>
    <row r="40">
      <c r="A40" s="447">
        <v>39.0</v>
      </c>
      <c r="B40" s="447" t="s">
        <v>1722</v>
      </c>
      <c r="C40" s="447" t="s">
        <v>1675</v>
      </c>
      <c r="D40" s="447" t="s">
        <v>1713</v>
      </c>
      <c r="E40" s="447" t="s">
        <v>1669</v>
      </c>
      <c r="F40" s="447" t="s">
        <v>1723</v>
      </c>
      <c r="G40" s="448">
        <v>45873.0</v>
      </c>
      <c r="H40" s="447" t="s">
        <v>1671</v>
      </c>
      <c r="I40" s="447" t="s">
        <v>1193</v>
      </c>
      <c r="J40" s="447" t="s">
        <v>1193</v>
      </c>
      <c r="K40" s="447">
        <v>3.0</v>
      </c>
      <c r="L40" s="447" t="s">
        <v>1715</v>
      </c>
      <c r="M40" s="447">
        <v>86.0</v>
      </c>
      <c r="N40" s="447">
        <v>4.0</v>
      </c>
    </row>
    <row r="41">
      <c r="A41" s="447">
        <v>40.0</v>
      </c>
      <c r="B41" s="447" t="s">
        <v>2053</v>
      </c>
      <c r="C41" s="447" t="s">
        <v>1675</v>
      </c>
      <c r="D41" s="447" t="s">
        <v>2054</v>
      </c>
      <c r="E41" s="447" t="s">
        <v>1983</v>
      </c>
      <c r="F41" s="447" t="s">
        <v>2055</v>
      </c>
      <c r="G41" s="448">
        <v>45866.0</v>
      </c>
      <c r="H41" s="447" t="s">
        <v>1671</v>
      </c>
      <c r="I41" s="447" t="s">
        <v>1193</v>
      </c>
      <c r="J41" s="447" t="s">
        <v>1193</v>
      </c>
      <c r="K41" s="447">
        <v>8.0</v>
      </c>
      <c r="L41" s="447" t="s">
        <v>1281</v>
      </c>
      <c r="M41" s="447">
        <v>16.0</v>
      </c>
      <c r="N41" s="447">
        <v>1.0</v>
      </c>
    </row>
    <row r="42">
      <c r="A42" s="447">
        <v>41.0</v>
      </c>
      <c r="B42" s="447" t="s">
        <v>355</v>
      </c>
      <c r="C42" s="447" t="s">
        <v>1675</v>
      </c>
      <c r="D42" s="447" t="s">
        <v>1710</v>
      </c>
      <c r="E42" s="447" t="s">
        <v>1669</v>
      </c>
      <c r="F42" s="447" t="s">
        <v>1724</v>
      </c>
      <c r="G42" s="448">
        <v>45860.0</v>
      </c>
      <c r="H42" s="447" t="s">
        <v>1671</v>
      </c>
      <c r="I42" s="447" t="s">
        <v>1193</v>
      </c>
      <c r="J42" s="447" t="s">
        <v>1193</v>
      </c>
      <c r="K42" s="447">
        <v>4.0</v>
      </c>
      <c r="L42" s="447" t="s">
        <v>1711</v>
      </c>
      <c r="M42" s="447">
        <v>31.0</v>
      </c>
      <c r="N42" s="447">
        <v>4.0</v>
      </c>
    </row>
    <row r="43">
      <c r="A43" s="447">
        <v>42.0</v>
      </c>
      <c r="B43" s="447" t="s">
        <v>2056</v>
      </c>
      <c r="C43" s="447" t="s">
        <v>1675</v>
      </c>
      <c r="D43" s="447" t="s">
        <v>1989</v>
      </c>
      <c r="E43" s="447" t="s">
        <v>1994</v>
      </c>
      <c r="F43" s="447" t="s">
        <v>1723</v>
      </c>
      <c r="G43" s="448">
        <v>45859.0</v>
      </c>
      <c r="H43" s="447" t="s">
        <v>1671</v>
      </c>
      <c r="I43" s="447" t="s">
        <v>1672</v>
      </c>
      <c r="J43" s="447" t="s">
        <v>1193</v>
      </c>
      <c r="K43" s="447">
        <v>1.0</v>
      </c>
      <c r="L43" s="447" t="s">
        <v>1990</v>
      </c>
      <c r="M43" s="447">
        <v>9.0</v>
      </c>
      <c r="N43" s="447">
        <v>0.0</v>
      </c>
    </row>
    <row r="44">
      <c r="A44" s="447">
        <v>43.0</v>
      </c>
      <c r="B44" s="447" t="s">
        <v>2057</v>
      </c>
      <c r="C44" s="447" t="s">
        <v>1675</v>
      </c>
      <c r="D44" s="447" t="s">
        <v>1998</v>
      </c>
      <c r="E44" s="447" t="s">
        <v>1998</v>
      </c>
      <c r="F44" s="447" t="s">
        <v>2058</v>
      </c>
      <c r="G44" s="448">
        <v>45756.0</v>
      </c>
      <c r="H44" s="447" t="s">
        <v>1671</v>
      </c>
      <c r="I44" s="447" t="s">
        <v>1193</v>
      </c>
      <c r="J44" s="447" t="s">
        <v>1193</v>
      </c>
      <c r="K44" s="447">
        <v>4.0</v>
      </c>
      <c r="L44" s="447" t="s">
        <v>2059</v>
      </c>
      <c r="M44" s="447">
        <v>24.0</v>
      </c>
      <c r="N44" s="447">
        <v>0.0</v>
      </c>
    </row>
    <row r="45">
      <c r="A45" s="447">
        <v>44.0</v>
      </c>
      <c r="B45" s="447" t="s">
        <v>2060</v>
      </c>
      <c r="C45" s="447" t="s">
        <v>1675</v>
      </c>
      <c r="D45" s="447" t="s">
        <v>2061</v>
      </c>
      <c r="E45" s="447" t="s">
        <v>1983</v>
      </c>
      <c r="F45" s="447" t="s">
        <v>1758</v>
      </c>
      <c r="G45" s="448">
        <v>45849.0</v>
      </c>
      <c r="H45" s="447" t="s">
        <v>1671</v>
      </c>
      <c r="I45" s="447" t="s">
        <v>1193</v>
      </c>
      <c r="J45" s="447" t="s">
        <v>1193</v>
      </c>
      <c r="K45" s="447">
        <v>1.0</v>
      </c>
      <c r="L45" s="447" t="s">
        <v>2062</v>
      </c>
      <c r="M45" s="447">
        <v>4.0</v>
      </c>
      <c r="N45" s="447">
        <v>0.0</v>
      </c>
    </row>
    <row r="46">
      <c r="A46" s="447">
        <v>45.0</v>
      </c>
      <c r="B46" s="447" t="s">
        <v>2063</v>
      </c>
      <c r="C46" s="447" t="s">
        <v>1675</v>
      </c>
      <c r="D46" s="447" t="s">
        <v>2064</v>
      </c>
      <c r="E46" s="447" t="s">
        <v>1983</v>
      </c>
      <c r="F46" s="447" t="s">
        <v>1714</v>
      </c>
      <c r="G46" s="448">
        <v>45848.0</v>
      </c>
      <c r="H46" s="447" t="s">
        <v>1671</v>
      </c>
      <c r="I46" s="447" t="s">
        <v>1193</v>
      </c>
      <c r="J46" s="447" t="s">
        <v>1193</v>
      </c>
      <c r="K46" s="447">
        <v>5.0</v>
      </c>
      <c r="L46" s="447" t="s">
        <v>2065</v>
      </c>
      <c r="M46" s="447">
        <v>8.0</v>
      </c>
      <c r="N46" s="447">
        <v>3.0</v>
      </c>
    </row>
    <row r="47">
      <c r="A47" s="447">
        <v>46.0</v>
      </c>
      <c r="B47" s="447" t="s">
        <v>2066</v>
      </c>
      <c r="C47" s="447" t="s">
        <v>1675</v>
      </c>
      <c r="D47" s="447" t="s">
        <v>2067</v>
      </c>
      <c r="E47" s="447" t="s">
        <v>1998</v>
      </c>
      <c r="F47" s="447" t="s">
        <v>1714</v>
      </c>
      <c r="G47" s="448">
        <v>45559.0</v>
      </c>
      <c r="H47" s="447" t="s">
        <v>1671</v>
      </c>
      <c r="I47" s="447" t="s">
        <v>1672</v>
      </c>
      <c r="J47" s="447" t="s">
        <v>1193</v>
      </c>
      <c r="K47" s="447">
        <v>1.0</v>
      </c>
      <c r="L47" s="447" t="s">
        <v>2068</v>
      </c>
      <c r="M47" s="447">
        <v>10.0</v>
      </c>
      <c r="N47" s="447">
        <v>1.0</v>
      </c>
    </row>
    <row r="48">
      <c r="A48" s="447">
        <v>47.0</v>
      </c>
      <c r="B48" s="447" t="s">
        <v>95</v>
      </c>
      <c r="C48" s="447" t="s">
        <v>1675</v>
      </c>
      <c r="D48" s="449"/>
      <c r="E48" s="447" t="s">
        <v>1669</v>
      </c>
      <c r="F48" s="447" t="s">
        <v>1682</v>
      </c>
      <c r="G48" s="448">
        <v>45846.0</v>
      </c>
      <c r="H48" s="447" t="s">
        <v>1671</v>
      </c>
      <c r="I48" s="447" t="s">
        <v>1193</v>
      </c>
      <c r="J48" s="447" t="s">
        <v>1193</v>
      </c>
      <c r="K48" s="447">
        <v>6.0</v>
      </c>
      <c r="L48" s="447" t="s">
        <v>1725</v>
      </c>
      <c r="M48" s="447">
        <v>12.0</v>
      </c>
      <c r="N48" s="447">
        <v>0.0</v>
      </c>
    </row>
    <row r="49">
      <c r="A49" s="447">
        <v>48.0</v>
      </c>
      <c r="B49" s="447" t="s">
        <v>1726</v>
      </c>
      <c r="C49" s="447" t="s">
        <v>1675</v>
      </c>
      <c r="D49" s="447" t="s">
        <v>1727</v>
      </c>
      <c r="E49" s="447" t="s">
        <v>1669</v>
      </c>
      <c r="F49" s="447" t="s">
        <v>1728</v>
      </c>
      <c r="G49" s="448">
        <v>45840.0</v>
      </c>
      <c r="H49" s="447" t="s">
        <v>1671</v>
      </c>
      <c r="I49" s="447" t="s">
        <v>1672</v>
      </c>
      <c r="J49" s="447" t="s">
        <v>1193</v>
      </c>
      <c r="K49" s="447">
        <v>1.0</v>
      </c>
      <c r="L49" s="447" t="s">
        <v>1729</v>
      </c>
      <c r="M49" s="447">
        <v>3.0</v>
      </c>
      <c r="N49" s="447">
        <v>0.0</v>
      </c>
    </row>
    <row r="50">
      <c r="A50" s="447">
        <v>49.0</v>
      </c>
      <c r="B50" s="447" t="s">
        <v>2069</v>
      </c>
      <c r="C50" s="447" t="s">
        <v>1675</v>
      </c>
      <c r="D50" s="447" t="s">
        <v>2070</v>
      </c>
      <c r="E50" s="447" t="s">
        <v>1983</v>
      </c>
      <c r="F50" s="447" t="s">
        <v>1714</v>
      </c>
      <c r="G50" s="448">
        <v>45524.0</v>
      </c>
      <c r="H50" s="447" t="s">
        <v>1671</v>
      </c>
      <c r="I50" s="447" t="s">
        <v>1672</v>
      </c>
      <c r="J50" s="447" t="s">
        <v>1193</v>
      </c>
      <c r="K50" s="447">
        <v>4.0</v>
      </c>
      <c r="L50" s="447" t="s">
        <v>1990</v>
      </c>
      <c r="M50" s="447">
        <v>13.0</v>
      </c>
      <c r="N50" s="447">
        <v>1.0</v>
      </c>
    </row>
    <row r="51">
      <c r="A51" s="447">
        <v>50.0</v>
      </c>
      <c r="B51" s="447" t="s">
        <v>2071</v>
      </c>
      <c r="C51" s="447" t="s">
        <v>1675</v>
      </c>
      <c r="D51" s="447" t="s">
        <v>1989</v>
      </c>
      <c r="E51" s="447" t="s">
        <v>1983</v>
      </c>
      <c r="F51" s="447" t="s">
        <v>1714</v>
      </c>
      <c r="G51" s="448">
        <v>45555.0</v>
      </c>
      <c r="H51" s="447" t="s">
        <v>1671</v>
      </c>
      <c r="I51" s="447" t="s">
        <v>1672</v>
      </c>
      <c r="J51" s="447" t="s">
        <v>1193</v>
      </c>
      <c r="K51" s="447">
        <v>4.0</v>
      </c>
      <c r="L51" s="447" t="s">
        <v>1990</v>
      </c>
      <c r="M51" s="447">
        <v>66.0</v>
      </c>
      <c r="N51" s="447">
        <v>0.0</v>
      </c>
    </row>
    <row r="52">
      <c r="A52" s="447">
        <v>51.0</v>
      </c>
      <c r="B52" s="447" t="s">
        <v>2072</v>
      </c>
      <c r="C52" s="447" t="s">
        <v>1675</v>
      </c>
      <c r="D52" s="447" t="s">
        <v>2073</v>
      </c>
      <c r="E52" s="447" t="s">
        <v>1998</v>
      </c>
      <c r="F52" s="447" t="s">
        <v>1714</v>
      </c>
      <c r="G52" s="448">
        <v>45826.0</v>
      </c>
      <c r="H52" s="447" t="s">
        <v>1671</v>
      </c>
      <c r="I52" s="447" t="s">
        <v>1193</v>
      </c>
      <c r="J52" s="447" t="s">
        <v>1193</v>
      </c>
      <c r="K52" s="447">
        <v>4.0</v>
      </c>
      <c r="L52" s="447" t="s">
        <v>2074</v>
      </c>
      <c r="M52" s="447">
        <v>83.0</v>
      </c>
      <c r="N52" s="447">
        <v>2.0</v>
      </c>
    </row>
    <row r="53">
      <c r="A53" s="447">
        <v>52.0</v>
      </c>
      <c r="B53" s="447" t="s">
        <v>2075</v>
      </c>
      <c r="C53" s="447" t="s">
        <v>1675</v>
      </c>
      <c r="D53" s="447" t="s">
        <v>1668</v>
      </c>
      <c r="E53" s="447" t="s">
        <v>1998</v>
      </c>
      <c r="F53" s="447" t="s">
        <v>1682</v>
      </c>
      <c r="G53" s="448">
        <v>45528.0</v>
      </c>
      <c r="H53" s="447" t="s">
        <v>1671</v>
      </c>
      <c r="I53" s="447" t="s">
        <v>1193</v>
      </c>
      <c r="J53" s="447" t="s">
        <v>1193</v>
      </c>
      <c r="K53" s="447">
        <v>1.0</v>
      </c>
      <c r="L53" s="447" t="s">
        <v>1673</v>
      </c>
      <c r="M53" s="447">
        <v>88.0</v>
      </c>
      <c r="N53" s="447">
        <v>1.0</v>
      </c>
    </row>
    <row r="54">
      <c r="A54" s="447">
        <v>53.0</v>
      </c>
      <c r="B54" s="447" t="s">
        <v>2076</v>
      </c>
      <c r="C54" s="447" t="s">
        <v>1675</v>
      </c>
      <c r="D54" s="447" t="s">
        <v>1668</v>
      </c>
      <c r="E54" s="447" t="s">
        <v>1994</v>
      </c>
      <c r="F54" s="447" t="s">
        <v>1682</v>
      </c>
      <c r="G54" s="448">
        <v>45479.0</v>
      </c>
      <c r="H54" s="447" t="s">
        <v>1671</v>
      </c>
      <c r="I54" s="447" t="s">
        <v>1193</v>
      </c>
      <c r="J54" s="447" t="s">
        <v>1193</v>
      </c>
      <c r="K54" s="447">
        <v>2.0</v>
      </c>
      <c r="L54" s="447" t="s">
        <v>1673</v>
      </c>
      <c r="M54" s="447">
        <v>96.0</v>
      </c>
      <c r="N54" s="447">
        <v>1.0</v>
      </c>
    </row>
    <row r="55">
      <c r="A55" s="447">
        <v>54.0</v>
      </c>
      <c r="B55" s="447" t="s">
        <v>2077</v>
      </c>
      <c r="C55" s="447" t="s">
        <v>1675</v>
      </c>
      <c r="D55" s="447" t="s">
        <v>1668</v>
      </c>
      <c r="E55" s="447" t="s">
        <v>1983</v>
      </c>
      <c r="F55" s="447" t="s">
        <v>1682</v>
      </c>
      <c r="G55" s="448">
        <v>45542.0</v>
      </c>
      <c r="H55" s="447" t="s">
        <v>2078</v>
      </c>
      <c r="I55" s="447" t="s">
        <v>1193</v>
      </c>
      <c r="J55" s="447" t="s">
        <v>1193</v>
      </c>
      <c r="K55" s="447">
        <v>1.0</v>
      </c>
      <c r="L55" s="447" t="s">
        <v>1673</v>
      </c>
      <c r="M55" s="447">
        <v>59.0</v>
      </c>
      <c r="N55" s="447">
        <v>1.0</v>
      </c>
    </row>
    <row r="56">
      <c r="A56" s="447">
        <v>55.0</v>
      </c>
      <c r="B56" s="447" t="s">
        <v>1730</v>
      </c>
      <c r="C56" s="447" t="s">
        <v>1675</v>
      </c>
      <c r="D56" s="447" t="s">
        <v>1668</v>
      </c>
      <c r="E56" s="447" t="s">
        <v>1669</v>
      </c>
      <c r="F56" s="447" t="s">
        <v>1682</v>
      </c>
      <c r="G56" s="448">
        <v>45656.0</v>
      </c>
      <c r="H56" s="447" t="s">
        <v>1671</v>
      </c>
      <c r="I56" s="447" t="s">
        <v>1672</v>
      </c>
      <c r="J56" s="447" t="s">
        <v>1193</v>
      </c>
      <c r="K56" s="447">
        <v>1.0</v>
      </c>
      <c r="L56" s="447" t="s">
        <v>1673</v>
      </c>
      <c r="M56" s="447">
        <v>68.0</v>
      </c>
      <c r="N56" s="447">
        <v>1.0</v>
      </c>
    </row>
    <row r="57">
      <c r="A57" s="447">
        <v>56.0</v>
      </c>
      <c r="B57" s="447" t="s">
        <v>1731</v>
      </c>
      <c r="C57" s="447" t="s">
        <v>1675</v>
      </c>
      <c r="D57" s="447" t="s">
        <v>1668</v>
      </c>
      <c r="E57" s="447" t="s">
        <v>1669</v>
      </c>
      <c r="F57" s="447" t="s">
        <v>1714</v>
      </c>
      <c r="G57" s="448">
        <v>45365.0</v>
      </c>
      <c r="H57" s="447" t="s">
        <v>1671</v>
      </c>
      <c r="I57" s="447" t="s">
        <v>1672</v>
      </c>
      <c r="J57" s="447" t="s">
        <v>1193</v>
      </c>
      <c r="K57" s="447">
        <v>2.0</v>
      </c>
      <c r="L57" s="447" t="s">
        <v>1673</v>
      </c>
      <c r="M57" s="447">
        <v>193.0</v>
      </c>
      <c r="N57" s="447">
        <v>1.0</v>
      </c>
    </row>
    <row r="58">
      <c r="A58" s="447">
        <v>57.0</v>
      </c>
      <c r="B58" s="447" t="s">
        <v>2079</v>
      </c>
      <c r="C58" s="447" t="s">
        <v>1675</v>
      </c>
      <c r="D58" s="447" t="s">
        <v>1668</v>
      </c>
      <c r="E58" s="447" t="s">
        <v>1998</v>
      </c>
      <c r="F58" s="447" t="s">
        <v>1714</v>
      </c>
      <c r="G58" s="448">
        <v>45365.0</v>
      </c>
      <c r="H58" s="447" t="s">
        <v>1671</v>
      </c>
      <c r="I58" s="447" t="s">
        <v>1193</v>
      </c>
      <c r="J58" s="447" t="s">
        <v>1193</v>
      </c>
      <c r="K58" s="447">
        <v>4.0</v>
      </c>
      <c r="L58" s="447" t="s">
        <v>1673</v>
      </c>
      <c r="M58" s="447">
        <v>18.0</v>
      </c>
      <c r="N58" s="447">
        <v>5.0</v>
      </c>
    </row>
    <row r="59">
      <c r="A59" s="447">
        <v>58.0</v>
      </c>
      <c r="B59" s="447" t="s">
        <v>2080</v>
      </c>
      <c r="C59" s="447" t="s">
        <v>1675</v>
      </c>
      <c r="D59" s="447" t="s">
        <v>1668</v>
      </c>
      <c r="E59" s="447" t="s">
        <v>1983</v>
      </c>
      <c r="F59" s="447" t="s">
        <v>1714</v>
      </c>
      <c r="G59" s="448">
        <v>45028.0</v>
      </c>
      <c r="H59" s="447" t="s">
        <v>1671</v>
      </c>
      <c r="I59" s="447" t="s">
        <v>1193</v>
      </c>
      <c r="J59" s="447" t="s">
        <v>1193</v>
      </c>
      <c r="K59" s="447">
        <v>5.0</v>
      </c>
      <c r="L59" s="447" t="s">
        <v>1673</v>
      </c>
      <c r="M59" s="447">
        <v>7.0</v>
      </c>
      <c r="N59" s="447">
        <v>2.0</v>
      </c>
    </row>
    <row r="60">
      <c r="A60" s="447">
        <v>59.0</v>
      </c>
      <c r="B60" s="447" t="s">
        <v>2081</v>
      </c>
      <c r="C60" s="447" t="s">
        <v>1675</v>
      </c>
      <c r="D60" s="447" t="s">
        <v>1668</v>
      </c>
      <c r="E60" s="447" t="s">
        <v>1998</v>
      </c>
      <c r="F60" s="447" t="s">
        <v>1714</v>
      </c>
      <c r="G60" s="448">
        <v>45400.0</v>
      </c>
      <c r="H60" s="447" t="s">
        <v>1671</v>
      </c>
      <c r="I60" s="447" t="s">
        <v>1672</v>
      </c>
      <c r="J60" s="447" t="s">
        <v>1193</v>
      </c>
      <c r="K60" s="447">
        <v>3.0</v>
      </c>
      <c r="L60" s="447" t="s">
        <v>1673</v>
      </c>
      <c r="M60" s="447">
        <v>19.0</v>
      </c>
      <c r="N60" s="447">
        <v>1.0</v>
      </c>
    </row>
    <row r="61">
      <c r="A61" s="447">
        <v>60.0</v>
      </c>
      <c r="B61" s="447" t="s">
        <v>2082</v>
      </c>
      <c r="C61" s="447" t="s">
        <v>1675</v>
      </c>
      <c r="D61" s="447" t="s">
        <v>1668</v>
      </c>
      <c r="E61" s="447" t="s">
        <v>1998</v>
      </c>
      <c r="F61" s="447" t="s">
        <v>2083</v>
      </c>
      <c r="G61" s="448">
        <v>45616.0</v>
      </c>
      <c r="H61" s="447" t="s">
        <v>1671</v>
      </c>
      <c r="I61" s="447" t="s">
        <v>1193</v>
      </c>
      <c r="J61" s="447" t="s">
        <v>1193</v>
      </c>
      <c r="K61" s="447">
        <v>2.0</v>
      </c>
      <c r="L61" s="447" t="s">
        <v>1673</v>
      </c>
      <c r="M61" s="447">
        <v>10.0</v>
      </c>
      <c r="N61" s="447">
        <v>3.0</v>
      </c>
    </row>
    <row r="62">
      <c r="A62" s="447">
        <v>61.0</v>
      </c>
      <c r="B62" s="447" t="s">
        <v>2084</v>
      </c>
      <c r="C62" s="447" t="s">
        <v>1675</v>
      </c>
      <c r="D62" s="447" t="s">
        <v>2085</v>
      </c>
      <c r="E62" s="447" t="s">
        <v>1983</v>
      </c>
      <c r="F62" s="447" t="s">
        <v>2086</v>
      </c>
      <c r="G62" s="448">
        <v>45609.0</v>
      </c>
      <c r="H62" s="447" t="s">
        <v>1671</v>
      </c>
      <c r="I62" s="447" t="s">
        <v>1193</v>
      </c>
      <c r="J62" s="447" t="s">
        <v>1193</v>
      </c>
      <c r="K62" s="447">
        <v>3.0</v>
      </c>
      <c r="L62" s="447" t="s">
        <v>2087</v>
      </c>
      <c r="M62" s="447">
        <v>9.0</v>
      </c>
      <c r="N62" s="447">
        <v>1.0</v>
      </c>
    </row>
    <row r="63">
      <c r="A63" s="447">
        <v>62.0</v>
      </c>
      <c r="B63" s="447" t="s">
        <v>2088</v>
      </c>
      <c r="C63" s="447" t="s">
        <v>1675</v>
      </c>
      <c r="D63" s="447" t="s">
        <v>1668</v>
      </c>
      <c r="E63" s="447" t="s">
        <v>1998</v>
      </c>
      <c r="F63" s="447" t="s">
        <v>2089</v>
      </c>
      <c r="G63" s="448">
        <v>45722.0</v>
      </c>
      <c r="H63" s="447" t="s">
        <v>1671</v>
      </c>
      <c r="I63" s="447" t="s">
        <v>1672</v>
      </c>
      <c r="J63" s="447" t="s">
        <v>1193</v>
      </c>
      <c r="K63" s="447">
        <v>2.0</v>
      </c>
      <c r="L63" s="447" t="s">
        <v>1673</v>
      </c>
      <c r="M63" s="447">
        <v>16.0</v>
      </c>
      <c r="N63" s="447">
        <v>1.0</v>
      </c>
    </row>
    <row r="64">
      <c r="A64" s="447">
        <v>63.0</v>
      </c>
      <c r="B64" s="447" t="s">
        <v>2090</v>
      </c>
      <c r="C64" s="447" t="s">
        <v>1675</v>
      </c>
      <c r="D64" s="447" t="s">
        <v>1668</v>
      </c>
      <c r="E64" s="447" t="s">
        <v>1998</v>
      </c>
      <c r="F64" s="447" t="s">
        <v>1714</v>
      </c>
      <c r="G64" s="448">
        <v>45722.0</v>
      </c>
      <c r="H64" s="447" t="s">
        <v>1671</v>
      </c>
      <c r="I64" s="447" t="s">
        <v>1672</v>
      </c>
      <c r="J64" s="447" t="s">
        <v>1193</v>
      </c>
      <c r="K64" s="447">
        <v>3.0</v>
      </c>
      <c r="L64" s="447" t="s">
        <v>1673</v>
      </c>
      <c r="M64" s="447">
        <v>24.0</v>
      </c>
      <c r="N64" s="447">
        <v>1.0</v>
      </c>
    </row>
    <row r="65">
      <c r="A65" s="447">
        <v>64.0</v>
      </c>
      <c r="B65" s="447" t="s">
        <v>2091</v>
      </c>
      <c r="C65" s="447" t="s">
        <v>1675</v>
      </c>
      <c r="D65" s="447" t="s">
        <v>1668</v>
      </c>
      <c r="E65" s="447" t="s">
        <v>1998</v>
      </c>
      <c r="F65" s="447" t="s">
        <v>1714</v>
      </c>
      <c r="G65" s="448">
        <v>45729.0</v>
      </c>
      <c r="H65" s="447" t="s">
        <v>1671</v>
      </c>
      <c r="I65" s="447" t="s">
        <v>1672</v>
      </c>
      <c r="J65" s="447" t="s">
        <v>1193</v>
      </c>
      <c r="K65" s="447">
        <v>3.0</v>
      </c>
      <c r="L65" s="447" t="s">
        <v>1673</v>
      </c>
      <c r="M65" s="447">
        <v>54.0</v>
      </c>
      <c r="N65" s="447">
        <v>2.0</v>
      </c>
    </row>
    <row r="66">
      <c r="A66" s="447">
        <v>65.0</v>
      </c>
      <c r="B66" s="447" t="s">
        <v>2092</v>
      </c>
      <c r="C66" s="447" t="s">
        <v>1675</v>
      </c>
      <c r="D66" s="447" t="s">
        <v>1668</v>
      </c>
      <c r="E66" s="447" t="s">
        <v>1983</v>
      </c>
      <c r="F66" s="447" t="s">
        <v>1676</v>
      </c>
      <c r="G66" s="448">
        <v>45737.0</v>
      </c>
      <c r="H66" s="447" t="s">
        <v>1671</v>
      </c>
      <c r="I66" s="447" t="s">
        <v>1193</v>
      </c>
      <c r="J66" s="447" t="s">
        <v>1193</v>
      </c>
      <c r="K66" s="447">
        <v>2.0</v>
      </c>
      <c r="L66" s="447" t="s">
        <v>1673</v>
      </c>
      <c r="M66" s="447">
        <v>3.0</v>
      </c>
      <c r="N66" s="447">
        <v>1.0</v>
      </c>
    </row>
    <row r="67">
      <c r="A67" s="447">
        <v>66.0</v>
      </c>
      <c r="B67" s="447" t="s">
        <v>2093</v>
      </c>
      <c r="C67" s="447" t="s">
        <v>1675</v>
      </c>
      <c r="D67" s="447" t="s">
        <v>1668</v>
      </c>
      <c r="E67" s="447" t="s">
        <v>1994</v>
      </c>
      <c r="F67" s="447" t="s">
        <v>1714</v>
      </c>
      <c r="G67" s="448">
        <v>45757.0</v>
      </c>
      <c r="H67" s="447" t="s">
        <v>1671</v>
      </c>
      <c r="I67" s="447" t="s">
        <v>1193</v>
      </c>
      <c r="J67" s="447" t="s">
        <v>1193</v>
      </c>
      <c r="K67" s="447">
        <v>5.0</v>
      </c>
      <c r="L67" s="447" t="s">
        <v>1673</v>
      </c>
      <c r="M67" s="447">
        <v>14.0</v>
      </c>
      <c r="N67" s="447">
        <v>2.0</v>
      </c>
    </row>
    <row r="68">
      <c r="A68" s="447">
        <v>67.0</v>
      </c>
      <c r="B68" s="447" t="s">
        <v>2094</v>
      </c>
      <c r="C68" s="447" t="s">
        <v>1675</v>
      </c>
      <c r="D68" s="447" t="s">
        <v>1668</v>
      </c>
      <c r="E68" s="447" t="s">
        <v>1994</v>
      </c>
      <c r="F68" s="447" t="s">
        <v>1714</v>
      </c>
      <c r="G68" s="448">
        <v>45770.0</v>
      </c>
      <c r="H68" s="447" t="s">
        <v>1671</v>
      </c>
      <c r="I68" s="447" t="s">
        <v>1193</v>
      </c>
      <c r="J68" s="447" t="s">
        <v>1193</v>
      </c>
      <c r="K68" s="447">
        <v>2.0</v>
      </c>
      <c r="L68" s="447" t="s">
        <v>1673</v>
      </c>
      <c r="M68" s="447">
        <v>53.0</v>
      </c>
      <c r="N68" s="447">
        <v>1.0</v>
      </c>
    </row>
    <row r="69">
      <c r="A69" s="447">
        <v>68.0</v>
      </c>
      <c r="B69" s="447" t="s">
        <v>1732</v>
      </c>
      <c r="C69" s="447" t="s">
        <v>1675</v>
      </c>
      <c r="D69" s="447" t="s">
        <v>1668</v>
      </c>
      <c r="E69" s="447" t="s">
        <v>1669</v>
      </c>
      <c r="F69" s="447" t="s">
        <v>1714</v>
      </c>
      <c r="G69" s="448">
        <v>45771.0</v>
      </c>
      <c r="H69" s="447" t="s">
        <v>1671</v>
      </c>
      <c r="I69" s="447" t="s">
        <v>1193</v>
      </c>
      <c r="J69" s="447" t="s">
        <v>1193</v>
      </c>
      <c r="K69" s="447">
        <v>2.0</v>
      </c>
      <c r="L69" s="447" t="s">
        <v>1673</v>
      </c>
      <c r="M69" s="447">
        <v>6.0</v>
      </c>
      <c r="N69" s="447">
        <v>2.0</v>
      </c>
    </row>
    <row r="70">
      <c r="A70" s="447">
        <v>69.0</v>
      </c>
      <c r="B70" s="447" t="s">
        <v>1733</v>
      </c>
      <c r="C70" s="447" t="s">
        <v>1675</v>
      </c>
      <c r="D70" s="447" t="s">
        <v>1668</v>
      </c>
      <c r="E70" s="447" t="s">
        <v>1669</v>
      </c>
      <c r="F70" s="447" t="s">
        <v>1734</v>
      </c>
      <c r="G70" s="448">
        <v>45806.0</v>
      </c>
      <c r="H70" s="447" t="s">
        <v>1671</v>
      </c>
      <c r="I70" s="447" t="s">
        <v>1193</v>
      </c>
      <c r="J70" s="447" t="s">
        <v>1193</v>
      </c>
      <c r="K70" s="447">
        <v>8.0</v>
      </c>
      <c r="L70" s="447" t="s">
        <v>1673</v>
      </c>
      <c r="M70" s="447">
        <v>10.0</v>
      </c>
      <c r="N70" s="447">
        <v>4.0</v>
      </c>
    </row>
    <row r="71">
      <c r="A71" s="447">
        <v>70.0</v>
      </c>
      <c r="B71" s="447" t="s">
        <v>2095</v>
      </c>
      <c r="C71" s="447" t="s">
        <v>1675</v>
      </c>
      <c r="D71" s="447" t="s">
        <v>1668</v>
      </c>
      <c r="E71" s="447" t="s">
        <v>1983</v>
      </c>
      <c r="F71" s="447" t="s">
        <v>1714</v>
      </c>
      <c r="G71" s="448">
        <v>45807.0</v>
      </c>
      <c r="H71" s="447" t="s">
        <v>1671</v>
      </c>
      <c r="I71" s="447" t="s">
        <v>1193</v>
      </c>
      <c r="J71" s="447" t="s">
        <v>1193</v>
      </c>
      <c r="K71" s="447">
        <v>3.0</v>
      </c>
      <c r="L71" s="447" t="s">
        <v>1673</v>
      </c>
      <c r="M71" s="447">
        <v>20.0</v>
      </c>
      <c r="N71" s="447">
        <v>3.0</v>
      </c>
    </row>
    <row r="72">
      <c r="A72" s="447">
        <v>71.0</v>
      </c>
      <c r="B72" s="447" t="s">
        <v>2096</v>
      </c>
      <c r="C72" s="447" t="s">
        <v>1675</v>
      </c>
      <c r="D72" s="447" t="s">
        <v>1668</v>
      </c>
      <c r="E72" s="447" t="s">
        <v>1994</v>
      </c>
      <c r="F72" s="447" t="s">
        <v>1714</v>
      </c>
      <c r="G72" s="448">
        <v>45804.0</v>
      </c>
      <c r="H72" s="447" t="s">
        <v>1671</v>
      </c>
      <c r="I72" s="447" t="s">
        <v>1193</v>
      </c>
      <c r="J72" s="447" t="s">
        <v>1193</v>
      </c>
      <c r="K72" s="447">
        <v>5.0</v>
      </c>
      <c r="L72" s="447" t="s">
        <v>1673</v>
      </c>
      <c r="M72" s="447">
        <v>24.0</v>
      </c>
      <c r="N72" s="447">
        <v>1.0</v>
      </c>
    </row>
    <row r="73">
      <c r="A73" s="447">
        <v>72.0</v>
      </c>
      <c r="B73" s="447" t="s">
        <v>2097</v>
      </c>
      <c r="C73" s="447" t="s">
        <v>1675</v>
      </c>
      <c r="D73" s="447" t="s">
        <v>1668</v>
      </c>
      <c r="E73" s="447" t="s">
        <v>1998</v>
      </c>
      <c r="F73" s="447" t="s">
        <v>2028</v>
      </c>
      <c r="G73" s="448">
        <v>45801.0</v>
      </c>
      <c r="H73" s="447" t="s">
        <v>1671</v>
      </c>
      <c r="I73" s="447" t="s">
        <v>1193</v>
      </c>
      <c r="J73" s="447" t="s">
        <v>1193</v>
      </c>
      <c r="K73" s="447">
        <v>1.0</v>
      </c>
      <c r="L73" s="447" t="s">
        <v>1673</v>
      </c>
      <c r="M73" s="447">
        <v>9.0</v>
      </c>
      <c r="N73" s="447">
        <v>2.0</v>
      </c>
    </row>
    <row r="74">
      <c r="A74" s="447">
        <v>73.0</v>
      </c>
      <c r="B74" s="447" t="s">
        <v>2098</v>
      </c>
      <c r="C74" s="447" t="s">
        <v>1675</v>
      </c>
      <c r="D74" s="447" t="s">
        <v>1668</v>
      </c>
      <c r="E74" s="447" t="s">
        <v>1983</v>
      </c>
      <c r="F74" s="447" t="s">
        <v>1692</v>
      </c>
      <c r="G74" s="448">
        <v>45807.0</v>
      </c>
      <c r="H74" s="447" t="s">
        <v>1671</v>
      </c>
      <c r="I74" s="447" t="s">
        <v>1193</v>
      </c>
      <c r="J74" s="447" t="s">
        <v>1193</v>
      </c>
      <c r="K74" s="447">
        <v>5.0</v>
      </c>
      <c r="L74" s="447" t="s">
        <v>1673</v>
      </c>
      <c r="M74" s="447">
        <v>7.0</v>
      </c>
      <c r="N74" s="447">
        <v>1.0</v>
      </c>
    </row>
    <row r="75">
      <c r="A75" s="447">
        <v>74.0</v>
      </c>
      <c r="B75" s="447" t="s">
        <v>2099</v>
      </c>
      <c r="C75" s="447" t="s">
        <v>1675</v>
      </c>
      <c r="D75" s="447" t="s">
        <v>1668</v>
      </c>
      <c r="E75" s="447" t="s">
        <v>1983</v>
      </c>
      <c r="F75" s="447" t="s">
        <v>2100</v>
      </c>
      <c r="G75" s="448">
        <v>45807.0</v>
      </c>
      <c r="H75" s="447" t="s">
        <v>1671</v>
      </c>
      <c r="I75" s="447" t="s">
        <v>1193</v>
      </c>
      <c r="J75" s="447" t="s">
        <v>1193</v>
      </c>
      <c r="K75" s="447">
        <v>3.0</v>
      </c>
      <c r="L75" s="447" t="s">
        <v>1673</v>
      </c>
      <c r="M75" s="447">
        <v>20.0</v>
      </c>
      <c r="N75" s="447">
        <v>2.0</v>
      </c>
    </row>
    <row r="76">
      <c r="A76" s="447">
        <v>75.0</v>
      </c>
      <c r="B76" s="447" t="s">
        <v>2101</v>
      </c>
      <c r="C76" s="447" t="s">
        <v>1675</v>
      </c>
      <c r="D76" s="447" t="s">
        <v>1668</v>
      </c>
      <c r="E76" s="447" t="s">
        <v>1983</v>
      </c>
      <c r="F76" s="447" t="s">
        <v>1676</v>
      </c>
      <c r="G76" s="448">
        <v>45805.0</v>
      </c>
      <c r="H76" s="447" t="s">
        <v>1671</v>
      </c>
      <c r="I76" s="447" t="s">
        <v>1193</v>
      </c>
      <c r="J76" s="447" t="s">
        <v>1193</v>
      </c>
      <c r="K76" s="447">
        <v>3.0</v>
      </c>
      <c r="L76" s="447" t="s">
        <v>1673</v>
      </c>
      <c r="M76" s="447">
        <v>18.0</v>
      </c>
      <c r="N76" s="447">
        <v>1.0</v>
      </c>
    </row>
    <row r="77">
      <c r="A77" s="447">
        <v>76.0</v>
      </c>
      <c r="B77" s="447" t="s">
        <v>395</v>
      </c>
      <c r="C77" s="447" t="s">
        <v>1675</v>
      </c>
      <c r="D77" s="449"/>
      <c r="E77" s="447" t="s">
        <v>1998</v>
      </c>
      <c r="F77" s="447" t="s">
        <v>1676</v>
      </c>
      <c r="G77" s="448">
        <v>45805.0</v>
      </c>
      <c r="H77" s="447" t="s">
        <v>1671</v>
      </c>
      <c r="I77" s="447" t="s">
        <v>1193</v>
      </c>
      <c r="J77" s="447" t="s">
        <v>1193</v>
      </c>
      <c r="K77" s="447">
        <v>3.0</v>
      </c>
      <c r="L77" s="447" t="s">
        <v>2102</v>
      </c>
      <c r="M77" s="447">
        <v>18.0</v>
      </c>
      <c r="N77" s="447">
        <v>4.0</v>
      </c>
    </row>
    <row r="78">
      <c r="A78" s="447">
        <v>77.0</v>
      </c>
      <c r="B78" s="447" t="s">
        <v>2103</v>
      </c>
      <c r="C78" s="447" t="s">
        <v>1675</v>
      </c>
      <c r="D78" s="447" t="s">
        <v>1668</v>
      </c>
      <c r="E78" s="447" t="s">
        <v>1983</v>
      </c>
      <c r="F78" s="447" t="s">
        <v>2086</v>
      </c>
      <c r="G78" s="448">
        <v>45804.0</v>
      </c>
      <c r="H78" s="447" t="s">
        <v>1671</v>
      </c>
      <c r="I78" s="447" t="s">
        <v>1672</v>
      </c>
      <c r="J78" s="447" t="s">
        <v>1193</v>
      </c>
      <c r="K78" s="447">
        <v>2.0</v>
      </c>
      <c r="L78" s="447" t="s">
        <v>1673</v>
      </c>
      <c r="M78" s="447">
        <v>6.0</v>
      </c>
      <c r="N78" s="447">
        <v>0.0</v>
      </c>
    </row>
    <row r="79">
      <c r="A79" s="447">
        <v>78.0</v>
      </c>
      <c r="B79" s="447" t="s">
        <v>2104</v>
      </c>
      <c r="C79" s="447" t="s">
        <v>1675</v>
      </c>
      <c r="D79" s="447" t="s">
        <v>1668</v>
      </c>
      <c r="E79" s="447" t="s">
        <v>1998</v>
      </c>
      <c r="F79" s="447" t="s">
        <v>2002</v>
      </c>
      <c r="G79" s="448">
        <v>45800.0</v>
      </c>
      <c r="H79" s="447" t="s">
        <v>1671</v>
      </c>
      <c r="I79" s="447" t="s">
        <v>1193</v>
      </c>
      <c r="J79" s="447" t="s">
        <v>1193</v>
      </c>
      <c r="K79" s="447">
        <v>1.0</v>
      </c>
      <c r="L79" s="447" t="s">
        <v>1673</v>
      </c>
      <c r="M79" s="447">
        <v>11.0</v>
      </c>
      <c r="N79" s="447">
        <v>1.0</v>
      </c>
    </row>
    <row r="80">
      <c r="A80" s="447">
        <v>79.0</v>
      </c>
      <c r="B80" s="447" t="s">
        <v>2105</v>
      </c>
      <c r="C80" s="447" t="s">
        <v>1675</v>
      </c>
      <c r="D80" s="447" t="s">
        <v>1668</v>
      </c>
      <c r="E80" s="447" t="s">
        <v>1983</v>
      </c>
      <c r="F80" s="447" t="s">
        <v>1676</v>
      </c>
      <c r="G80" s="448">
        <v>45786.0</v>
      </c>
      <c r="H80" s="447" t="s">
        <v>1671</v>
      </c>
      <c r="I80" s="447" t="s">
        <v>1193</v>
      </c>
      <c r="J80" s="447" t="s">
        <v>1193</v>
      </c>
      <c r="K80" s="447">
        <v>4.0</v>
      </c>
      <c r="L80" s="447" t="s">
        <v>1673</v>
      </c>
      <c r="M80" s="447">
        <v>15.0</v>
      </c>
      <c r="N80" s="447">
        <v>2.0</v>
      </c>
    </row>
    <row r="81">
      <c r="A81" s="447">
        <v>80.0</v>
      </c>
      <c r="B81" s="447" t="s">
        <v>2106</v>
      </c>
      <c r="C81" s="447" t="s">
        <v>1675</v>
      </c>
      <c r="D81" s="447" t="s">
        <v>1668</v>
      </c>
      <c r="E81" s="447" t="s">
        <v>1983</v>
      </c>
      <c r="F81" s="447" t="s">
        <v>2089</v>
      </c>
      <c r="G81" s="448">
        <v>45786.0</v>
      </c>
      <c r="H81" s="447" t="s">
        <v>1671</v>
      </c>
      <c r="I81" s="447" t="s">
        <v>1672</v>
      </c>
      <c r="J81" s="447" t="s">
        <v>1193</v>
      </c>
      <c r="K81" s="447">
        <v>1.0</v>
      </c>
      <c r="L81" s="447" t="s">
        <v>1673</v>
      </c>
      <c r="M81" s="447">
        <v>15.0</v>
      </c>
      <c r="N81" s="447">
        <v>1.0</v>
      </c>
    </row>
    <row r="82">
      <c r="A82" s="450">
        <v>81.0</v>
      </c>
      <c r="B82" s="450" t="s">
        <v>2107</v>
      </c>
      <c r="C82" s="450" t="s">
        <v>1675</v>
      </c>
      <c r="D82" s="450" t="s">
        <v>1668</v>
      </c>
      <c r="E82" s="450" t="s">
        <v>1998</v>
      </c>
      <c r="F82" s="450" t="s">
        <v>1682</v>
      </c>
      <c r="G82" s="451">
        <v>45738.0</v>
      </c>
      <c r="H82" s="450" t="s">
        <v>1671</v>
      </c>
      <c r="I82" s="450" t="s">
        <v>1193</v>
      </c>
      <c r="J82" s="450" t="s">
        <v>1193</v>
      </c>
      <c r="K82" s="450">
        <v>1.0</v>
      </c>
      <c r="L82" s="450" t="s">
        <v>1673</v>
      </c>
      <c r="M82" s="450">
        <v>35.0</v>
      </c>
      <c r="N82" s="450">
        <v>1.0</v>
      </c>
    </row>
    <row r="83">
      <c r="A83" s="450">
        <v>82.0</v>
      </c>
      <c r="B83" s="450" t="s">
        <v>1735</v>
      </c>
      <c r="C83" s="450" t="s">
        <v>1675</v>
      </c>
      <c r="D83" s="450" t="s">
        <v>1736</v>
      </c>
      <c r="E83" s="450" t="s">
        <v>1669</v>
      </c>
      <c r="F83" s="450" t="s">
        <v>1676</v>
      </c>
      <c r="G83" s="451">
        <v>45787.0</v>
      </c>
      <c r="H83" s="450" t="s">
        <v>1671</v>
      </c>
      <c r="I83" s="450" t="s">
        <v>1672</v>
      </c>
      <c r="J83" s="450" t="s">
        <v>1193</v>
      </c>
      <c r="K83" s="450">
        <v>1.0</v>
      </c>
      <c r="L83" s="450" t="s">
        <v>1737</v>
      </c>
      <c r="M83" s="450">
        <v>6.0</v>
      </c>
      <c r="N83" s="450">
        <v>0.0</v>
      </c>
    </row>
    <row r="84">
      <c r="A84" s="450">
        <v>83.0</v>
      </c>
      <c r="B84" s="450" t="s">
        <v>2108</v>
      </c>
      <c r="C84" s="450" t="s">
        <v>1675</v>
      </c>
      <c r="D84" s="450" t="s">
        <v>2109</v>
      </c>
      <c r="E84" s="450" t="s">
        <v>1998</v>
      </c>
      <c r="F84" s="450" t="s">
        <v>1714</v>
      </c>
      <c r="G84" s="451">
        <v>45789.0</v>
      </c>
      <c r="H84" s="450" t="s">
        <v>1671</v>
      </c>
      <c r="I84" s="450" t="s">
        <v>1672</v>
      </c>
      <c r="J84" s="450" t="s">
        <v>1193</v>
      </c>
      <c r="K84" s="450">
        <v>6.0</v>
      </c>
      <c r="L84" s="450" t="s">
        <v>2110</v>
      </c>
      <c r="M84" s="450">
        <v>26.0</v>
      </c>
      <c r="N84" s="450">
        <v>1.0</v>
      </c>
    </row>
    <row r="85">
      <c r="A85" s="450">
        <v>84.0</v>
      </c>
      <c r="B85" s="450" t="s">
        <v>2111</v>
      </c>
      <c r="C85" s="450" t="s">
        <v>1675</v>
      </c>
      <c r="D85" s="450" t="s">
        <v>1668</v>
      </c>
      <c r="E85" s="450" t="s">
        <v>1983</v>
      </c>
      <c r="F85" s="450" t="s">
        <v>2028</v>
      </c>
      <c r="G85" s="451">
        <v>45769.0</v>
      </c>
      <c r="H85" s="450" t="s">
        <v>1671</v>
      </c>
      <c r="I85" s="450" t="s">
        <v>1193</v>
      </c>
      <c r="J85" s="450" t="s">
        <v>1193</v>
      </c>
      <c r="K85" s="450">
        <v>2.0</v>
      </c>
      <c r="L85" s="450" t="s">
        <v>1673</v>
      </c>
      <c r="M85" s="450">
        <v>26.0</v>
      </c>
      <c r="N85" s="450">
        <v>1.0</v>
      </c>
    </row>
    <row r="86">
      <c r="A86" s="450">
        <v>85.0</v>
      </c>
      <c r="B86" s="450" t="s">
        <v>128</v>
      </c>
      <c r="C86" s="450" t="s">
        <v>1675</v>
      </c>
      <c r="D86" s="450" t="s">
        <v>2027</v>
      </c>
      <c r="E86" s="450" t="s">
        <v>1983</v>
      </c>
      <c r="F86" s="450" t="s">
        <v>1676</v>
      </c>
      <c r="G86" s="451">
        <v>45792.0</v>
      </c>
      <c r="H86" s="450" t="s">
        <v>1671</v>
      </c>
      <c r="I86" s="450" t="s">
        <v>1193</v>
      </c>
      <c r="J86" s="450" t="s">
        <v>1193</v>
      </c>
      <c r="K86" s="450">
        <v>2.0</v>
      </c>
      <c r="L86" s="450" t="s">
        <v>2029</v>
      </c>
      <c r="M86" s="450">
        <v>9.0</v>
      </c>
      <c r="N86" s="450">
        <v>3.0</v>
      </c>
    </row>
    <row r="87">
      <c r="A87" s="450">
        <v>86.0</v>
      </c>
      <c r="B87" s="450" t="s">
        <v>1738</v>
      </c>
      <c r="C87" s="450" t="s">
        <v>1675</v>
      </c>
      <c r="D87" s="450" t="s">
        <v>1668</v>
      </c>
      <c r="E87" s="450" t="s">
        <v>1669</v>
      </c>
      <c r="F87" s="450" t="s">
        <v>1676</v>
      </c>
      <c r="G87" s="451">
        <v>45785.0</v>
      </c>
      <c r="H87" s="450" t="s">
        <v>1671</v>
      </c>
      <c r="I87" s="450" t="s">
        <v>1193</v>
      </c>
      <c r="J87" s="450" t="s">
        <v>1193</v>
      </c>
      <c r="K87" s="450">
        <v>3.0</v>
      </c>
      <c r="L87" s="450" t="s">
        <v>1673</v>
      </c>
      <c r="M87" s="450">
        <v>6.0</v>
      </c>
      <c r="N87" s="450">
        <v>5.0</v>
      </c>
    </row>
    <row r="88">
      <c r="A88" s="450">
        <v>87.0</v>
      </c>
      <c r="B88" s="450" t="s">
        <v>2112</v>
      </c>
      <c r="C88" s="450" t="s">
        <v>1675</v>
      </c>
      <c r="D88" s="450" t="s">
        <v>1668</v>
      </c>
      <c r="E88" s="450" t="s">
        <v>1994</v>
      </c>
      <c r="F88" s="450" t="s">
        <v>1714</v>
      </c>
      <c r="G88" s="451">
        <v>45757.0</v>
      </c>
      <c r="H88" s="450" t="s">
        <v>1671</v>
      </c>
      <c r="I88" s="450" t="s">
        <v>1672</v>
      </c>
      <c r="J88" s="450" t="s">
        <v>1193</v>
      </c>
      <c r="K88" s="450">
        <v>6.0</v>
      </c>
      <c r="L88" s="450" t="s">
        <v>1673</v>
      </c>
      <c r="M88" s="450">
        <v>8.0</v>
      </c>
      <c r="N88" s="450">
        <v>0.0</v>
      </c>
    </row>
    <row r="89">
      <c r="A89" s="450">
        <v>88.0</v>
      </c>
      <c r="B89" s="450" t="s">
        <v>2113</v>
      </c>
      <c r="C89" s="450" t="s">
        <v>1675</v>
      </c>
      <c r="D89" s="450" t="s">
        <v>1668</v>
      </c>
      <c r="E89" s="450" t="s">
        <v>1998</v>
      </c>
      <c r="F89" s="450" t="s">
        <v>2028</v>
      </c>
      <c r="G89" s="451">
        <v>45735.0</v>
      </c>
      <c r="H89" s="450" t="s">
        <v>1671</v>
      </c>
      <c r="I89" s="450" t="s">
        <v>1193</v>
      </c>
      <c r="J89" s="450" t="s">
        <v>1193</v>
      </c>
      <c r="K89" s="450">
        <v>4.0</v>
      </c>
      <c r="L89" s="450" t="s">
        <v>1673</v>
      </c>
      <c r="M89" s="450">
        <v>7.0</v>
      </c>
      <c r="N89" s="450">
        <v>2.0</v>
      </c>
    </row>
    <row r="90">
      <c r="A90" s="450">
        <v>89.0</v>
      </c>
      <c r="B90" s="450" t="s">
        <v>2114</v>
      </c>
      <c r="C90" s="450" t="s">
        <v>1675</v>
      </c>
      <c r="D90" s="450" t="s">
        <v>1668</v>
      </c>
      <c r="E90" s="450" t="s">
        <v>1983</v>
      </c>
      <c r="F90" s="450" t="s">
        <v>2028</v>
      </c>
      <c r="G90" s="451">
        <v>45737.0</v>
      </c>
      <c r="H90" s="450" t="s">
        <v>1671</v>
      </c>
      <c r="I90" s="450" t="s">
        <v>1193</v>
      </c>
      <c r="J90" s="450" t="s">
        <v>1193</v>
      </c>
      <c r="K90" s="450">
        <v>5.0</v>
      </c>
      <c r="L90" s="450" t="s">
        <v>1673</v>
      </c>
      <c r="M90" s="450">
        <v>19.0</v>
      </c>
      <c r="N90" s="450">
        <v>2.0</v>
      </c>
    </row>
    <row r="91">
      <c r="A91" s="450">
        <v>90.0</v>
      </c>
      <c r="B91" s="450" t="s">
        <v>331</v>
      </c>
      <c r="C91" s="450" t="s">
        <v>1675</v>
      </c>
      <c r="D91" s="450" t="s">
        <v>1668</v>
      </c>
      <c r="E91" s="450" t="s">
        <v>1998</v>
      </c>
      <c r="F91" s="450" t="s">
        <v>1682</v>
      </c>
      <c r="G91" s="451">
        <v>45545.0</v>
      </c>
      <c r="H91" s="450" t="s">
        <v>1671</v>
      </c>
      <c r="I91" s="450" t="s">
        <v>1193</v>
      </c>
      <c r="J91" s="450" t="s">
        <v>1193</v>
      </c>
      <c r="K91" s="450">
        <v>5.0</v>
      </c>
      <c r="L91" s="450" t="s">
        <v>1673</v>
      </c>
      <c r="M91" s="450">
        <v>62.0</v>
      </c>
      <c r="N91" s="450">
        <v>3.0</v>
      </c>
    </row>
    <row r="92">
      <c r="A92" s="450">
        <v>91.0</v>
      </c>
      <c r="B92" s="450" t="s">
        <v>1739</v>
      </c>
      <c r="C92" s="450" t="s">
        <v>1675</v>
      </c>
      <c r="D92" s="450" t="s">
        <v>1668</v>
      </c>
      <c r="E92" s="450" t="s">
        <v>1669</v>
      </c>
      <c r="F92" s="450" t="s">
        <v>1714</v>
      </c>
      <c r="G92" s="451">
        <v>45706.0</v>
      </c>
      <c r="H92" s="450" t="s">
        <v>1671</v>
      </c>
      <c r="I92" s="450" t="s">
        <v>1672</v>
      </c>
      <c r="J92" s="450" t="s">
        <v>1193</v>
      </c>
      <c r="K92" s="450">
        <v>3.0</v>
      </c>
      <c r="L92" s="450" t="s">
        <v>1673</v>
      </c>
      <c r="M92" s="450">
        <v>21.0</v>
      </c>
      <c r="N92" s="450">
        <v>0.0</v>
      </c>
    </row>
    <row r="93">
      <c r="A93" s="450">
        <v>92.0</v>
      </c>
      <c r="B93" s="450" t="s">
        <v>2115</v>
      </c>
      <c r="C93" s="450" t="s">
        <v>1675</v>
      </c>
      <c r="D93" s="450" t="s">
        <v>1668</v>
      </c>
      <c r="E93" s="450" t="s">
        <v>1998</v>
      </c>
      <c r="F93" s="450" t="s">
        <v>1682</v>
      </c>
      <c r="G93" s="451">
        <v>45756.0</v>
      </c>
      <c r="H93" s="450" t="s">
        <v>1671</v>
      </c>
      <c r="I93" s="450" t="s">
        <v>1193</v>
      </c>
      <c r="J93" s="450" t="s">
        <v>1193</v>
      </c>
      <c r="K93" s="450">
        <v>3.0</v>
      </c>
      <c r="L93" s="450" t="s">
        <v>1673</v>
      </c>
      <c r="M93" s="450">
        <v>3.0</v>
      </c>
      <c r="N93" s="450">
        <v>3.0</v>
      </c>
    </row>
    <row r="94">
      <c r="A94" s="450">
        <v>93.0</v>
      </c>
      <c r="B94" s="450" t="s">
        <v>66</v>
      </c>
      <c r="C94" s="450" t="s">
        <v>1675</v>
      </c>
      <c r="D94" s="450" t="s">
        <v>1668</v>
      </c>
      <c r="E94" s="450" t="s">
        <v>1998</v>
      </c>
      <c r="F94" s="450" t="s">
        <v>1676</v>
      </c>
      <c r="G94" s="451">
        <v>45759.0</v>
      </c>
      <c r="H94" s="450" t="s">
        <v>1671</v>
      </c>
      <c r="I94" s="450" t="s">
        <v>1193</v>
      </c>
      <c r="J94" s="450" t="s">
        <v>1193</v>
      </c>
      <c r="K94" s="450">
        <v>6.0</v>
      </c>
      <c r="L94" s="450" t="s">
        <v>1673</v>
      </c>
      <c r="M94" s="450">
        <v>15.0</v>
      </c>
      <c r="N94" s="450">
        <v>1.0</v>
      </c>
    </row>
    <row r="95">
      <c r="A95" s="450">
        <v>94.0</v>
      </c>
      <c r="B95" s="450" t="s">
        <v>2116</v>
      </c>
      <c r="C95" s="450" t="s">
        <v>1675</v>
      </c>
      <c r="D95" s="450" t="s">
        <v>1668</v>
      </c>
      <c r="E95" s="450" t="s">
        <v>1998</v>
      </c>
      <c r="F95" s="450" t="s">
        <v>1676</v>
      </c>
      <c r="G95" s="451">
        <v>45763.0</v>
      </c>
      <c r="H95" s="450" t="s">
        <v>1671</v>
      </c>
      <c r="I95" s="450" t="s">
        <v>1193</v>
      </c>
      <c r="J95" s="450" t="s">
        <v>1193</v>
      </c>
      <c r="K95" s="450">
        <v>3.0</v>
      </c>
      <c r="L95" s="450" t="s">
        <v>1673</v>
      </c>
      <c r="M95" s="450">
        <v>119.0</v>
      </c>
      <c r="N95" s="450">
        <v>3.0</v>
      </c>
    </row>
    <row r="96">
      <c r="A96" s="450">
        <v>95.0</v>
      </c>
      <c r="B96" s="450" t="s">
        <v>2117</v>
      </c>
      <c r="C96" s="450" t="s">
        <v>1675</v>
      </c>
      <c r="D96" s="450" t="s">
        <v>2118</v>
      </c>
      <c r="E96" s="450" t="s">
        <v>1983</v>
      </c>
      <c r="F96" s="450" t="s">
        <v>1676</v>
      </c>
      <c r="G96" s="451">
        <v>45769.0</v>
      </c>
      <c r="H96" s="450" t="s">
        <v>1671</v>
      </c>
      <c r="I96" s="450" t="s">
        <v>1193</v>
      </c>
      <c r="J96" s="450" t="s">
        <v>1193</v>
      </c>
      <c r="K96" s="450">
        <v>4.0</v>
      </c>
      <c r="L96" s="450" t="s">
        <v>2119</v>
      </c>
      <c r="M96" s="450">
        <v>51.0</v>
      </c>
      <c r="N96" s="450">
        <v>2.0</v>
      </c>
    </row>
    <row r="97">
      <c r="A97" s="450">
        <v>96.0</v>
      </c>
      <c r="B97" s="450" t="s">
        <v>2120</v>
      </c>
      <c r="C97" s="450" t="s">
        <v>1675</v>
      </c>
      <c r="D97" s="450" t="s">
        <v>1668</v>
      </c>
      <c r="E97" s="450" t="s">
        <v>1983</v>
      </c>
      <c r="F97" s="450" t="s">
        <v>2086</v>
      </c>
      <c r="G97" s="451">
        <v>45736.0</v>
      </c>
      <c r="H97" s="450" t="s">
        <v>1671</v>
      </c>
      <c r="I97" s="450" t="s">
        <v>1193</v>
      </c>
      <c r="J97" s="450" t="s">
        <v>1193</v>
      </c>
      <c r="K97" s="450">
        <v>4.0</v>
      </c>
      <c r="L97" s="450" t="s">
        <v>1673</v>
      </c>
      <c r="M97" s="450">
        <v>5.0</v>
      </c>
      <c r="N97" s="450">
        <v>4.0</v>
      </c>
    </row>
    <row r="98">
      <c r="A98" s="450">
        <v>97.0</v>
      </c>
      <c r="B98" s="450" t="s">
        <v>2121</v>
      </c>
      <c r="C98" s="450" t="s">
        <v>1675</v>
      </c>
      <c r="D98" s="450" t="s">
        <v>1668</v>
      </c>
      <c r="E98" s="450" t="s">
        <v>1983</v>
      </c>
      <c r="F98" s="450" t="s">
        <v>1676</v>
      </c>
      <c r="G98" s="451">
        <v>45741.0</v>
      </c>
      <c r="H98" s="450" t="s">
        <v>1671</v>
      </c>
      <c r="I98" s="450" t="s">
        <v>1193</v>
      </c>
      <c r="J98" s="450" t="s">
        <v>1193</v>
      </c>
      <c r="K98" s="450">
        <v>3.0</v>
      </c>
      <c r="L98" s="450" t="s">
        <v>1673</v>
      </c>
      <c r="M98" s="450">
        <v>24.0</v>
      </c>
      <c r="N98" s="450">
        <v>1.0</v>
      </c>
    </row>
    <row r="99">
      <c r="A99" s="450">
        <v>98.0</v>
      </c>
      <c r="B99" s="450" t="s">
        <v>1740</v>
      </c>
      <c r="C99" s="450" t="s">
        <v>1675</v>
      </c>
      <c r="D99" s="450" t="s">
        <v>1668</v>
      </c>
      <c r="E99" s="450" t="s">
        <v>1669</v>
      </c>
      <c r="F99" s="450" t="s">
        <v>1714</v>
      </c>
      <c r="G99" s="451">
        <v>45770.0</v>
      </c>
      <c r="H99" s="450" t="s">
        <v>1671</v>
      </c>
      <c r="I99" s="450" t="s">
        <v>1193</v>
      </c>
      <c r="J99" s="450" t="s">
        <v>1193</v>
      </c>
      <c r="K99" s="450">
        <v>3.0</v>
      </c>
      <c r="L99" s="450" t="s">
        <v>1673</v>
      </c>
      <c r="M99" s="450">
        <v>8.0</v>
      </c>
      <c r="N99" s="450">
        <v>2.0</v>
      </c>
    </row>
    <row r="100">
      <c r="A100" s="450">
        <v>99.0</v>
      </c>
      <c r="B100" s="450" t="s">
        <v>1741</v>
      </c>
      <c r="C100" s="450" t="s">
        <v>1675</v>
      </c>
      <c r="D100" s="450" t="s">
        <v>1668</v>
      </c>
      <c r="E100" s="450" t="s">
        <v>1669</v>
      </c>
      <c r="F100" s="450" t="s">
        <v>1742</v>
      </c>
      <c r="G100" s="451">
        <v>45775.0</v>
      </c>
      <c r="H100" s="450" t="s">
        <v>1671</v>
      </c>
      <c r="I100" s="450" t="s">
        <v>1193</v>
      </c>
      <c r="J100" s="450" t="s">
        <v>1193</v>
      </c>
      <c r="K100" s="450">
        <v>4.0</v>
      </c>
      <c r="L100" s="450" t="s">
        <v>1673</v>
      </c>
      <c r="M100" s="450">
        <v>36.0</v>
      </c>
      <c r="N100" s="450">
        <v>2.0</v>
      </c>
    </row>
    <row r="101">
      <c r="A101" s="450">
        <v>100.0</v>
      </c>
      <c r="B101" s="450" t="s">
        <v>2122</v>
      </c>
      <c r="C101" s="450" t="s">
        <v>1675</v>
      </c>
      <c r="D101" s="450" t="s">
        <v>1668</v>
      </c>
      <c r="E101" s="450" t="s">
        <v>1983</v>
      </c>
      <c r="F101" s="450" t="s">
        <v>2123</v>
      </c>
      <c r="G101" s="451">
        <v>45770.0</v>
      </c>
      <c r="H101" s="450" t="s">
        <v>1671</v>
      </c>
      <c r="I101" s="450" t="s">
        <v>1193</v>
      </c>
      <c r="J101" s="450" t="s">
        <v>1193</v>
      </c>
      <c r="K101" s="450">
        <v>6.0</v>
      </c>
      <c r="L101" s="450" t="s">
        <v>1673</v>
      </c>
      <c r="M101" s="450">
        <v>32.0</v>
      </c>
      <c r="N101" s="450">
        <v>3.0</v>
      </c>
    </row>
    <row r="102">
      <c r="A102" s="447">
        <v>101.0</v>
      </c>
      <c r="B102" s="447" t="s">
        <v>2124</v>
      </c>
      <c r="C102" s="447" t="s">
        <v>1675</v>
      </c>
      <c r="D102" s="447" t="s">
        <v>2125</v>
      </c>
      <c r="E102" s="447" t="s">
        <v>1998</v>
      </c>
      <c r="F102" s="447" t="s">
        <v>2126</v>
      </c>
      <c r="G102" s="448">
        <v>45751.0</v>
      </c>
      <c r="H102" s="447" t="s">
        <v>1671</v>
      </c>
      <c r="I102" s="447" t="s">
        <v>1193</v>
      </c>
      <c r="J102" s="447" t="s">
        <v>1193</v>
      </c>
      <c r="K102" s="447">
        <v>2.0</v>
      </c>
      <c r="L102" s="447" t="s">
        <v>2127</v>
      </c>
      <c r="M102" s="447">
        <v>37.0</v>
      </c>
      <c r="N102" s="447">
        <v>2.0</v>
      </c>
    </row>
    <row r="103">
      <c r="A103" s="447">
        <v>102.0</v>
      </c>
      <c r="B103" s="447" t="s">
        <v>120</v>
      </c>
      <c r="C103" s="447" t="s">
        <v>1675</v>
      </c>
      <c r="D103" s="447" t="s">
        <v>2128</v>
      </c>
      <c r="E103" s="447" t="s">
        <v>1983</v>
      </c>
      <c r="F103" s="447" t="s">
        <v>1714</v>
      </c>
      <c r="G103" s="448">
        <v>45745.0</v>
      </c>
      <c r="H103" s="447" t="s">
        <v>1671</v>
      </c>
      <c r="I103" s="447" t="s">
        <v>1193</v>
      </c>
      <c r="J103" s="447" t="s">
        <v>1193</v>
      </c>
      <c r="K103" s="447">
        <v>4.0</v>
      </c>
      <c r="L103" s="447" t="s">
        <v>2129</v>
      </c>
      <c r="M103" s="447">
        <v>12.0</v>
      </c>
      <c r="N103" s="447">
        <v>5.0</v>
      </c>
    </row>
    <row r="104">
      <c r="A104" s="447">
        <v>103.0</v>
      </c>
      <c r="B104" s="447" t="s">
        <v>1743</v>
      </c>
      <c r="C104" s="447" t="s">
        <v>1675</v>
      </c>
      <c r="D104" s="447" t="s">
        <v>1744</v>
      </c>
      <c r="E104" s="447" t="s">
        <v>1669</v>
      </c>
      <c r="F104" s="447" t="s">
        <v>1714</v>
      </c>
      <c r="G104" s="448">
        <v>45743.0</v>
      </c>
      <c r="H104" s="447" t="s">
        <v>1671</v>
      </c>
      <c r="I104" s="447" t="s">
        <v>1193</v>
      </c>
      <c r="J104" s="447" t="s">
        <v>1193</v>
      </c>
      <c r="K104" s="447">
        <v>1.0</v>
      </c>
      <c r="L104" s="447" t="s">
        <v>1745</v>
      </c>
      <c r="M104" s="447">
        <v>2.0</v>
      </c>
      <c r="N104" s="447">
        <v>1.0</v>
      </c>
    </row>
    <row r="105">
      <c r="A105" s="447">
        <v>104.0</v>
      </c>
      <c r="B105" s="447" t="s">
        <v>2130</v>
      </c>
      <c r="C105" s="447" t="s">
        <v>1675</v>
      </c>
      <c r="D105" s="447" t="s">
        <v>1720</v>
      </c>
      <c r="E105" s="447" t="s">
        <v>1994</v>
      </c>
      <c r="F105" s="447" t="s">
        <v>2028</v>
      </c>
      <c r="G105" s="448">
        <v>45727.0</v>
      </c>
      <c r="H105" s="447" t="s">
        <v>1671</v>
      </c>
      <c r="I105" s="447" t="s">
        <v>1193</v>
      </c>
      <c r="J105" s="447" t="s">
        <v>1193</v>
      </c>
      <c r="K105" s="447">
        <v>7.0</v>
      </c>
      <c r="L105" s="447" t="s">
        <v>1745</v>
      </c>
      <c r="M105" s="447">
        <v>45.0</v>
      </c>
      <c r="N105" s="447">
        <v>4.0</v>
      </c>
    </row>
    <row r="106">
      <c r="A106" s="447">
        <v>105.0</v>
      </c>
      <c r="B106" s="447" t="s">
        <v>1746</v>
      </c>
      <c r="C106" s="447" t="s">
        <v>1675</v>
      </c>
      <c r="D106" s="447" t="s">
        <v>256</v>
      </c>
      <c r="E106" s="447" t="s">
        <v>1669</v>
      </c>
      <c r="F106" s="447" t="s">
        <v>1714</v>
      </c>
      <c r="G106" s="448">
        <v>45728.0</v>
      </c>
      <c r="H106" s="447" t="s">
        <v>1671</v>
      </c>
      <c r="I106" s="447" t="s">
        <v>1193</v>
      </c>
      <c r="J106" s="447" t="s">
        <v>1193</v>
      </c>
      <c r="K106" s="447">
        <v>3.0</v>
      </c>
      <c r="L106" s="447" t="s">
        <v>1745</v>
      </c>
      <c r="M106" s="447">
        <v>39.0</v>
      </c>
      <c r="N106" s="447">
        <v>3.0</v>
      </c>
    </row>
    <row r="107">
      <c r="A107" s="447">
        <v>106.0</v>
      </c>
      <c r="B107" s="447" t="s">
        <v>1747</v>
      </c>
      <c r="C107" s="447" t="s">
        <v>1675</v>
      </c>
      <c r="D107" s="447" t="s">
        <v>1748</v>
      </c>
      <c r="E107" s="447" t="s">
        <v>1669</v>
      </c>
      <c r="F107" s="447" t="s">
        <v>1749</v>
      </c>
      <c r="G107" s="448">
        <v>45729.0</v>
      </c>
      <c r="H107" s="447" t="s">
        <v>1671</v>
      </c>
      <c r="I107" s="447" t="s">
        <v>1193</v>
      </c>
      <c r="J107" s="447" t="s">
        <v>1193</v>
      </c>
      <c r="K107" s="447">
        <v>5.0</v>
      </c>
      <c r="L107" s="447" t="s">
        <v>1745</v>
      </c>
      <c r="M107" s="447">
        <v>35.0</v>
      </c>
      <c r="N107" s="447">
        <v>5.0</v>
      </c>
    </row>
    <row r="108">
      <c r="A108" s="447">
        <v>107.0</v>
      </c>
      <c r="B108" s="447" t="s">
        <v>1750</v>
      </c>
      <c r="C108" s="447" t="s">
        <v>1675</v>
      </c>
      <c r="D108" s="447" t="s">
        <v>1751</v>
      </c>
      <c r="E108" s="447" t="s">
        <v>1669</v>
      </c>
      <c r="F108" s="447" t="s">
        <v>1752</v>
      </c>
      <c r="G108" s="448">
        <v>45538.0</v>
      </c>
      <c r="H108" s="447" t="s">
        <v>1671</v>
      </c>
      <c r="I108" s="447" t="s">
        <v>1193</v>
      </c>
      <c r="J108" s="447" t="s">
        <v>1193</v>
      </c>
      <c r="K108" s="447">
        <v>4.0</v>
      </c>
      <c r="L108" s="447" t="s">
        <v>1745</v>
      </c>
      <c r="M108" s="447">
        <v>29.0</v>
      </c>
      <c r="N108" s="447">
        <v>2.0</v>
      </c>
    </row>
    <row r="109">
      <c r="A109" s="447">
        <v>108.0</v>
      </c>
      <c r="B109" s="447" t="s">
        <v>2131</v>
      </c>
      <c r="C109" s="447" t="s">
        <v>1675</v>
      </c>
      <c r="D109" s="447" t="s">
        <v>2132</v>
      </c>
      <c r="E109" s="447" t="s">
        <v>1994</v>
      </c>
      <c r="F109" s="447" t="s">
        <v>1714</v>
      </c>
      <c r="G109" s="448">
        <v>45449.0</v>
      </c>
      <c r="H109" s="447" t="s">
        <v>1671</v>
      </c>
      <c r="I109" s="447" t="s">
        <v>1193</v>
      </c>
      <c r="J109" s="447" t="s">
        <v>1193</v>
      </c>
      <c r="K109" s="447">
        <v>6.0</v>
      </c>
      <c r="L109" s="447" t="s">
        <v>1745</v>
      </c>
      <c r="M109" s="447">
        <v>16.0</v>
      </c>
      <c r="N109" s="447">
        <v>3.0</v>
      </c>
    </row>
    <row r="110">
      <c r="A110" s="447">
        <v>109.0</v>
      </c>
      <c r="B110" s="447" t="s">
        <v>2133</v>
      </c>
      <c r="C110" s="447" t="s">
        <v>1675</v>
      </c>
      <c r="D110" s="447" t="s">
        <v>2022</v>
      </c>
      <c r="E110" s="447" t="s">
        <v>1994</v>
      </c>
      <c r="F110" s="447" t="s">
        <v>2134</v>
      </c>
      <c r="G110" s="448">
        <v>45345.0</v>
      </c>
      <c r="H110" s="447" t="s">
        <v>2078</v>
      </c>
      <c r="I110" s="447" t="s">
        <v>1193</v>
      </c>
      <c r="J110" s="447" t="s">
        <v>1193</v>
      </c>
      <c r="K110" s="447">
        <v>4.0</v>
      </c>
      <c r="L110" s="447" t="s">
        <v>1745</v>
      </c>
      <c r="M110" s="447">
        <v>40.0</v>
      </c>
      <c r="N110" s="447">
        <v>1.0</v>
      </c>
    </row>
    <row r="111">
      <c r="A111" s="447">
        <v>110.0</v>
      </c>
      <c r="B111" s="447" t="s">
        <v>1753</v>
      </c>
      <c r="C111" s="447" t="s">
        <v>1675</v>
      </c>
      <c r="D111" s="447" t="s">
        <v>1701</v>
      </c>
      <c r="E111" s="447" t="s">
        <v>1669</v>
      </c>
      <c r="F111" s="447" t="s">
        <v>1754</v>
      </c>
      <c r="G111" s="448">
        <v>45412.0</v>
      </c>
      <c r="H111" s="447" t="s">
        <v>1671</v>
      </c>
      <c r="I111" s="447" t="s">
        <v>1672</v>
      </c>
      <c r="J111" s="447" t="s">
        <v>1193</v>
      </c>
      <c r="K111" s="447">
        <v>1.0</v>
      </c>
      <c r="L111" s="447" t="s">
        <v>1745</v>
      </c>
      <c r="M111" s="447">
        <v>7.0</v>
      </c>
      <c r="N111" s="447">
        <v>0.0</v>
      </c>
    </row>
    <row r="112">
      <c r="A112" s="447">
        <v>111.0</v>
      </c>
      <c r="B112" s="447" t="s">
        <v>1755</v>
      </c>
      <c r="C112" s="447" t="s">
        <v>1675</v>
      </c>
      <c r="D112" s="447" t="s">
        <v>1751</v>
      </c>
      <c r="E112" s="447" t="s">
        <v>1669</v>
      </c>
      <c r="F112" s="447" t="s">
        <v>1756</v>
      </c>
      <c r="G112" s="448">
        <v>45734.0</v>
      </c>
      <c r="H112" s="447" t="s">
        <v>1671</v>
      </c>
      <c r="I112" s="447" t="s">
        <v>1193</v>
      </c>
      <c r="J112" s="447" t="s">
        <v>1193</v>
      </c>
      <c r="K112" s="447">
        <v>2.0</v>
      </c>
      <c r="L112" s="447" t="s">
        <v>1745</v>
      </c>
      <c r="M112" s="447">
        <v>51.0</v>
      </c>
      <c r="N112" s="447">
        <v>2.0</v>
      </c>
    </row>
    <row r="113">
      <c r="A113" s="447">
        <v>112.0</v>
      </c>
      <c r="B113" s="447" t="s">
        <v>2135</v>
      </c>
      <c r="C113" s="447" t="s">
        <v>1675</v>
      </c>
      <c r="D113" s="449"/>
      <c r="E113" s="447" t="s">
        <v>1994</v>
      </c>
      <c r="F113" s="447" t="s">
        <v>2028</v>
      </c>
      <c r="G113" s="448">
        <v>45575.0</v>
      </c>
      <c r="H113" s="447" t="s">
        <v>1671</v>
      </c>
      <c r="I113" s="447" t="s">
        <v>1193</v>
      </c>
      <c r="J113" s="447" t="s">
        <v>1193</v>
      </c>
      <c r="K113" s="447">
        <v>4.0</v>
      </c>
      <c r="L113" s="447" t="s">
        <v>1745</v>
      </c>
      <c r="M113" s="447">
        <v>43.0</v>
      </c>
      <c r="N113" s="447">
        <v>2.0</v>
      </c>
    </row>
    <row r="114">
      <c r="A114" s="447">
        <v>113.0</v>
      </c>
      <c r="B114" s="447" t="s">
        <v>1757</v>
      </c>
      <c r="C114" s="447" t="s">
        <v>1675</v>
      </c>
      <c r="D114" s="449"/>
      <c r="E114" s="447" t="s">
        <v>1669</v>
      </c>
      <c r="F114" s="447" t="s">
        <v>1758</v>
      </c>
      <c r="G114" s="448">
        <v>45702.0</v>
      </c>
      <c r="H114" s="447" t="s">
        <v>1671</v>
      </c>
      <c r="I114" s="447" t="s">
        <v>1193</v>
      </c>
      <c r="J114" s="447" t="s">
        <v>1193</v>
      </c>
      <c r="K114" s="447">
        <v>2.0</v>
      </c>
      <c r="L114" s="447" t="s">
        <v>1745</v>
      </c>
      <c r="M114" s="447">
        <v>7.0</v>
      </c>
      <c r="N114" s="447">
        <v>1.0</v>
      </c>
    </row>
    <row r="115">
      <c r="A115" s="447">
        <v>114.0</v>
      </c>
      <c r="B115" s="447" t="s">
        <v>2136</v>
      </c>
      <c r="C115" s="447" t="s">
        <v>1675</v>
      </c>
      <c r="D115" s="449"/>
      <c r="E115" s="447" t="s">
        <v>1994</v>
      </c>
      <c r="F115" s="447" t="s">
        <v>2028</v>
      </c>
      <c r="G115" s="448">
        <v>45685.0</v>
      </c>
      <c r="H115" s="447" t="s">
        <v>1671</v>
      </c>
      <c r="I115" s="447" t="s">
        <v>1193</v>
      </c>
      <c r="J115" s="447" t="s">
        <v>1193</v>
      </c>
      <c r="K115" s="447">
        <v>1.0</v>
      </c>
      <c r="L115" s="447" t="s">
        <v>1745</v>
      </c>
      <c r="M115" s="447">
        <v>17.0</v>
      </c>
      <c r="N115" s="447">
        <v>3.0</v>
      </c>
    </row>
    <row r="116">
      <c r="A116" s="447">
        <v>115.0</v>
      </c>
      <c r="B116" s="447" t="s">
        <v>2137</v>
      </c>
      <c r="C116" s="447" t="s">
        <v>1675</v>
      </c>
      <c r="D116" s="447" t="s">
        <v>2022</v>
      </c>
      <c r="E116" s="447" t="s">
        <v>1994</v>
      </c>
      <c r="F116" s="447" t="s">
        <v>1714</v>
      </c>
      <c r="G116" s="448">
        <v>45566.0</v>
      </c>
      <c r="H116" s="447" t="s">
        <v>1671</v>
      </c>
      <c r="I116" s="447" t="s">
        <v>1193</v>
      </c>
      <c r="J116" s="447" t="s">
        <v>1193</v>
      </c>
      <c r="K116" s="447">
        <v>3.0</v>
      </c>
      <c r="L116" s="447" t="s">
        <v>1745</v>
      </c>
      <c r="M116" s="447">
        <v>12.0</v>
      </c>
      <c r="N116" s="447">
        <v>2.0</v>
      </c>
    </row>
    <row r="117">
      <c r="A117" s="447">
        <v>116.0</v>
      </c>
      <c r="B117" s="447" t="s">
        <v>60</v>
      </c>
      <c r="C117" s="447" t="s">
        <v>1675</v>
      </c>
      <c r="D117" s="447" t="s">
        <v>1668</v>
      </c>
      <c r="E117" s="447" t="s">
        <v>1998</v>
      </c>
      <c r="F117" s="447" t="s">
        <v>2138</v>
      </c>
      <c r="G117" s="448">
        <v>45608.0</v>
      </c>
      <c r="H117" s="447" t="s">
        <v>1671</v>
      </c>
      <c r="I117" s="447" t="s">
        <v>1193</v>
      </c>
      <c r="J117" s="447" t="s">
        <v>1193</v>
      </c>
      <c r="K117" s="447">
        <v>2.0</v>
      </c>
      <c r="L117" s="447" t="s">
        <v>1673</v>
      </c>
      <c r="M117" s="447">
        <v>66.0</v>
      </c>
      <c r="N117" s="447">
        <v>2.0</v>
      </c>
    </row>
  </sheetData>
  <hyperlinks>
    <hyperlink r:id="rId1" ref="G1"/>
  </hyperlinks>
  <drawing r:id="rId2"/>
</worksheet>
</file>